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18" i="1" l="1"/>
  <c r="C15" i="2" l="1"/>
  <c r="C16" i="2" s="1"/>
  <c r="C5" i="2" l="1"/>
  <c r="E5" i="2"/>
  <c r="C8" i="2"/>
  <c r="E8" i="2" s="1"/>
  <c r="C7" i="2"/>
  <c r="E7" i="2" s="1"/>
  <c r="C6" i="2"/>
  <c r="E6" i="2" s="1"/>
  <c r="C9" i="2"/>
  <c r="E9" i="2" s="1"/>
  <c r="E3" i="2"/>
  <c r="E12" i="2" l="1"/>
  <c r="G12" i="2" s="1"/>
  <c r="F10" i="1"/>
  <c r="G9" i="1"/>
  <c r="F9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<sst xmlns="http://schemas.openxmlformats.org/spreadsheetml/2006/main" count="44" uniqueCount="33">
  <si>
    <t>COMPANY- OMAXE PANCHAM REALCON PVT LTD</t>
  </si>
  <si>
    <t>PROJECT- TOWER-E</t>
  </si>
  <si>
    <t>LOCATION- NAINI, PRAYAGRAJ</t>
  </si>
  <si>
    <t>S.NO.</t>
  </si>
  <si>
    <t>DESCRIPTION</t>
  </si>
  <si>
    <t>UNIT</t>
  </si>
  <si>
    <t>NOS</t>
  </si>
  <si>
    <t>MEASUREMENT</t>
  </si>
  <si>
    <t>QTY.</t>
  </si>
  <si>
    <t>REMARKS</t>
  </si>
  <si>
    <t>L</t>
  </si>
  <si>
    <t>B</t>
  </si>
  <si>
    <t>H/T</t>
  </si>
  <si>
    <t>GRID (22'-43'/A-Q')</t>
  </si>
  <si>
    <t>CUM</t>
  </si>
  <si>
    <t>GRID (22'-26'/M'-Q')</t>
  </si>
  <si>
    <t>GRID (38'-43'/A-E')</t>
  </si>
  <si>
    <t>GRID (22'-30'/A-B')</t>
  </si>
  <si>
    <t>TOTAL</t>
  </si>
  <si>
    <t>MB SHEET-  RCC BELOW PLINTH BEAM</t>
  </si>
  <si>
    <t>RMC M25</t>
  </si>
  <si>
    <t>CEMENT</t>
  </si>
  <si>
    <t>10MM AGG</t>
  </si>
  <si>
    <t>20MM AGG</t>
  </si>
  <si>
    <t>SAND</t>
  </si>
  <si>
    <t>ADMIXTURE</t>
  </si>
  <si>
    <t>BAG</t>
  </si>
  <si>
    <t>CFT</t>
  </si>
  <si>
    <t>KG</t>
  </si>
  <si>
    <t>IN 37 HRS CASTING COMPLETE</t>
  </si>
  <si>
    <t>GADDI LOADING IN 1 HR</t>
  </si>
  <si>
    <t>TOTAL GADDI CONSUME</t>
  </si>
  <si>
    <t>RAFT RCC- 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</si>
</sst>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topLeftCell="A2" zoomScaleNormal="100" zoomScaleSheetLayoutView="115" workbookViewId="0">
      <selection activeCell="I18" sqref="I18"/>
    </sheetView>
  </sheetViews>
  <sheetFormatPr defaultRowHeight="15" x14ac:dyDescent="0.25"/>
  <cols>
    <col min="2" max="2" width="19.140625" customWidth="1"/>
    <col min="9" max="9" width="9.85546875" customWidth="1"/>
    <col min="10" max="10" width="29.5703125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6"/>
    </row>
    <row r="4" spans="1:10" x14ac:dyDescent="0.25">
      <c r="A4" s="4" t="s">
        <v>19</v>
      </c>
      <c r="B4" s="5"/>
      <c r="C4" s="5"/>
      <c r="D4" s="5"/>
      <c r="E4" s="5"/>
      <c r="F4" s="5"/>
      <c r="G4" s="5"/>
      <c r="H4" s="5"/>
      <c r="I4" s="5"/>
      <c r="J4" s="6"/>
    </row>
    <row r="5" spans="1:10" x14ac:dyDescent="0.25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x14ac:dyDescent="0.25">
      <c r="A6" s="31" t="s">
        <v>3</v>
      </c>
      <c r="B6" s="26" t="s">
        <v>4</v>
      </c>
      <c r="C6" s="26" t="s">
        <v>5</v>
      </c>
      <c r="D6" s="26" t="s">
        <v>6</v>
      </c>
      <c r="E6" s="26" t="s">
        <v>6</v>
      </c>
      <c r="F6" s="26" t="s">
        <v>7</v>
      </c>
      <c r="G6" s="26"/>
      <c r="H6" s="26"/>
      <c r="I6" s="26" t="s">
        <v>8</v>
      </c>
      <c r="J6" s="27" t="s">
        <v>9</v>
      </c>
    </row>
    <row r="7" spans="1:10" x14ac:dyDescent="0.25">
      <c r="A7" s="31"/>
      <c r="B7" s="26"/>
      <c r="C7" s="26"/>
      <c r="D7" s="26"/>
      <c r="E7" s="26"/>
      <c r="F7" s="10" t="s">
        <v>10</v>
      </c>
      <c r="G7" s="10" t="s">
        <v>11</v>
      </c>
      <c r="H7" s="10" t="s">
        <v>12</v>
      </c>
      <c r="I7" s="26"/>
      <c r="J7" s="27"/>
    </row>
    <row r="8" spans="1:10" x14ac:dyDescent="0.25">
      <c r="A8" s="11"/>
      <c r="B8" s="22" t="s">
        <v>32</v>
      </c>
      <c r="C8" s="12"/>
      <c r="D8" s="12"/>
      <c r="E8" s="12"/>
      <c r="F8" s="12"/>
      <c r="G8" s="12"/>
      <c r="H8" s="12"/>
      <c r="I8" s="12"/>
      <c r="J8" s="13"/>
    </row>
    <row r="9" spans="1:10" x14ac:dyDescent="0.25">
      <c r="A9" s="11">
        <v>1</v>
      </c>
      <c r="B9" s="12" t="s">
        <v>13</v>
      </c>
      <c r="C9" s="12" t="s">
        <v>14</v>
      </c>
      <c r="D9" s="12">
        <v>1</v>
      </c>
      <c r="E9" s="12">
        <v>1</v>
      </c>
      <c r="F9" s="14">
        <f>31.935</f>
        <v>31.934999999999999</v>
      </c>
      <c r="G9" s="14">
        <f>36.895</f>
        <v>36.895000000000003</v>
      </c>
      <c r="H9" s="14">
        <v>0.85</v>
      </c>
      <c r="I9" s="15">
        <f t="shared" ref="I9:I15" si="0">PRODUCT(D9:H9)</f>
        <v>1001.5055512500001</v>
      </c>
      <c r="J9" s="13"/>
    </row>
    <row r="10" spans="1:10" x14ac:dyDescent="0.25">
      <c r="A10" s="11">
        <v>2</v>
      </c>
      <c r="B10" s="12"/>
      <c r="C10" s="12" t="s">
        <v>14</v>
      </c>
      <c r="D10" s="12">
        <v>1</v>
      </c>
      <c r="E10" s="12">
        <v>1</v>
      </c>
      <c r="F10" s="14">
        <f>8.78</f>
        <v>8.7799999999999994</v>
      </c>
      <c r="G10" s="14">
        <v>0.51500000000000001</v>
      </c>
      <c r="H10" s="14">
        <v>0.85</v>
      </c>
      <c r="I10" s="15">
        <f t="shared" si="0"/>
        <v>3.843445</v>
      </c>
      <c r="J10" s="13"/>
    </row>
    <row r="11" spans="1:10" x14ac:dyDescent="0.25">
      <c r="A11" s="11">
        <v>3</v>
      </c>
      <c r="B11" s="12" t="s">
        <v>15</v>
      </c>
      <c r="C11" s="12" t="s">
        <v>14</v>
      </c>
      <c r="D11" s="12">
        <v>-1</v>
      </c>
      <c r="E11" s="12">
        <v>1</v>
      </c>
      <c r="F11" s="14">
        <v>11</v>
      </c>
      <c r="G11" s="14">
        <v>12.414999999999999</v>
      </c>
      <c r="H11" s="14">
        <v>0.85</v>
      </c>
      <c r="I11" s="15">
        <f t="shared" si="0"/>
        <v>-116.08024999999999</v>
      </c>
      <c r="J11" s="13"/>
    </row>
    <row r="12" spans="1:10" x14ac:dyDescent="0.25">
      <c r="A12" s="11">
        <v>4</v>
      </c>
      <c r="B12" s="12" t="s">
        <v>16</v>
      </c>
      <c r="C12" s="12" t="s">
        <v>14</v>
      </c>
      <c r="D12" s="12">
        <v>-1</v>
      </c>
      <c r="E12" s="12">
        <v>1</v>
      </c>
      <c r="F12" s="14">
        <v>11.09</v>
      </c>
      <c r="G12" s="14">
        <v>10.285</v>
      </c>
      <c r="H12" s="14">
        <v>0.85</v>
      </c>
      <c r="I12" s="15">
        <f t="shared" si="0"/>
        <v>-96.951552499999991</v>
      </c>
      <c r="J12" s="13"/>
    </row>
    <row r="13" spans="1:10" x14ac:dyDescent="0.25">
      <c r="A13" s="11">
        <v>5</v>
      </c>
      <c r="B13" s="28" t="s">
        <v>17</v>
      </c>
      <c r="C13" s="12" t="s">
        <v>14</v>
      </c>
      <c r="D13" s="12">
        <v>-1</v>
      </c>
      <c r="E13" s="12">
        <v>1</v>
      </c>
      <c r="F13" s="14">
        <v>11.285</v>
      </c>
      <c r="G13" s="14">
        <v>3.72</v>
      </c>
      <c r="H13" s="14">
        <v>0.85</v>
      </c>
      <c r="I13" s="15">
        <f t="shared" si="0"/>
        <v>-35.683170000000004</v>
      </c>
      <c r="J13" s="13"/>
    </row>
    <row r="14" spans="1:10" x14ac:dyDescent="0.25">
      <c r="A14" s="11">
        <v>6</v>
      </c>
      <c r="B14" s="29"/>
      <c r="C14" s="12" t="s">
        <v>14</v>
      </c>
      <c r="D14" s="12">
        <v>-1</v>
      </c>
      <c r="E14" s="12">
        <v>1</v>
      </c>
      <c r="F14" s="14">
        <v>1.6950000000000001</v>
      </c>
      <c r="G14" s="14">
        <v>2.3149999999999999</v>
      </c>
      <c r="H14" s="14">
        <v>0.85</v>
      </c>
      <c r="I14" s="15">
        <f t="shared" si="0"/>
        <v>-3.3353362500000001</v>
      </c>
      <c r="J14" s="13"/>
    </row>
    <row r="15" spans="1:10" x14ac:dyDescent="0.25">
      <c r="A15" s="11">
        <v>7</v>
      </c>
      <c r="B15" s="30"/>
      <c r="C15" s="12" t="s">
        <v>14</v>
      </c>
      <c r="D15" s="12">
        <v>-1</v>
      </c>
      <c r="E15" s="12">
        <v>1</v>
      </c>
      <c r="F15" s="14">
        <v>3.95</v>
      </c>
      <c r="G15" s="14">
        <v>1.5</v>
      </c>
      <c r="H15" s="14">
        <v>0.85</v>
      </c>
      <c r="I15" s="15">
        <f t="shared" si="0"/>
        <v>-5.0362500000000008</v>
      </c>
      <c r="J15" s="13"/>
    </row>
    <row r="16" spans="1:10" x14ac:dyDescent="0.25">
      <c r="A16" s="11"/>
      <c r="B16" s="12"/>
      <c r="C16" s="12"/>
      <c r="D16" s="12"/>
      <c r="E16" s="12"/>
      <c r="F16" s="12"/>
      <c r="G16" s="12"/>
      <c r="H16" s="14"/>
      <c r="I16" s="15"/>
      <c r="J16" s="13"/>
    </row>
    <row r="17" spans="1:10" x14ac:dyDescent="0.25">
      <c r="A17" s="11"/>
      <c r="B17" s="12"/>
      <c r="C17" s="12"/>
      <c r="D17" s="12"/>
      <c r="E17" s="12"/>
      <c r="F17" s="12"/>
      <c r="G17" s="12"/>
      <c r="H17" s="12"/>
      <c r="I17" s="15"/>
      <c r="J17" s="13"/>
    </row>
    <row r="18" spans="1:10" x14ac:dyDescent="0.25">
      <c r="A18" s="11"/>
      <c r="B18" s="12"/>
      <c r="C18" s="12"/>
      <c r="D18" s="12"/>
      <c r="E18" s="12"/>
      <c r="F18" s="12"/>
      <c r="G18" s="12"/>
      <c r="H18" s="16" t="s">
        <v>18</v>
      </c>
      <c r="I18" s="17">
        <f>SUM(I8:I17)</f>
        <v>748.26243750000015</v>
      </c>
      <c r="J18" s="13"/>
    </row>
    <row r="19" spans="1:10" ht="15.75" thickBot="1" x14ac:dyDescent="0.3">
      <c r="A19" s="18"/>
      <c r="B19" s="19"/>
      <c r="C19" s="19"/>
      <c r="D19" s="19"/>
      <c r="E19" s="19"/>
      <c r="F19" s="19"/>
      <c r="G19" s="19"/>
      <c r="H19" s="19"/>
      <c r="I19" s="19"/>
      <c r="J19" s="20"/>
    </row>
    <row r="20" spans="1:10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</row>
  </sheetData>
  <mergeCells count="9">
    <mergeCell ref="I6:I7"/>
    <mergeCell ref="J6:J7"/>
    <mergeCell ref="B13:B15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  <pageSetup scale="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6"/>
  <sheetViews>
    <sheetView workbookViewId="0">
      <selection activeCell="C16" sqref="C16"/>
    </sheetView>
  </sheetViews>
  <sheetFormatPr defaultRowHeight="15" x14ac:dyDescent="0.25"/>
  <cols>
    <col min="1" max="3" width="12.7109375" style="21" customWidth="1"/>
    <col min="4" max="4" width="15.7109375" style="21" customWidth="1"/>
    <col min="5" max="5" width="12.7109375" style="21" customWidth="1"/>
    <col min="6" max="16384" width="9.140625" style="21"/>
  </cols>
  <sheetData>
    <row r="3" spans="1:7" x14ac:dyDescent="0.25">
      <c r="A3" s="21" t="s">
        <v>20</v>
      </c>
      <c r="B3" s="21" t="s">
        <v>14</v>
      </c>
      <c r="C3" s="21">
        <v>773</v>
      </c>
      <c r="D3" s="21">
        <v>5200</v>
      </c>
      <c r="E3" s="21">
        <f>C3*D3</f>
        <v>4019600</v>
      </c>
    </row>
    <row r="5" spans="1:7" x14ac:dyDescent="0.25">
      <c r="A5" s="21" t="s">
        <v>21</v>
      </c>
      <c r="B5" s="21">
        <v>365</v>
      </c>
      <c r="C5" s="23">
        <f>C3*B5/50</f>
        <v>5642.9</v>
      </c>
      <c r="D5" s="21" t="s">
        <v>26</v>
      </c>
      <c r="E5" s="21">
        <f>C5*300</f>
        <v>1692870</v>
      </c>
    </row>
    <row r="6" spans="1:7" x14ac:dyDescent="0.25">
      <c r="A6" s="21" t="s">
        <v>22</v>
      </c>
      <c r="B6" s="21">
        <v>432</v>
      </c>
      <c r="C6" s="23">
        <f>B6*C3/43.7</f>
        <v>7641.5560640732265</v>
      </c>
      <c r="D6" s="21" t="s">
        <v>27</v>
      </c>
      <c r="E6" s="23">
        <f>C6*42</f>
        <v>320945.35469107551</v>
      </c>
    </row>
    <row r="7" spans="1:7" x14ac:dyDescent="0.25">
      <c r="A7" s="21" t="s">
        <v>23</v>
      </c>
      <c r="B7" s="21">
        <v>654</v>
      </c>
      <c r="C7" s="23">
        <f>B7*C3/45.21</f>
        <v>11182.083609820837</v>
      </c>
      <c r="D7" s="21" t="s">
        <v>27</v>
      </c>
      <c r="E7" s="23">
        <f>C7*70</f>
        <v>782745.85268745851</v>
      </c>
    </row>
    <row r="8" spans="1:7" x14ac:dyDescent="0.25">
      <c r="A8" s="21" t="s">
        <v>24</v>
      </c>
      <c r="B8" s="21">
        <v>768</v>
      </c>
      <c r="C8" s="23">
        <f>B8*C3/50.87</f>
        <v>11670.218203263221</v>
      </c>
      <c r="D8" s="21" t="s">
        <v>27</v>
      </c>
      <c r="E8" s="23">
        <f>C8*65</f>
        <v>758564.18321210938</v>
      </c>
    </row>
    <row r="9" spans="1:7" x14ac:dyDescent="0.25">
      <c r="A9" s="21" t="s">
        <v>25</v>
      </c>
      <c r="B9" s="21">
        <v>2.56</v>
      </c>
      <c r="C9" s="23">
        <f>B9*C3</f>
        <v>1978.88</v>
      </c>
      <c r="D9" s="21" t="s">
        <v>28</v>
      </c>
      <c r="E9" s="23">
        <f>C9*61</f>
        <v>120711.68000000001</v>
      </c>
    </row>
    <row r="10" spans="1:7" x14ac:dyDescent="0.25">
      <c r="C10" s="23"/>
      <c r="E10" s="23"/>
    </row>
    <row r="11" spans="1:7" x14ac:dyDescent="0.25">
      <c r="C11" s="23"/>
      <c r="E11" s="23"/>
    </row>
    <row r="12" spans="1:7" x14ac:dyDescent="0.25">
      <c r="D12" s="24" t="s">
        <v>18</v>
      </c>
      <c r="E12" s="25">
        <f>SUM(E5:E11)</f>
        <v>3675837.0705906437</v>
      </c>
      <c r="G12" s="23">
        <f>E3-E12</f>
        <v>343762.92940935632</v>
      </c>
    </row>
    <row r="14" spans="1:7" x14ac:dyDescent="0.25">
      <c r="C14" s="21">
        <v>3</v>
      </c>
      <c r="D14" s="32" t="s">
        <v>30</v>
      </c>
      <c r="E14" s="32"/>
    </row>
    <row r="15" spans="1:7" x14ac:dyDescent="0.25">
      <c r="C15" s="23">
        <f>C3/7</f>
        <v>110.42857142857143</v>
      </c>
      <c r="D15" s="32" t="s">
        <v>31</v>
      </c>
      <c r="E15" s="32"/>
    </row>
    <row r="16" spans="1:7" x14ac:dyDescent="0.25">
      <c r="C16" s="23">
        <f>C15/C14</f>
        <v>36.80952380952381</v>
      </c>
      <c r="D16" s="32" t="s">
        <v>29</v>
      </c>
      <c r="E16" s="32"/>
    </row>
  </sheetData>
  <mergeCells count="3">
    <mergeCell ref="D14:E14"/>
    <mergeCell ref="D15:E15"/>
    <mergeCell ref="D16:E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2025-06-03T13:21:21Z</cp:lastPrinted>
  <dcterms:created xsi:type="dcterms:W3CDTF">2025-03-30T10:21:33Z</dcterms:created>
  <dcterms:modified xsi:type="dcterms:W3CDTF">2025-06-03T14:45:22Z</dcterms:modified>
</cp:coreProperties>
</file>