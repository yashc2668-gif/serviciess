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I38" i="1" l="1"/>
  <c r="I36" i="1"/>
  <c r="I35" i="1"/>
  <c r="I34" i="1"/>
  <c r="I33" i="1"/>
  <c r="I31" i="1"/>
  <c r="I30" i="1"/>
  <c r="I29" i="1"/>
  <c r="I32" i="1"/>
  <c r="I28" i="1"/>
  <c r="I27" i="1"/>
  <c r="F9" i="1" l="1"/>
  <c r="F10" i="1"/>
  <c r="G9" i="1"/>
  <c r="F19" i="1"/>
  <c r="G16" i="1"/>
  <c r="I9" i="1" l="1"/>
  <c r="I10" i="1"/>
  <c r="I11" i="1"/>
  <c r="I12" i="1"/>
  <c r="I13" i="1"/>
  <c r="I14" i="1"/>
  <c r="I15" i="1"/>
  <c r="I16" i="1"/>
  <c r="I17" i="1"/>
  <c r="I18" i="1"/>
  <c r="I19" i="1"/>
  <c r="I22" i="1" l="1"/>
</calcChain>
</file>

<file path=xl/sharedStrings.xml><?xml version="1.0" encoding="utf-8"?>
<sst xmlns="http://schemas.openxmlformats.org/spreadsheetml/2006/main" count="58" uniqueCount="24">
  <si>
    <t>COMPANY- OMAXE PANCHAM REALCON PVT LTD</t>
  </si>
  <si>
    <t>PROJECT- TOWER-E</t>
  </si>
  <si>
    <t>LOCATION- NAINI, PRAYAGRAJ</t>
  </si>
  <si>
    <t>S.NO.</t>
  </si>
  <si>
    <t>DESCRIPTION</t>
  </si>
  <si>
    <t>UNIT</t>
  </si>
  <si>
    <t>NOS</t>
  </si>
  <si>
    <t>L</t>
  </si>
  <si>
    <t>B</t>
  </si>
  <si>
    <t>H/T</t>
  </si>
  <si>
    <t>QTY.</t>
  </si>
  <si>
    <t>MEASUREMENT</t>
  </si>
  <si>
    <t>REMARKS</t>
  </si>
  <si>
    <t>TOTAL</t>
  </si>
  <si>
    <t>CUM</t>
  </si>
  <si>
    <t>MB SHEET-  PCC</t>
  </si>
  <si>
    <t>GRID (22'-26'/M'-Q')</t>
  </si>
  <si>
    <t>GRID (22'-43'/A-Q')</t>
  </si>
  <si>
    <t>GRID (38'-43'/A-E')</t>
  </si>
  <si>
    <t>GRID (22'-30'/A-B')</t>
  </si>
  <si>
    <t>EXISTING RAFT (DETAILS IN JMR)</t>
  </si>
  <si>
    <t>RAFT PCC- M10</t>
  </si>
  <si>
    <t>GRID (5'-20/A-C')</t>
  </si>
  <si>
    <t>GRID (1-18/M'-Q')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</si>
</sst>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/>
    <xf numFmtId="0" fontId="0" fillId="0" borderId="0" xfId="0" applyBorder="1"/>
    <xf numFmtId="0" fontId="0" fillId="0" borderId="6" xfId="0" applyBorder="1"/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tabSelected="1" topLeftCell="A17" zoomScaleNormal="100" zoomScaleSheetLayoutView="100" workbookViewId="0">
      <selection activeCell="L24" sqref="L24"/>
    </sheetView>
  </sheetViews>
  <sheetFormatPr defaultRowHeight="15" x14ac:dyDescent="0.25"/>
  <cols>
    <col min="2" max="2" width="19.140625" customWidth="1"/>
    <col min="9" max="9" width="9.85546875" customWidth="1"/>
    <col min="10" max="10" width="11.140625" customWidth="1"/>
  </cols>
  <sheetData>
    <row r="1" spans="1:10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6"/>
    </row>
    <row r="2" spans="1:10" x14ac:dyDescent="0.25">
      <c r="A2" s="7" t="s">
        <v>1</v>
      </c>
      <c r="B2" s="8"/>
      <c r="C2" s="8"/>
      <c r="D2" s="8"/>
      <c r="E2" s="8"/>
      <c r="F2" s="8"/>
      <c r="G2" s="8"/>
      <c r="H2" s="8"/>
      <c r="I2" s="8"/>
      <c r="J2" s="9"/>
    </row>
    <row r="3" spans="1:10" x14ac:dyDescent="0.25">
      <c r="A3" s="7" t="s">
        <v>2</v>
      </c>
      <c r="B3" s="8"/>
      <c r="C3" s="8"/>
      <c r="D3" s="8"/>
      <c r="E3" s="8"/>
      <c r="F3" s="8"/>
      <c r="G3" s="8"/>
      <c r="H3" s="8"/>
      <c r="I3" s="8"/>
      <c r="J3" s="9"/>
    </row>
    <row r="4" spans="1:10" x14ac:dyDescent="0.25">
      <c r="A4" s="7" t="s">
        <v>15</v>
      </c>
      <c r="B4" s="8"/>
      <c r="C4" s="8"/>
      <c r="D4" s="8"/>
      <c r="E4" s="8"/>
      <c r="F4" s="8"/>
      <c r="G4" s="8"/>
      <c r="H4" s="8"/>
      <c r="I4" s="8"/>
      <c r="J4" s="9"/>
    </row>
    <row r="5" spans="1:10" x14ac:dyDescent="0.25">
      <c r="A5" s="10"/>
      <c r="B5" s="11"/>
      <c r="C5" s="11"/>
      <c r="D5" s="11"/>
      <c r="E5" s="11"/>
      <c r="F5" s="11"/>
      <c r="G5" s="11"/>
      <c r="H5" s="11"/>
      <c r="I5" s="11"/>
      <c r="J5" s="12"/>
    </row>
    <row r="6" spans="1:10" x14ac:dyDescent="0.25">
      <c r="A6" s="23" t="s">
        <v>3</v>
      </c>
      <c r="B6" s="24" t="s">
        <v>4</v>
      </c>
      <c r="C6" s="24" t="s">
        <v>5</v>
      </c>
      <c r="D6" s="24" t="s">
        <v>6</v>
      </c>
      <c r="E6" s="24" t="s">
        <v>6</v>
      </c>
      <c r="F6" s="24" t="s">
        <v>11</v>
      </c>
      <c r="G6" s="24"/>
      <c r="H6" s="24"/>
      <c r="I6" s="24" t="s">
        <v>10</v>
      </c>
      <c r="J6" s="28" t="s">
        <v>12</v>
      </c>
    </row>
    <row r="7" spans="1:10" x14ac:dyDescent="0.25">
      <c r="A7" s="23"/>
      <c r="B7" s="24"/>
      <c r="C7" s="24"/>
      <c r="D7" s="24"/>
      <c r="E7" s="24"/>
      <c r="F7" s="3" t="s">
        <v>7</v>
      </c>
      <c r="G7" s="3" t="s">
        <v>8</v>
      </c>
      <c r="H7" s="3" t="s">
        <v>9</v>
      </c>
      <c r="I7" s="24"/>
      <c r="J7" s="28"/>
    </row>
    <row r="8" spans="1:10" x14ac:dyDescent="0.25">
      <c r="A8" s="13"/>
      <c r="B8" s="22" t="s">
        <v>21</v>
      </c>
      <c r="C8" s="1"/>
      <c r="D8" s="1"/>
      <c r="E8" s="1"/>
      <c r="F8" s="1"/>
      <c r="G8" s="1"/>
      <c r="H8" s="1"/>
      <c r="I8" s="1"/>
      <c r="J8" s="14"/>
    </row>
    <row r="9" spans="1:10" x14ac:dyDescent="0.25">
      <c r="A9" s="13">
        <v>1</v>
      </c>
      <c r="B9" s="1" t="s">
        <v>17</v>
      </c>
      <c r="C9" s="1" t="s">
        <v>14</v>
      </c>
      <c r="D9" s="1">
        <v>1</v>
      </c>
      <c r="E9" s="1">
        <v>1</v>
      </c>
      <c r="F9" s="20">
        <f>31.935+0.15+0.15</f>
        <v>32.234999999999999</v>
      </c>
      <c r="G9" s="20">
        <f>36.895+0.15+0.15</f>
        <v>37.195</v>
      </c>
      <c r="H9" s="20">
        <v>0.1</v>
      </c>
      <c r="I9" s="18">
        <f t="shared" ref="I9:I19" si="0">PRODUCT(D9:H9)</f>
        <v>119.89808250000002</v>
      </c>
      <c r="J9" s="14"/>
    </row>
    <row r="10" spans="1:10" x14ac:dyDescent="0.25">
      <c r="A10" s="13">
        <v>2</v>
      </c>
      <c r="B10" s="1"/>
      <c r="C10" s="1" t="s">
        <v>14</v>
      </c>
      <c r="D10" s="1">
        <v>1</v>
      </c>
      <c r="E10" s="1">
        <v>1</v>
      </c>
      <c r="F10" s="20">
        <f>8.78+0.15+0.15</f>
        <v>9.08</v>
      </c>
      <c r="G10" s="20">
        <v>0.51500000000000001</v>
      </c>
      <c r="H10" s="20">
        <v>0.1</v>
      </c>
      <c r="I10" s="18">
        <f t="shared" si="0"/>
        <v>0.46762000000000009</v>
      </c>
      <c r="J10" s="14"/>
    </row>
    <row r="11" spans="1:10" x14ac:dyDescent="0.25">
      <c r="A11" s="13">
        <v>3</v>
      </c>
      <c r="B11" s="1" t="s">
        <v>16</v>
      </c>
      <c r="C11" s="1" t="s">
        <v>14</v>
      </c>
      <c r="D11" s="1">
        <v>-1</v>
      </c>
      <c r="E11" s="1">
        <v>1</v>
      </c>
      <c r="F11" s="20">
        <v>11</v>
      </c>
      <c r="G11" s="20">
        <v>12.414999999999999</v>
      </c>
      <c r="H11" s="20">
        <v>0.1</v>
      </c>
      <c r="I11" s="18">
        <f t="shared" si="0"/>
        <v>-13.656500000000001</v>
      </c>
      <c r="J11" s="14"/>
    </row>
    <row r="12" spans="1:10" x14ac:dyDescent="0.25">
      <c r="A12" s="13">
        <v>4</v>
      </c>
      <c r="B12" s="1" t="s">
        <v>18</v>
      </c>
      <c r="C12" s="1" t="s">
        <v>14</v>
      </c>
      <c r="D12" s="1">
        <v>-1</v>
      </c>
      <c r="E12" s="1">
        <v>1</v>
      </c>
      <c r="F12" s="20">
        <v>11.09</v>
      </c>
      <c r="G12" s="20">
        <v>10.285</v>
      </c>
      <c r="H12" s="20">
        <v>0.1</v>
      </c>
      <c r="I12" s="18">
        <f t="shared" si="0"/>
        <v>-11.406065</v>
      </c>
      <c r="J12" s="14"/>
    </row>
    <row r="13" spans="1:10" x14ac:dyDescent="0.25">
      <c r="A13" s="13">
        <v>5</v>
      </c>
      <c r="B13" s="25" t="s">
        <v>19</v>
      </c>
      <c r="C13" s="1" t="s">
        <v>14</v>
      </c>
      <c r="D13" s="1">
        <v>-1</v>
      </c>
      <c r="E13" s="1">
        <v>1</v>
      </c>
      <c r="F13" s="20">
        <v>11.285</v>
      </c>
      <c r="G13" s="20">
        <v>1.405</v>
      </c>
      <c r="H13" s="20">
        <v>0.1</v>
      </c>
      <c r="I13" s="18">
        <f t="shared" si="0"/>
        <v>-1.5855425000000001</v>
      </c>
      <c r="J13" s="14"/>
    </row>
    <row r="14" spans="1:10" x14ac:dyDescent="0.25">
      <c r="A14" s="13">
        <v>6</v>
      </c>
      <c r="B14" s="26"/>
      <c r="C14" s="1" t="s">
        <v>14</v>
      </c>
      <c r="D14" s="1">
        <v>-1</v>
      </c>
      <c r="E14" s="1">
        <v>1</v>
      </c>
      <c r="F14" s="20">
        <v>1.6950000000000001</v>
      </c>
      <c r="G14" s="20">
        <v>0.81499999999999995</v>
      </c>
      <c r="H14" s="20">
        <v>0.1</v>
      </c>
      <c r="I14" s="18">
        <f t="shared" si="0"/>
        <v>-0.1381425</v>
      </c>
      <c r="J14" s="14"/>
    </row>
    <row r="15" spans="1:10" x14ac:dyDescent="0.25">
      <c r="A15" s="13">
        <v>7</v>
      </c>
      <c r="B15" s="27"/>
      <c r="C15" s="1" t="s">
        <v>14</v>
      </c>
      <c r="D15" s="1">
        <v>-1</v>
      </c>
      <c r="E15" s="1">
        <v>1</v>
      </c>
      <c r="F15" s="20">
        <v>3.95</v>
      </c>
      <c r="G15" s="20">
        <v>1.5</v>
      </c>
      <c r="H15" s="20">
        <v>0.1</v>
      </c>
      <c r="I15" s="18">
        <f t="shared" si="0"/>
        <v>-0.59250000000000014</v>
      </c>
      <c r="J15" s="14"/>
    </row>
    <row r="16" spans="1:10" x14ac:dyDescent="0.25">
      <c r="A16" s="13">
        <v>8</v>
      </c>
      <c r="B16" s="25" t="s">
        <v>20</v>
      </c>
      <c r="C16" s="1" t="s">
        <v>14</v>
      </c>
      <c r="D16" s="1">
        <v>-1</v>
      </c>
      <c r="E16" s="1">
        <v>1</v>
      </c>
      <c r="F16" s="20">
        <v>9</v>
      </c>
      <c r="G16" s="20">
        <f>5.8+0.115</f>
        <v>5.915</v>
      </c>
      <c r="H16" s="20">
        <v>0.1</v>
      </c>
      <c r="I16" s="18">
        <f t="shared" si="0"/>
        <v>-5.3235000000000001</v>
      </c>
      <c r="J16" s="14"/>
    </row>
    <row r="17" spans="1:10" x14ac:dyDescent="0.25">
      <c r="A17" s="13">
        <v>9</v>
      </c>
      <c r="B17" s="26"/>
      <c r="C17" s="1" t="s">
        <v>14</v>
      </c>
      <c r="D17" s="1">
        <v>-1</v>
      </c>
      <c r="E17" s="1">
        <v>1</v>
      </c>
      <c r="F17" s="20">
        <v>19.05</v>
      </c>
      <c r="G17" s="20">
        <v>10</v>
      </c>
      <c r="H17" s="20">
        <v>0.1</v>
      </c>
      <c r="I17" s="18">
        <f t="shared" si="0"/>
        <v>-19.05</v>
      </c>
      <c r="J17" s="14"/>
    </row>
    <row r="18" spans="1:10" x14ac:dyDescent="0.25">
      <c r="A18" s="13">
        <v>10</v>
      </c>
      <c r="B18" s="26"/>
      <c r="C18" s="1" t="s">
        <v>14</v>
      </c>
      <c r="D18" s="1">
        <v>-1</v>
      </c>
      <c r="E18" s="1">
        <v>1</v>
      </c>
      <c r="F18" s="20">
        <v>6.2</v>
      </c>
      <c r="G18" s="20">
        <v>6.2</v>
      </c>
      <c r="H18" s="20">
        <v>0.1</v>
      </c>
      <c r="I18" s="18">
        <f t="shared" si="0"/>
        <v>-3.8440000000000007</v>
      </c>
      <c r="J18" s="14"/>
    </row>
    <row r="19" spans="1:10" x14ac:dyDescent="0.25">
      <c r="A19" s="13">
        <v>11</v>
      </c>
      <c r="B19" s="27"/>
      <c r="C19" s="1" t="s">
        <v>14</v>
      </c>
      <c r="D19" s="1">
        <v>-1</v>
      </c>
      <c r="E19" s="1">
        <v>1</v>
      </c>
      <c r="F19" s="20">
        <f>11.7-6.2</f>
        <v>5.4999999999999991</v>
      </c>
      <c r="G19" s="20">
        <v>8.0500000000000007</v>
      </c>
      <c r="H19" s="20">
        <v>0.1</v>
      </c>
      <c r="I19" s="18">
        <f t="shared" si="0"/>
        <v>-4.4275000000000002</v>
      </c>
      <c r="J19" s="14"/>
    </row>
    <row r="20" spans="1:10" x14ac:dyDescent="0.25">
      <c r="A20" s="13"/>
      <c r="B20" s="1"/>
      <c r="C20" s="1"/>
      <c r="D20" s="1"/>
      <c r="E20" s="1"/>
      <c r="F20" s="1"/>
      <c r="G20" s="1"/>
      <c r="H20" s="20"/>
      <c r="I20" s="18"/>
      <c r="J20" s="14"/>
    </row>
    <row r="21" spans="1:10" x14ac:dyDescent="0.25">
      <c r="A21" s="13"/>
      <c r="B21" s="1"/>
      <c r="C21" s="1"/>
      <c r="D21" s="1"/>
      <c r="E21" s="1"/>
      <c r="F21" s="1"/>
      <c r="G21" s="1"/>
      <c r="H21" s="1"/>
      <c r="I21" s="18"/>
      <c r="J21" s="14"/>
    </row>
    <row r="22" spans="1:10" x14ac:dyDescent="0.25">
      <c r="A22" s="13"/>
      <c r="B22" s="1"/>
      <c r="C22" s="1"/>
      <c r="D22" s="1"/>
      <c r="E22" s="1"/>
      <c r="F22" s="1"/>
      <c r="G22" s="1"/>
      <c r="H22" s="2" t="s">
        <v>13</v>
      </c>
      <c r="I22" s="19">
        <f>SUM(I8:I21)</f>
        <v>60.341952500000012</v>
      </c>
      <c r="J22" s="14"/>
    </row>
    <row r="23" spans="1:10" ht="15.75" thickBot="1" x14ac:dyDescent="0.3">
      <c r="A23" s="15"/>
      <c r="B23" s="16"/>
      <c r="C23" s="16"/>
      <c r="D23" s="16"/>
      <c r="E23" s="16"/>
      <c r="F23" s="16"/>
      <c r="G23" s="16"/>
      <c r="H23" s="16"/>
      <c r="I23" s="16"/>
      <c r="J23" s="17"/>
    </row>
    <row r="24" spans="1:10" x14ac:dyDescent="0.25">
      <c r="A24" s="23" t="s">
        <v>3</v>
      </c>
      <c r="B24" s="24" t="s">
        <v>4</v>
      </c>
      <c r="C24" s="24" t="s">
        <v>5</v>
      </c>
      <c r="D24" s="24" t="s">
        <v>6</v>
      </c>
      <c r="E24" s="24" t="s">
        <v>6</v>
      </c>
      <c r="F24" s="24" t="s">
        <v>11</v>
      </c>
      <c r="G24" s="24"/>
      <c r="H24" s="24"/>
      <c r="I24" s="24" t="s">
        <v>10</v>
      </c>
      <c r="J24" s="28" t="s">
        <v>12</v>
      </c>
    </row>
    <row r="25" spans="1:10" x14ac:dyDescent="0.25">
      <c r="A25" s="23"/>
      <c r="B25" s="24"/>
      <c r="C25" s="24"/>
      <c r="D25" s="24"/>
      <c r="E25" s="24"/>
      <c r="F25" s="21" t="s">
        <v>7</v>
      </c>
      <c r="G25" s="21" t="s">
        <v>8</v>
      </c>
      <c r="H25" s="21" t="s">
        <v>9</v>
      </c>
      <c r="I25" s="24"/>
      <c r="J25" s="28"/>
    </row>
    <row r="26" spans="1:10" x14ac:dyDescent="0.25">
      <c r="A26" s="13"/>
      <c r="B26" s="22" t="s">
        <v>21</v>
      </c>
      <c r="C26" s="1"/>
      <c r="D26" s="1"/>
      <c r="E26" s="1"/>
      <c r="F26" s="1"/>
      <c r="G26" s="1"/>
      <c r="H26" s="1"/>
      <c r="I26" s="1"/>
      <c r="J26" s="14"/>
    </row>
    <row r="27" spans="1:10" x14ac:dyDescent="0.25">
      <c r="A27" s="13">
        <v>1</v>
      </c>
      <c r="B27" s="1" t="s">
        <v>22</v>
      </c>
      <c r="C27" s="1" t="s">
        <v>14</v>
      </c>
      <c r="D27" s="1">
        <v>1</v>
      </c>
      <c r="E27" s="1">
        <v>1</v>
      </c>
      <c r="F27" s="20">
        <v>3</v>
      </c>
      <c r="G27" s="20">
        <v>1.5</v>
      </c>
      <c r="H27" s="20">
        <v>0.1</v>
      </c>
      <c r="I27" s="18">
        <f t="shared" ref="I27:I32" si="1">PRODUCT(D27:H27)</f>
        <v>0.45</v>
      </c>
      <c r="J27" s="14"/>
    </row>
    <row r="28" spans="1:10" x14ac:dyDescent="0.25">
      <c r="A28" s="13">
        <v>2</v>
      </c>
      <c r="B28" s="1"/>
      <c r="C28" s="1" t="s">
        <v>14</v>
      </c>
      <c r="D28" s="1">
        <v>1</v>
      </c>
      <c r="E28" s="1">
        <v>1</v>
      </c>
      <c r="F28" s="20">
        <v>5.875</v>
      </c>
      <c r="G28" s="20">
        <v>1.5</v>
      </c>
      <c r="H28" s="20">
        <v>0.1</v>
      </c>
      <c r="I28" s="18">
        <f t="shared" si="1"/>
        <v>0.88125000000000009</v>
      </c>
      <c r="J28" s="14"/>
    </row>
    <row r="29" spans="1:10" x14ac:dyDescent="0.25">
      <c r="A29" s="13">
        <v>3</v>
      </c>
      <c r="B29" s="1"/>
      <c r="C29" s="1" t="s">
        <v>14</v>
      </c>
      <c r="D29" s="1">
        <v>1</v>
      </c>
      <c r="E29" s="1">
        <v>1</v>
      </c>
      <c r="F29" s="20">
        <v>9.8249999999999993</v>
      </c>
      <c r="G29" s="20">
        <v>0.81499999999999995</v>
      </c>
      <c r="H29" s="20">
        <v>0.1</v>
      </c>
      <c r="I29" s="18">
        <f t="shared" ref="I29" si="2">PRODUCT(D29:H29)</f>
        <v>0.80073749999999999</v>
      </c>
      <c r="J29" s="14"/>
    </row>
    <row r="30" spans="1:10" x14ac:dyDescent="0.25">
      <c r="A30" s="13">
        <v>4</v>
      </c>
      <c r="B30" s="1"/>
      <c r="C30" s="1" t="s">
        <v>14</v>
      </c>
      <c r="D30" s="1">
        <v>1</v>
      </c>
      <c r="E30" s="1">
        <v>1</v>
      </c>
      <c r="F30" s="20">
        <v>11.52</v>
      </c>
      <c r="G30" s="20">
        <v>1.405</v>
      </c>
      <c r="H30" s="20">
        <v>0.1</v>
      </c>
      <c r="I30" s="18">
        <f t="shared" ref="I30" si="3">PRODUCT(D30:H30)</f>
        <v>1.6185600000000002</v>
      </c>
      <c r="J30" s="14"/>
    </row>
    <row r="31" spans="1:10" x14ac:dyDescent="0.25">
      <c r="A31" s="13">
        <v>5</v>
      </c>
      <c r="B31" s="1"/>
      <c r="C31" s="1" t="s">
        <v>14</v>
      </c>
      <c r="D31" s="1">
        <v>1</v>
      </c>
      <c r="E31" s="1">
        <v>1</v>
      </c>
      <c r="F31" s="20">
        <v>16.5</v>
      </c>
      <c r="G31" s="20">
        <v>1</v>
      </c>
      <c r="H31" s="20">
        <v>0.1</v>
      </c>
      <c r="I31" s="18">
        <f t="shared" ref="I31" si="4">PRODUCT(D31:H31)</f>
        <v>1.6500000000000001</v>
      </c>
      <c r="J31" s="14"/>
    </row>
    <row r="32" spans="1:10" x14ac:dyDescent="0.25">
      <c r="A32" s="13">
        <v>6</v>
      </c>
      <c r="B32" s="1" t="s">
        <v>23</v>
      </c>
      <c r="C32" s="1" t="s">
        <v>14</v>
      </c>
      <c r="D32" s="1">
        <v>1</v>
      </c>
      <c r="E32" s="1">
        <v>1</v>
      </c>
      <c r="F32" s="20">
        <v>11.03</v>
      </c>
      <c r="G32" s="20">
        <v>8.67</v>
      </c>
      <c r="H32" s="20">
        <v>0.1</v>
      </c>
      <c r="I32" s="18">
        <f t="shared" si="1"/>
        <v>9.5630100000000002</v>
      </c>
      <c r="J32" s="14"/>
    </row>
    <row r="33" spans="1:10" x14ac:dyDescent="0.25">
      <c r="A33" s="13">
        <v>7</v>
      </c>
      <c r="B33" s="1"/>
      <c r="C33" s="1" t="s">
        <v>14</v>
      </c>
      <c r="D33" s="1">
        <v>1</v>
      </c>
      <c r="E33" s="1">
        <v>1</v>
      </c>
      <c r="F33" s="20">
        <v>11.545</v>
      </c>
      <c r="G33" s="20">
        <v>2.7149999999999999</v>
      </c>
      <c r="H33" s="20">
        <v>0.1</v>
      </c>
      <c r="I33" s="18">
        <f t="shared" ref="I33" si="5">PRODUCT(D33:H33)</f>
        <v>3.1344675</v>
      </c>
      <c r="J33" s="14"/>
    </row>
    <row r="34" spans="1:10" x14ac:dyDescent="0.25">
      <c r="A34" s="13">
        <v>8</v>
      </c>
      <c r="B34" s="1"/>
      <c r="C34" s="1" t="s">
        <v>14</v>
      </c>
      <c r="D34" s="1">
        <v>1</v>
      </c>
      <c r="E34" s="1">
        <v>1</v>
      </c>
      <c r="F34" s="20">
        <v>6.0650000000000004</v>
      </c>
      <c r="G34" s="20">
        <v>2.5150000000000001</v>
      </c>
      <c r="H34" s="20">
        <v>0.1</v>
      </c>
      <c r="I34" s="18">
        <f t="shared" ref="I34" si="6">PRODUCT(D34:H34)</f>
        <v>1.5253475000000003</v>
      </c>
      <c r="J34" s="14"/>
    </row>
    <row r="35" spans="1:10" x14ac:dyDescent="0.25">
      <c r="A35" s="13">
        <v>9</v>
      </c>
      <c r="B35" s="1"/>
      <c r="C35" s="1" t="s">
        <v>14</v>
      </c>
      <c r="D35" s="1">
        <v>1</v>
      </c>
      <c r="E35" s="1">
        <v>1</v>
      </c>
      <c r="F35" s="20">
        <v>1.05</v>
      </c>
      <c r="G35" s="20">
        <v>2</v>
      </c>
      <c r="H35" s="20">
        <v>0.1</v>
      </c>
      <c r="I35" s="18">
        <f t="shared" ref="I35" si="7">PRODUCT(D35:H35)</f>
        <v>0.21000000000000002</v>
      </c>
      <c r="J35" s="14"/>
    </row>
    <row r="36" spans="1:10" x14ac:dyDescent="0.25">
      <c r="A36" s="13">
        <v>10</v>
      </c>
      <c r="B36" s="1"/>
      <c r="C36" s="1" t="s">
        <v>14</v>
      </c>
      <c r="D36" s="1">
        <v>1</v>
      </c>
      <c r="E36" s="1">
        <v>1</v>
      </c>
      <c r="F36" s="20">
        <v>8.67</v>
      </c>
      <c r="G36" s="20">
        <v>3.27</v>
      </c>
      <c r="H36" s="20">
        <v>0.1</v>
      </c>
      <c r="I36" s="18">
        <f t="shared" ref="I36" si="8">PRODUCT(D36:H36)</f>
        <v>2.8350900000000001</v>
      </c>
      <c r="J36" s="14"/>
    </row>
    <row r="37" spans="1:10" x14ac:dyDescent="0.25">
      <c r="A37" s="13"/>
      <c r="B37" s="1"/>
      <c r="C37" s="1"/>
      <c r="D37" s="1"/>
      <c r="E37" s="1"/>
      <c r="F37" s="1"/>
      <c r="G37" s="1"/>
      <c r="H37" s="1"/>
      <c r="I37" s="18"/>
      <c r="J37" s="14"/>
    </row>
    <row r="38" spans="1:10" x14ac:dyDescent="0.25">
      <c r="A38" s="13"/>
      <c r="B38" s="1"/>
      <c r="C38" s="1"/>
      <c r="D38" s="1"/>
      <c r="E38" s="1"/>
      <c r="F38" s="1"/>
      <c r="G38" s="1"/>
      <c r="H38" s="2" t="s">
        <v>13</v>
      </c>
      <c r="I38" s="19">
        <f>SUM(I26:I37)</f>
        <v>22.6684625</v>
      </c>
      <c r="J38" s="14"/>
    </row>
    <row r="39" spans="1:10" ht="15.75" thickBot="1" x14ac:dyDescent="0.3">
      <c r="A39" s="15"/>
      <c r="B39" s="16"/>
      <c r="C39" s="16"/>
      <c r="D39" s="16"/>
      <c r="E39" s="16"/>
      <c r="F39" s="16"/>
      <c r="G39" s="16"/>
      <c r="H39" s="16"/>
      <c r="I39" s="16"/>
      <c r="J39" s="17"/>
    </row>
  </sheetData>
  <mergeCells count="18">
    <mergeCell ref="F24:H24"/>
    <mergeCell ref="I24:I25"/>
    <mergeCell ref="J24:J25"/>
    <mergeCell ref="A24:A25"/>
    <mergeCell ref="B24:B25"/>
    <mergeCell ref="C24:C25"/>
    <mergeCell ref="D24:D25"/>
    <mergeCell ref="E24:E25"/>
    <mergeCell ref="B13:B15"/>
    <mergeCell ref="B16:B19"/>
    <mergeCell ref="J6:J7"/>
    <mergeCell ref="F6:H6"/>
    <mergeCell ref="I6:I7"/>
    <mergeCell ref="A6:A7"/>
    <mergeCell ref="B6:B7"/>
    <mergeCell ref="C6:C7"/>
    <mergeCell ref="D6:D7"/>
    <mergeCell ref="E6:E7"/>
  </mergeCells>
  <pageMargins left="0.7" right="0.7" top="0.75" bottom="0.75" header="0.3" footer="0.3"/>
  <pageSetup paperSize="9" scale="83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2025-05-17T10:17:39Z</cp:lastPrinted>
  <dcterms:created xsi:type="dcterms:W3CDTF">2025-03-30T10:21:33Z</dcterms:created>
  <dcterms:modified xsi:type="dcterms:W3CDTF">2025-06-10T07:41:25Z</dcterms:modified>
</cp:coreProperties>
</file>