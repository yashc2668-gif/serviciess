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7725" tabRatio="922" activeTab="10"/>
  </bookViews>
  <sheets>
    <sheet name="Summary Qty" sheetId="10" r:id="rId1"/>
    <sheet name="Summary Amt" sheetId="17" r:id="rId2"/>
    <sheet name="Steel Summary" sheetId="3" r:id="rId3"/>
    <sheet name="RCC Summary" sheetId="12" r:id="rId4"/>
    <sheet name="Shuttering summary" sheetId="7" r:id="rId5"/>
    <sheet name="Raft Steel" sheetId="1" r:id="rId6"/>
    <sheet name="Columns Steel" sheetId="2" r:id="rId7"/>
    <sheet name="Typical floor STEEL" sheetId="8" r:id="rId8"/>
    <sheet name="Plinth Steel" sheetId="14" r:id="rId9"/>
    <sheet name="RCC" sheetId="4" r:id="rId10"/>
    <sheet name="RCC Typical floor" sheetId="9" r:id="rId11"/>
    <sheet name="Floor Shuttering" sheetId="6" r:id="rId12"/>
    <sheet name="Shuttering Raft" sheetId="11" r:id="rId13"/>
    <sheet name="Blockwork" sheetId="13" r:id="rId14"/>
    <sheet name="Plaster" sheetId="15" r:id="rId15"/>
    <sheet name="Door Frame" sheetId="16" r:id="rId16"/>
  </sheets>
  <definedNames>
    <definedName name="_xlnm._FilterDatabase" localSheetId="11" hidden="1">'Floor Shuttering'!$A$1:$C$22</definedName>
    <definedName name="_xlnm._FilterDatabase" localSheetId="9" hidden="1">RCC!$A$34:$J$102</definedName>
    <definedName name="_xlnm._FilterDatabase" localSheetId="10" hidden="1">'RCC Typical floor'!$A$32:$I$162</definedName>
    <definedName name="_xlnm.Print_Titles" localSheetId="7">'Typical floor STEEL'!$2:$3</definedName>
  </definedNames>
  <calcPr calcId="144525"/>
</workbook>
</file>

<file path=xl/calcChain.xml><?xml version="1.0" encoding="utf-8"?>
<calcChain xmlns="http://schemas.openxmlformats.org/spreadsheetml/2006/main">
  <c r="I349" i="9" l="1"/>
  <c r="I348" i="9"/>
  <c r="G348" i="9"/>
  <c r="I347" i="9"/>
  <c r="I346" i="9"/>
  <c r="I345" i="9"/>
  <c r="G344" i="9"/>
  <c r="I344" i="9" s="1"/>
  <c r="I343" i="9"/>
  <c r="I341" i="9"/>
  <c r="F341" i="9"/>
  <c r="I340" i="9"/>
  <c r="I339" i="9"/>
  <c r="I338" i="9"/>
  <c r="I337" i="9"/>
  <c r="F335" i="9"/>
  <c r="I335" i="9" s="1"/>
  <c r="I334" i="9"/>
  <c r="I333" i="9"/>
  <c r="I332" i="9"/>
  <c r="I331" i="9"/>
  <c r="I328" i="9"/>
  <c r="F328" i="9"/>
  <c r="F327" i="9"/>
  <c r="I327" i="9" s="1"/>
  <c r="I326" i="9"/>
  <c r="F326" i="9"/>
  <c r="I325" i="9"/>
  <c r="I324" i="9"/>
  <c r="I323" i="9"/>
  <c r="I322" i="9"/>
  <c r="I321" i="9"/>
  <c r="I320" i="9"/>
  <c r="I319" i="9"/>
  <c r="I318" i="9"/>
  <c r="I317" i="9"/>
  <c r="F314" i="9"/>
  <c r="I314" i="9" s="1"/>
  <c r="G313" i="9"/>
  <c r="F313" i="9"/>
  <c r="I313" i="9" s="1"/>
  <c r="I312" i="9"/>
  <c r="I311" i="9"/>
  <c r="G310" i="9"/>
  <c r="I310" i="9" s="1"/>
  <c r="I309" i="9"/>
  <c r="G308" i="9"/>
  <c r="I308" i="9" s="1"/>
  <c r="I307" i="9"/>
  <c r="I306" i="9"/>
  <c r="I305" i="9"/>
  <c r="I304" i="9"/>
  <c r="I303" i="9"/>
  <c r="I302" i="9"/>
  <c r="I301" i="9"/>
  <c r="F299" i="9"/>
  <c r="I299" i="9" s="1"/>
  <c r="I298" i="9"/>
  <c r="F298" i="9"/>
  <c r="F297" i="9"/>
  <c r="I297" i="9" s="1"/>
  <c r="I296" i="9"/>
  <c r="I295" i="9"/>
  <c r="I294" i="9"/>
  <c r="I293" i="9"/>
  <c r="I292" i="9"/>
  <c r="I291" i="9"/>
  <c r="I290" i="9"/>
  <c r="I289" i="9"/>
  <c r="I288" i="9"/>
  <c r="F288" i="9"/>
  <c r="I287" i="9"/>
  <c r="I286" i="9"/>
  <c r="I285" i="9"/>
  <c r="I284" i="9"/>
  <c r="F283" i="9"/>
  <c r="I283" i="9" s="1"/>
  <c r="I282" i="9"/>
  <c r="I281" i="9"/>
  <c r="I280" i="9"/>
  <c r="I279" i="9"/>
  <c r="I278" i="9"/>
  <c r="I277" i="9"/>
  <c r="I276" i="9"/>
  <c r="F275" i="9"/>
  <c r="I275" i="9" s="1"/>
  <c r="I274" i="9"/>
  <c r="I273" i="9"/>
  <c r="I272" i="9"/>
  <c r="I271" i="9"/>
  <c r="F270" i="9"/>
  <c r="I270" i="9" s="1"/>
  <c r="I269" i="9"/>
  <c r="I268" i="9"/>
  <c r="I267" i="9"/>
  <c r="F266" i="9"/>
  <c r="I266" i="9" s="1"/>
  <c r="I265" i="9"/>
  <c r="I264" i="9"/>
  <c r="I263" i="9"/>
  <c r="I262" i="9"/>
  <c r="I261" i="9"/>
  <c r="F261" i="9"/>
  <c r="F260" i="9"/>
  <c r="I260" i="9" s="1"/>
  <c r="I259" i="9"/>
  <c r="I258" i="9"/>
  <c r="I257" i="9"/>
  <c r="I256" i="9"/>
  <c r="I255" i="9"/>
  <c r="F255" i="9"/>
  <c r="I254" i="9"/>
  <c r="I253" i="9"/>
  <c r="I252" i="9"/>
  <c r="I251" i="9"/>
  <c r="D250" i="9"/>
  <c r="I250" i="9" s="1"/>
  <c r="I350" i="9" l="1"/>
  <c r="F23" i="17"/>
  <c r="F21" i="17"/>
  <c r="F12" i="17"/>
  <c r="F5" i="17"/>
  <c r="F16" i="17"/>
  <c r="F17" i="17"/>
  <c r="F18" i="17"/>
  <c r="F19" i="17"/>
  <c r="F7" i="17"/>
  <c r="F8" i="17"/>
  <c r="F9" i="17"/>
  <c r="F10" i="17"/>
  <c r="E15" i="17"/>
  <c r="F15" i="17" s="1"/>
  <c r="E6" i="17"/>
  <c r="F6" i="17" s="1"/>
  <c r="E14" i="17"/>
  <c r="F14" i="17" s="1"/>
  <c r="E5" i="17"/>
  <c r="L642" i="8" l="1"/>
  <c r="M642" i="8" s="1"/>
  <c r="N642" i="8"/>
  <c r="O642" i="8"/>
  <c r="P642" i="8"/>
  <c r="Q642" i="8"/>
  <c r="R642" i="8"/>
  <c r="L643" i="8"/>
  <c r="M643" i="8" s="1"/>
  <c r="N643" i="8"/>
  <c r="O643" i="8"/>
  <c r="P643" i="8"/>
  <c r="Q643" i="8"/>
  <c r="R643" i="8"/>
  <c r="L637" i="8"/>
  <c r="N637" i="8" s="1"/>
  <c r="M637" i="8"/>
  <c r="O637" i="8"/>
  <c r="P637" i="8"/>
  <c r="Q637" i="8"/>
  <c r="R637" i="8"/>
  <c r="I631" i="8"/>
  <c r="L536" i="8"/>
  <c r="M536" i="8" s="1"/>
  <c r="N536" i="8"/>
  <c r="O536" i="8"/>
  <c r="P536" i="8"/>
  <c r="Q536" i="8"/>
  <c r="R536" i="8"/>
  <c r="L509" i="8"/>
  <c r="M509" i="8" s="1"/>
  <c r="N509" i="8"/>
  <c r="O509" i="8"/>
  <c r="P509" i="8"/>
  <c r="Q509" i="8"/>
  <c r="R509" i="8"/>
  <c r="I1127" i="8" l="1"/>
  <c r="M1138" i="8"/>
  <c r="N1138" i="8"/>
  <c r="O1138" i="8"/>
  <c r="P1138" i="8"/>
  <c r="Q1138" i="8"/>
  <c r="R1138" i="8"/>
  <c r="L1139" i="8"/>
  <c r="M1139" i="8"/>
  <c r="N1139" i="8"/>
  <c r="O1139" i="8"/>
  <c r="P1139" i="8"/>
  <c r="Q1139" i="8"/>
  <c r="R1139" i="8"/>
  <c r="L1140" i="8"/>
  <c r="M1140" i="8" s="1"/>
  <c r="O1140" i="8"/>
  <c r="P1140" i="8"/>
  <c r="Q1140" i="8"/>
  <c r="R1140" i="8"/>
  <c r="L1141" i="8"/>
  <c r="M1141" i="8" s="1"/>
  <c r="O1141" i="8"/>
  <c r="P1141" i="8"/>
  <c r="Q1141" i="8"/>
  <c r="R1141" i="8"/>
  <c r="L1142" i="8"/>
  <c r="M1142" i="8" s="1"/>
  <c r="N1142" i="8"/>
  <c r="O1142" i="8"/>
  <c r="P1142" i="8"/>
  <c r="Q1142" i="8"/>
  <c r="R1142" i="8"/>
  <c r="L1137" i="8"/>
  <c r="M1137" i="8" s="1"/>
  <c r="N1137" i="8"/>
  <c r="O1137" i="8"/>
  <c r="P1137" i="8"/>
  <c r="Q1137" i="8"/>
  <c r="R1137" i="8"/>
  <c r="N1140" i="8" l="1"/>
  <c r="N1141" i="8"/>
  <c r="G1121" i="8"/>
  <c r="G1120" i="8"/>
  <c r="R1121" i="8"/>
  <c r="Q1121" i="8"/>
  <c r="P1121" i="8"/>
  <c r="O1121" i="8"/>
  <c r="N1121" i="8"/>
  <c r="L1121" i="8"/>
  <c r="R1120" i="8"/>
  <c r="Q1120" i="8"/>
  <c r="P1120" i="8"/>
  <c r="O1120" i="8"/>
  <c r="N1120" i="8"/>
  <c r="L1120" i="8"/>
  <c r="R1119" i="8"/>
  <c r="Q1119" i="8"/>
  <c r="P1119" i="8"/>
  <c r="O1119" i="8"/>
  <c r="N1119" i="8"/>
  <c r="M1119" i="8"/>
  <c r="L1119" i="8"/>
  <c r="G481" i="8"/>
  <c r="G486" i="8"/>
  <c r="R486" i="8"/>
  <c r="Q486" i="8"/>
  <c r="P486" i="8"/>
  <c r="O486" i="8"/>
  <c r="N486" i="8"/>
  <c r="I486" i="8"/>
  <c r="L486" i="8" s="1"/>
  <c r="R485" i="8"/>
  <c r="Q485" i="8"/>
  <c r="P485" i="8"/>
  <c r="N485" i="8"/>
  <c r="M485" i="8"/>
  <c r="J485" i="8"/>
  <c r="H485" i="8"/>
  <c r="R484" i="8"/>
  <c r="Q484" i="8"/>
  <c r="P484" i="8"/>
  <c r="N484" i="8"/>
  <c r="M484" i="8"/>
  <c r="J484" i="8"/>
  <c r="H484" i="8"/>
  <c r="R483" i="8"/>
  <c r="Q483" i="8"/>
  <c r="P483" i="8"/>
  <c r="O483" i="8"/>
  <c r="N483" i="8"/>
  <c r="M483" i="8"/>
  <c r="L483" i="8"/>
  <c r="I481" i="8"/>
  <c r="L481" i="8" s="1"/>
  <c r="R481" i="8"/>
  <c r="Q481" i="8"/>
  <c r="P481" i="8"/>
  <c r="O481" i="8"/>
  <c r="N481" i="8"/>
  <c r="R480" i="8"/>
  <c r="Q480" i="8"/>
  <c r="P480" i="8"/>
  <c r="N480" i="8"/>
  <c r="M480" i="8"/>
  <c r="J480" i="8"/>
  <c r="H480" i="8"/>
  <c r="R479" i="8"/>
  <c r="Q479" i="8"/>
  <c r="P479" i="8"/>
  <c r="N479" i="8"/>
  <c r="M479" i="8"/>
  <c r="J479" i="8"/>
  <c r="H479" i="8"/>
  <c r="R478" i="8"/>
  <c r="Q478" i="8"/>
  <c r="P478" i="8"/>
  <c r="O478" i="8"/>
  <c r="N478" i="8"/>
  <c r="M478" i="8"/>
  <c r="L478" i="8"/>
  <c r="G476" i="8"/>
  <c r="I476" i="8"/>
  <c r="L476" i="8" s="1"/>
  <c r="G17" i="8"/>
  <c r="I17" i="8"/>
  <c r="L17" i="8" s="1"/>
  <c r="N17" i="8"/>
  <c r="O17" i="8"/>
  <c r="P17" i="8"/>
  <c r="Q17" i="8"/>
  <c r="R17" i="8"/>
  <c r="I471" i="8"/>
  <c r="L471" i="8" s="1"/>
  <c r="R476" i="8"/>
  <c r="Q476" i="8"/>
  <c r="P476" i="8"/>
  <c r="O476" i="8"/>
  <c r="N476" i="8"/>
  <c r="R475" i="8"/>
  <c r="Q475" i="8"/>
  <c r="P475" i="8"/>
  <c r="N475" i="8"/>
  <c r="M475" i="8"/>
  <c r="J475" i="8"/>
  <c r="H475" i="8"/>
  <c r="R474" i="8"/>
  <c r="Q474" i="8"/>
  <c r="P474" i="8"/>
  <c r="N474" i="8"/>
  <c r="M474" i="8"/>
  <c r="J474" i="8"/>
  <c r="L474" i="8" s="1"/>
  <c r="O474" i="8" s="1"/>
  <c r="H474" i="8"/>
  <c r="R473" i="8"/>
  <c r="Q473" i="8"/>
  <c r="P473" i="8"/>
  <c r="O473" i="8"/>
  <c r="N473" i="8"/>
  <c r="M473" i="8"/>
  <c r="L473" i="8"/>
  <c r="G471" i="8"/>
  <c r="R471" i="8"/>
  <c r="Q471" i="8"/>
  <c r="P471" i="8"/>
  <c r="O471" i="8"/>
  <c r="N471" i="8"/>
  <c r="R470" i="8"/>
  <c r="Q470" i="8"/>
  <c r="P470" i="8"/>
  <c r="N470" i="8"/>
  <c r="M470" i="8"/>
  <c r="J470" i="8"/>
  <c r="H470" i="8"/>
  <c r="R469" i="8"/>
  <c r="Q469" i="8"/>
  <c r="P469" i="8"/>
  <c r="N469" i="8"/>
  <c r="M469" i="8"/>
  <c r="J469" i="8"/>
  <c r="H469" i="8"/>
  <c r="R468" i="8"/>
  <c r="Q468" i="8"/>
  <c r="P468" i="8"/>
  <c r="O468" i="8"/>
  <c r="N468" i="8"/>
  <c r="M468" i="8"/>
  <c r="L468" i="8"/>
  <c r="G466" i="8"/>
  <c r="R466" i="8"/>
  <c r="Q466" i="8"/>
  <c r="P466" i="8"/>
  <c r="O466" i="8"/>
  <c r="N466" i="8"/>
  <c r="L466" i="8"/>
  <c r="M466" i="8" s="1"/>
  <c r="I466" i="8"/>
  <c r="R465" i="8"/>
  <c r="Q465" i="8"/>
  <c r="P465" i="8"/>
  <c r="N465" i="8"/>
  <c r="M465" i="8"/>
  <c r="J465" i="8"/>
  <c r="H465" i="8"/>
  <c r="L465" i="8" s="1"/>
  <c r="O465" i="8" s="1"/>
  <c r="R464" i="8"/>
  <c r="Q464" i="8"/>
  <c r="P464" i="8"/>
  <c r="N464" i="8"/>
  <c r="M464" i="8"/>
  <c r="J464" i="8"/>
  <c r="H464" i="8"/>
  <c r="R463" i="8"/>
  <c r="Q463" i="8"/>
  <c r="P463" i="8"/>
  <c r="O463" i="8"/>
  <c r="N463" i="8"/>
  <c r="M463" i="8"/>
  <c r="L463" i="8"/>
  <c r="G461" i="8"/>
  <c r="R461" i="8"/>
  <c r="Q461" i="8"/>
  <c r="P461" i="8"/>
  <c r="O461" i="8"/>
  <c r="N461" i="8"/>
  <c r="I461" i="8"/>
  <c r="L461" i="8" s="1"/>
  <c r="R460" i="8"/>
  <c r="Q460" i="8"/>
  <c r="P460" i="8"/>
  <c r="N460" i="8"/>
  <c r="M460" i="8"/>
  <c r="J460" i="8"/>
  <c r="H460" i="8"/>
  <c r="L460" i="8" s="1"/>
  <c r="O460" i="8" s="1"/>
  <c r="R459" i="8"/>
  <c r="Q459" i="8"/>
  <c r="P459" i="8"/>
  <c r="N459" i="8"/>
  <c r="M459" i="8"/>
  <c r="J459" i="8"/>
  <c r="L459" i="8" s="1"/>
  <c r="O459" i="8" s="1"/>
  <c r="H459" i="8"/>
  <c r="R458" i="8"/>
  <c r="Q458" i="8"/>
  <c r="P458" i="8"/>
  <c r="O458" i="8"/>
  <c r="N458" i="8"/>
  <c r="M458" i="8"/>
  <c r="L458" i="8"/>
  <c r="R457" i="8"/>
  <c r="Q457" i="8"/>
  <c r="P457" i="8"/>
  <c r="O457" i="8"/>
  <c r="N457" i="8"/>
  <c r="I457" i="8"/>
  <c r="L457" i="8" s="1"/>
  <c r="G457" i="8"/>
  <c r="G455" i="8"/>
  <c r="G454" i="8"/>
  <c r="G456" i="8"/>
  <c r="H453" i="8"/>
  <c r="H452" i="8"/>
  <c r="L452" i="8" s="1"/>
  <c r="P452" i="8" s="1"/>
  <c r="R456" i="8"/>
  <c r="Q456" i="8"/>
  <c r="P456" i="8"/>
  <c r="O456" i="8"/>
  <c r="N456" i="8"/>
  <c r="I456" i="8"/>
  <c r="L456" i="8" s="1"/>
  <c r="M456" i="8" s="1"/>
  <c r="I455" i="8"/>
  <c r="I454" i="8"/>
  <c r="R455" i="8"/>
  <c r="Q455" i="8"/>
  <c r="P455" i="8"/>
  <c r="O455" i="8"/>
  <c r="N455" i="8"/>
  <c r="L455" i="8"/>
  <c r="M455" i="8" s="1"/>
  <c r="R454" i="8"/>
  <c r="Q454" i="8"/>
  <c r="P454" i="8"/>
  <c r="O454" i="8"/>
  <c r="N454" i="8"/>
  <c r="L454" i="8"/>
  <c r="R453" i="8"/>
  <c r="Q453" i="8"/>
  <c r="O453" i="8"/>
  <c r="N453" i="8"/>
  <c r="M453" i="8"/>
  <c r="L453" i="8"/>
  <c r="P453" i="8" s="1"/>
  <c r="R452" i="8"/>
  <c r="Q452" i="8"/>
  <c r="O452" i="8"/>
  <c r="N452" i="8"/>
  <c r="M452" i="8"/>
  <c r="R451" i="8"/>
  <c r="Q451" i="8"/>
  <c r="P451" i="8"/>
  <c r="O451" i="8"/>
  <c r="N451" i="8"/>
  <c r="M451" i="8"/>
  <c r="L451" i="8"/>
  <c r="R450" i="8"/>
  <c r="Q450" i="8"/>
  <c r="P450" i="8"/>
  <c r="O450" i="8"/>
  <c r="N450" i="8"/>
  <c r="I450" i="8"/>
  <c r="L450" i="8" s="1"/>
  <c r="M450" i="8" s="1"/>
  <c r="G450" i="8"/>
  <c r="G449" i="8"/>
  <c r="G448" i="8"/>
  <c r="H447" i="8"/>
  <c r="L447" i="8" s="1"/>
  <c r="P447" i="8" s="1"/>
  <c r="H446" i="8"/>
  <c r="I449" i="8"/>
  <c r="L449" i="8" s="1"/>
  <c r="I448" i="8"/>
  <c r="L448" i="8" s="1"/>
  <c r="R449" i="8"/>
  <c r="Q449" i="8"/>
  <c r="P449" i="8"/>
  <c r="O449" i="8"/>
  <c r="N449" i="8"/>
  <c r="R448" i="8"/>
  <c r="Q448" i="8"/>
  <c r="P448" i="8"/>
  <c r="O448" i="8"/>
  <c r="N448" i="8"/>
  <c r="R447" i="8"/>
  <c r="Q447" i="8"/>
  <c r="O447" i="8"/>
  <c r="N447" i="8"/>
  <c r="M447" i="8"/>
  <c r="J447" i="8"/>
  <c r="R446" i="8"/>
  <c r="Q446" i="8"/>
  <c r="O446" i="8"/>
  <c r="N446" i="8"/>
  <c r="M446" i="8"/>
  <c r="J446" i="8"/>
  <c r="R445" i="8"/>
  <c r="Q445" i="8"/>
  <c r="P445" i="8"/>
  <c r="O445" i="8"/>
  <c r="N445" i="8"/>
  <c r="M445" i="8"/>
  <c r="L445" i="8"/>
  <c r="R444" i="8"/>
  <c r="Q444" i="8"/>
  <c r="P444" i="8"/>
  <c r="O444" i="8"/>
  <c r="N444" i="8"/>
  <c r="I444" i="8"/>
  <c r="L444" i="8" s="1"/>
  <c r="M444" i="8" s="1"/>
  <c r="G444" i="8"/>
  <c r="J440" i="8"/>
  <c r="R443" i="8"/>
  <c r="Q443" i="8"/>
  <c r="P443" i="8"/>
  <c r="O443" i="8"/>
  <c r="N443" i="8"/>
  <c r="I443" i="8"/>
  <c r="L443" i="8" s="1"/>
  <c r="G443" i="8"/>
  <c r="R442" i="8"/>
  <c r="Q442" i="8"/>
  <c r="P442" i="8"/>
  <c r="O442" i="8"/>
  <c r="N442" i="8"/>
  <c r="I442" i="8"/>
  <c r="L442" i="8" s="1"/>
  <c r="G442" i="8"/>
  <c r="R441" i="8"/>
  <c r="Q441" i="8"/>
  <c r="P441" i="8"/>
  <c r="O441" i="8"/>
  <c r="N441" i="8"/>
  <c r="I441" i="8"/>
  <c r="L441" i="8" s="1"/>
  <c r="G441" i="8"/>
  <c r="R440" i="8"/>
  <c r="Q440" i="8"/>
  <c r="O440" i="8"/>
  <c r="N440" i="8"/>
  <c r="M440" i="8"/>
  <c r="H440" i="8"/>
  <c r="R439" i="8"/>
  <c r="Q439" i="8"/>
  <c r="O439" i="8"/>
  <c r="N439" i="8"/>
  <c r="M439" i="8"/>
  <c r="J439" i="8"/>
  <c r="H439" i="8"/>
  <c r="R438" i="8"/>
  <c r="Q438" i="8"/>
  <c r="P438" i="8"/>
  <c r="O438" i="8"/>
  <c r="N438" i="8"/>
  <c r="M438" i="8"/>
  <c r="L438" i="8"/>
  <c r="R437" i="8"/>
  <c r="Q437" i="8"/>
  <c r="P437" i="8"/>
  <c r="O437" i="8"/>
  <c r="N437" i="8"/>
  <c r="I437" i="8"/>
  <c r="L437" i="8" s="1"/>
  <c r="G437" i="8"/>
  <c r="G436" i="8"/>
  <c r="I436" i="8"/>
  <c r="L436" i="8" s="1"/>
  <c r="N436" i="8"/>
  <c r="O436" i="8"/>
  <c r="P436" i="8"/>
  <c r="Q436" i="8"/>
  <c r="R436" i="8"/>
  <c r="G434" i="8"/>
  <c r="G435" i="8"/>
  <c r="I433" i="8"/>
  <c r="I434" i="8"/>
  <c r="I435" i="8"/>
  <c r="J432" i="8"/>
  <c r="H432" i="8"/>
  <c r="K413" i="8"/>
  <c r="K268" i="8"/>
  <c r="L431" i="8"/>
  <c r="P431" i="8" s="1"/>
  <c r="M431" i="8"/>
  <c r="N431" i="8"/>
  <c r="O431" i="8"/>
  <c r="Q431" i="8"/>
  <c r="R431" i="8"/>
  <c r="H430" i="8"/>
  <c r="J430" i="8"/>
  <c r="G427" i="8"/>
  <c r="I428" i="8"/>
  <c r="I427" i="8"/>
  <c r="J426" i="8"/>
  <c r="J425" i="8"/>
  <c r="H426" i="8"/>
  <c r="H425" i="8"/>
  <c r="G423" i="8"/>
  <c r="G422" i="8"/>
  <c r="G421" i="8"/>
  <c r="I423" i="8"/>
  <c r="I422" i="8"/>
  <c r="I421" i="8"/>
  <c r="L1148" i="8"/>
  <c r="N1148" i="8" s="1"/>
  <c r="L1149" i="8"/>
  <c r="N1149" i="8" s="1"/>
  <c r="L1150" i="8"/>
  <c r="N1150" i="8" s="1"/>
  <c r="L1151" i="8"/>
  <c r="L1147" i="8"/>
  <c r="N1147" i="8" s="1"/>
  <c r="M1147" i="8"/>
  <c r="O1147" i="8"/>
  <c r="P1147" i="8"/>
  <c r="Q1147" i="8"/>
  <c r="R1147" i="8"/>
  <c r="M1148" i="8"/>
  <c r="O1148" i="8"/>
  <c r="P1148" i="8"/>
  <c r="Q1148" i="8"/>
  <c r="R1148" i="8"/>
  <c r="M1149" i="8"/>
  <c r="O1149" i="8"/>
  <c r="P1149" i="8"/>
  <c r="Q1149" i="8"/>
  <c r="R1149" i="8"/>
  <c r="M1150" i="8"/>
  <c r="O1150" i="8"/>
  <c r="P1150" i="8"/>
  <c r="Q1150" i="8"/>
  <c r="R1150" i="8"/>
  <c r="G1116" i="8"/>
  <c r="G1115" i="8"/>
  <c r="R1117" i="8"/>
  <c r="Q1117" i="8"/>
  <c r="P1117" i="8"/>
  <c r="O1117" i="8"/>
  <c r="N1117" i="8"/>
  <c r="L1117" i="8"/>
  <c r="G1117" i="8"/>
  <c r="R1116" i="8"/>
  <c r="Q1116" i="8"/>
  <c r="P1116" i="8"/>
  <c r="O1116" i="8"/>
  <c r="N1116" i="8"/>
  <c r="I1116" i="8"/>
  <c r="L1116" i="8" s="1"/>
  <c r="R1115" i="8"/>
  <c r="Q1115" i="8"/>
  <c r="P1115" i="8"/>
  <c r="O1115" i="8"/>
  <c r="N1115" i="8"/>
  <c r="I1115" i="8"/>
  <c r="L1115" i="8" s="1"/>
  <c r="G1114" i="8"/>
  <c r="G1113" i="8"/>
  <c r="G1112" i="8"/>
  <c r="I1113" i="8"/>
  <c r="L1113" i="8" s="1"/>
  <c r="I1112" i="8"/>
  <c r="L1112" i="8" s="1"/>
  <c r="R1114" i="8"/>
  <c r="Q1114" i="8"/>
  <c r="P1114" i="8"/>
  <c r="O1114" i="8"/>
  <c r="N1114" i="8"/>
  <c r="L1114" i="8"/>
  <c r="R1113" i="8"/>
  <c r="Q1113" i="8"/>
  <c r="P1113" i="8"/>
  <c r="O1113" i="8"/>
  <c r="N1113" i="8"/>
  <c r="R1112" i="8"/>
  <c r="Q1112" i="8"/>
  <c r="P1112" i="8"/>
  <c r="O1112" i="8"/>
  <c r="N1112" i="8"/>
  <c r="G1111" i="8"/>
  <c r="R1111" i="8"/>
  <c r="Q1111" i="8"/>
  <c r="P1111" i="8"/>
  <c r="O1111" i="8"/>
  <c r="N1111" i="8"/>
  <c r="L1111" i="8"/>
  <c r="G1110" i="8"/>
  <c r="I1110" i="8"/>
  <c r="I1109" i="8"/>
  <c r="I1108" i="8"/>
  <c r="G1105" i="8"/>
  <c r="G1104" i="8"/>
  <c r="G1103" i="8"/>
  <c r="I1104" i="8"/>
  <c r="L1104" i="8" s="1"/>
  <c r="I1103" i="8"/>
  <c r="L1103" i="8" s="1"/>
  <c r="N1104" i="8"/>
  <c r="O1104" i="8"/>
  <c r="P1104" i="8"/>
  <c r="Q1104" i="8"/>
  <c r="R1104" i="8"/>
  <c r="L1105" i="8"/>
  <c r="N1105" i="8"/>
  <c r="O1105" i="8"/>
  <c r="P1105" i="8"/>
  <c r="Q1105" i="8"/>
  <c r="R1105" i="8"/>
  <c r="R1103" i="8"/>
  <c r="Q1103" i="8"/>
  <c r="P1103" i="8"/>
  <c r="O1103" i="8"/>
  <c r="N1103" i="8"/>
  <c r="G1101" i="8"/>
  <c r="G1100" i="8"/>
  <c r="G1102" i="8"/>
  <c r="R1102" i="8"/>
  <c r="Q1102" i="8"/>
  <c r="P1102" i="8"/>
  <c r="O1102" i="8"/>
  <c r="N1102" i="8"/>
  <c r="L1102" i="8"/>
  <c r="I1101" i="8"/>
  <c r="L1101" i="8" s="1"/>
  <c r="I1100" i="8"/>
  <c r="L1100" i="8" s="1"/>
  <c r="N1101" i="8"/>
  <c r="O1101" i="8"/>
  <c r="P1101" i="8"/>
  <c r="Q1101" i="8"/>
  <c r="R1101" i="8"/>
  <c r="N1100" i="8"/>
  <c r="O1100" i="8"/>
  <c r="P1100" i="8"/>
  <c r="Q1100" i="8"/>
  <c r="R1100" i="8"/>
  <c r="G1099" i="8"/>
  <c r="I1099" i="8"/>
  <c r="G1098" i="8"/>
  <c r="R1098" i="8"/>
  <c r="Q1098" i="8"/>
  <c r="P1098" i="8"/>
  <c r="O1098" i="8"/>
  <c r="N1098" i="8"/>
  <c r="L1098" i="8"/>
  <c r="G1097" i="8"/>
  <c r="G1096" i="8"/>
  <c r="I1097" i="8"/>
  <c r="I1096" i="8"/>
  <c r="G1095" i="8"/>
  <c r="L1095" i="8"/>
  <c r="N1095" i="8"/>
  <c r="O1095" i="8"/>
  <c r="P1095" i="8"/>
  <c r="Q1095" i="8"/>
  <c r="R1095" i="8"/>
  <c r="I1094" i="8"/>
  <c r="I1093" i="8"/>
  <c r="I1092" i="8"/>
  <c r="R1089" i="8"/>
  <c r="Q1089" i="8"/>
  <c r="P1089" i="8"/>
  <c r="O1089" i="8"/>
  <c r="N1089" i="8"/>
  <c r="L1089" i="8"/>
  <c r="G1089" i="8"/>
  <c r="R1088" i="8"/>
  <c r="Q1088" i="8"/>
  <c r="P1088" i="8"/>
  <c r="O1088" i="8"/>
  <c r="N1088" i="8"/>
  <c r="I1088" i="8"/>
  <c r="L1088" i="8" s="1"/>
  <c r="G1088" i="8"/>
  <c r="R1087" i="8"/>
  <c r="Q1087" i="8"/>
  <c r="P1087" i="8"/>
  <c r="O1087" i="8"/>
  <c r="N1087" i="8"/>
  <c r="I1087" i="8"/>
  <c r="L1087" i="8" s="1"/>
  <c r="G1087" i="8"/>
  <c r="G1086" i="8"/>
  <c r="G1085" i="8"/>
  <c r="G1084" i="8"/>
  <c r="I1085" i="8"/>
  <c r="L1085" i="8" s="1"/>
  <c r="I1084" i="8"/>
  <c r="L1084" i="8" s="1"/>
  <c r="R1086" i="8"/>
  <c r="Q1086" i="8"/>
  <c r="P1086" i="8"/>
  <c r="O1086" i="8"/>
  <c r="N1086" i="8"/>
  <c r="L1086" i="8"/>
  <c r="R1085" i="8"/>
  <c r="Q1085" i="8"/>
  <c r="P1085" i="8"/>
  <c r="O1085" i="8"/>
  <c r="N1085" i="8"/>
  <c r="R1084" i="8"/>
  <c r="Q1084" i="8"/>
  <c r="P1084" i="8"/>
  <c r="O1084" i="8"/>
  <c r="N1084" i="8"/>
  <c r="G1083" i="8"/>
  <c r="I1083" i="8"/>
  <c r="L1083" i="8" s="1"/>
  <c r="R1083" i="8"/>
  <c r="Q1083" i="8"/>
  <c r="P1083" i="8"/>
  <c r="O1083" i="8"/>
  <c r="N1083" i="8"/>
  <c r="I1082" i="8"/>
  <c r="G1081" i="8"/>
  <c r="I1081" i="8"/>
  <c r="I1080" i="8"/>
  <c r="I1079" i="8"/>
  <c r="G1071" i="8"/>
  <c r="G1073" i="8"/>
  <c r="G1075" i="8"/>
  <c r="G1074" i="8"/>
  <c r="I1074" i="8"/>
  <c r="L1074" i="8" s="1"/>
  <c r="R1075" i="8"/>
  <c r="Q1075" i="8"/>
  <c r="P1075" i="8"/>
  <c r="O1075" i="8"/>
  <c r="N1075" i="8"/>
  <c r="L1075" i="8"/>
  <c r="R1074" i="8"/>
  <c r="Q1074" i="8"/>
  <c r="P1074" i="8"/>
  <c r="O1074" i="8"/>
  <c r="N1074" i="8"/>
  <c r="L1073" i="8"/>
  <c r="G1070" i="8"/>
  <c r="G1072" i="8"/>
  <c r="I1072" i="8"/>
  <c r="L1072" i="8" s="1"/>
  <c r="R1073" i="8"/>
  <c r="Q1073" i="8"/>
  <c r="P1073" i="8"/>
  <c r="O1073" i="8"/>
  <c r="N1073" i="8"/>
  <c r="R1072" i="8"/>
  <c r="Q1072" i="8"/>
  <c r="P1072" i="8"/>
  <c r="O1072" i="8"/>
  <c r="N1072" i="8"/>
  <c r="I1070" i="8"/>
  <c r="L1070" i="8" s="1"/>
  <c r="R1071" i="8"/>
  <c r="Q1071" i="8"/>
  <c r="P1071" i="8"/>
  <c r="O1071" i="8"/>
  <c r="N1071" i="8"/>
  <c r="L1071" i="8"/>
  <c r="R1070" i="8"/>
  <c r="Q1070" i="8"/>
  <c r="P1070" i="8"/>
  <c r="O1070" i="8"/>
  <c r="N1070" i="8"/>
  <c r="G1069" i="8"/>
  <c r="L1069" i="8"/>
  <c r="N1069" i="8"/>
  <c r="O1069" i="8"/>
  <c r="P1069" i="8"/>
  <c r="Q1069" i="8"/>
  <c r="R1069" i="8"/>
  <c r="G1068" i="8"/>
  <c r="G1067" i="8"/>
  <c r="I1068" i="8"/>
  <c r="L1068" i="8" s="1"/>
  <c r="I1067" i="8"/>
  <c r="L1067" i="8" s="1"/>
  <c r="G1066" i="8"/>
  <c r="L1066" i="8"/>
  <c r="N1066" i="8"/>
  <c r="O1066" i="8"/>
  <c r="P1066" i="8"/>
  <c r="Q1066" i="8"/>
  <c r="R1066" i="8"/>
  <c r="N1068" i="8"/>
  <c r="O1068" i="8"/>
  <c r="P1068" i="8"/>
  <c r="Q1068" i="8"/>
  <c r="R1068" i="8"/>
  <c r="N1067" i="8"/>
  <c r="O1067" i="8"/>
  <c r="P1067" i="8"/>
  <c r="Q1067" i="8"/>
  <c r="R1067" i="8"/>
  <c r="G1065" i="8"/>
  <c r="I1065" i="8"/>
  <c r="I1064" i="8"/>
  <c r="I1063" i="8"/>
  <c r="I1062" i="8"/>
  <c r="I1061" i="8"/>
  <c r="G1057" i="8"/>
  <c r="G1056" i="8"/>
  <c r="G1054" i="8"/>
  <c r="I1058" i="8"/>
  <c r="L1058" i="8" s="1"/>
  <c r="I1055" i="8"/>
  <c r="L1055" i="8" s="1"/>
  <c r="G1050" i="8"/>
  <c r="G1049" i="8"/>
  <c r="G1047" i="8"/>
  <c r="I1051" i="8"/>
  <c r="L1051" i="8" s="1"/>
  <c r="I1048" i="8"/>
  <c r="L1048" i="8" s="1"/>
  <c r="G1040" i="8"/>
  <c r="I1044" i="8"/>
  <c r="L1044" i="8" s="1"/>
  <c r="I1041" i="8"/>
  <c r="L1041" i="8" s="1"/>
  <c r="R1058" i="8"/>
  <c r="Q1058" i="8"/>
  <c r="P1058" i="8"/>
  <c r="O1058" i="8"/>
  <c r="N1058" i="8"/>
  <c r="G1058" i="8"/>
  <c r="R1057" i="8"/>
  <c r="Q1057" i="8"/>
  <c r="P1057" i="8"/>
  <c r="O1057" i="8"/>
  <c r="M1057" i="8"/>
  <c r="I1057" i="8"/>
  <c r="L1057" i="8" s="1"/>
  <c r="R1056" i="8"/>
  <c r="Q1056" i="8"/>
  <c r="P1056" i="8"/>
  <c r="N1056" i="8"/>
  <c r="M1056" i="8"/>
  <c r="I1056" i="8"/>
  <c r="L1056" i="8" s="1"/>
  <c r="R1055" i="8"/>
  <c r="Q1055" i="8"/>
  <c r="P1055" i="8"/>
  <c r="O1055" i="8"/>
  <c r="N1055" i="8"/>
  <c r="G1055" i="8"/>
  <c r="R1054" i="8"/>
  <c r="Q1054" i="8"/>
  <c r="P1054" i="8"/>
  <c r="O1054" i="8"/>
  <c r="M1054" i="8"/>
  <c r="I1054" i="8"/>
  <c r="L1054" i="8" s="1"/>
  <c r="R1053" i="8"/>
  <c r="Q1053" i="8"/>
  <c r="P1053" i="8"/>
  <c r="O1053" i="8"/>
  <c r="N1053" i="8"/>
  <c r="M1053" i="8"/>
  <c r="L1053" i="8"/>
  <c r="R1051" i="8"/>
  <c r="Q1051" i="8"/>
  <c r="P1051" i="8"/>
  <c r="O1051" i="8"/>
  <c r="N1051" i="8"/>
  <c r="G1051" i="8"/>
  <c r="R1050" i="8"/>
  <c r="Q1050" i="8"/>
  <c r="P1050" i="8"/>
  <c r="O1050" i="8"/>
  <c r="M1050" i="8"/>
  <c r="I1050" i="8"/>
  <c r="L1050" i="8" s="1"/>
  <c r="R1049" i="8"/>
  <c r="Q1049" i="8"/>
  <c r="P1049" i="8"/>
  <c r="N1049" i="8"/>
  <c r="M1049" i="8"/>
  <c r="I1049" i="8"/>
  <c r="L1049" i="8" s="1"/>
  <c r="R1048" i="8"/>
  <c r="Q1048" i="8"/>
  <c r="P1048" i="8"/>
  <c r="O1048" i="8"/>
  <c r="N1048" i="8"/>
  <c r="G1048" i="8"/>
  <c r="R1047" i="8"/>
  <c r="Q1047" i="8"/>
  <c r="P1047" i="8"/>
  <c r="O1047" i="8"/>
  <c r="M1047" i="8"/>
  <c r="I1047" i="8"/>
  <c r="L1047" i="8" s="1"/>
  <c r="R1046" i="8"/>
  <c r="Q1046" i="8"/>
  <c r="P1046" i="8"/>
  <c r="O1046" i="8"/>
  <c r="N1046" i="8"/>
  <c r="M1046" i="8"/>
  <c r="L1046" i="8"/>
  <c r="R1044" i="8"/>
  <c r="Q1044" i="8"/>
  <c r="P1044" i="8"/>
  <c r="O1044" i="8"/>
  <c r="N1044" i="8"/>
  <c r="G1044" i="8"/>
  <c r="R1043" i="8"/>
  <c r="Q1043" i="8"/>
  <c r="P1043" i="8"/>
  <c r="O1043" i="8"/>
  <c r="M1043" i="8"/>
  <c r="I1043" i="8"/>
  <c r="L1043" i="8" s="1"/>
  <c r="R1042" i="8"/>
  <c r="Q1042" i="8"/>
  <c r="P1042" i="8"/>
  <c r="N1042" i="8"/>
  <c r="M1042" i="8"/>
  <c r="I1042" i="8"/>
  <c r="L1042" i="8" s="1"/>
  <c r="R1041" i="8"/>
  <c r="Q1041" i="8"/>
  <c r="P1041" i="8"/>
  <c r="O1041" i="8"/>
  <c r="N1041" i="8"/>
  <c r="G1041" i="8"/>
  <c r="R1040" i="8"/>
  <c r="Q1040" i="8"/>
  <c r="P1040" i="8"/>
  <c r="O1040" i="8"/>
  <c r="M1040" i="8"/>
  <c r="L1040" i="8"/>
  <c r="R1039" i="8"/>
  <c r="Q1039" i="8"/>
  <c r="P1039" i="8"/>
  <c r="O1039" i="8"/>
  <c r="N1039" i="8"/>
  <c r="M1039" i="8"/>
  <c r="L1039" i="8"/>
  <c r="G1026" i="8"/>
  <c r="G1025" i="8"/>
  <c r="G1024" i="8"/>
  <c r="G1023" i="8"/>
  <c r="G1022" i="8"/>
  <c r="R1026" i="8"/>
  <c r="Q1026" i="8"/>
  <c r="P1026" i="8"/>
  <c r="O1026" i="8"/>
  <c r="N1026" i="8"/>
  <c r="L1026" i="8"/>
  <c r="R1025" i="8"/>
  <c r="Q1025" i="8"/>
  <c r="P1025" i="8"/>
  <c r="O1025" i="8"/>
  <c r="N1025" i="8"/>
  <c r="L1025" i="8"/>
  <c r="R1024" i="8"/>
  <c r="Q1024" i="8"/>
  <c r="P1024" i="8"/>
  <c r="O1024" i="8"/>
  <c r="N1024" i="8"/>
  <c r="L1024" i="8"/>
  <c r="R1023" i="8"/>
  <c r="Q1023" i="8"/>
  <c r="P1023" i="8"/>
  <c r="O1023" i="8"/>
  <c r="N1023" i="8"/>
  <c r="L1023" i="8"/>
  <c r="R1022" i="8"/>
  <c r="Q1022" i="8"/>
  <c r="P1022" i="8"/>
  <c r="O1022" i="8"/>
  <c r="N1022" i="8"/>
  <c r="L1022" i="8"/>
  <c r="G1021" i="8"/>
  <c r="G1020" i="8"/>
  <c r="I1021" i="8"/>
  <c r="L1021" i="8" s="1"/>
  <c r="I1020" i="8"/>
  <c r="L1020" i="8" s="1"/>
  <c r="N1021" i="8"/>
  <c r="O1021" i="8"/>
  <c r="P1021" i="8"/>
  <c r="Q1021" i="8"/>
  <c r="R1021" i="8"/>
  <c r="R1020" i="8"/>
  <c r="Q1020" i="8"/>
  <c r="P1020" i="8"/>
  <c r="O1020" i="8"/>
  <c r="N1020" i="8"/>
  <c r="G1019" i="8"/>
  <c r="I1019" i="8"/>
  <c r="L1019" i="8" s="1"/>
  <c r="I1018" i="8"/>
  <c r="L1018" i="8" s="1"/>
  <c r="N1019" i="8"/>
  <c r="O1019" i="8"/>
  <c r="P1019" i="8"/>
  <c r="Q1019" i="8"/>
  <c r="R1019" i="8"/>
  <c r="G1017" i="8"/>
  <c r="R1018" i="8"/>
  <c r="Q1018" i="8"/>
  <c r="P1018" i="8"/>
  <c r="O1018" i="8"/>
  <c r="N1018" i="8"/>
  <c r="R1017" i="8"/>
  <c r="Q1017" i="8"/>
  <c r="P1017" i="8"/>
  <c r="O1017" i="8"/>
  <c r="N1017" i="8"/>
  <c r="L1017" i="8"/>
  <c r="I1016" i="8"/>
  <c r="I1015" i="8"/>
  <c r="I1014" i="8"/>
  <c r="I1013" i="8"/>
  <c r="I1012" i="8"/>
  <c r="I1011" i="8"/>
  <c r="G1012" i="8"/>
  <c r="G1011" i="8"/>
  <c r="I1010" i="8"/>
  <c r="I1009" i="8"/>
  <c r="I1008" i="8"/>
  <c r="L1008" i="8" s="1"/>
  <c r="I1007" i="8"/>
  <c r="L1007" i="8" s="1"/>
  <c r="R1008" i="8"/>
  <c r="Q1008" i="8"/>
  <c r="P1008" i="8"/>
  <c r="O1008" i="8"/>
  <c r="N1008" i="8"/>
  <c r="R1007" i="8"/>
  <c r="Q1007" i="8"/>
  <c r="P1007" i="8"/>
  <c r="O1007" i="8"/>
  <c r="N1007" i="8"/>
  <c r="G1004" i="8"/>
  <c r="G1003" i="8"/>
  <c r="I1004" i="8"/>
  <c r="I1003" i="8"/>
  <c r="G1002" i="8"/>
  <c r="I1002" i="8"/>
  <c r="I1001" i="8"/>
  <c r="L1001" i="8" s="1"/>
  <c r="N1001" i="8"/>
  <c r="O1001" i="8"/>
  <c r="P1001" i="8"/>
  <c r="Q1001" i="8"/>
  <c r="R1001" i="8"/>
  <c r="G1037" i="8"/>
  <c r="G1036" i="8"/>
  <c r="I1037" i="8"/>
  <c r="L1037" i="8" s="1"/>
  <c r="I1036" i="8"/>
  <c r="L1036" i="8" s="1"/>
  <c r="R1037" i="8"/>
  <c r="Q1037" i="8"/>
  <c r="P1037" i="8"/>
  <c r="O1037" i="8"/>
  <c r="N1037" i="8"/>
  <c r="R1036" i="8"/>
  <c r="Q1036" i="8"/>
  <c r="P1036" i="8"/>
  <c r="O1036" i="8"/>
  <c r="N1036" i="8"/>
  <c r="I1035" i="8"/>
  <c r="L1035" i="8" s="1"/>
  <c r="I1034" i="8"/>
  <c r="L1034" i="8" s="1"/>
  <c r="N1034" i="8"/>
  <c r="O1034" i="8"/>
  <c r="P1034" i="8"/>
  <c r="Q1034" i="8"/>
  <c r="R1034" i="8"/>
  <c r="N1035" i="8"/>
  <c r="O1035" i="8"/>
  <c r="P1035" i="8"/>
  <c r="Q1035" i="8"/>
  <c r="R1035" i="8"/>
  <c r="G1032" i="8"/>
  <c r="I1033" i="8"/>
  <c r="I1032" i="8"/>
  <c r="M457" i="8" l="1"/>
  <c r="L469" i="8"/>
  <c r="O469" i="8" s="1"/>
  <c r="L479" i="8"/>
  <c r="O479" i="8" s="1"/>
  <c r="L484" i="8"/>
  <c r="O484" i="8" s="1"/>
  <c r="L470" i="8"/>
  <c r="O470" i="8" s="1"/>
  <c r="L475" i="8"/>
  <c r="O475" i="8" s="1"/>
  <c r="M476" i="8"/>
  <c r="L480" i="8"/>
  <c r="O480" i="8" s="1"/>
  <c r="L485" i="8"/>
  <c r="O485" i="8" s="1"/>
  <c r="M1089" i="8"/>
  <c r="M1121" i="8"/>
  <c r="M461" i="8"/>
  <c r="L446" i="8"/>
  <c r="P446" i="8" s="1"/>
  <c r="M486" i="8"/>
  <c r="L464" i="8"/>
  <c r="O464" i="8" s="1"/>
  <c r="M1120" i="8"/>
  <c r="M481" i="8"/>
  <c r="M17" i="8"/>
  <c r="M471" i="8"/>
  <c r="M454" i="8"/>
  <c r="M448" i="8"/>
  <c r="M449" i="8"/>
  <c r="M1066" i="8"/>
  <c r="L439" i="8"/>
  <c r="P439" i="8" s="1"/>
  <c r="M1115" i="8"/>
  <c r="M442" i="8"/>
  <c r="M1072" i="8"/>
  <c r="M437" i="8"/>
  <c r="M443" i="8"/>
  <c r="M1069" i="8"/>
  <c r="M1088" i="8"/>
  <c r="M441" i="8"/>
  <c r="M1073" i="8"/>
  <c r="L440" i="8"/>
  <c r="P440" i="8" s="1"/>
  <c r="M436" i="8"/>
  <c r="M1117" i="8"/>
  <c r="M1087" i="8"/>
  <c r="M1075" i="8"/>
  <c r="M1114" i="8"/>
  <c r="M1116" i="8"/>
  <c r="M1113" i="8"/>
  <c r="M1112" i="8"/>
  <c r="M1111" i="8"/>
  <c r="M1105" i="8"/>
  <c r="M1104" i="8"/>
  <c r="M1103" i="8"/>
  <c r="M1098" i="8"/>
  <c r="M1102" i="8"/>
  <c r="M1101" i="8"/>
  <c r="M1100" i="8"/>
  <c r="M1095" i="8"/>
  <c r="M1086" i="8"/>
  <c r="M1084" i="8"/>
  <c r="M1085" i="8"/>
  <c r="M1083" i="8"/>
  <c r="M1074" i="8"/>
  <c r="M1070" i="8"/>
  <c r="M1071" i="8"/>
  <c r="M1048" i="8"/>
  <c r="M1068" i="8"/>
  <c r="M1067" i="8"/>
  <c r="N1050" i="8"/>
  <c r="M1058" i="8"/>
  <c r="M1041" i="8"/>
  <c r="M1044" i="8"/>
  <c r="M1022" i="8"/>
  <c r="M1007" i="8"/>
  <c r="O1042" i="8"/>
  <c r="M1023" i="8"/>
  <c r="O1056" i="8"/>
  <c r="N1043" i="8"/>
  <c r="M1055" i="8"/>
  <c r="M1051" i="8"/>
  <c r="O1049" i="8"/>
  <c r="M1021" i="8"/>
  <c r="N1040" i="8"/>
  <c r="N1054" i="8"/>
  <c r="N1047" i="8"/>
  <c r="N1057" i="8"/>
  <c r="M1026" i="8"/>
  <c r="M1025" i="8"/>
  <c r="M1024" i="8"/>
  <c r="M1020" i="8"/>
  <c r="M1018" i="8"/>
  <c r="M1019" i="8"/>
  <c r="M1017" i="8"/>
  <c r="M1008" i="8"/>
  <c r="M1001" i="8"/>
  <c r="M1037" i="8"/>
  <c r="M1036" i="8"/>
  <c r="M1034" i="8"/>
  <c r="M1035" i="8"/>
  <c r="L1030" i="8"/>
  <c r="I1029" i="8"/>
  <c r="N1030" i="8"/>
  <c r="O1030" i="8"/>
  <c r="P1030" i="8"/>
  <c r="Q1030" i="8"/>
  <c r="R1030" i="8"/>
  <c r="R998" i="8"/>
  <c r="Q998" i="8"/>
  <c r="P998" i="8"/>
  <c r="O998" i="8"/>
  <c r="N998" i="8"/>
  <c r="L998" i="8"/>
  <c r="G998" i="8"/>
  <c r="R997" i="8"/>
  <c r="Q997" i="8"/>
  <c r="P997" i="8"/>
  <c r="O997" i="8"/>
  <c r="N997" i="8"/>
  <c r="L997" i="8"/>
  <c r="G997" i="8"/>
  <c r="R996" i="8"/>
  <c r="Q996" i="8"/>
  <c r="P996" i="8"/>
  <c r="O996" i="8"/>
  <c r="N996" i="8"/>
  <c r="L996" i="8"/>
  <c r="G996" i="8"/>
  <c r="R995" i="8"/>
  <c r="Q995" i="8"/>
  <c r="P995" i="8"/>
  <c r="O995" i="8"/>
  <c r="N995" i="8"/>
  <c r="L995" i="8"/>
  <c r="G995" i="8"/>
  <c r="R994" i="8"/>
  <c r="Q994" i="8"/>
  <c r="P994" i="8"/>
  <c r="O994" i="8"/>
  <c r="N994" i="8"/>
  <c r="I994" i="8"/>
  <c r="L994" i="8" s="1"/>
  <c r="R993" i="8"/>
  <c r="Q993" i="8"/>
  <c r="P993" i="8"/>
  <c r="O993" i="8"/>
  <c r="N993" i="8"/>
  <c r="I993" i="8"/>
  <c r="L993" i="8" s="1"/>
  <c r="G993" i="8"/>
  <c r="R992" i="8"/>
  <c r="Q992" i="8"/>
  <c r="P992" i="8"/>
  <c r="O992" i="8"/>
  <c r="N992" i="8"/>
  <c r="I992" i="8"/>
  <c r="L992" i="8" s="1"/>
  <c r="G992" i="8"/>
  <c r="G991" i="8"/>
  <c r="G990" i="8"/>
  <c r="I991" i="8"/>
  <c r="I990" i="8"/>
  <c r="I989" i="8"/>
  <c r="G988" i="8"/>
  <c r="G987" i="8"/>
  <c r="L988" i="8"/>
  <c r="I987" i="8"/>
  <c r="N988" i="8"/>
  <c r="O988" i="8"/>
  <c r="P988" i="8"/>
  <c r="Q988" i="8"/>
  <c r="R988" i="8"/>
  <c r="G982" i="8"/>
  <c r="G979" i="8"/>
  <c r="I980" i="8"/>
  <c r="I979" i="8"/>
  <c r="L979" i="8" s="1"/>
  <c r="G976" i="8"/>
  <c r="G975" i="8"/>
  <c r="G973" i="8"/>
  <c r="I972" i="8"/>
  <c r="L972" i="8" s="1"/>
  <c r="R984" i="8"/>
  <c r="Q984" i="8"/>
  <c r="P984" i="8"/>
  <c r="O984" i="8"/>
  <c r="N984" i="8"/>
  <c r="L984" i="8"/>
  <c r="G984" i="8"/>
  <c r="R983" i="8"/>
  <c r="Q983" i="8"/>
  <c r="P983" i="8"/>
  <c r="O983" i="8"/>
  <c r="N983" i="8"/>
  <c r="L983" i="8"/>
  <c r="G983" i="8"/>
  <c r="R982" i="8"/>
  <c r="Q982" i="8"/>
  <c r="P982" i="8"/>
  <c r="O982" i="8"/>
  <c r="N982" i="8"/>
  <c r="L982" i="8"/>
  <c r="R981" i="8"/>
  <c r="Q981" i="8"/>
  <c r="P981" i="8"/>
  <c r="O981" i="8"/>
  <c r="N981" i="8"/>
  <c r="L981" i="8"/>
  <c r="G981" i="8"/>
  <c r="R980" i="8"/>
  <c r="Q980" i="8"/>
  <c r="P980" i="8"/>
  <c r="O980" i="8"/>
  <c r="N980" i="8"/>
  <c r="L980" i="8"/>
  <c r="R979" i="8"/>
  <c r="Q979" i="8"/>
  <c r="P979" i="8"/>
  <c r="O979" i="8"/>
  <c r="N979" i="8"/>
  <c r="R978" i="8"/>
  <c r="Q978" i="8"/>
  <c r="P978" i="8"/>
  <c r="O978" i="8"/>
  <c r="N978" i="8"/>
  <c r="L978" i="8"/>
  <c r="R977" i="8"/>
  <c r="Q977" i="8"/>
  <c r="P977" i="8"/>
  <c r="O977" i="8"/>
  <c r="N977" i="8"/>
  <c r="I977" i="8"/>
  <c r="L977" i="8" s="1"/>
  <c r="R976" i="8"/>
  <c r="Q976" i="8"/>
  <c r="P976" i="8"/>
  <c r="O976" i="8"/>
  <c r="N976" i="8"/>
  <c r="I976" i="8"/>
  <c r="L976" i="8" s="1"/>
  <c r="R975" i="8"/>
  <c r="Q975" i="8"/>
  <c r="P975" i="8"/>
  <c r="O975" i="8"/>
  <c r="N975" i="8"/>
  <c r="I975" i="8"/>
  <c r="L975" i="8" s="1"/>
  <c r="R974" i="8"/>
  <c r="Q974" i="8"/>
  <c r="P974" i="8"/>
  <c r="O974" i="8"/>
  <c r="N974" i="8"/>
  <c r="I974" i="8"/>
  <c r="L974" i="8" s="1"/>
  <c r="G974" i="8"/>
  <c r="R973" i="8"/>
  <c r="Q973" i="8"/>
  <c r="P973" i="8"/>
  <c r="O973" i="8"/>
  <c r="N973" i="8"/>
  <c r="I973" i="8"/>
  <c r="L973" i="8" s="1"/>
  <c r="R972" i="8"/>
  <c r="Q972" i="8"/>
  <c r="P972" i="8"/>
  <c r="O972" i="8"/>
  <c r="N972" i="8"/>
  <c r="G972" i="8"/>
  <c r="I961" i="8"/>
  <c r="I960" i="8"/>
  <c r="L960" i="8" s="1"/>
  <c r="I959" i="8"/>
  <c r="L959" i="8" s="1"/>
  <c r="I946" i="8"/>
  <c r="I945" i="8"/>
  <c r="G961" i="8"/>
  <c r="G960" i="8"/>
  <c r="G959" i="8"/>
  <c r="L961" i="8"/>
  <c r="N961" i="8"/>
  <c r="O961" i="8"/>
  <c r="P961" i="8"/>
  <c r="Q961" i="8"/>
  <c r="R961" i="8"/>
  <c r="G963" i="8"/>
  <c r="G958" i="8"/>
  <c r="I957" i="8"/>
  <c r="R969" i="8"/>
  <c r="Q969" i="8"/>
  <c r="P969" i="8"/>
  <c r="O969" i="8"/>
  <c r="N969" i="8"/>
  <c r="L969" i="8"/>
  <c r="G969" i="8"/>
  <c r="R968" i="8"/>
  <c r="Q968" i="8"/>
  <c r="P968" i="8"/>
  <c r="O968" i="8"/>
  <c r="N968" i="8"/>
  <c r="L968" i="8"/>
  <c r="G968" i="8"/>
  <c r="R967" i="8"/>
  <c r="Q967" i="8"/>
  <c r="P967" i="8"/>
  <c r="O967" i="8"/>
  <c r="N967" i="8"/>
  <c r="L967" i="8"/>
  <c r="G967" i="8"/>
  <c r="R966" i="8"/>
  <c r="Q966" i="8"/>
  <c r="P966" i="8"/>
  <c r="O966" i="8"/>
  <c r="N966" i="8"/>
  <c r="L966" i="8"/>
  <c r="R965" i="8"/>
  <c r="Q965" i="8"/>
  <c r="P965" i="8"/>
  <c r="O965" i="8"/>
  <c r="N965" i="8"/>
  <c r="I965" i="8"/>
  <c r="L965" i="8" s="1"/>
  <c r="R964" i="8"/>
  <c r="Q964" i="8"/>
  <c r="P964" i="8"/>
  <c r="O964" i="8"/>
  <c r="N964" i="8"/>
  <c r="I964" i="8"/>
  <c r="L964" i="8" s="1"/>
  <c r="R963" i="8"/>
  <c r="Q963" i="8"/>
  <c r="P963" i="8"/>
  <c r="O963" i="8"/>
  <c r="N963" i="8"/>
  <c r="I963" i="8"/>
  <c r="L963" i="8" s="1"/>
  <c r="R962" i="8"/>
  <c r="Q962" i="8"/>
  <c r="P962" i="8"/>
  <c r="O962" i="8"/>
  <c r="N962" i="8"/>
  <c r="I962" i="8"/>
  <c r="L962" i="8" s="1"/>
  <c r="R960" i="8"/>
  <c r="Q960" i="8"/>
  <c r="P960" i="8"/>
  <c r="O960" i="8"/>
  <c r="N960" i="8"/>
  <c r="R959" i="8"/>
  <c r="Q959" i="8"/>
  <c r="P959" i="8"/>
  <c r="O959" i="8"/>
  <c r="N959" i="8"/>
  <c r="R958" i="8"/>
  <c r="Q958" i="8"/>
  <c r="P958" i="8"/>
  <c r="O958" i="8"/>
  <c r="N958" i="8"/>
  <c r="I958" i="8"/>
  <c r="L958" i="8" s="1"/>
  <c r="R957" i="8"/>
  <c r="Q957" i="8"/>
  <c r="P957" i="8"/>
  <c r="O957" i="8"/>
  <c r="N957" i="8"/>
  <c r="L957" i="8"/>
  <c r="G957" i="8"/>
  <c r="G953" i="8"/>
  <c r="G952" i="8"/>
  <c r="L952" i="8"/>
  <c r="N952" i="8"/>
  <c r="O952" i="8"/>
  <c r="P952" i="8"/>
  <c r="Q952" i="8"/>
  <c r="R952" i="8"/>
  <c r="L953" i="8"/>
  <c r="N953" i="8"/>
  <c r="O953" i="8"/>
  <c r="P953" i="8"/>
  <c r="Q953" i="8"/>
  <c r="R953" i="8"/>
  <c r="L954" i="8"/>
  <c r="M954" i="8" s="1"/>
  <c r="N954" i="8"/>
  <c r="O954" i="8"/>
  <c r="P954" i="8"/>
  <c r="Q954" i="8"/>
  <c r="R954" i="8"/>
  <c r="L951" i="8"/>
  <c r="N951" i="8"/>
  <c r="O951" i="8"/>
  <c r="P951" i="8"/>
  <c r="Q951" i="8"/>
  <c r="R951" i="8"/>
  <c r="I950" i="8"/>
  <c r="I949" i="8"/>
  <c r="I948" i="8"/>
  <c r="M995" i="8" l="1"/>
  <c r="M977" i="8"/>
  <c r="M994" i="8"/>
  <c r="M993" i="8"/>
  <c r="M998" i="8"/>
  <c r="M980" i="8"/>
  <c r="M992" i="8"/>
  <c r="M1030" i="8"/>
  <c r="M972" i="8"/>
  <c r="M961" i="8"/>
  <c r="M984" i="8"/>
  <c r="M996" i="8"/>
  <c r="M974" i="8"/>
  <c r="M983" i="8"/>
  <c r="M976" i="8"/>
  <c r="M997" i="8"/>
  <c r="M988" i="8"/>
  <c r="M982" i="8"/>
  <c r="M981" i="8"/>
  <c r="M973" i="8"/>
  <c r="M965" i="8"/>
  <c r="M968" i="8"/>
  <c r="M975" i="8"/>
  <c r="M978" i="8"/>
  <c r="M951" i="8"/>
  <c r="M979" i="8"/>
  <c r="M967" i="8"/>
  <c r="M959" i="8"/>
  <c r="M958" i="8"/>
  <c r="M962" i="8"/>
  <c r="M957" i="8"/>
  <c r="M960" i="8"/>
  <c r="M966" i="8"/>
  <c r="M964" i="8"/>
  <c r="M969" i="8"/>
  <c r="M963" i="8"/>
  <c r="M953" i="8"/>
  <c r="M952" i="8"/>
  <c r="G947" i="8"/>
  <c r="I947" i="8"/>
  <c r="I944" i="8"/>
  <c r="I943" i="8"/>
  <c r="G943" i="8" l="1"/>
  <c r="L943" i="8"/>
  <c r="G944" i="8"/>
  <c r="L944" i="8"/>
  <c r="N944" i="8"/>
  <c r="O944" i="8"/>
  <c r="P944" i="8"/>
  <c r="Q944" i="8"/>
  <c r="R944" i="8"/>
  <c r="G812" i="8"/>
  <c r="G811" i="8"/>
  <c r="G809" i="8"/>
  <c r="I813" i="8"/>
  <c r="L813" i="8" s="1"/>
  <c r="I810" i="8"/>
  <c r="L810" i="8" s="1"/>
  <c r="R813" i="8"/>
  <c r="Q813" i="8"/>
  <c r="P813" i="8"/>
  <c r="O813" i="8"/>
  <c r="N813" i="8"/>
  <c r="G813" i="8"/>
  <c r="R812" i="8"/>
  <c r="Q812" i="8"/>
  <c r="P812" i="8"/>
  <c r="O812" i="8"/>
  <c r="M812" i="8"/>
  <c r="I812" i="8"/>
  <c r="L812" i="8" s="1"/>
  <c r="R811" i="8"/>
  <c r="Q811" i="8"/>
  <c r="P811" i="8"/>
  <c r="N811" i="8"/>
  <c r="M811" i="8"/>
  <c r="I811" i="8"/>
  <c r="L811" i="8" s="1"/>
  <c r="R810" i="8"/>
  <c r="Q810" i="8"/>
  <c r="P810" i="8"/>
  <c r="O810" i="8"/>
  <c r="N810" i="8"/>
  <c r="G810" i="8"/>
  <c r="R809" i="8"/>
  <c r="Q809" i="8"/>
  <c r="P809" i="8"/>
  <c r="O809" i="8"/>
  <c r="M809" i="8"/>
  <c r="L809" i="8"/>
  <c r="G804" i="8"/>
  <c r="G805" i="8"/>
  <c r="G806" i="8"/>
  <c r="G802" i="8"/>
  <c r="G801" i="8"/>
  <c r="G800" i="8"/>
  <c r="G799" i="8"/>
  <c r="I802" i="8"/>
  <c r="I801" i="8"/>
  <c r="L801" i="8" s="1"/>
  <c r="G798" i="8"/>
  <c r="G797" i="8"/>
  <c r="I798" i="8"/>
  <c r="L798" i="8" s="1"/>
  <c r="I797" i="8"/>
  <c r="L797" i="8" s="1"/>
  <c r="R806" i="8"/>
  <c r="Q806" i="8"/>
  <c r="P806" i="8"/>
  <c r="O806" i="8"/>
  <c r="N806" i="8"/>
  <c r="L806" i="8"/>
  <c r="M806" i="8" s="1"/>
  <c r="R805" i="8"/>
  <c r="Q805" i="8"/>
  <c r="P805" i="8"/>
  <c r="O805" i="8"/>
  <c r="N805" i="8"/>
  <c r="L805" i="8"/>
  <c r="R804" i="8"/>
  <c r="Q804" i="8"/>
  <c r="P804" i="8"/>
  <c r="O804" i="8"/>
  <c r="N804" i="8"/>
  <c r="L804" i="8"/>
  <c r="R803" i="8"/>
  <c r="Q803" i="8"/>
  <c r="P803" i="8"/>
  <c r="O803" i="8"/>
  <c r="N803" i="8"/>
  <c r="L803" i="8"/>
  <c r="G803" i="8"/>
  <c r="R802" i="8"/>
  <c r="Q802" i="8"/>
  <c r="P802" i="8"/>
  <c r="O802" i="8"/>
  <c r="N802" i="8"/>
  <c r="L802" i="8"/>
  <c r="R801" i="8"/>
  <c r="Q801" i="8"/>
  <c r="P801" i="8"/>
  <c r="O801" i="8"/>
  <c r="N801" i="8"/>
  <c r="R800" i="8"/>
  <c r="Q800" i="8"/>
  <c r="P800" i="8"/>
  <c r="O800" i="8"/>
  <c r="N800" i="8"/>
  <c r="I800" i="8"/>
  <c r="L800" i="8" s="1"/>
  <c r="R799" i="8"/>
  <c r="Q799" i="8"/>
  <c r="P799" i="8"/>
  <c r="O799" i="8"/>
  <c r="N799" i="8"/>
  <c r="I799" i="8"/>
  <c r="L799" i="8" s="1"/>
  <c r="R798" i="8"/>
  <c r="Q798" i="8"/>
  <c r="P798" i="8"/>
  <c r="O798" i="8"/>
  <c r="N798" i="8"/>
  <c r="R797" i="8"/>
  <c r="Q797" i="8"/>
  <c r="P797" i="8"/>
  <c r="O797" i="8"/>
  <c r="N797" i="8"/>
  <c r="R796" i="8"/>
  <c r="Q796" i="8"/>
  <c r="P796" i="8"/>
  <c r="O796" i="8"/>
  <c r="N796" i="8"/>
  <c r="M796" i="8"/>
  <c r="G782" i="8"/>
  <c r="G781" i="8"/>
  <c r="G780" i="8"/>
  <c r="G779" i="8"/>
  <c r="R782" i="8"/>
  <c r="Q782" i="8"/>
  <c r="P782" i="8"/>
  <c r="O782" i="8"/>
  <c r="N782" i="8"/>
  <c r="L782" i="8"/>
  <c r="R781" i="8"/>
  <c r="Q781" i="8"/>
  <c r="P781" i="8"/>
  <c r="O781" i="8"/>
  <c r="N781" i="8"/>
  <c r="L781" i="8"/>
  <c r="R780" i="8"/>
  <c r="Q780" i="8"/>
  <c r="P780" i="8"/>
  <c r="O780" i="8"/>
  <c r="N780" i="8"/>
  <c r="L780" i="8"/>
  <c r="R779" i="8"/>
  <c r="Q779" i="8"/>
  <c r="P779" i="8"/>
  <c r="O779" i="8"/>
  <c r="N779" i="8"/>
  <c r="L779" i="8"/>
  <c r="M779" i="8" s="1"/>
  <c r="G794" i="8"/>
  <c r="G793" i="8"/>
  <c r="G792" i="8"/>
  <c r="G791" i="8"/>
  <c r="L791" i="8"/>
  <c r="N791" i="8"/>
  <c r="O791" i="8"/>
  <c r="P791" i="8"/>
  <c r="Q791" i="8"/>
  <c r="R791" i="8"/>
  <c r="L792" i="8"/>
  <c r="N792" i="8"/>
  <c r="O792" i="8"/>
  <c r="P792" i="8"/>
  <c r="Q792" i="8"/>
  <c r="R792" i="8"/>
  <c r="L793" i="8"/>
  <c r="N793" i="8"/>
  <c r="O793" i="8"/>
  <c r="P793" i="8"/>
  <c r="Q793" i="8"/>
  <c r="R793" i="8"/>
  <c r="L794" i="8"/>
  <c r="N794" i="8"/>
  <c r="O794" i="8"/>
  <c r="P794" i="8"/>
  <c r="Q794" i="8"/>
  <c r="R794" i="8"/>
  <c r="G790" i="8"/>
  <c r="I790" i="8"/>
  <c r="L790" i="8" s="1"/>
  <c r="N790" i="8"/>
  <c r="O790" i="8"/>
  <c r="P790" i="8"/>
  <c r="Q790" i="8"/>
  <c r="R790" i="8"/>
  <c r="G789" i="8"/>
  <c r="I789" i="8"/>
  <c r="G788" i="8"/>
  <c r="I788" i="8"/>
  <c r="G787" i="8"/>
  <c r="I787" i="8"/>
  <c r="G786" i="8"/>
  <c r="G785" i="8"/>
  <c r="I786" i="8"/>
  <c r="L786" i="8" s="1"/>
  <c r="I785" i="8"/>
  <c r="N786" i="8"/>
  <c r="O786" i="8"/>
  <c r="P786" i="8"/>
  <c r="Q786" i="8"/>
  <c r="R786" i="8"/>
  <c r="G778" i="8"/>
  <c r="G777" i="8"/>
  <c r="I778" i="8"/>
  <c r="L778" i="8" s="1"/>
  <c r="I777" i="8"/>
  <c r="L777" i="8" s="1"/>
  <c r="R778" i="8"/>
  <c r="Q778" i="8"/>
  <c r="P778" i="8"/>
  <c r="O778" i="8"/>
  <c r="N778" i="8"/>
  <c r="R777" i="8"/>
  <c r="Q777" i="8"/>
  <c r="P777" i="8"/>
  <c r="O777" i="8"/>
  <c r="N777" i="8"/>
  <c r="G776" i="8"/>
  <c r="G775" i="8"/>
  <c r="I776" i="8"/>
  <c r="I775" i="8"/>
  <c r="G774" i="8"/>
  <c r="I774" i="8"/>
  <c r="I773" i="8"/>
  <c r="I772" i="8"/>
  <c r="L772" i="8" s="1"/>
  <c r="G772" i="8"/>
  <c r="G773" i="8"/>
  <c r="L773" i="8"/>
  <c r="N773" i="8"/>
  <c r="O773" i="8"/>
  <c r="P773" i="8"/>
  <c r="Q773" i="8"/>
  <c r="R773" i="8"/>
  <c r="R939" i="8"/>
  <c r="Q939" i="8"/>
  <c r="P939" i="8"/>
  <c r="O939" i="8"/>
  <c r="N939" i="8"/>
  <c r="I939" i="8"/>
  <c r="L939" i="8" s="1"/>
  <c r="G939" i="8"/>
  <c r="R938" i="8"/>
  <c r="Q938" i="8"/>
  <c r="P938" i="8"/>
  <c r="O938" i="8"/>
  <c r="M938" i="8"/>
  <c r="I938" i="8"/>
  <c r="L938" i="8" s="1"/>
  <c r="G938" i="8"/>
  <c r="R937" i="8"/>
  <c r="Q937" i="8"/>
  <c r="P937" i="8"/>
  <c r="N937" i="8"/>
  <c r="M937" i="8"/>
  <c r="I937" i="8"/>
  <c r="L937" i="8" s="1"/>
  <c r="G937" i="8"/>
  <c r="R936" i="8"/>
  <c r="Q936" i="8"/>
  <c r="P936" i="8"/>
  <c r="O936" i="8"/>
  <c r="N936" i="8"/>
  <c r="I936" i="8"/>
  <c r="L936" i="8" s="1"/>
  <c r="G936" i="8"/>
  <c r="R935" i="8"/>
  <c r="Q935" i="8"/>
  <c r="P935" i="8"/>
  <c r="O935" i="8"/>
  <c r="M935" i="8"/>
  <c r="I935" i="8"/>
  <c r="L935" i="8" s="1"/>
  <c r="G935" i="8"/>
  <c r="R934" i="8"/>
  <c r="Q934" i="8"/>
  <c r="P934" i="8"/>
  <c r="O934" i="8"/>
  <c r="N934" i="8"/>
  <c r="M934" i="8"/>
  <c r="L934" i="8"/>
  <c r="R932" i="8"/>
  <c r="Q932" i="8"/>
  <c r="P932" i="8"/>
  <c r="O932" i="8"/>
  <c r="N932" i="8"/>
  <c r="I932" i="8"/>
  <c r="L932" i="8" s="1"/>
  <c r="R931" i="8"/>
  <c r="Q931" i="8"/>
  <c r="P931" i="8"/>
  <c r="O931" i="8"/>
  <c r="M931" i="8"/>
  <c r="I931" i="8"/>
  <c r="L931" i="8" s="1"/>
  <c r="G931" i="8"/>
  <c r="R930" i="8"/>
  <c r="Q930" i="8"/>
  <c r="P930" i="8"/>
  <c r="N930" i="8"/>
  <c r="M930" i="8"/>
  <c r="I930" i="8"/>
  <c r="L930" i="8" s="1"/>
  <c r="G930" i="8"/>
  <c r="R929" i="8"/>
  <c r="Q929" i="8"/>
  <c r="P929" i="8"/>
  <c r="O929" i="8"/>
  <c r="N929" i="8"/>
  <c r="I929" i="8"/>
  <c r="L929" i="8" s="1"/>
  <c r="R928" i="8"/>
  <c r="Q928" i="8"/>
  <c r="P928" i="8"/>
  <c r="O928" i="8"/>
  <c r="M928" i="8"/>
  <c r="L928" i="8"/>
  <c r="G928" i="8"/>
  <c r="R927" i="8"/>
  <c r="Q927" i="8"/>
  <c r="P927" i="8"/>
  <c r="O927" i="8"/>
  <c r="N927" i="8"/>
  <c r="M927" i="8"/>
  <c r="L927" i="8"/>
  <c r="R925" i="8"/>
  <c r="Q925" i="8"/>
  <c r="P925" i="8"/>
  <c r="O925" i="8"/>
  <c r="N925" i="8"/>
  <c r="L925" i="8"/>
  <c r="G925" i="8"/>
  <c r="R924" i="8"/>
  <c r="Q924" i="8"/>
  <c r="P924" i="8"/>
  <c r="O924" i="8"/>
  <c r="N924" i="8"/>
  <c r="L924" i="8"/>
  <c r="G924" i="8"/>
  <c r="R923" i="8"/>
  <c r="Q923" i="8"/>
  <c r="P923" i="8"/>
  <c r="O923" i="8"/>
  <c r="N923" i="8"/>
  <c r="L923" i="8"/>
  <c r="G923" i="8"/>
  <c r="R922" i="8"/>
  <c r="Q922" i="8"/>
  <c r="P922" i="8"/>
  <c r="O922" i="8"/>
  <c r="N922" i="8"/>
  <c r="L922" i="8"/>
  <c r="G922" i="8"/>
  <c r="R921" i="8"/>
  <c r="Q921" i="8"/>
  <c r="P921" i="8"/>
  <c r="O921" i="8"/>
  <c r="N921" i="8"/>
  <c r="I921" i="8"/>
  <c r="L921" i="8" s="1"/>
  <c r="G921" i="8"/>
  <c r="R920" i="8"/>
  <c r="Q920" i="8"/>
  <c r="P920" i="8"/>
  <c r="O920" i="8"/>
  <c r="N920" i="8"/>
  <c r="I920" i="8"/>
  <c r="L920" i="8" s="1"/>
  <c r="G920" i="8"/>
  <c r="R919" i="8"/>
  <c r="Q919" i="8"/>
  <c r="P919" i="8"/>
  <c r="O919" i="8"/>
  <c r="N919" i="8"/>
  <c r="I919" i="8"/>
  <c r="L919" i="8" s="1"/>
  <c r="G919" i="8"/>
  <c r="R918" i="8"/>
  <c r="Q918" i="8"/>
  <c r="P918" i="8"/>
  <c r="O918" i="8"/>
  <c r="N918" i="8"/>
  <c r="I918" i="8"/>
  <c r="L918" i="8" s="1"/>
  <c r="G918" i="8"/>
  <c r="R917" i="8"/>
  <c r="Q917" i="8"/>
  <c r="P917" i="8"/>
  <c r="O917" i="8"/>
  <c r="N917" i="8"/>
  <c r="I917" i="8"/>
  <c r="L917" i="8" s="1"/>
  <c r="G917" i="8"/>
  <c r="R916" i="8"/>
  <c r="Q916" i="8"/>
  <c r="P916" i="8"/>
  <c r="O916" i="8"/>
  <c r="N916" i="8"/>
  <c r="I916" i="8"/>
  <c r="L916" i="8" s="1"/>
  <c r="G916" i="8"/>
  <c r="R915" i="8"/>
  <c r="Q915" i="8"/>
  <c r="P915" i="8"/>
  <c r="O915" i="8"/>
  <c r="N915" i="8"/>
  <c r="I915" i="8"/>
  <c r="L915" i="8" s="1"/>
  <c r="G915" i="8"/>
  <c r="R914" i="8"/>
  <c r="Q914" i="8"/>
  <c r="P914" i="8"/>
  <c r="O914" i="8"/>
  <c r="N914" i="8"/>
  <c r="M914" i="8"/>
  <c r="R912" i="8"/>
  <c r="Q912" i="8"/>
  <c r="P912" i="8"/>
  <c r="O912" i="8"/>
  <c r="N912" i="8"/>
  <c r="L912" i="8"/>
  <c r="G912" i="8"/>
  <c r="R911" i="8"/>
  <c r="Q911" i="8"/>
  <c r="P911" i="8"/>
  <c r="O911" i="8"/>
  <c r="N911" i="8"/>
  <c r="L911" i="8"/>
  <c r="G911" i="8"/>
  <c r="R910" i="8"/>
  <c r="Q910" i="8"/>
  <c r="P910" i="8"/>
  <c r="O910" i="8"/>
  <c r="N910" i="8"/>
  <c r="L910" i="8"/>
  <c r="G910" i="8"/>
  <c r="R909" i="8"/>
  <c r="Q909" i="8"/>
  <c r="P909" i="8"/>
  <c r="O909" i="8"/>
  <c r="N909" i="8"/>
  <c r="L909" i="8"/>
  <c r="G909" i="8"/>
  <c r="R908" i="8"/>
  <c r="Q908" i="8"/>
  <c r="P908" i="8"/>
  <c r="O908" i="8"/>
  <c r="N908" i="8"/>
  <c r="I908" i="8"/>
  <c r="L908" i="8" s="1"/>
  <c r="G908" i="8"/>
  <c r="R907" i="8"/>
  <c r="Q907" i="8"/>
  <c r="P907" i="8"/>
  <c r="O907" i="8"/>
  <c r="N907" i="8"/>
  <c r="I907" i="8"/>
  <c r="L907" i="8" s="1"/>
  <c r="G907" i="8"/>
  <c r="R906" i="8"/>
  <c r="Q906" i="8"/>
  <c r="P906" i="8"/>
  <c r="O906" i="8"/>
  <c r="N906" i="8"/>
  <c r="I906" i="8"/>
  <c r="L906" i="8" s="1"/>
  <c r="G906" i="8"/>
  <c r="R905" i="8"/>
  <c r="Q905" i="8"/>
  <c r="P905" i="8"/>
  <c r="O905" i="8"/>
  <c r="N905" i="8"/>
  <c r="I905" i="8"/>
  <c r="L905" i="8" s="1"/>
  <c r="G905" i="8"/>
  <c r="R904" i="8"/>
  <c r="Q904" i="8"/>
  <c r="P904" i="8"/>
  <c r="O904" i="8"/>
  <c r="N904" i="8"/>
  <c r="I904" i="8"/>
  <c r="L904" i="8" s="1"/>
  <c r="G904" i="8"/>
  <c r="R903" i="8"/>
  <c r="Q903" i="8"/>
  <c r="P903" i="8"/>
  <c r="O903" i="8"/>
  <c r="N903" i="8"/>
  <c r="I903" i="8"/>
  <c r="L903" i="8" s="1"/>
  <c r="G903" i="8"/>
  <c r="R902" i="8"/>
  <c r="Q902" i="8"/>
  <c r="P902" i="8"/>
  <c r="O902" i="8"/>
  <c r="N902" i="8"/>
  <c r="I902" i="8"/>
  <c r="L902" i="8" s="1"/>
  <c r="G902" i="8"/>
  <c r="R901" i="8"/>
  <c r="Q901" i="8"/>
  <c r="P901" i="8"/>
  <c r="O901" i="8"/>
  <c r="N901" i="8"/>
  <c r="I901" i="8"/>
  <c r="L901" i="8" s="1"/>
  <c r="G901" i="8"/>
  <c r="R900" i="8"/>
  <c r="Q900" i="8"/>
  <c r="P900" i="8"/>
  <c r="O900" i="8"/>
  <c r="N900" i="8"/>
  <c r="M900" i="8"/>
  <c r="R898" i="8"/>
  <c r="Q898" i="8"/>
  <c r="P898" i="8"/>
  <c r="O898" i="8"/>
  <c r="N898" i="8"/>
  <c r="L898" i="8"/>
  <c r="G898" i="8"/>
  <c r="R897" i="8"/>
  <c r="Q897" i="8"/>
  <c r="P897" i="8"/>
  <c r="O897" i="8"/>
  <c r="N897" i="8"/>
  <c r="L897" i="8"/>
  <c r="G897" i="8"/>
  <c r="R896" i="8"/>
  <c r="Q896" i="8"/>
  <c r="P896" i="8"/>
  <c r="O896" i="8"/>
  <c r="N896" i="8"/>
  <c r="L896" i="8"/>
  <c r="G896" i="8"/>
  <c r="R895" i="8"/>
  <c r="Q895" i="8"/>
  <c r="P895" i="8"/>
  <c r="O895" i="8"/>
  <c r="N895" i="8"/>
  <c r="I895" i="8"/>
  <c r="L895" i="8" s="1"/>
  <c r="G895" i="8"/>
  <c r="R894" i="8"/>
  <c r="Q894" i="8"/>
  <c r="P894" i="8"/>
  <c r="O894" i="8"/>
  <c r="N894" i="8"/>
  <c r="I894" i="8"/>
  <c r="L894" i="8" s="1"/>
  <c r="G894" i="8"/>
  <c r="R893" i="8"/>
  <c r="Q893" i="8"/>
  <c r="P893" i="8"/>
  <c r="O893" i="8"/>
  <c r="N893" i="8"/>
  <c r="I893" i="8"/>
  <c r="L893" i="8" s="1"/>
  <c r="G893" i="8"/>
  <c r="R892" i="8"/>
  <c r="Q892" i="8"/>
  <c r="P892" i="8"/>
  <c r="O892" i="8"/>
  <c r="N892" i="8"/>
  <c r="I892" i="8"/>
  <c r="L892" i="8" s="1"/>
  <c r="G892" i="8"/>
  <c r="R891" i="8"/>
  <c r="Q891" i="8"/>
  <c r="P891" i="8"/>
  <c r="O891" i="8"/>
  <c r="N891" i="8"/>
  <c r="I891" i="8"/>
  <c r="L891" i="8" s="1"/>
  <c r="G891" i="8"/>
  <c r="R890" i="8"/>
  <c r="Q890" i="8"/>
  <c r="P890" i="8"/>
  <c r="O890" i="8"/>
  <c r="N890" i="8"/>
  <c r="I890" i="8"/>
  <c r="L890" i="8" s="1"/>
  <c r="G890" i="8"/>
  <c r="R889" i="8"/>
  <c r="Q889" i="8"/>
  <c r="P889" i="8"/>
  <c r="O889" i="8"/>
  <c r="N889" i="8"/>
  <c r="I889" i="8"/>
  <c r="L889" i="8" s="1"/>
  <c r="G889" i="8"/>
  <c r="R888" i="8"/>
  <c r="Q888" i="8"/>
  <c r="P888" i="8"/>
  <c r="O888" i="8"/>
  <c r="N888" i="8"/>
  <c r="I888" i="8"/>
  <c r="L888" i="8" s="1"/>
  <c r="G888" i="8"/>
  <c r="R887" i="8"/>
  <c r="Q887" i="8"/>
  <c r="P887" i="8"/>
  <c r="O887" i="8"/>
  <c r="N887" i="8"/>
  <c r="I887" i="8"/>
  <c r="L887" i="8" s="1"/>
  <c r="G887" i="8"/>
  <c r="R886" i="8"/>
  <c r="Q886" i="8"/>
  <c r="P886" i="8"/>
  <c r="O886" i="8"/>
  <c r="N886" i="8"/>
  <c r="I886" i="8"/>
  <c r="L886" i="8" s="1"/>
  <c r="G886" i="8"/>
  <c r="R885" i="8"/>
  <c r="Q885" i="8"/>
  <c r="P885" i="8"/>
  <c r="O885" i="8"/>
  <c r="N885" i="8"/>
  <c r="M885" i="8"/>
  <c r="R883" i="8"/>
  <c r="Q883" i="8"/>
  <c r="P883" i="8"/>
  <c r="O883" i="8"/>
  <c r="N883" i="8"/>
  <c r="L883" i="8"/>
  <c r="G883" i="8"/>
  <c r="R882" i="8"/>
  <c r="Q882" i="8"/>
  <c r="P882" i="8"/>
  <c r="O882" i="8"/>
  <c r="N882" i="8"/>
  <c r="L882" i="8"/>
  <c r="G882" i="8"/>
  <c r="R881" i="8"/>
  <c r="Q881" i="8"/>
  <c r="P881" i="8"/>
  <c r="O881" i="8"/>
  <c r="N881" i="8"/>
  <c r="L881" i="8"/>
  <c r="G881" i="8"/>
  <c r="R880" i="8"/>
  <c r="Q880" i="8"/>
  <c r="P880" i="8"/>
  <c r="O880" i="8"/>
  <c r="N880" i="8"/>
  <c r="I880" i="8"/>
  <c r="L880" i="8" s="1"/>
  <c r="G880" i="8"/>
  <c r="R879" i="8"/>
  <c r="Q879" i="8"/>
  <c r="P879" i="8"/>
  <c r="O879" i="8"/>
  <c r="N879" i="8"/>
  <c r="I879" i="8"/>
  <c r="L879" i="8" s="1"/>
  <c r="G879" i="8"/>
  <c r="R878" i="8"/>
  <c r="Q878" i="8"/>
  <c r="P878" i="8"/>
  <c r="O878" i="8"/>
  <c r="N878" i="8"/>
  <c r="I878" i="8"/>
  <c r="L878" i="8" s="1"/>
  <c r="G878" i="8"/>
  <c r="R877" i="8"/>
  <c r="Q877" i="8"/>
  <c r="P877" i="8"/>
  <c r="O877" i="8"/>
  <c r="N877" i="8"/>
  <c r="I877" i="8"/>
  <c r="L877" i="8" s="1"/>
  <c r="G877" i="8"/>
  <c r="R876" i="8"/>
  <c r="Q876" i="8"/>
  <c r="P876" i="8"/>
  <c r="O876" i="8"/>
  <c r="N876" i="8"/>
  <c r="I876" i="8"/>
  <c r="L876" i="8" s="1"/>
  <c r="G876" i="8"/>
  <c r="R875" i="8"/>
  <c r="Q875" i="8"/>
  <c r="P875" i="8"/>
  <c r="O875" i="8"/>
  <c r="N875" i="8"/>
  <c r="I875" i="8"/>
  <c r="L875" i="8" s="1"/>
  <c r="G875" i="8"/>
  <c r="R874" i="8"/>
  <c r="Q874" i="8"/>
  <c r="P874" i="8"/>
  <c r="O874" i="8"/>
  <c r="N874" i="8"/>
  <c r="I874" i="8"/>
  <c r="L874" i="8" s="1"/>
  <c r="G874" i="8"/>
  <c r="R873" i="8"/>
  <c r="Q873" i="8"/>
  <c r="P873" i="8"/>
  <c r="O873" i="8"/>
  <c r="N873" i="8"/>
  <c r="I873" i="8"/>
  <c r="L873" i="8" s="1"/>
  <c r="G873" i="8"/>
  <c r="R872" i="8"/>
  <c r="Q872" i="8"/>
  <c r="P872" i="8"/>
  <c r="O872" i="8"/>
  <c r="N872" i="8"/>
  <c r="M872" i="8"/>
  <c r="R870" i="8"/>
  <c r="Q870" i="8"/>
  <c r="P870" i="8"/>
  <c r="O870" i="8"/>
  <c r="N870" i="8"/>
  <c r="L870" i="8"/>
  <c r="G870" i="8"/>
  <c r="R869" i="8"/>
  <c r="Q869" i="8"/>
  <c r="P869" i="8"/>
  <c r="O869" i="8"/>
  <c r="N869" i="8"/>
  <c r="L869" i="8"/>
  <c r="G869" i="8"/>
  <c r="R868" i="8"/>
  <c r="Q868" i="8"/>
  <c r="P868" i="8"/>
  <c r="O868" i="8"/>
  <c r="N868" i="8"/>
  <c r="L868" i="8"/>
  <c r="G868" i="8"/>
  <c r="R867" i="8"/>
  <c r="Q867" i="8"/>
  <c r="P867" i="8"/>
  <c r="O867" i="8"/>
  <c r="N867" i="8"/>
  <c r="L867" i="8"/>
  <c r="G867" i="8"/>
  <c r="R866" i="8"/>
  <c r="Q866" i="8"/>
  <c r="P866" i="8"/>
  <c r="O866" i="8"/>
  <c r="N866" i="8"/>
  <c r="L866" i="8"/>
  <c r="R865" i="8"/>
  <c r="Q865" i="8"/>
  <c r="P865" i="8"/>
  <c r="O865" i="8"/>
  <c r="N865" i="8"/>
  <c r="L865" i="8"/>
  <c r="G865" i="8"/>
  <c r="R864" i="8"/>
  <c r="Q864" i="8"/>
  <c r="P864" i="8"/>
  <c r="O864" i="8"/>
  <c r="N864" i="8"/>
  <c r="L864" i="8"/>
  <c r="G864" i="8"/>
  <c r="R863" i="8"/>
  <c r="Q863" i="8"/>
  <c r="P863" i="8"/>
  <c r="O863" i="8"/>
  <c r="N863" i="8"/>
  <c r="I863" i="8"/>
  <c r="L863" i="8" s="1"/>
  <c r="R862" i="8"/>
  <c r="Q862" i="8"/>
  <c r="P862" i="8"/>
  <c r="O862" i="8"/>
  <c r="N862" i="8"/>
  <c r="I862" i="8"/>
  <c r="L862" i="8" s="1"/>
  <c r="G862" i="8"/>
  <c r="R861" i="8"/>
  <c r="Q861" i="8"/>
  <c r="P861" i="8"/>
  <c r="O861" i="8"/>
  <c r="N861" i="8"/>
  <c r="I861" i="8"/>
  <c r="L861" i="8" s="1"/>
  <c r="G861" i="8"/>
  <c r="R860" i="8"/>
  <c r="Q860" i="8"/>
  <c r="P860" i="8"/>
  <c r="O860" i="8"/>
  <c r="N860" i="8"/>
  <c r="I860" i="8"/>
  <c r="L860" i="8" s="1"/>
  <c r="R859" i="8"/>
  <c r="Q859" i="8"/>
  <c r="P859" i="8"/>
  <c r="O859" i="8"/>
  <c r="N859" i="8"/>
  <c r="I859" i="8"/>
  <c r="L859" i="8" s="1"/>
  <c r="R858" i="8"/>
  <c r="Q858" i="8"/>
  <c r="P858" i="8"/>
  <c r="O858" i="8"/>
  <c r="N858" i="8"/>
  <c r="I858" i="8"/>
  <c r="L858" i="8" s="1"/>
  <c r="G858" i="8"/>
  <c r="R857" i="8"/>
  <c r="Q857" i="8"/>
  <c r="P857" i="8"/>
  <c r="O857" i="8"/>
  <c r="N857" i="8"/>
  <c r="I857" i="8"/>
  <c r="L857" i="8" s="1"/>
  <c r="G857" i="8"/>
  <c r="R856" i="8"/>
  <c r="Q856" i="8"/>
  <c r="P856" i="8"/>
  <c r="O856" i="8"/>
  <c r="N856" i="8"/>
  <c r="I856" i="8"/>
  <c r="L856" i="8" s="1"/>
  <c r="G856" i="8"/>
  <c r="R855" i="8"/>
  <c r="Q855" i="8"/>
  <c r="P855" i="8"/>
  <c r="O855" i="8"/>
  <c r="N855" i="8"/>
  <c r="I855" i="8"/>
  <c r="L855" i="8" s="1"/>
  <c r="G855" i="8"/>
  <c r="R854" i="8"/>
  <c r="Q854" i="8"/>
  <c r="P854" i="8"/>
  <c r="O854" i="8"/>
  <c r="N854" i="8"/>
  <c r="I854" i="8"/>
  <c r="L854" i="8" s="1"/>
  <c r="G854" i="8"/>
  <c r="R853" i="8"/>
  <c r="Q853" i="8"/>
  <c r="P853" i="8"/>
  <c r="O853" i="8"/>
  <c r="N853" i="8"/>
  <c r="I853" i="8"/>
  <c r="L853" i="8" s="1"/>
  <c r="G853" i="8"/>
  <c r="R852" i="8"/>
  <c r="Q852" i="8"/>
  <c r="P852" i="8"/>
  <c r="O852" i="8"/>
  <c r="N852" i="8"/>
  <c r="I852" i="8"/>
  <c r="L852" i="8" s="1"/>
  <c r="G852" i="8"/>
  <c r="R851" i="8"/>
  <c r="Q851" i="8"/>
  <c r="P851" i="8"/>
  <c r="O851" i="8"/>
  <c r="N851" i="8"/>
  <c r="I851" i="8"/>
  <c r="L851" i="8" s="1"/>
  <c r="R850" i="8"/>
  <c r="Q850" i="8"/>
  <c r="P850" i="8"/>
  <c r="O850" i="8"/>
  <c r="N850" i="8"/>
  <c r="I850" i="8"/>
  <c r="L850" i="8" s="1"/>
  <c r="R849" i="8"/>
  <c r="Q849" i="8"/>
  <c r="P849" i="8"/>
  <c r="O849" i="8"/>
  <c r="N849" i="8"/>
  <c r="I849" i="8"/>
  <c r="L849" i="8" s="1"/>
  <c r="G849" i="8"/>
  <c r="R848" i="8"/>
  <c r="Q848" i="8"/>
  <c r="P848" i="8"/>
  <c r="O848" i="8"/>
  <c r="N848" i="8"/>
  <c r="I848" i="8"/>
  <c r="L848" i="8" s="1"/>
  <c r="R847" i="8"/>
  <c r="Q847" i="8"/>
  <c r="P847" i="8"/>
  <c r="O847" i="8"/>
  <c r="N847" i="8"/>
  <c r="I847" i="8"/>
  <c r="L847" i="8" s="1"/>
  <c r="R846" i="8"/>
  <c r="Q846" i="8"/>
  <c r="P846" i="8"/>
  <c r="O846" i="8"/>
  <c r="N846" i="8"/>
  <c r="I846" i="8"/>
  <c r="L846" i="8" s="1"/>
  <c r="G846" i="8"/>
  <c r="R845" i="8"/>
  <c r="Q845" i="8"/>
  <c r="P845" i="8"/>
  <c r="O845" i="8"/>
  <c r="N845" i="8"/>
  <c r="I845" i="8"/>
  <c r="L845" i="8" s="1"/>
  <c r="G845" i="8"/>
  <c r="R844" i="8"/>
  <c r="Q844" i="8"/>
  <c r="P844" i="8"/>
  <c r="O844" i="8"/>
  <c r="N844" i="8"/>
  <c r="I844" i="8"/>
  <c r="L844" i="8" s="1"/>
  <c r="R843" i="8"/>
  <c r="Q843" i="8"/>
  <c r="P843" i="8"/>
  <c r="O843" i="8"/>
  <c r="N843" i="8"/>
  <c r="M843" i="8"/>
  <c r="R841" i="8"/>
  <c r="Q841" i="8"/>
  <c r="P841" i="8"/>
  <c r="O841" i="8"/>
  <c r="N841" i="8"/>
  <c r="L841" i="8"/>
  <c r="G841" i="8"/>
  <c r="R840" i="8"/>
  <c r="Q840" i="8"/>
  <c r="P840" i="8"/>
  <c r="O840" i="8"/>
  <c r="N840" i="8"/>
  <c r="L840" i="8"/>
  <c r="G840" i="8"/>
  <c r="R839" i="8"/>
  <c r="Q839" i="8"/>
  <c r="P839" i="8"/>
  <c r="O839" i="8"/>
  <c r="N839" i="8"/>
  <c r="L839" i="8"/>
  <c r="G839" i="8"/>
  <c r="R838" i="8"/>
  <c r="Q838" i="8"/>
  <c r="P838" i="8"/>
  <c r="O838" i="8"/>
  <c r="N838" i="8"/>
  <c r="L838" i="8"/>
  <c r="G838" i="8"/>
  <c r="R837" i="8"/>
  <c r="Q837" i="8"/>
  <c r="P837" i="8"/>
  <c r="O837" i="8"/>
  <c r="N837" i="8"/>
  <c r="I837" i="8"/>
  <c r="L837" i="8" s="1"/>
  <c r="G837" i="8"/>
  <c r="R836" i="8"/>
  <c r="Q836" i="8"/>
  <c r="P836" i="8"/>
  <c r="O836" i="8"/>
  <c r="N836" i="8"/>
  <c r="I836" i="8"/>
  <c r="L836" i="8" s="1"/>
  <c r="G836" i="8"/>
  <c r="R835" i="8"/>
  <c r="Q835" i="8"/>
  <c r="P835" i="8"/>
  <c r="O835" i="8"/>
  <c r="N835" i="8"/>
  <c r="I835" i="8"/>
  <c r="L835" i="8" s="1"/>
  <c r="G835" i="8"/>
  <c r="R834" i="8"/>
  <c r="Q834" i="8"/>
  <c r="P834" i="8"/>
  <c r="O834" i="8"/>
  <c r="N834" i="8"/>
  <c r="I834" i="8"/>
  <c r="L834" i="8" s="1"/>
  <c r="G834" i="8"/>
  <c r="R833" i="8"/>
  <c r="Q833" i="8"/>
  <c r="P833" i="8"/>
  <c r="O833" i="8"/>
  <c r="N833" i="8"/>
  <c r="I833" i="8"/>
  <c r="L833" i="8" s="1"/>
  <c r="G833" i="8"/>
  <c r="R832" i="8"/>
  <c r="Q832" i="8"/>
  <c r="P832" i="8"/>
  <c r="O832" i="8"/>
  <c r="N832" i="8"/>
  <c r="I832" i="8"/>
  <c r="L832" i="8" s="1"/>
  <c r="G832" i="8"/>
  <c r="R831" i="8"/>
  <c r="Q831" i="8"/>
  <c r="P831" i="8"/>
  <c r="O831" i="8"/>
  <c r="N831" i="8"/>
  <c r="M831" i="8"/>
  <c r="R829" i="8"/>
  <c r="Q829" i="8"/>
  <c r="P829" i="8"/>
  <c r="O829" i="8"/>
  <c r="N829" i="8"/>
  <c r="L829" i="8"/>
  <c r="G829" i="8"/>
  <c r="R828" i="8"/>
  <c r="Q828" i="8"/>
  <c r="P828" i="8"/>
  <c r="O828" i="8"/>
  <c r="N828" i="8"/>
  <c r="L828" i="8"/>
  <c r="G828" i="8"/>
  <c r="R827" i="8"/>
  <c r="Q827" i="8"/>
  <c r="P827" i="8"/>
  <c r="O827" i="8"/>
  <c r="N827" i="8"/>
  <c r="L827" i="8"/>
  <c r="G827" i="8"/>
  <c r="R826" i="8"/>
  <c r="Q826" i="8"/>
  <c r="P826" i="8"/>
  <c r="O826" i="8"/>
  <c r="N826" i="8"/>
  <c r="L826" i="8"/>
  <c r="G826" i="8"/>
  <c r="R825" i="8"/>
  <c r="Q825" i="8"/>
  <c r="P825" i="8"/>
  <c r="O825" i="8"/>
  <c r="N825" i="8"/>
  <c r="I825" i="8"/>
  <c r="L825" i="8" s="1"/>
  <c r="G825" i="8"/>
  <c r="R824" i="8"/>
  <c r="Q824" i="8"/>
  <c r="P824" i="8"/>
  <c r="O824" i="8"/>
  <c r="N824" i="8"/>
  <c r="I824" i="8"/>
  <c r="L824" i="8" s="1"/>
  <c r="G824" i="8"/>
  <c r="R823" i="8"/>
  <c r="Q823" i="8"/>
  <c r="P823" i="8"/>
  <c r="O823" i="8"/>
  <c r="N823" i="8"/>
  <c r="I823" i="8"/>
  <c r="L823" i="8" s="1"/>
  <c r="R822" i="8"/>
  <c r="Q822" i="8"/>
  <c r="P822" i="8"/>
  <c r="O822" i="8"/>
  <c r="N822" i="8"/>
  <c r="I822" i="8"/>
  <c r="L822" i="8" s="1"/>
  <c r="G822" i="8"/>
  <c r="R821" i="8"/>
  <c r="Q821" i="8"/>
  <c r="P821" i="8"/>
  <c r="O821" i="8"/>
  <c r="N821" i="8"/>
  <c r="I821" i="8"/>
  <c r="L821" i="8" s="1"/>
  <c r="R820" i="8"/>
  <c r="Q820" i="8"/>
  <c r="P820" i="8"/>
  <c r="O820" i="8"/>
  <c r="N820" i="8"/>
  <c r="I820" i="8"/>
  <c r="L820" i="8" s="1"/>
  <c r="G820" i="8"/>
  <c r="R819" i="8"/>
  <c r="Q819" i="8"/>
  <c r="P819" i="8"/>
  <c r="O819" i="8"/>
  <c r="N819" i="8"/>
  <c r="I819" i="8"/>
  <c r="L819" i="8" s="1"/>
  <c r="G819" i="8"/>
  <c r="R818" i="8"/>
  <c r="Q818" i="8"/>
  <c r="P818" i="8"/>
  <c r="O818" i="8"/>
  <c r="N818" i="8"/>
  <c r="I818" i="8"/>
  <c r="L818" i="8" s="1"/>
  <c r="G818" i="8"/>
  <c r="R817" i="8"/>
  <c r="Q817" i="8"/>
  <c r="P817" i="8"/>
  <c r="O817" i="8"/>
  <c r="N817" i="8"/>
  <c r="I817" i="8"/>
  <c r="L817" i="8" s="1"/>
  <c r="G817" i="8"/>
  <c r="R816" i="8"/>
  <c r="Q816" i="8"/>
  <c r="P816" i="8"/>
  <c r="O816" i="8"/>
  <c r="N816" i="8"/>
  <c r="M816" i="8"/>
  <c r="R815" i="8"/>
  <c r="Q815" i="8"/>
  <c r="P815" i="8"/>
  <c r="O815" i="8"/>
  <c r="N815" i="8"/>
  <c r="M815" i="8"/>
  <c r="L815" i="8"/>
  <c r="G768" i="8"/>
  <c r="G767" i="8"/>
  <c r="G765" i="8"/>
  <c r="I769" i="8"/>
  <c r="L769" i="8" s="1"/>
  <c r="I766" i="8"/>
  <c r="L766" i="8" s="1"/>
  <c r="R769" i="8"/>
  <c r="Q769" i="8"/>
  <c r="P769" i="8"/>
  <c r="O769" i="8"/>
  <c r="N769" i="8"/>
  <c r="G769" i="8"/>
  <c r="R768" i="8"/>
  <c r="Q768" i="8"/>
  <c r="P768" i="8"/>
  <c r="O768" i="8"/>
  <c r="M768" i="8"/>
  <c r="I768" i="8"/>
  <c r="L768" i="8" s="1"/>
  <c r="R767" i="8"/>
  <c r="Q767" i="8"/>
  <c r="P767" i="8"/>
  <c r="N767" i="8"/>
  <c r="M767" i="8"/>
  <c r="I767" i="8"/>
  <c r="L767" i="8" s="1"/>
  <c r="R766" i="8"/>
  <c r="Q766" i="8"/>
  <c r="P766" i="8"/>
  <c r="O766" i="8"/>
  <c r="N766" i="8"/>
  <c r="G766" i="8"/>
  <c r="R765" i="8"/>
  <c r="Q765" i="8"/>
  <c r="P765" i="8"/>
  <c r="O765" i="8"/>
  <c r="M765" i="8"/>
  <c r="L765" i="8"/>
  <c r="I762" i="8"/>
  <c r="L762" i="8" s="1"/>
  <c r="I759" i="8"/>
  <c r="L759" i="8" s="1"/>
  <c r="G761" i="8"/>
  <c r="G760" i="8"/>
  <c r="G758" i="8"/>
  <c r="R762" i="8"/>
  <c r="Q762" i="8"/>
  <c r="P762" i="8"/>
  <c r="O762" i="8"/>
  <c r="N762" i="8"/>
  <c r="R761" i="8"/>
  <c r="Q761" i="8"/>
  <c r="P761" i="8"/>
  <c r="O761" i="8"/>
  <c r="M761" i="8"/>
  <c r="I761" i="8"/>
  <c r="L761" i="8" s="1"/>
  <c r="R760" i="8"/>
  <c r="Q760" i="8"/>
  <c r="P760" i="8"/>
  <c r="N760" i="8"/>
  <c r="M760" i="8"/>
  <c r="I760" i="8"/>
  <c r="L760" i="8" s="1"/>
  <c r="R759" i="8"/>
  <c r="Q759" i="8"/>
  <c r="P759" i="8"/>
  <c r="O759" i="8"/>
  <c r="N759" i="8"/>
  <c r="R758" i="8"/>
  <c r="Q758" i="8"/>
  <c r="P758" i="8"/>
  <c r="O758" i="8"/>
  <c r="M758" i="8"/>
  <c r="L758" i="8"/>
  <c r="G751" i="8"/>
  <c r="G749" i="8"/>
  <c r="G748" i="8"/>
  <c r="G747" i="8"/>
  <c r="G750" i="8"/>
  <c r="I750" i="8"/>
  <c r="L750" i="8" s="1"/>
  <c r="G746" i="8"/>
  <c r="G745" i="8"/>
  <c r="I746" i="8"/>
  <c r="I745" i="8"/>
  <c r="L745" i="8" s="1"/>
  <c r="R755" i="8"/>
  <c r="Q755" i="8"/>
  <c r="P755" i="8"/>
  <c r="O755" i="8"/>
  <c r="N755" i="8"/>
  <c r="L755" i="8"/>
  <c r="G755" i="8"/>
  <c r="R754" i="8"/>
  <c r="Q754" i="8"/>
  <c r="P754" i="8"/>
  <c r="O754" i="8"/>
  <c r="N754" i="8"/>
  <c r="L754" i="8"/>
  <c r="G754" i="8"/>
  <c r="R753" i="8"/>
  <c r="Q753" i="8"/>
  <c r="P753" i="8"/>
  <c r="O753" i="8"/>
  <c r="N753" i="8"/>
  <c r="L753" i="8"/>
  <c r="G753" i="8"/>
  <c r="R752" i="8"/>
  <c r="Q752" i="8"/>
  <c r="P752" i="8"/>
  <c r="O752" i="8"/>
  <c r="N752" i="8"/>
  <c r="L752" i="8"/>
  <c r="G752" i="8"/>
  <c r="R751" i="8"/>
  <c r="Q751" i="8"/>
  <c r="P751" i="8"/>
  <c r="O751" i="8"/>
  <c r="N751" i="8"/>
  <c r="I751" i="8"/>
  <c r="L751" i="8" s="1"/>
  <c r="R750" i="8"/>
  <c r="Q750" i="8"/>
  <c r="P750" i="8"/>
  <c r="O750" i="8"/>
  <c r="N750" i="8"/>
  <c r="R749" i="8"/>
  <c r="Q749" i="8"/>
  <c r="P749" i="8"/>
  <c r="O749" i="8"/>
  <c r="N749" i="8"/>
  <c r="I749" i="8"/>
  <c r="L749" i="8" s="1"/>
  <c r="R748" i="8"/>
  <c r="Q748" i="8"/>
  <c r="P748" i="8"/>
  <c r="O748" i="8"/>
  <c r="N748" i="8"/>
  <c r="I748" i="8"/>
  <c r="L748" i="8" s="1"/>
  <c r="R747" i="8"/>
  <c r="Q747" i="8"/>
  <c r="P747" i="8"/>
  <c r="O747" i="8"/>
  <c r="N747" i="8"/>
  <c r="I747" i="8"/>
  <c r="L747" i="8" s="1"/>
  <c r="R746" i="8"/>
  <c r="Q746" i="8"/>
  <c r="P746" i="8"/>
  <c r="O746" i="8"/>
  <c r="N746" i="8"/>
  <c r="L746" i="8"/>
  <c r="R745" i="8"/>
  <c r="Q745" i="8"/>
  <c r="P745" i="8"/>
  <c r="O745" i="8"/>
  <c r="N745" i="8"/>
  <c r="R744" i="8"/>
  <c r="Q744" i="8"/>
  <c r="P744" i="8"/>
  <c r="O744" i="8"/>
  <c r="N744" i="8"/>
  <c r="M744" i="8"/>
  <c r="G740" i="8"/>
  <c r="G739" i="8"/>
  <c r="G742" i="8"/>
  <c r="L742" i="8"/>
  <c r="N742" i="8"/>
  <c r="O742" i="8"/>
  <c r="P742" i="8"/>
  <c r="Q742" i="8"/>
  <c r="R742" i="8"/>
  <c r="R741" i="8"/>
  <c r="Q741" i="8"/>
  <c r="P741" i="8"/>
  <c r="O741" i="8"/>
  <c r="N741" i="8"/>
  <c r="L741" i="8"/>
  <c r="G741" i="8"/>
  <c r="R740" i="8"/>
  <c r="Q740" i="8"/>
  <c r="P740" i="8"/>
  <c r="O740" i="8"/>
  <c r="N740" i="8"/>
  <c r="L740" i="8"/>
  <c r="R739" i="8"/>
  <c r="Q739" i="8"/>
  <c r="P739" i="8"/>
  <c r="O739" i="8"/>
  <c r="N739" i="8"/>
  <c r="L739" i="8"/>
  <c r="R738" i="8"/>
  <c r="Q738" i="8"/>
  <c r="P738" i="8"/>
  <c r="O738" i="8"/>
  <c r="N738" i="8"/>
  <c r="I738" i="8"/>
  <c r="L738" i="8" s="1"/>
  <c r="G738" i="8"/>
  <c r="R737" i="8"/>
  <c r="Q737" i="8"/>
  <c r="P737" i="8"/>
  <c r="O737" i="8"/>
  <c r="N737" i="8"/>
  <c r="I737" i="8"/>
  <c r="L737" i="8" s="1"/>
  <c r="G737" i="8"/>
  <c r="G736" i="8"/>
  <c r="G735" i="8"/>
  <c r="I736" i="8"/>
  <c r="L736" i="8" s="1"/>
  <c r="N736" i="8"/>
  <c r="O736" i="8"/>
  <c r="P736" i="8"/>
  <c r="Q736" i="8"/>
  <c r="R736" i="8"/>
  <c r="I734" i="8"/>
  <c r="I735" i="8"/>
  <c r="G734" i="8"/>
  <c r="I733" i="8"/>
  <c r="G731" i="8"/>
  <c r="I732" i="8"/>
  <c r="I731" i="8"/>
  <c r="M891" i="8" l="1"/>
  <c r="M925" i="8"/>
  <c r="M860" i="8"/>
  <c r="M886" i="8"/>
  <c r="M890" i="8"/>
  <c r="M780" i="8"/>
  <c r="M922" i="8"/>
  <c r="M932" i="8"/>
  <c r="M794" i="8"/>
  <c r="M833" i="8"/>
  <c r="M856" i="8"/>
  <c r="M939" i="8"/>
  <c r="M944" i="8"/>
  <c r="N931" i="8"/>
  <c r="O811" i="8"/>
  <c r="M822" i="8"/>
  <c r="M848" i="8"/>
  <c r="M852" i="8"/>
  <c r="M917" i="8"/>
  <c r="M920" i="8"/>
  <c r="M813" i="8"/>
  <c r="M824" i="8"/>
  <c r="M832" i="8"/>
  <c r="M853" i="8"/>
  <c r="M821" i="8"/>
  <c r="M862" i="8"/>
  <c r="M866" i="8"/>
  <c r="M870" i="8"/>
  <c r="M874" i="8"/>
  <c r="M879" i="8"/>
  <c r="M904" i="8"/>
  <c r="M924" i="8"/>
  <c r="N938" i="8"/>
  <c r="M799" i="8"/>
  <c r="M769" i="8"/>
  <c r="M819" i="8"/>
  <c r="M844" i="8"/>
  <c r="M865" i="8"/>
  <c r="M869" i="8"/>
  <c r="M877" i="8"/>
  <c r="M894" i="8"/>
  <c r="M907" i="8"/>
  <c r="M911" i="8"/>
  <c r="M915" i="8"/>
  <c r="M782" i="8"/>
  <c r="M826" i="8"/>
  <c r="M880" i="8"/>
  <c r="M906" i="8"/>
  <c r="M786" i="8"/>
  <c r="M825" i="8"/>
  <c r="M845" i="8"/>
  <c r="M918" i="8"/>
  <c r="M936" i="8"/>
  <c r="M840" i="8"/>
  <c r="M849" i="8"/>
  <c r="M861" i="8"/>
  <c r="M882" i="8"/>
  <c r="M887" i="8"/>
  <c r="O930" i="8"/>
  <c r="M766" i="8"/>
  <c r="M841" i="8"/>
  <c r="M827" i="8"/>
  <c r="M846" i="8"/>
  <c r="M859" i="8"/>
  <c r="M875" i="8"/>
  <c r="M876" i="8"/>
  <c r="M881" i="8"/>
  <c r="M898" i="8"/>
  <c r="M901" i="8"/>
  <c r="M910" i="8"/>
  <c r="M923" i="8"/>
  <c r="M929" i="8"/>
  <c r="M800" i="8"/>
  <c r="M820" i="8"/>
  <c r="M836" i="8"/>
  <c r="M905" i="8"/>
  <c r="M828" i="8"/>
  <c r="M834" i="8"/>
  <c r="M838" i="8"/>
  <c r="M851" i="8"/>
  <c r="M854" i="8"/>
  <c r="M864" i="8"/>
  <c r="M868" i="8"/>
  <c r="M883" i="8"/>
  <c r="M889" i="8"/>
  <c r="M892" i="8"/>
  <c r="M896" i="8"/>
  <c r="M909" i="8"/>
  <c r="M921" i="8"/>
  <c r="O937" i="8"/>
  <c r="M781" i="8"/>
  <c r="M810" i="8"/>
  <c r="M817" i="8"/>
  <c r="M823" i="8"/>
  <c r="M837" i="8"/>
  <c r="M847" i="8"/>
  <c r="M850" i="8"/>
  <c r="M857" i="8"/>
  <c r="M863" i="8"/>
  <c r="M867" i="8"/>
  <c r="M878" i="8"/>
  <c r="M888" i="8"/>
  <c r="M895" i="8"/>
  <c r="M902" i="8"/>
  <c r="M908" i="8"/>
  <c r="M912" i="8"/>
  <c r="M916" i="8"/>
  <c r="M919" i="8"/>
  <c r="N928" i="8"/>
  <c r="M829" i="8"/>
  <c r="M839" i="8"/>
  <c r="M897" i="8"/>
  <c r="N935" i="8"/>
  <c r="M803" i="8"/>
  <c r="N809" i="8"/>
  <c r="N812" i="8"/>
  <c r="M802" i="8"/>
  <c r="M804" i="8"/>
  <c r="M805" i="8"/>
  <c r="M798" i="8"/>
  <c r="M797" i="8"/>
  <c r="M801" i="8"/>
  <c r="M778" i="8"/>
  <c r="M793" i="8"/>
  <c r="M791" i="8"/>
  <c r="M792" i="8"/>
  <c r="M790" i="8"/>
  <c r="M777" i="8"/>
  <c r="M773" i="8"/>
  <c r="N768" i="8"/>
  <c r="M818" i="8"/>
  <c r="M835" i="8"/>
  <c r="M855" i="8"/>
  <c r="M858" i="8"/>
  <c r="M873" i="8"/>
  <c r="M893" i="8"/>
  <c r="M903" i="8"/>
  <c r="O767" i="8"/>
  <c r="M759" i="8"/>
  <c r="M762" i="8"/>
  <c r="N765" i="8"/>
  <c r="M754" i="8"/>
  <c r="N758" i="8"/>
  <c r="O760" i="8"/>
  <c r="M742" i="8"/>
  <c r="N761" i="8"/>
  <c r="M739" i="8"/>
  <c r="M751" i="8"/>
  <c r="M738" i="8"/>
  <c r="M749" i="8"/>
  <c r="M748" i="8"/>
  <c r="M750" i="8"/>
  <c r="M747" i="8"/>
  <c r="M746" i="8"/>
  <c r="M741" i="8"/>
  <c r="M753" i="8"/>
  <c r="M740" i="8"/>
  <c r="M752" i="8"/>
  <c r="M755" i="8"/>
  <c r="M745" i="8"/>
  <c r="M737" i="8"/>
  <c r="M736" i="8"/>
  <c r="G732" i="8"/>
  <c r="L732" i="8"/>
  <c r="N732" i="8"/>
  <c r="O732" i="8"/>
  <c r="P732" i="8"/>
  <c r="Q732" i="8"/>
  <c r="R732" i="8"/>
  <c r="G728" i="8"/>
  <c r="G727" i="8"/>
  <c r="R728" i="8"/>
  <c r="Q728" i="8"/>
  <c r="P728" i="8"/>
  <c r="O728" i="8"/>
  <c r="N728" i="8"/>
  <c r="L728" i="8"/>
  <c r="R727" i="8"/>
  <c r="Q727" i="8"/>
  <c r="P727" i="8"/>
  <c r="O727" i="8"/>
  <c r="N727" i="8"/>
  <c r="L727" i="8"/>
  <c r="M727" i="8" s="1"/>
  <c r="R726" i="8"/>
  <c r="Q726" i="8"/>
  <c r="P726" i="8"/>
  <c r="O726" i="8"/>
  <c r="N726" i="8"/>
  <c r="L726" i="8"/>
  <c r="G726" i="8"/>
  <c r="G711" i="8"/>
  <c r="G713" i="8"/>
  <c r="L713" i="8"/>
  <c r="N713" i="8"/>
  <c r="O713" i="8"/>
  <c r="P713" i="8"/>
  <c r="Q713" i="8"/>
  <c r="R713" i="8"/>
  <c r="I721" i="8"/>
  <c r="L721" i="8" s="1"/>
  <c r="I720" i="8"/>
  <c r="L720" i="8" s="1"/>
  <c r="I719" i="8"/>
  <c r="L719" i="8" s="1"/>
  <c r="G725" i="8"/>
  <c r="G724" i="8"/>
  <c r="G723" i="8"/>
  <c r="G722" i="8"/>
  <c r="G710" i="8"/>
  <c r="G709" i="8"/>
  <c r="R725" i="8"/>
  <c r="Q725" i="8"/>
  <c r="P725" i="8"/>
  <c r="O725" i="8"/>
  <c r="N725" i="8"/>
  <c r="I725" i="8"/>
  <c r="L725" i="8" s="1"/>
  <c r="R724" i="8"/>
  <c r="Q724" i="8"/>
  <c r="P724" i="8"/>
  <c r="O724" i="8"/>
  <c r="N724" i="8"/>
  <c r="I724" i="8"/>
  <c r="L724" i="8" s="1"/>
  <c r="I723" i="8"/>
  <c r="L723" i="8" s="1"/>
  <c r="I710" i="8"/>
  <c r="I722" i="8"/>
  <c r="L722" i="8" s="1"/>
  <c r="G718" i="8"/>
  <c r="G717" i="8"/>
  <c r="I716" i="8"/>
  <c r="L716" i="8" s="1"/>
  <c r="R723" i="8"/>
  <c r="Q723" i="8"/>
  <c r="P723" i="8"/>
  <c r="O723" i="8"/>
  <c r="N723" i="8"/>
  <c r="R722" i="8"/>
  <c r="Q722" i="8"/>
  <c r="P722" i="8"/>
  <c r="O722" i="8"/>
  <c r="N722" i="8"/>
  <c r="R721" i="8"/>
  <c r="Q721" i="8"/>
  <c r="P721" i="8"/>
  <c r="O721" i="8"/>
  <c r="N721" i="8"/>
  <c r="G721" i="8"/>
  <c r="R720" i="8"/>
  <c r="Q720" i="8"/>
  <c r="P720" i="8"/>
  <c r="O720" i="8"/>
  <c r="N720" i="8"/>
  <c r="G720" i="8"/>
  <c r="R719" i="8"/>
  <c r="Q719" i="8"/>
  <c r="P719" i="8"/>
  <c r="O719" i="8"/>
  <c r="N719" i="8"/>
  <c r="G719" i="8"/>
  <c r="R718" i="8"/>
  <c r="Q718" i="8"/>
  <c r="P718" i="8"/>
  <c r="O718" i="8"/>
  <c r="N718" i="8"/>
  <c r="I718" i="8"/>
  <c r="L718" i="8" s="1"/>
  <c r="R717" i="8"/>
  <c r="Q717" i="8"/>
  <c r="P717" i="8"/>
  <c r="O717" i="8"/>
  <c r="N717" i="8"/>
  <c r="I717" i="8"/>
  <c r="L717" i="8" s="1"/>
  <c r="R716" i="8"/>
  <c r="Q716" i="8"/>
  <c r="P716" i="8"/>
  <c r="O716" i="8"/>
  <c r="N716" i="8"/>
  <c r="G716" i="8"/>
  <c r="G712" i="8"/>
  <c r="L711" i="8"/>
  <c r="N711" i="8"/>
  <c r="O711" i="8"/>
  <c r="P711" i="8"/>
  <c r="Q711" i="8"/>
  <c r="R711" i="8"/>
  <c r="L712" i="8"/>
  <c r="N712" i="8"/>
  <c r="O712" i="8"/>
  <c r="P712" i="8"/>
  <c r="Q712" i="8"/>
  <c r="R712" i="8"/>
  <c r="I709" i="8"/>
  <c r="I708" i="8"/>
  <c r="L708" i="8" s="1"/>
  <c r="I707" i="8"/>
  <c r="L707" i="8" s="1"/>
  <c r="G708" i="8"/>
  <c r="G707" i="8"/>
  <c r="R708" i="8"/>
  <c r="Q708" i="8"/>
  <c r="P708" i="8"/>
  <c r="O708" i="8"/>
  <c r="N708" i="8"/>
  <c r="R707" i="8"/>
  <c r="Q707" i="8"/>
  <c r="P707" i="8"/>
  <c r="O707" i="8"/>
  <c r="N707" i="8"/>
  <c r="G706" i="8"/>
  <c r="I706" i="8"/>
  <c r="I705" i="8"/>
  <c r="G703" i="8"/>
  <c r="I704" i="8"/>
  <c r="L704" i="8" s="1"/>
  <c r="I703" i="8"/>
  <c r="G704" i="8"/>
  <c r="N704" i="8"/>
  <c r="O704" i="8"/>
  <c r="P704" i="8"/>
  <c r="Q704" i="8"/>
  <c r="R704" i="8"/>
  <c r="G700" i="8"/>
  <c r="G698" i="8"/>
  <c r="G697" i="8"/>
  <c r="G695" i="8"/>
  <c r="G694" i="8"/>
  <c r="L700" i="8"/>
  <c r="N700" i="8"/>
  <c r="O700" i="8"/>
  <c r="P700" i="8"/>
  <c r="Q700" i="8"/>
  <c r="R700" i="8"/>
  <c r="G699" i="8"/>
  <c r="L699" i="8"/>
  <c r="N699" i="8"/>
  <c r="O699" i="8"/>
  <c r="P699" i="8"/>
  <c r="Q699" i="8"/>
  <c r="R699" i="8"/>
  <c r="L698" i="8"/>
  <c r="N698" i="8"/>
  <c r="O698" i="8"/>
  <c r="P698" i="8"/>
  <c r="Q698" i="8"/>
  <c r="R698" i="8"/>
  <c r="I693" i="8"/>
  <c r="L693" i="8" s="1"/>
  <c r="G692" i="8"/>
  <c r="G691" i="8"/>
  <c r="I692" i="8"/>
  <c r="L692" i="8" s="1"/>
  <c r="I691" i="8"/>
  <c r="L691" i="8" s="1"/>
  <c r="N692" i="8"/>
  <c r="O692" i="8"/>
  <c r="P692" i="8"/>
  <c r="Q692" i="8"/>
  <c r="R692" i="8"/>
  <c r="I690" i="8"/>
  <c r="L690" i="8" s="1"/>
  <c r="G688" i="8"/>
  <c r="I689" i="8"/>
  <c r="L689" i="8" s="1"/>
  <c r="I688" i="8"/>
  <c r="L688" i="8" s="1"/>
  <c r="G687" i="8"/>
  <c r="G686" i="8"/>
  <c r="I687" i="8"/>
  <c r="L687" i="8" s="1"/>
  <c r="I686" i="8"/>
  <c r="L686" i="8" s="1"/>
  <c r="G685" i="8"/>
  <c r="G684" i="8"/>
  <c r="I685" i="8"/>
  <c r="L685" i="8" s="1"/>
  <c r="I684" i="8"/>
  <c r="L684" i="8" s="1"/>
  <c r="G683" i="8"/>
  <c r="I683" i="8"/>
  <c r="L683" i="8" s="1"/>
  <c r="I682" i="8"/>
  <c r="L682" i="8" s="1"/>
  <c r="G682" i="8"/>
  <c r="I681" i="8"/>
  <c r="L681" i="8" s="1"/>
  <c r="I680" i="8"/>
  <c r="L680" i="8" s="1"/>
  <c r="N682" i="8"/>
  <c r="O682" i="8"/>
  <c r="P682" i="8"/>
  <c r="Q682" i="8"/>
  <c r="R682" i="8"/>
  <c r="N681" i="8"/>
  <c r="O681" i="8"/>
  <c r="P681" i="8"/>
  <c r="Q681" i="8"/>
  <c r="R681" i="8"/>
  <c r="N680" i="8"/>
  <c r="O680" i="8"/>
  <c r="P680" i="8"/>
  <c r="Q680" i="8"/>
  <c r="R680" i="8"/>
  <c r="G679" i="8"/>
  <c r="I679" i="8"/>
  <c r="L679" i="8" s="1"/>
  <c r="I678" i="8"/>
  <c r="L678" i="8" s="1"/>
  <c r="G676" i="8"/>
  <c r="I677" i="8"/>
  <c r="L677" i="8" s="1"/>
  <c r="I676" i="8"/>
  <c r="L676" i="8" s="1"/>
  <c r="G675" i="8"/>
  <c r="I675" i="8"/>
  <c r="L675" i="8" s="1"/>
  <c r="I674" i="8"/>
  <c r="L674" i="8" s="1"/>
  <c r="R677" i="8"/>
  <c r="Q677" i="8"/>
  <c r="P677" i="8"/>
  <c r="O677" i="8"/>
  <c r="N677" i="8"/>
  <c r="R676" i="8"/>
  <c r="Q676" i="8"/>
  <c r="P676" i="8"/>
  <c r="O676" i="8"/>
  <c r="N676" i="8"/>
  <c r="R697" i="8"/>
  <c r="Q697" i="8"/>
  <c r="P697" i="8"/>
  <c r="O697" i="8"/>
  <c r="N697" i="8"/>
  <c r="L697" i="8"/>
  <c r="R696" i="8"/>
  <c r="Q696" i="8"/>
  <c r="P696" i="8"/>
  <c r="O696" i="8"/>
  <c r="N696" i="8"/>
  <c r="L696" i="8"/>
  <c r="R695" i="8"/>
  <c r="Q695" i="8"/>
  <c r="P695" i="8"/>
  <c r="O695" i="8"/>
  <c r="N695" i="8"/>
  <c r="L695" i="8"/>
  <c r="R694" i="8"/>
  <c r="Q694" i="8"/>
  <c r="P694" i="8"/>
  <c r="O694" i="8"/>
  <c r="N694" i="8"/>
  <c r="L694" i="8"/>
  <c r="R693" i="8"/>
  <c r="Q693" i="8"/>
  <c r="P693" i="8"/>
  <c r="O693" i="8"/>
  <c r="N693" i="8"/>
  <c r="R691" i="8"/>
  <c r="Q691" i="8"/>
  <c r="P691" i="8"/>
  <c r="O691" i="8"/>
  <c r="N691" i="8"/>
  <c r="R689" i="8"/>
  <c r="Q689" i="8"/>
  <c r="P689" i="8"/>
  <c r="O689" i="8"/>
  <c r="N689" i="8"/>
  <c r="R688" i="8"/>
  <c r="Q688" i="8"/>
  <c r="P688" i="8"/>
  <c r="O688" i="8"/>
  <c r="N688" i="8"/>
  <c r="R690" i="8"/>
  <c r="Q690" i="8"/>
  <c r="P690" i="8"/>
  <c r="O690" i="8"/>
  <c r="N690" i="8"/>
  <c r="R687" i="8"/>
  <c r="Q687" i="8"/>
  <c r="P687" i="8"/>
  <c r="O687" i="8"/>
  <c r="N687" i="8"/>
  <c r="R686" i="8"/>
  <c r="Q686" i="8"/>
  <c r="P686" i="8"/>
  <c r="O686" i="8"/>
  <c r="N686" i="8"/>
  <c r="R685" i="8"/>
  <c r="Q685" i="8"/>
  <c r="P685" i="8"/>
  <c r="O685" i="8"/>
  <c r="N685" i="8"/>
  <c r="R684" i="8"/>
  <c r="Q684" i="8"/>
  <c r="P684" i="8"/>
  <c r="O684" i="8"/>
  <c r="N684" i="8"/>
  <c r="R683" i="8"/>
  <c r="Q683" i="8"/>
  <c r="P683" i="8"/>
  <c r="O683" i="8"/>
  <c r="N683" i="8"/>
  <c r="R679" i="8"/>
  <c r="Q679" i="8"/>
  <c r="P679" i="8"/>
  <c r="O679" i="8"/>
  <c r="N679" i="8"/>
  <c r="R678" i="8"/>
  <c r="Q678" i="8"/>
  <c r="P678" i="8"/>
  <c r="O678" i="8"/>
  <c r="N678" i="8"/>
  <c r="R675" i="8"/>
  <c r="Q675" i="8"/>
  <c r="P675" i="8"/>
  <c r="O675" i="8"/>
  <c r="N675" i="8"/>
  <c r="R674" i="8"/>
  <c r="Q674" i="8"/>
  <c r="P674" i="8"/>
  <c r="O674" i="8"/>
  <c r="N674" i="8"/>
  <c r="G663" i="8"/>
  <c r="G662" i="8"/>
  <c r="I663" i="8"/>
  <c r="L663" i="8" s="1"/>
  <c r="I662" i="8"/>
  <c r="L662" i="8" s="1"/>
  <c r="R671" i="8"/>
  <c r="Q671" i="8"/>
  <c r="P671" i="8"/>
  <c r="O671" i="8"/>
  <c r="N671" i="8"/>
  <c r="L671" i="8"/>
  <c r="G671" i="8"/>
  <c r="R670" i="8"/>
  <c r="Q670" i="8"/>
  <c r="P670" i="8"/>
  <c r="O670" i="8"/>
  <c r="N670" i="8"/>
  <c r="L670" i="8"/>
  <c r="G670" i="8"/>
  <c r="R669" i="8"/>
  <c r="Q669" i="8"/>
  <c r="P669" i="8"/>
  <c r="O669" i="8"/>
  <c r="N669" i="8"/>
  <c r="L669" i="8"/>
  <c r="G669" i="8"/>
  <c r="R668" i="8"/>
  <c r="Q668" i="8"/>
  <c r="P668" i="8"/>
  <c r="O668" i="8"/>
  <c r="N668" i="8"/>
  <c r="L668" i="8"/>
  <c r="G668" i="8"/>
  <c r="R667" i="8"/>
  <c r="Q667" i="8"/>
  <c r="P667" i="8"/>
  <c r="O667" i="8"/>
  <c r="N667" i="8"/>
  <c r="I667" i="8"/>
  <c r="L667" i="8" s="1"/>
  <c r="R666" i="8"/>
  <c r="Q666" i="8"/>
  <c r="P666" i="8"/>
  <c r="O666" i="8"/>
  <c r="N666" i="8"/>
  <c r="I666" i="8"/>
  <c r="L666" i="8" s="1"/>
  <c r="R665" i="8"/>
  <c r="Q665" i="8"/>
  <c r="P665" i="8"/>
  <c r="O665" i="8"/>
  <c r="N665" i="8"/>
  <c r="I665" i="8"/>
  <c r="L665" i="8" s="1"/>
  <c r="R664" i="8"/>
  <c r="Q664" i="8"/>
  <c r="P664" i="8"/>
  <c r="O664" i="8"/>
  <c r="N664" i="8"/>
  <c r="I664" i="8"/>
  <c r="L664" i="8" s="1"/>
  <c r="R663" i="8"/>
  <c r="Q663" i="8"/>
  <c r="P663" i="8"/>
  <c r="O663" i="8"/>
  <c r="N663" i="8"/>
  <c r="R662" i="8"/>
  <c r="Q662" i="8"/>
  <c r="P662" i="8"/>
  <c r="O662" i="8"/>
  <c r="N662" i="8"/>
  <c r="G613" i="8"/>
  <c r="L613" i="8"/>
  <c r="N613" i="8"/>
  <c r="O613" i="8"/>
  <c r="P613" i="8"/>
  <c r="Q613" i="8"/>
  <c r="R613" i="8"/>
  <c r="G612" i="8"/>
  <c r="G611" i="8"/>
  <c r="L611" i="8"/>
  <c r="N611" i="8"/>
  <c r="O611" i="8"/>
  <c r="P611" i="8"/>
  <c r="Q611" i="8"/>
  <c r="R611" i="8"/>
  <c r="G610" i="8"/>
  <c r="L612" i="8"/>
  <c r="L610" i="8"/>
  <c r="N612" i="8"/>
  <c r="O612" i="8"/>
  <c r="P612" i="8"/>
  <c r="Q612" i="8"/>
  <c r="R612" i="8"/>
  <c r="N610" i="8"/>
  <c r="O610" i="8"/>
  <c r="P610" i="8"/>
  <c r="Q610" i="8"/>
  <c r="R610" i="8"/>
  <c r="G659" i="8"/>
  <c r="G658" i="8"/>
  <c r="L659" i="8"/>
  <c r="G657" i="8"/>
  <c r="G656" i="8"/>
  <c r="L656" i="8"/>
  <c r="G655" i="8"/>
  <c r="G654" i="8"/>
  <c r="I655" i="8"/>
  <c r="L655" i="8" s="1"/>
  <c r="I654" i="8"/>
  <c r="L654" i="8" s="1"/>
  <c r="R653" i="8"/>
  <c r="Q653" i="8"/>
  <c r="P653" i="8"/>
  <c r="O653" i="8"/>
  <c r="N653" i="8"/>
  <c r="I653" i="8"/>
  <c r="L653" i="8" s="1"/>
  <c r="R652" i="8"/>
  <c r="Q652" i="8"/>
  <c r="P652" i="8"/>
  <c r="O652" i="8"/>
  <c r="N652" i="8"/>
  <c r="I652" i="8"/>
  <c r="L652" i="8" s="1"/>
  <c r="G652" i="8"/>
  <c r="I651" i="8"/>
  <c r="L651" i="8" s="1"/>
  <c r="I650" i="8"/>
  <c r="L650" i="8" s="1"/>
  <c r="G650" i="8"/>
  <c r="I649" i="8"/>
  <c r="L649" i="8" s="1"/>
  <c r="G649" i="8"/>
  <c r="G648" i="8"/>
  <c r="G647" i="8"/>
  <c r="I648" i="8"/>
  <c r="L648" i="8" s="1"/>
  <c r="I647" i="8"/>
  <c r="L647" i="8" s="1"/>
  <c r="R659" i="8"/>
  <c r="Q659" i="8"/>
  <c r="P659" i="8"/>
  <c r="O659" i="8"/>
  <c r="N659" i="8"/>
  <c r="R658" i="8"/>
  <c r="Q658" i="8"/>
  <c r="P658" i="8"/>
  <c r="O658" i="8"/>
  <c r="N658" i="8"/>
  <c r="L658" i="8"/>
  <c r="R657" i="8"/>
  <c r="Q657" i="8"/>
  <c r="P657" i="8"/>
  <c r="O657" i="8"/>
  <c r="N657" i="8"/>
  <c r="L657" i="8"/>
  <c r="R656" i="8"/>
  <c r="Q656" i="8"/>
  <c r="P656" i="8"/>
  <c r="O656" i="8"/>
  <c r="N656" i="8"/>
  <c r="R655" i="8"/>
  <c r="Q655" i="8"/>
  <c r="P655" i="8"/>
  <c r="O655" i="8"/>
  <c r="N655" i="8"/>
  <c r="R654" i="8"/>
  <c r="Q654" i="8"/>
  <c r="P654" i="8"/>
  <c r="O654" i="8"/>
  <c r="N654" i="8"/>
  <c r="R651" i="8"/>
  <c r="Q651" i="8"/>
  <c r="P651" i="8"/>
  <c r="O651" i="8"/>
  <c r="N651" i="8"/>
  <c r="R650" i="8"/>
  <c r="Q650" i="8"/>
  <c r="P650" i="8"/>
  <c r="O650" i="8"/>
  <c r="N650" i="8"/>
  <c r="R649" i="8"/>
  <c r="Q649" i="8"/>
  <c r="P649" i="8"/>
  <c r="O649" i="8"/>
  <c r="N649" i="8"/>
  <c r="R648" i="8"/>
  <c r="Q648" i="8"/>
  <c r="P648" i="8"/>
  <c r="O648" i="8"/>
  <c r="N648" i="8"/>
  <c r="R647" i="8"/>
  <c r="Q647" i="8"/>
  <c r="P647" i="8"/>
  <c r="O647" i="8"/>
  <c r="N647" i="8"/>
  <c r="I567" i="8"/>
  <c r="L567" i="8" s="1"/>
  <c r="G567" i="8"/>
  <c r="N567" i="8"/>
  <c r="O567" i="8"/>
  <c r="P567" i="8"/>
  <c r="Q567" i="8"/>
  <c r="R567" i="8"/>
  <c r="G558" i="8"/>
  <c r="I558" i="8"/>
  <c r="L558" i="8" s="1"/>
  <c r="N558" i="8"/>
  <c r="O558" i="8"/>
  <c r="P558" i="8"/>
  <c r="Q558" i="8"/>
  <c r="R558" i="8"/>
  <c r="G557" i="8"/>
  <c r="G640" i="8"/>
  <c r="I641" i="8"/>
  <c r="L641" i="8" s="1"/>
  <c r="I638" i="8"/>
  <c r="R641" i="8"/>
  <c r="Q641" i="8"/>
  <c r="P641" i="8"/>
  <c r="O641" i="8"/>
  <c r="N641" i="8"/>
  <c r="R640" i="8"/>
  <c r="Q640" i="8"/>
  <c r="P640" i="8"/>
  <c r="O640" i="8"/>
  <c r="M640" i="8"/>
  <c r="I640" i="8"/>
  <c r="L640" i="8" s="1"/>
  <c r="R639" i="8"/>
  <c r="Q639" i="8"/>
  <c r="P639" i="8"/>
  <c r="N639" i="8"/>
  <c r="M639" i="8"/>
  <c r="L639" i="8"/>
  <c r="R638" i="8"/>
  <c r="Q638" i="8"/>
  <c r="P638" i="8"/>
  <c r="O638" i="8"/>
  <c r="N638" i="8"/>
  <c r="L638" i="8"/>
  <c r="R636" i="8"/>
  <c r="Q636" i="8"/>
  <c r="P636" i="8"/>
  <c r="O636" i="8"/>
  <c r="M636" i="8"/>
  <c r="L636" i="8"/>
  <c r="I626" i="8"/>
  <c r="I633" i="8"/>
  <c r="L633" i="8" s="1"/>
  <c r="G632" i="8"/>
  <c r="G631" i="8"/>
  <c r="I630" i="8"/>
  <c r="L630" i="8" s="1"/>
  <c r="I623" i="8"/>
  <c r="L623" i="8" s="1"/>
  <c r="G629" i="8"/>
  <c r="R633" i="8"/>
  <c r="Q633" i="8"/>
  <c r="P633" i="8"/>
  <c r="O633" i="8"/>
  <c r="N633" i="8"/>
  <c r="G633" i="8"/>
  <c r="R632" i="8"/>
  <c r="Q632" i="8"/>
  <c r="P632" i="8"/>
  <c r="O632" i="8"/>
  <c r="M632" i="8"/>
  <c r="I632" i="8"/>
  <c r="L632" i="8" s="1"/>
  <c r="R631" i="8"/>
  <c r="Q631" i="8"/>
  <c r="P631" i="8"/>
  <c r="N631" i="8"/>
  <c r="M631" i="8"/>
  <c r="L631" i="8"/>
  <c r="R630" i="8"/>
  <c r="Q630" i="8"/>
  <c r="P630" i="8"/>
  <c r="O630" i="8"/>
  <c r="N630" i="8"/>
  <c r="G630" i="8"/>
  <c r="R629" i="8"/>
  <c r="Q629" i="8"/>
  <c r="P629" i="8"/>
  <c r="O629" i="8"/>
  <c r="M629" i="8"/>
  <c r="L629" i="8"/>
  <c r="G626" i="8"/>
  <c r="G625" i="8"/>
  <c r="I625" i="8"/>
  <c r="I624" i="8"/>
  <c r="G624" i="8"/>
  <c r="G623" i="8"/>
  <c r="O623" i="8"/>
  <c r="P623" i="8"/>
  <c r="Q623" i="8"/>
  <c r="R623" i="8"/>
  <c r="G619" i="8"/>
  <c r="L619" i="8"/>
  <c r="L618" i="8"/>
  <c r="R619" i="8"/>
  <c r="Q619" i="8"/>
  <c r="P619" i="8"/>
  <c r="O619" i="8"/>
  <c r="N619" i="8"/>
  <c r="R618" i="8"/>
  <c r="Q618" i="8"/>
  <c r="P618" i="8"/>
  <c r="O618" i="8"/>
  <c r="N618" i="8"/>
  <c r="I617" i="8"/>
  <c r="I616" i="8"/>
  <c r="M615" i="8"/>
  <c r="N615" i="8"/>
  <c r="O615" i="8"/>
  <c r="P615" i="8"/>
  <c r="Q615" i="8"/>
  <c r="R615" i="8"/>
  <c r="G616" i="8"/>
  <c r="L616" i="8"/>
  <c r="N616" i="8"/>
  <c r="O616" i="8"/>
  <c r="P616" i="8"/>
  <c r="Q616" i="8"/>
  <c r="R616" i="8"/>
  <c r="G609" i="8"/>
  <c r="I609" i="8"/>
  <c r="L609" i="8" s="1"/>
  <c r="N609" i="8"/>
  <c r="O609" i="8"/>
  <c r="P609" i="8"/>
  <c r="Q609" i="8"/>
  <c r="R609" i="8"/>
  <c r="I608" i="8"/>
  <c r="L608" i="8" s="1"/>
  <c r="I607" i="8"/>
  <c r="N608" i="8"/>
  <c r="O608" i="8"/>
  <c r="P608" i="8"/>
  <c r="Q608" i="8"/>
  <c r="R608" i="8"/>
  <c r="I606" i="8"/>
  <c r="I605" i="8"/>
  <c r="G604" i="8"/>
  <c r="I604" i="8"/>
  <c r="I603" i="8"/>
  <c r="L603" i="8" s="1"/>
  <c r="G603" i="8"/>
  <c r="N603" i="8"/>
  <c r="O603" i="8"/>
  <c r="P603" i="8"/>
  <c r="Q603" i="8"/>
  <c r="R603" i="8"/>
  <c r="G600" i="8"/>
  <c r="G599" i="8"/>
  <c r="G598" i="8"/>
  <c r="G597" i="8"/>
  <c r="R600" i="8"/>
  <c r="Q600" i="8"/>
  <c r="P600" i="8"/>
  <c r="O600" i="8"/>
  <c r="N600" i="8"/>
  <c r="L600" i="8"/>
  <c r="R599" i="8"/>
  <c r="Q599" i="8"/>
  <c r="P599" i="8"/>
  <c r="O599" i="8"/>
  <c r="N599" i="8"/>
  <c r="L599" i="8"/>
  <c r="G596" i="8"/>
  <c r="G595" i="8"/>
  <c r="I596" i="8"/>
  <c r="I595" i="8"/>
  <c r="I594" i="8"/>
  <c r="G594" i="8"/>
  <c r="G592" i="8"/>
  <c r="I593" i="8"/>
  <c r="I592" i="8"/>
  <c r="G591" i="8"/>
  <c r="I591" i="8"/>
  <c r="G590" i="8"/>
  <c r="G588" i="8"/>
  <c r="M698" i="8" l="1"/>
  <c r="M693" i="8"/>
  <c r="O631" i="8"/>
  <c r="M732" i="8"/>
  <c r="M728" i="8"/>
  <c r="M685" i="8"/>
  <c r="M713" i="8"/>
  <c r="M724" i="8"/>
  <c r="M725" i="8"/>
  <c r="M719" i="8"/>
  <c r="M726" i="8"/>
  <c r="M723" i="8"/>
  <c r="M721" i="8"/>
  <c r="M722" i="8"/>
  <c r="M718" i="8"/>
  <c r="M666" i="8"/>
  <c r="M662" i="8"/>
  <c r="M699" i="8"/>
  <c r="M717" i="8"/>
  <c r="M720" i="8"/>
  <c r="M716" i="8"/>
  <c r="M697" i="8"/>
  <c r="M679" i="8"/>
  <c r="M680" i="8"/>
  <c r="M712" i="8"/>
  <c r="M711" i="8"/>
  <c r="M708" i="8"/>
  <c r="M707" i="8"/>
  <c r="M704" i="8"/>
  <c r="M700" i="8"/>
  <c r="M695" i="8"/>
  <c r="M694" i="8"/>
  <c r="M600" i="8"/>
  <c r="M696" i="8"/>
  <c r="M674" i="8"/>
  <c r="M692" i="8"/>
  <c r="M690" i="8"/>
  <c r="M688" i="8"/>
  <c r="M608" i="8"/>
  <c r="M691" i="8"/>
  <c r="M686" i="8"/>
  <c r="M681" i="8"/>
  <c r="M682" i="8"/>
  <c r="M678" i="8"/>
  <c r="M677" i="8"/>
  <c r="M676" i="8"/>
  <c r="M689" i="8"/>
  <c r="M684" i="8"/>
  <c r="M687" i="8"/>
  <c r="M675" i="8"/>
  <c r="M683" i="8"/>
  <c r="M670" i="8"/>
  <c r="M669" i="8"/>
  <c r="M667" i="8"/>
  <c r="M663" i="8"/>
  <c r="M668" i="8"/>
  <c r="M653" i="8"/>
  <c r="M671" i="8"/>
  <c r="M665" i="8"/>
  <c r="M664" i="8"/>
  <c r="M613" i="8"/>
  <c r="M611" i="8"/>
  <c r="M612" i="8"/>
  <c r="M610" i="8"/>
  <c r="M658" i="8"/>
  <c r="M656" i="8"/>
  <c r="M659" i="8"/>
  <c r="M652" i="8"/>
  <c r="M638" i="8"/>
  <c r="M651" i="8"/>
  <c r="M647" i="8"/>
  <c r="M649" i="8"/>
  <c r="M648" i="8"/>
  <c r="M654" i="8"/>
  <c r="M641" i="8"/>
  <c r="M650" i="8"/>
  <c r="M655" i="8"/>
  <c r="M657" i="8"/>
  <c r="M567" i="8"/>
  <c r="M558" i="8"/>
  <c r="O639" i="8"/>
  <c r="N640" i="8"/>
  <c r="M630" i="8"/>
  <c r="N636" i="8"/>
  <c r="N632" i="8"/>
  <c r="M633" i="8"/>
  <c r="N629" i="8"/>
  <c r="M623" i="8"/>
  <c r="N623" i="8"/>
  <c r="M618" i="8"/>
  <c r="M619" i="8"/>
  <c r="M599" i="8"/>
  <c r="M616" i="8"/>
  <c r="M609" i="8"/>
  <c r="M603" i="8"/>
  <c r="I590" i="8"/>
  <c r="L590" i="8" s="1"/>
  <c r="M590" i="8" s="1"/>
  <c r="I589" i="8"/>
  <c r="L589" i="8" s="1"/>
  <c r="R590" i="8"/>
  <c r="Q590" i="8"/>
  <c r="P590" i="8"/>
  <c r="O590" i="8"/>
  <c r="N590" i="8"/>
  <c r="R589" i="8"/>
  <c r="Q589" i="8"/>
  <c r="P589" i="8"/>
  <c r="O589" i="8"/>
  <c r="N589" i="8"/>
  <c r="I588" i="8"/>
  <c r="I587" i="8"/>
  <c r="I586" i="8"/>
  <c r="I585" i="8"/>
  <c r="I584" i="8"/>
  <c r="G585" i="8"/>
  <c r="G584" i="8"/>
  <c r="I583" i="8"/>
  <c r="G582" i="8"/>
  <c r="I582" i="8"/>
  <c r="L583" i="8"/>
  <c r="N583" i="8"/>
  <c r="O583" i="8"/>
  <c r="P583" i="8"/>
  <c r="Q583" i="8"/>
  <c r="R583" i="8"/>
  <c r="G579" i="8"/>
  <c r="G578" i="8"/>
  <c r="G577" i="8"/>
  <c r="G576" i="8"/>
  <c r="I574" i="8"/>
  <c r="L574" i="8" s="1"/>
  <c r="I575" i="8"/>
  <c r="L575" i="8" s="1"/>
  <c r="I573" i="8"/>
  <c r="L573" i="8" s="1"/>
  <c r="I572" i="8"/>
  <c r="L572" i="8" s="1"/>
  <c r="G571" i="8"/>
  <c r="I571" i="8"/>
  <c r="L571" i="8" s="1"/>
  <c r="I570" i="8"/>
  <c r="L570" i="8" s="1"/>
  <c r="R579" i="8"/>
  <c r="Q579" i="8"/>
  <c r="P579" i="8"/>
  <c r="O579" i="8"/>
  <c r="N579" i="8"/>
  <c r="L579" i="8"/>
  <c r="R578" i="8"/>
  <c r="Q578" i="8"/>
  <c r="P578" i="8"/>
  <c r="O578" i="8"/>
  <c r="N578" i="8"/>
  <c r="L578" i="8"/>
  <c r="R577" i="8"/>
  <c r="Q577" i="8"/>
  <c r="P577" i="8"/>
  <c r="O577" i="8"/>
  <c r="N577" i="8"/>
  <c r="L577" i="8"/>
  <c r="R576" i="8"/>
  <c r="Q576" i="8"/>
  <c r="P576" i="8"/>
  <c r="O576" i="8"/>
  <c r="N576" i="8"/>
  <c r="L576" i="8"/>
  <c r="M576" i="8" s="1"/>
  <c r="R575" i="8"/>
  <c r="Q575" i="8"/>
  <c r="P575" i="8"/>
  <c r="O575" i="8"/>
  <c r="N575" i="8"/>
  <c r="R574" i="8"/>
  <c r="Q574" i="8"/>
  <c r="P574" i="8"/>
  <c r="O574" i="8"/>
  <c r="N574" i="8"/>
  <c r="R573" i="8"/>
  <c r="Q573" i="8"/>
  <c r="P573" i="8"/>
  <c r="O573" i="8"/>
  <c r="N573" i="8"/>
  <c r="R572" i="8"/>
  <c r="Q572" i="8"/>
  <c r="P572" i="8"/>
  <c r="O572" i="8"/>
  <c r="N572" i="8"/>
  <c r="R571" i="8"/>
  <c r="Q571" i="8"/>
  <c r="P571" i="8"/>
  <c r="O571" i="8"/>
  <c r="N571" i="8"/>
  <c r="R570" i="8"/>
  <c r="Q570" i="8"/>
  <c r="P570" i="8"/>
  <c r="O570" i="8"/>
  <c r="N570" i="8"/>
  <c r="R569" i="8"/>
  <c r="Q569" i="8"/>
  <c r="P569" i="8"/>
  <c r="O569" i="8"/>
  <c r="N569" i="8"/>
  <c r="M569" i="8"/>
  <c r="R550" i="8"/>
  <c r="Q550" i="8"/>
  <c r="P550" i="8"/>
  <c r="O550" i="8"/>
  <c r="N550" i="8"/>
  <c r="L550" i="8"/>
  <c r="G550" i="8"/>
  <c r="R549" i="8"/>
  <c r="Q549" i="8"/>
  <c r="P549" i="8"/>
  <c r="O549" i="8"/>
  <c r="N549" i="8"/>
  <c r="L549" i="8"/>
  <c r="G549" i="8"/>
  <c r="R548" i="8"/>
  <c r="Q548" i="8"/>
  <c r="P548" i="8"/>
  <c r="O548" i="8"/>
  <c r="N548" i="8"/>
  <c r="L548" i="8"/>
  <c r="G548" i="8"/>
  <c r="R547" i="8"/>
  <c r="Q547" i="8"/>
  <c r="P547" i="8"/>
  <c r="O547" i="8"/>
  <c r="N547" i="8"/>
  <c r="L547" i="8"/>
  <c r="G547" i="8"/>
  <c r="R546" i="8"/>
  <c r="Q546" i="8"/>
  <c r="P546" i="8"/>
  <c r="O546" i="8"/>
  <c r="N546" i="8"/>
  <c r="I546" i="8"/>
  <c r="L546" i="8" s="1"/>
  <c r="G546" i="8"/>
  <c r="R545" i="8"/>
  <c r="Q545" i="8"/>
  <c r="P545" i="8"/>
  <c r="O545" i="8"/>
  <c r="N545" i="8"/>
  <c r="I545" i="8"/>
  <c r="L545" i="8" s="1"/>
  <c r="R544" i="8"/>
  <c r="Q544" i="8"/>
  <c r="P544" i="8"/>
  <c r="O544" i="8"/>
  <c r="N544" i="8"/>
  <c r="I544" i="8"/>
  <c r="L544" i="8" s="1"/>
  <c r="R543" i="8"/>
  <c r="Q543" i="8"/>
  <c r="P543" i="8"/>
  <c r="O543" i="8"/>
  <c r="N543" i="8"/>
  <c r="I543" i="8"/>
  <c r="L543" i="8" s="1"/>
  <c r="G543" i="8"/>
  <c r="R542" i="8"/>
  <c r="Q542" i="8"/>
  <c r="P542" i="8"/>
  <c r="O542" i="8"/>
  <c r="N542" i="8"/>
  <c r="I542" i="8"/>
  <c r="L542" i="8" s="1"/>
  <c r="G542" i="8"/>
  <c r="R541" i="8"/>
  <c r="Q541" i="8"/>
  <c r="P541" i="8"/>
  <c r="O541" i="8"/>
  <c r="N541" i="8"/>
  <c r="I541" i="8"/>
  <c r="L541" i="8" s="1"/>
  <c r="G541" i="8"/>
  <c r="R540" i="8"/>
  <c r="Q540" i="8"/>
  <c r="P540" i="8"/>
  <c r="O540" i="8"/>
  <c r="N540" i="8"/>
  <c r="I540" i="8"/>
  <c r="L540" i="8" s="1"/>
  <c r="G540" i="8"/>
  <c r="R539" i="8"/>
  <c r="Q539" i="8"/>
  <c r="P539" i="8"/>
  <c r="O539" i="8"/>
  <c r="N539" i="8"/>
  <c r="I539" i="8"/>
  <c r="L539" i="8" s="1"/>
  <c r="R538" i="8"/>
  <c r="Q538" i="8"/>
  <c r="P538" i="8"/>
  <c r="O538" i="8"/>
  <c r="N538" i="8"/>
  <c r="M538" i="8"/>
  <c r="G566" i="8"/>
  <c r="G565" i="8"/>
  <c r="G564" i="8"/>
  <c r="G563" i="8"/>
  <c r="G562" i="8"/>
  <c r="I562" i="8"/>
  <c r="L562" i="8" s="1"/>
  <c r="I561" i="8"/>
  <c r="L561" i="8" s="1"/>
  <c r="I560" i="8"/>
  <c r="L560" i="8" s="1"/>
  <c r="G559" i="8"/>
  <c r="I559" i="8"/>
  <c r="L559" i="8" s="1"/>
  <c r="I557" i="8"/>
  <c r="L557" i="8" s="1"/>
  <c r="G556" i="8"/>
  <c r="I556" i="8"/>
  <c r="L556" i="8" s="1"/>
  <c r="N556" i="8"/>
  <c r="O556" i="8"/>
  <c r="P556" i="8"/>
  <c r="Q556" i="8"/>
  <c r="R556" i="8"/>
  <c r="G555" i="8"/>
  <c r="I555" i="8"/>
  <c r="L555" i="8" s="1"/>
  <c r="I554" i="8"/>
  <c r="L554" i="8" s="1"/>
  <c r="I553" i="8"/>
  <c r="L553" i="8" s="1"/>
  <c r="N554" i="8"/>
  <c r="O554" i="8"/>
  <c r="P554" i="8"/>
  <c r="Q554" i="8"/>
  <c r="R554" i="8"/>
  <c r="R566" i="8"/>
  <c r="Q566" i="8"/>
  <c r="P566" i="8"/>
  <c r="O566" i="8"/>
  <c r="N566" i="8"/>
  <c r="L566" i="8"/>
  <c r="R565" i="8"/>
  <c r="Q565" i="8"/>
  <c r="P565" i="8"/>
  <c r="O565" i="8"/>
  <c r="N565" i="8"/>
  <c r="L565" i="8"/>
  <c r="R564" i="8"/>
  <c r="Q564" i="8"/>
  <c r="P564" i="8"/>
  <c r="O564" i="8"/>
  <c r="N564" i="8"/>
  <c r="L564" i="8"/>
  <c r="R563" i="8"/>
  <c r="Q563" i="8"/>
  <c r="P563" i="8"/>
  <c r="O563" i="8"/>
  <c r="N563" i="8"/>
  <c r="L563" i="8"/>
  <c r="R562" i="8"/>
  <c r="Q562" i="8"/>
  <c r="P562" i="8"/>
  <c r="O562" i="8"/>
  <c r="N562" i="8"/>
  <c r="R561" i="8"/>
  <c r="Q561" i="8"/>
  <c r="P561" i="8"/>
  <c r="O561" i="8"/>
  <c r="N561" i="8"/>
  <c r="R560" i="8"/>
  <c r="Q560" i="8"/>
  <c r="P560" i="8"/>
  <c r="O560" i="8"/>
  <c r="N560" i="8"/>
  <c r="R559" i="8"/>
  <c r="Q559" i="8"/>
  <c r="P559" i="8"/>
  <c r="O559" i="8"/>
  <c r="N559" i="8"/>
  <c r="R557" i="8"/>
  <c r="Q557" i="8"/>
  <c r="P557" i="8"/>
  <c r="O557" i="8"/>
  <c r="N557" i="8"/>
  <c r="R555" i="8"/>
  <c r="Q555" i="8"/>
  <c r="P555" i="8"/>
  <c r="O555" i="8"/>
  <c r="N555" i="8"/>
  <c r="R553" i="8"/>
  <c r="Q553" i="8"/>
  <c r="P553" i="8"/>
  <c r="O553" i="8"/>
  <c r="N553" i="8"/>
  <c r="R552" i="8"/>
  <c r="Q552" i="8"/>
  <c r="P552" i="8"/>
  <c r="O552" i="8"/>
  <c r="N552" i="8"/>
  <c r="M552" i="8"/>
  <c r="G535" i="8"/>
  <c r="G534" i="8"/>
  <c r="G533" i="8"/>
  <c r="G532" i="8"/>
  <c r="I532" i="8"/>
  <c r="L532" i="8" s="1"/>
  <c r="I531" i="8"/>
  <c r="L531" i="8" s="1"/>
  <c r="L530" i="8"/>
  <c r="I529" i="8"/>
  <c r="L529" i="8" s="1"/>
  <c r="I528" i="8"/>
  <c r="L528" i="8" s="1"/>
  <c r="I527" i="8"/>
  <c r="L527" i="8" s="1"/>
  <c r="G528" i="8"/>
  <c r="G527" i="8"/>
  <c r="R535" i="8"/>
  <c r="Q535" i="8"/>
  <c r="P535" i="8"/>
  <c r="O535" i="8"/>
  <c r="N535" i="8"/>
  <c r="L535" i="8"/>
  <c r="R534" i="8"/>
  <c r="Q534" i="8"/>
  <c r="P534" i="8"/>
  <c r="O534" i="8"/>
  <c r="N534" i="8"/>
  <c r="L534" i="8"/>
  <c r="R533" i="8"/>
  <c r="Q533" i="8"/>
  <c r="P533" i="8"/>
  <c r="O533" i="8"/>
  <c r="N533" i="8"/>
  <c r="L533" i="8"/>
  <c r="R532" i="8"/>
  <c r="Q532" i="8"/>
  <c r="P532" i="8"/>
  <c r="O532" i="8"/>
  <c r="N532" i="8"/>
  <c r="R531" i="8"/>
  <c r="Q531" i="8"/>
  <c r="P531" i="8"/>
  <c r="O531" i="8"/>
  <c r="N531" i="8"/>
  <c r="R530" i="8"/>
  <c r="Q530" i="8"/>
  <c r="P530" i="8"/>
  <c r="O530" i="8"/>
  <c r="N530" i="8"/>
  <c r="R529" i="8"/>
  <c r="Q529" i="8"/>
  <c r="P529" i="8"/>
  <c r="O529" i="8"/>
  <c r="N529" i="8"/>
  <c r="R528" i="8"/>
  <c r="Q528" i="8"/>
  <c r="P528" i="8"/>
  <c r="O528" i="8"/>
  <c r="N528" i="8"/>
  <c r="R527" i="8"/>
  <c r="Q527" i="8"/>
  <c r="P527" i="8"/>
  <c r="O527" i="8"/>
  <c r="N527" i="8"/>
  <c r="R526" i="8"/>
  <c r="Q526" i="8"/>
  <c r="P526" i="8"/>
  <c r="O526" i="8"/>
  <c r="N526" i="8"/>
  <c r="M526" i="8"/>
  <c r="G506" i="8"/>
  <c r="G505" i="8"/>
  <c r="G504" i="8"/>
  <c r="G503" i="8"/>
  <c r="I502" i="8"/>
  <c r="L502" i="8" s="1"/>
  <c r="I501" i="8"/>
  <c r="L501" i="8" s="1"/>
  <c r="I500" i="8"/>
  <c r="L500" i="8" s="1"/>
  <c r="I499" i="8"/>
  <c r="L499" i="8" s="1"/>
  <c r="I498" i="8"/>
  <c r="L498" i="8" s="1"/>
  <c r="I496" i="8"/>
  <c r="L496" i="8" s="1"/>
  <c r="G497" i="8"/>
  <c r="R508" i="8"/>
  <c r="Q508" i="8"/>
  <c r="P508" i="8"/>
  <c r="O508" i="8"/>
  <c r="N508" i="8"/>
  <c r="L508" i="8"/>
  <c r="G508" i="8"/>
  <c r="R507" i="8"/>
  <c r="Q507" i="8"/>
  <c r="P507" i="8"/>
  <c r="O507" i="8"/>
  <c r="N507" i="8"/>
  <c r="L507" i="8"/>
  <c r="G507" i="8"/>
  <c r="R506" i="8"/>
  <c r="Q506" i="8"/>
  <c r="P506" i="8"/>
  <c r="O506" i="8"/>
  <c r="N506" i="8"/>
  <c r="L506" i="8"/>
  <c r="R505" i="8"/>
  <c r="Q505" i="8"/>
  <c r="P505" i="8"/>
  <c r="O505" i="8"/>
  <c r="N505" i="8"/>
  <c r="L505" i="8"/>
  <c r="R504" i="8"/>
  <c r="Q504" i="8"/>
  <c r="P504" i="8"/>
  <c r="O504" i="8"/>
  <c r="N504" i="8"/>
  <c r="I504" i="8"/>
  <c r="L504" i="8" s="1"/>
  <c r="R503" i="8"/>
  <c r="Q503" i="8"/>
  <c r="P503" i="8"/>
  <c r="O503" i="8"/>
  <c r="N503" i="8"/>
  <c r="I503" i="8"/>
  <c r="L503" i="8" s="1"/>
  <c r="R502" i="8"/>
  <c r="Q502" i="8"/>
  <c r="P502" i="8"/>
  <c r="O502" i="8"/>
  <c r="N502" i="8"/>
  <c r="R501" i="8"/>
  <c r="Q501" i="8"/>
  <c r="P501" i="8"/>
  <c r="O501" i="8"/>
  <c r="N501" i="8"/>
  <c r="R500" i="8"/>
  <c r="Q500" i="8"/>
  <c r="P500" i="8"/>
  <c r="O500" i="8"/>
  <c r="N500" i="8"/>
  <c r="R499" i="8"/>
  <c r="Q499" i="8"/>
  <c r="P499" i="8"/>
  <c r="O499" i="8"/>
  <c r="N499" i="8"/>
  <c r="R498" i="8"/>
  <c r="Q498" i="8"/>
  <c r="P498" i="8"/>
  <c r="O498" i="8"/>
  <c r="N498" i="8"/>
  <c r="R497" i="8"/>
  <c r="Q497" i="8"/>
  <c r="P497" i="8"/>
  <c r="O497" i="8"/>
  <c r="N497" i="8"/>
  <c r="I497" i="8"/>
  <c r="L497" i="8" s="1"/>
  <c r="R496" i="8"/>
  <c r="Q496" i="8"/>
  <c r="P496" i="8"/>
  <c r="O496" i="8"/>
  <c r="N496" i="8"/>
  <c r="R495" i="8"/>
  <c r="Q495" i="8"/>
  <c r="P495" i="8"/>
  <c r="O495" i="8"/>
  <c r="N495" i="8"/>
  <c r="M495" i="8"/>
  <c r="R524" i="8"/>
  <c r="Q524" i="8"/>
  <c r="P524" i="8"/>
  <c r="O524" i="8"/>
  <c r="N524" i="8"/>
  <c r="L524" i="8"/>
  <c r="G524" i="8"/>
  <c r="R523" i="8"/>
  <c r="Q523" i="8"/>
  <c r="P523" i="8"/>
  <c r="O523" i="8"/>
  <c r="N523" i="8"/>
  <c r="L523" i="8"/>
  <c r="G523" i="8"/>
  <c r="G522" i="8"/>
  <c r="G521" i="8"/>
  <c r="L522" i="8"/>
  <c r="N522" i="8"/>
  <c r="O522" i="8"/>
  <c r="P522" i="8"/>
  <c r="Q522" i="8"/>
  <c r="R522" i="8"/>
  <c r="L521" i="8"/>
  <c r="N521" i="8"/>
  <c r="O521" i="8"/>
  <c r="P521" i="8"/>
  <c r="Q521" i="8"/>
  <c r="R521" i="8"/>
  <c r="I520" i="8"/>
  <c r="L520" i="8" s="1"/>
  <c r="I519" i="8"/>
  <c r="L519" i="8" s="1"/>
  <c r="N520" i="8"/>
  <c r="O520" i="8"/>
  <c r="P520" i="8"/>
  <c r="Q520" i="8"/>
  <c r="R520" i="8"/>
  <c r="N519" i="8"/>
  <c r="O519" i="8"/>
  <c r="P519" i="8"/>
  <c r="Q519" i="8"/>
  <c r="R519" i="8"/>
  <c r="I518" i="8"/>
  <c r="I517" i="8"/>
  <c r="I516" i="8"/>
  <c r="I515" i="8"/>
  <c r="I514" i="8"/>
  <c r="I513" i="8"/>
  <c r="I512" i="8"/>
  <c r="L512" i="8" s="1"/>
  <c r="N512" i="8"/>
  <c r="O512" i="8"/>
  <c r="P512" i="8"/>
  <c r="Q512" i="8"/>
  <c r="R512" i="8"/>
  <c r="M548" i="8" l="1"/>
  <c r="M577" i="8"/>
  <c r="M579" i="8"/>
  <c r="M589" i="8"/>
  <c r="M583" i="8"/>
  <c r="M578" i="8"/>
  <c r="M546" i="8"/>
  <c r="M575" i="8"/>
  <c r="M573" i="8"/>
  <c r="M549" i="8"/>
  <c r="M570" i="8"/>
  <c r="M571" i="8"/>
  <c r="M572" i="8"/>
  <c r="M574" i="8"/>
  <c r="M540" i="8"/>
  <c r="M539" i="8"/>
  <c r="M542" i="8"/>
  <c r="M547" i="8"/>
  <c r="M545" i="8"/>
  <c r="M550" i="8"/>
  <c r="M543" i="8"/>
  <c r="M541" i="8"/>
  <c r="M544" i="8"/>
  <c r="M563" i="8"/>
  <c r="M565" i="8"/>
  <c r="M566" i="8"/>
  <c r="M564" i="8"/>
  <c r="M505" i="8"/>
  <c r="M555" i="8"/>
  <c r="M557" i="8"/>
  <c r="M501" i="8"/>
  <c r="M553" i="8"/>
  <c r="M561" i="8"/>
  <c r="M560" i="8"/>
  <c r="M556" i="8"/>
  <c r="M554" i="8"/>
  <c r="M559" i="8"/>
  <c r="M562" i="8"/>
  <c r="M524" i="8"/>
  <c r="M496" i="8"/>
  <c r="M522" i="8"/>
  <c r="M527" i="8"/>
  <c r="M530" i="8"/>
  <c r="M498" i="8"/>
  <c r="M534" i="8"/>
  <c r="M533" i="8"/>
  <c r="M503" i="8"/>
  <c r="M535" i="8"/>
  <c r="M520" i="8"/>
  <c r="M504" i="8"/>
  <c r="M528" i="8"/>
  <c r="M531" i="8"/>
  <c r="M523" i="8"/>
  <c r="M519" i="8"/>
  <c r="M507" i="8"/>
  <c r="M502" i="8"/>
  <c r="M497" i="8"/>
  <c r="M508" i="8"/>
  <c r="M532" i="8"/>
  <c r="M529" i="8"/>
  <c r="M506" i="8"/>
  <c r="M500" i="8"/>
  <c r="M499" i="8"/>
  <c r="M521" i="8"/>
  <c r="M512" i="8"/>
  <c r="J419" i="8"/>
  <c r="J418" i="8"/>
  <c r="H419" i="8"/>
  <c r="H418" i="8"/>
  <c r="G415" i="8"/>
  <c r="J413" i="8"/>
  <c r="J412" i="8"/>
  <c r="H413" i="8"/>
  <c r="H412" i="8"/>
  <c r="G408" i="8"/>
  <c r="G407" i="8"/>
  <c r="G409" i="8"/>
  <c r="I409" i="8"/>
  <c r="L409" i="8" s="1"/>
  <c r="I408" i="8"/>
  <c r="I407" i="8"/>
  <c r="J406" i="8"/>
  <c r="J405" i="8"/>
  <c r="H406" i="8"/>
  <c r="H405" i="8"/>
  <c r="R409" i="8"/>
  <c r="Q409" i="8"/>
  <c r="P409" i="8"/>
  <c r="O409" i="8"/>
  <c r="N409" i="8"/>
  <c r="G402" i="8"/>
  <c r="I402" i="8"/>
  <c r="I401" i="8"/>
  <c r="J400" i="8"/>
  <c r="J399" i="8"/>
  <c r="H400" i="8"/>
  <c r="H399" i="8"/>
  <c r="G396" i="8"/>
  <c r="I396" i="8"/>
  <c r="J395" i="8"/>
  <c r="J394" i="8"/>
  <c r="H395" i="8"/>
  <c r="H394" i="8"/>
  <c r="G391" i="8"/>
  <c r="I391" i="8"/>
  <c r="L391" i="8" s="1"/>
  <c r="I390" i="8"/>
  <c r="L390" i="8" s="1"/>
  <c r="R391" i="8"/>
  <c r="Q391" i="8"/>
  <c r="P391" i="8"/>
  <c r="O391" i="8"/>
  <c r="N391" i="8"/>
  <c r="R390" i="8"/>
  <c r="Q390" i="8"/>
  <c r="P390" i="8"/>
  <c r="O390" i="8"/>
  <c r="N390" i="8"/>
  <c r="G390" i="8"/>
  <c r="I389" i="8"/>
  <c r="L389" i="8" s="1"/>
  <c r="I388" i="8"/>
  <c r="G389" i="8"/>
  <c r="G388" i="8"/>
  <c r="N389" i="8"/>
  <c r="O389" i="8"/>
  <c r="P389" i="8"/>
  <c r="Q389" i="8"/>
  <c r="R389" i="8"/>
  <c r="J387" i="8"/>
  <c r="J386" i="8"/>
  <c r="H387" i="8"/>
  <c r="H386" i="8"/>
  <c r="G383" i="8"/>
  <c r="G382" i="8"/>
  <c r="G381" i="8"/>
  <c r="I379" i="8"/>
  <c r="J378" i="8"/>
  <c r="J377" i="8"/>
  <c r="H378" i="8"/>
  <c r="H377" i="8"/>
  <c r="H370" i="8"/>
  <c r="H371" i="8"/>
  <c r="I381" i="8"/>
  <c r="I382" i="8"/>
  <c r="I383" i="8"/>
  <c r="L383" i="8" s="1"/>
  <c r="I380" i="8"/>
  <c r="R383" i="8"/>
  <c r="Q383" i="8"/>
  <c r="P383" i="8"/>
  <c r="O383" i="8"/>
  <c r="N383" i="8"/>
  <c r="G373" i="8"/>
  <c r="G374" i="8"/>
  <c r="I374" i="8"/>
  <c r="I373" i="8"/>
  <c r="H372" i="8"/>
  <c r="J371" i="8"/>
  <c r="J370" i="8"/>
  <c r="I367" i="8"/>
  <c r="L367" i="8" s="1"/>
  <c r="G367" i="8"/>
  <c r="R367" i="8"/>
  <c r="Q367" i="8"/>
  <c r="P367" i="8"/>
  <c r="O367" i="8"/>
  <c r="M367" i="8"/>
  <c r="R366" i="8"/>
  <c r="Q366" i="8"/>
  <c r="P366" i="8"/>
  <c r="N366" i="8"/>
  <c r="M366" i="8"/>
  <c r="J366" i="8"/>
  <c r="H366" i="8"/>
  <c r="R365" i="8"/>
  <c r="Q365" i="8"/>
  <c r="P365" i="8"/>
  <c r="N365" i="8"/>
  <c r="M365" i="8"/>
  <c r="J365" i="8"/>
  <c r="H365" i="8"/>
  <c r="R364" i="8"/>
  <c r="Q364" i="8"/>
  <c r="P364" i="8"/>
  <c r="O364" i="8"/>
  <c r="N364" i="8"/>
  <c r="M364" i="8"/>
  <c r="L364" i="8"/>
  <c r="G363" i="8"/>
  <c r="J361" i="8"/>
  <c r="J360" i="8"/>
  <c r="H361" i="8"/>
  <c r="H360" i="8"/>
  <c r="I363" i="8"/>
  <c r="I362" i="8"/>
  <c r="I357" i="8"/>
  <c r="G357" i="8"/>
  <c r="J356" i="8"/>
  <c r="J355" i="8"/>
  <c r="H356" i="8"/>
  <c r="H355" i="8"/>
  <c r="G352" i="8"/>
  <c r="G351" i="8"/>
  <c r="J350" i="8"/>
  <c r="J349" i="8"/>
  <c r="H350" i="8"/>
  <c r="H349" i="8"/>
  <c r="I352" i="8"/>
  <c r="L352" i="8" s="1"/>
  <c r="N352" i="8"/>
  <c r="O352" i="8"/>
  <c r="P352" i="8"/>
  <c r="Q352" i="8"/>
  <c r="R352" i="8"/>
  <c r="I351" i="8"/>
  <c r="G346" i="8"/>
  <c r="I346" i="8"/>
  <c r="J345" i="8"/>
  <c r="J344" i="8"/>
  <c r="H345" i="8"/>
  <c r="H344" i="8"/>
  <c r="I341" i="8"/>
  <c r="I340" i="8"/>
  <c r="L340" i="8" s="1"/>
  <c r="G341" i="8"/>
  <c r="G340" i="8"/>
  <c r="R340" i="8"/>
  <c r="Q340" i="8"/>
  <c r="P340" i="8"/>
  <c r="O340" i="8"/>
  <c r="N340" i="8"/>
  <c r="J339" i="8"/>
  <c r="J338" i="8"/>
  <c r="H339" i="8"/>
  <c r="H338" i="8"/>
  <c r="I336" i="8"/>
  <c r="I335" i="8"/>
  <c r="G336" i="8"/>
  <c r="G335" i="8"/>
  <c r="J334" i="8"/>
  <c r="J333" i="8"/>
  <c r="H334" i="8"/>
  <c r="H333" i="8"/>
  <c r="G331" i="8"/>
  <c r="G330" i="8"/>
  <c r="J329" i="8"/>
  <c r="J328" i="8"/>
  <c r="H329" i="8"/>
  <c r="H328" i="8"/>
  <c r="I331" i="8"/>
  <c r="I330" i="8"/>
  <c r="I326" i="8"/>
  <c r="I325" i="8"/>
  <c r="G326" i="8"/>
  <c r="G325" i="8"/>
  <c r="J324" i="8"/>
  <c r="J323" i="8"/>
  <c r="H324" i="8"/>
  <c r="H323" i="8"/>
  <c r="G321" i="8"/>
  <c r="G320" i="8"/>
  <c r="H319" i="8"/>
  <c r="L319" i="8" s="1"/>
  <c r="O319" i="8" s="1"/>
  <c r="M319" i="8"/>
  <c r="N319" i="8"/>
  <c r="P319" i="8"/>
  <c r="Q319" i="8"/>
  <c r="R319" i="8"/>
  <c r="I318" i="8"/>
  <c r="L318" i="8" s="1"/>
  <c r="O318" i="8" s="1"/>
  <c r="M318" i="8"/>
  <c r="N318" i="8"/>
  <c r="P318" i="8"/>
  <c r="Q318" i="8"/>
  <c r="R318" i="8"/>
  <c r="I321" i="8"/>
  <c r="I320" i="8"/>
  <c r="J317" i="8"/>
  <c r="J316" i="8"/>
  <c r="H317" i="8"/>
  <c r="H316" i="8"/>
  <c r="G313" i="8"/>
  <c r="I313" i="8"/>
  <c r="J312" i="8"/>
  <c r="J311" i="8"/>
  <c r="H312" i="8"/>
  <c r="H311" i="8"/>
  <c r="I308" i="8"/>
  <c r="I307" i="8"/>
  <c r="G308" i="8"/>
  <c r="G307" i="8"/>
  <c r="J306" i="8"/>
  <c r="H306" i="8"/>
  <c r="J305" i="8"/>
  <c r="L305" i="8" s="1"/>
  <c r="P305" i="8" s="1"/>
  <c r="J304" i="8"/>
  <c r="H304" i="8"/>
  <c r="M305" i="8"/>
  <c r="N305" i="8"/>
  <c r="O305" i="8"/>
  <c r="Q305" i="8"/>
  <c r="R305" i="8"/>
  <c r="G300" i="8"/>
  <c r="G301" i="8"/>
  <c r="I301" i="8"/>
  <c r="L301" i="8" s="1"/>
  <c r="N301" i="8"/>
  <c r="O301" i="8"/>
  <c r="P301" i="8"/>
  <c r="Q301" i="8"/>
  <c r="R301" i="8"/>
  <c r="J299" i="8"/>
  <c r="L299" i="8" s="1"/>
  <c r="O299" i="8" s="1"/>
  <c r="I298" i="8"/>
  <c r="M299" i="8"/>
  <c r="N299" i="8"/>
  <c r="P299" i="8"/>
  <c r="Q299" i="8"/>
  <c r="R299" i="8"/>
  <c r="I297" i="8"/>
  <c r="J296" i="8"/>
  <c r="H296" i="8"/>
  <c r="J295" i="8"/>
  <c r="H295" i="8"/>
  <c r="G292" i="8"/>
  <c r="I292" i="8"/>
  <c r="J291" i="8"/>
  <c r="J290" i="8"/>
  <c r="H291" i="8"/>
  <c r="H290" i="8"/>
  <c r="H284" i="8"/>
  <c r="H285" i="8"/>
  <c r="J284" i="8"/>
  <c r="J285" i="8"/>
  <c r="L293" i="8"/>
  <c r="M293" i="8"/>
  <c r="N293" i="8"/>
  <c r="O293" i="8"/>
  <c r="P293" i="8"/>
  <c r="Q293" i="8"/>
  <c r="R293" i="8"/>
  <c r="G287" i="8"/>
  <c r="G286" i="8"/>
  <c r="I287" i="8"/>
  <c r="L287" i="8" s="1"/>
  <c r="R287" i="8"/>
  <c r="Q287" i="8"/>
  <c r="P287" i="8"/>
  <c r="O287" i="8"/>
  <c r="N287" i="8"/>
  <c r="I286" i="8"/>
  <c r="L260" i="8"/>
  <c r="M260" i="8"/>
  <c r="N260" i="8"/>
  <c r="O260" i="8"/>
  <c r="P260" i="8"/>
  <c r="Q260" i="8"/>
  <c r="R260" i="8"/>
  <c r="I282" i="8"/>
  <c r="L282" i="8" s="1"/>
  <c r="I281" i="8"/>
  <c r="L281" i="8" s="1"/>
  <c r="G282" i="8"/>
  <c r="G281" i="8"/>
  <c r="R282" i="8"/>
  <c r="Q282" i="8"/>
  <c r="P282" i="8"/>
  <c r="O282" i="8"/>
  <c r="N282" i="8"/>
  <c r="R281" i="8"/>
  <c r="Q281" i="8"/>
  <c r="P281" i="8"/>
  <c r="O281" i="8"/>
  <c r="N281" i="8"/>
  <c r="I280" i="8"/>
  <c r="I279" i="8"/>
  <c r="G280" i="8"/>
  <c r="G279" i="8"/>
  <c r="I278" i="8"/>
  <c r="L278" i="8" s="1"/>
  <c r="O278" i="8" s="1"/>
  <c r="M278" i="8"/>
  <c r="N278" i="8"/>
  <c r="P278" i="8"/>
  <c r="Q278" i="8"/>
  <c r="R278" i="8"/>
  <c r="I277" i="8"/>
  <c r="M277" i="8"/>
  <c r="N277" i="8"/>
  <c r="Q277" i="8"/>
  <c r="R277" i="8"/>
  <c r="J276" i="8"/>
  <c r="H276" i="8"/>
  <c r="L275" i="8"/>
  <c r="P275" i="8" s="1"/>
  <c r="M275" i="8"/>
  <c r="N275" i="8"/>
  <c r="O275" i="8"/>
  <c r="Q275" i="8"/>
  <c r="R275" i="8"/>
  <c r="J274" i="8"/>
  <c r="H274" i="8"/>
  <c r="H267" i="8"/>
  <c r="J267" i="8"/>
  <c r="J268" i="8"/>
  <c r="I272" i="8"/>
  <c r="L272" i="8" s="1"/>
  <c r="I271" i="8"/>
  <c r="L271" i="8" s="1"/>
  <c r="I270" i="8"/>
  <c r="I269" i="8"/>
  <c r="G272" i="8"/>
  <c r="G271" i="8"/>
  <c r="G270" i="8"/>
  <c r="H268" i="8"/>
  <c r="H266" i="8"/>
  <c r="G264" i="8"/>
  <c r="G263" i="8"/>
  <c r="H262" i="8"/>
  <c r="H261" i="8"/>
  <c r="R264" i="8"/>
  <c r="Q264" i="8"/>
  <c r="P264" i="8"/>
  <c r="O264" i="8"/>
  <c r="N264" i="8"/>
  <c r="I264" i="8"/>
  <c r="L264" i="8" s="1"/>
  <c r="R263" i="8"/>
  <c r="Q263" i="8"/>
  <c r="P263" i="8"/>
  <c r="O263" i="8"/>
  <c r="N263" i="8"/>
  <c r="I263" i="8"/>
  <c r="L263" i="8" s="1"/>
  <c r="R262" i="8"/>
  <c r="Q262" i="8"/>
  <c r="O262" i="8"/>
  <c r="N262" i="8"/>
  <c r="M262" i="8"/>
  <c r="J262" i="8"/>
  <c r="R261" i="8"/>
  <c r="Q261" i="8"/>
  <c r="O261" i="8"/>
  <c r="N261" i="8"/>
  <c r="M261" i="8"/>
  <c r="J261" i="8"/>
  <c r="M267" i="8"/>
  <c r="N267" i="8"/>
  <c r="O267" i="8"/>
  <c r="Q267" i="8"/>
  <c r="R267" i="8"/>
  <c r="N271" i="8"/>
  <c r="O271" i="8"/>
  <c r="P271" i="8"/>
  <c r="Q271" i="8"/>
  <c r="R271" i="8"/>
  <c r="N272" i="8"/>
  <c r="O272" i="8"/>
  <c r="P272" i="8"/>
  <c r="Q272" i="8"/>
  <c r="R272" i="8"/>
  <c r="G257" i="8"/>
  <c r="G256" i="8"/>
  <c r="I257" i="8"/>
  <c r="L257" i="8" s="1"/>
  <c r="N257" i="8"/>
  <c r="O257" i="8"/>
  <c r="P257" i="8"/>
  <c r="Q257" i="8"/>
  <c r="R257" i="8"/>
  <c r="I258" i="8"/>
  <c r="I256" i="8"/>
  <c r="J255" i="8"/>
  <c r="H255" i="8"/>
  <c r="H254" i="8"/>
  <c r="J254" i="8"/>
  <c r="J253" i="8"/>
  <c r="H253" i="8"/>
  <c r="I251" i="8"/>
  <c r="I250" i="8"/>
  <c r="I249" i="8"/>
  <c r="L249" i="8" s="1"/>
  <c r="I248" i="8"/>
  <c r="G251" i="8"/>
  <c r="G250" i="8"/>
  <c r="G249" i="8"/>
  <c r="N249" i="8"/>
  <c r="O249" i="8"/>
  <c r="P249" i="8"/>
  <c r="Q249" i="8"/>
  <c r="R249" i="8"/>
  <c r="G248" i="8"/>
  <c r="L250" i="8"/>
  <c r="M250" i="8" s="1"/>
  <c r="N250" i="8"/>
  <c r="O250" i="8"/>
  <c r="P250" i="8"/>
  <c r="Q250" i="8"/>
  <c r="R250" i="8"/>
  <c r="J247" i="8"/>
  <c r="I247" i="8"/>
  <c r="M383" i="8" l="1"/>
  <c r="M391" i="8"/>
  <c r="M409" i="8"/>
  <c r="M390" i="8"/>
  <c r="M389" i="8"/>
  <c r="L366" i="8"/>
  <c r="O366" i="8" s="1"/>
  <c r="L365" i="8"/>
  <c r="O365" i="8" s="1"/>
  <c r="N367" i="8"/>
  <c r="M340" i="8"/>
  <c r="M352" i="8"/>
  <c r="M287" i="8"/>
  <c r="M301" i="8"/>
  <c r="M282" i="8"/>
  <c r="M281" i="8"/>
  <c r="M264" i="8"/>
  <c r="L277" i="8"/>
  <c r="M263" i="8"/>
  <c r="L261" i="8"/>
  <c r="P261" i="8" s="1"/>
  <c r="L262" i="8"/>
  <c r="P262" i="8" s="1"/>
  <c r="L267" i="8"/>
  <c r="P267" i="8" s="1"/>
  <c r="M272" i="8"/>
  <c r="M271" i="8"/>
  <c r="M249" i="8"/>
  <c r="M257" i="8"/>
  <c r="L247" i="8"/>
  <c r="P247" i="8" s="1"/>
  <c r="M247" i="8"/>
  <c r="N247" i="8"/>
  <c r="O247" i="8"/>
  <c r="Q247" i="8"/>
  <c r="R247" i="8"/>
  <c r="H246" i="8"/>
  <c r="H245" i="8"/>
  <c r="J246" i="8"/>
  <c r="J245" i="8"/>
  <c r="G242" i="8"/>
  <c r="G241" i="8"/>
  <c r="I242" i="8"/>
  <c r="I241" i="8"/>
  <c r="I240" i="8"/>
  <c r="J239" i="8"/>
  <c r="J238" i="8"/>
  <c r="H239" i="8"/>
  <c r="H238" i="8"/>
  <c r="I235" i="8"/>
  <c r="I234" i="8"/>
  <c r="G235" i="8"/>
  <c r="G234" i="8"/>
  <c r="I231" i="8"/>
  <c r="L231" i="8" s="1"/>
  <c r="O231" i="8" s="1"/>
  <c r="J233" i="8"/>
  <c r="I232" i="8"/>
  <c r="L232" i="8" s="1"/>
  <c r="O232" i="8" s="1"/>
  <c r="M232" i="8"/>
  <c r="N232" i="8"/>
  <c r="P232" i="8"/>
  <c r="Q232" i="8"/>
  <c r="R232" i="8"/>
  <c r="M231" i="8"/>
  <c r="N231" i="8"/>
  <c r="P231" i="8"/>
  <c r="Q231" i="8"/>
  <c r="R231" i="8"/>
  <c r="J230" i="8"/>
  <c r="J229" i="8"/>
  <c r="H230" i="8"/>
  <c r="H229" i="8"/>
  <c r="I227" i="8"/>
  <c r="I226" i="8"/>
  <c r="L226" i="8" s="1"/>
  <c r="I225" i="8"/>
  <c r="G227" i="8"/>
  <c r="G226" i="8"/>
  <c r="N226" i="8"/>
  <c r="O226" i="8"/>
  <c r="P226" i="8"/>
  <c r="Q226" i="8"/>
  <c r="R226" i="8"/>
  <c r="G225" i="8"/>
  <c r="J224" i="8"/>
  <c r="J223" i="8"/>
  <c r="H224" i="8"/>
  <c r="H223" i="8"/>
  <c r="G221" i="8"/>
  <c r="G220" i="8"/>
  <c r="I221" i="8"/>
  <c r="I220" i="8"/>
  <c r="J219" i="8"/>
  <c r="J218" i="8"/>
  <c r="H219" i="8"/>
  <c r="H218" i="8"/>
  <c r="G215" i="8"/>
  <c r="G216" i="8"/>
  <c r="R216" i="8"/>
  <c r="Q216" i="8"/>
  <c r="P216" i="8"/>
  <c r="O216" i="8"/>
  <c r="N216" i="8"/>
  <c r="I216" i="8"/>
  <c r="L216" i="8" s="1"/>
  <c r="R215" i="8"/>
  <c r="Q215" i="8"/>
  <c r="P215" i="8"/>
  <c r="O215" i="8"/>
  <c r="N215" i="8"/>
  <c r="I215" i="8"/>
  <c r="L215" i="8" s="1"/>
  <c r="G214" i="8"/>
  <c r="G213" i="8"/>
  <c r="I214" i="8"/>
  <c r="I213" i="8"/>
  <c r="H212" i="8"/>
  <c r="L212" i="8" s="1"/>
  <c r="P212" i="8" s="1"/>
  <c r="M212" i="8"/>
  <c r="N212" i="8"/>
  <c r="O212" i="8"/>
  <c r="Q212" i="8"/>
  <c r="R212" i="8"/>
  <c r="I211" i="8"/>
  <c r="L211" i="8" s="1"/>
  <c r="O211" i="8" s="1"/>
  <c r="M211" i="8"/>
  <c r="N211" i="8"/>
  <c r="Q211" i="8"/>
  <c r="R211" i="8"/>
  <c r="I210" i="8"/>
  <c r="J209" i="8"/>
  <c r="J208" i="8"/>
  <c r="H209" i="8"/>
  <c r="H208" i="8"/>
  <c r="I205" i="8"/>
  <c r="L205" i="8" s="1"/>
  <c r="I204" i="8"/>
  <c r="I203" i="8"/>
  <c r="L203" i="8" s="1"/>
  <c r="J202" i="8"/>
  <c r="H202" i="8"/>
  <c r="J201" i="8"/>
  <c r="J200" i="8"/>
  <c r="H200" i="8"/>
  <c r="G198" i="8"/>
  <c r="G197" i="8"/>
  <c r="G196" i="8"/>
  <c r="I197" i="8"/>
  <c r="I198" i="8"/>
  <c r="I196" i="8"/>
  <c r="J195" i="8"/>
  <c r="J194" i="8"/>
  <c r="H195" i="8"/>
  <c r="H194" i="8"/>
  <c r="R205" i="8"/>
  <c r="Q205" i="8"/>
  <c r="P205" i="8"/>
  <c r="O205" i="8"/>
  <c r="N205" i="8"/>
  <c r="G205" i="8"/>
  <c r="R204" i="8"/>
  <c r="Q204" i="8"/>
  <c r="P204" i="8"/>
  <c r="O204" i="8"/>
  <c r="N204" i="8"/>
  <c r="L204" i="8"/>
  <c r="G204" i="8"/>
  <c r="R203" i="8"/>
  <c r="Q203" i="8"/>
  <c r="P203" i="8"/>
  <c r="O203" i="8"/>
  <c r="N203" i="8"/>
  <c r="G203" i="8"/>
  <c r="R202" i="8"/>
  <c r="Q202" i="8"/>
  <c r="O202" i="8"/>
  <c r="N202" i="8"/>
  <c r="M202" i="8"/>
  <c r="R201" i="8"/>
  <c r="Q201" i="8"/>
  <c r="O201" i="8"/>
  <c r="N201" i="8"/>
  <c r="M201" i="8"/>
  <c r="R200" i="8"/>
  <c r="Q200" i="8"/>
  <c r="O200" i="8"/>
  <c r="N200" i="8"/>
  <c r="M200" i="8"/>
  <c r="R199" i="8"/>
  <c r="Q199" i="8"/>
  <c r="P199" i="8"/>
  <c r="O199" i="8"/>
  <c r="N199" i="8"/>
  <c r="M199" i="8"/>
  <c r="L199" i="8"/>
  <c r="I191" i="8"/>
  <c r="L191" i="8" s="1"/>
  <c r="I190" i="8"/>
  <c r="G191" i="8"/>
  <c r="G190" i="8"/>
  <c r="N191" i="8"/>
  <c r="O191" i="8"/>
  <c r="P191" i="8"/>
  <c r="Q191" i="8"/>
  <c r="R191" i="8"/>
  <c r="H189" i="8"/>
  <c r="L189" i="8" s="1"/>
  <c r="O189" i="8" s="1"/>
  <c r="M189" i="8"/>
  <c r="N189" i="8"/>
  <c r="P189" i="8"/>
  <c r="Q189" i="8"/>
  <c r="R189" i="8"/>
  <c r="I188" i="8"/>
  <c r="L188" i="8" s="1"/>
  <c r="P188" i="8" s="1"/>
  <c r="M188" i="8"/>
  <c r="N188" i="8"/>
  <c r="Q188" i="8"/>
  <c r="R188" i="8"/>
  <c r="J187" i="8"/>
  <c r="J186" i="8"/>
  <c r="H187" i="8"/>
  <c r="H186" i="8"/>
  <c r="G184" i="8"/>
  <c r="I184" i="8"/>
  <c r="L184" i="8" s="1"/>
  <c r="I183" i="8"/>
  <c r="L183" i="8" s="1"/>
  <c r="R184" i="8"/>
  <c r="Q184" i="8"/>
  <c r="P184" i="8"/>
  <c r="O184" i="8"/>
  <c r="N184" i="8"/>
  <c r="R183" i="8"/>
  <c r="Q183" i="8"/>
  <c r="P183" i="8"/>
  <c r="O183" i="8"/>
  <c r="N183" i="8"/>
  <c r="G183" i="8"/>
  <c r="I182" i="8"/>
  <c r="I181" i="8"/>
  <c r="G182" i="8"/>
  <c r="G181" i="8"/>
  <c r="H180" i="8"/>
  <c r="L180" i="8" s="1"/>
  <c r="O180" i="8" s="1"/>
  <c r="M180" i="8"/>
  <c r="N180" i="8"/>
  <c r="P180" i="8"/>
  <c r="Q180" i="8"/>
  <c r="R180" i="8"/>
  <c r="H179" i="8"/>
  <c r="I178" i="8"/>
  <c r="J176" i="8"/>
  <c r="L176" i="8" s="1"/>
  <c r="P176" i="8" s="1"/>
  <c r="M176" i="8"/>
  <c r="N176" i="8"/>
  <c r="O176" i="8"/>
  <c r="Q176" i="8"/>
  <c r="R176" i="8"/>
  <c r="J177" i="8"/>
  <c r="H177" i="8"/>
  <c r="J175" i="8"/>
  <c r="H175" i="8"/>
  <c r="I171" i="8"/>
  <c r="I172" i="8"/>
  <c r="I173" i="8"/>
  <c r="I170" i="8"/>
  <c r="G173" i="8"/>
  <c r="G171" i="8"/>
  <c r="G170" i="8"/>
  <c r="H169" i="8"/>
  <c r="L169" i="8" s="1"/>
  <c r="P169" i="8" s="1"/>
  <c r="M169" i="8"/>
  <c r="N169" i="8"/>
  <c r="Q169" i="8"/>
  <c r="R169" i="8"/>
  <c r="I168" i="8"/>
  <c r="L168" i="8" s="1"/>
  <c r="M168" i="8"/>
  <c r="N168" i="8"/>
  <c r="Q168" i="8"/>
  <c r="R168" i="8"/>
  <c r="I167" i="8"/>
  <c r="J166" i="8"/>
  <c r="J165" i="8"/>
  <c r="H166" i="8"/>
  <c r="H165" i="8"/>
  <c r="I163" i="8"/>
  <c r="I162" i="8"/>
  <c r="I161" i="8"/>
  <c r="G162" i="8"/>
  <c r="G161" i="8"/>
  <c r="G163" i="8"/>
  <c r="I160" i="8"/>
  <c r="G160" i="8"/>
  <c r="I158" i="8"/>
  <c r="I157" i="8"/>
  <c r="I156" i="8"/>
  <c r="J155" i="8"/>
  <c r="J154" i="8"/>
  <c r="H155" i="8"/>
  <c r="H154" i="8"/>
  <c r="I152" i="8"/>
  <c r="I151" i="8"/>
  <c r="G152" i="8"/>
  <c r="G151" i="8"/>
  <c r="H150" i="8"/>
  <c r="I149" i="8"/>
  <c r="J148" i="8"/>
  <c r="J147" i="8"/>
  <c r="H148" i="8"/>
  <c r="H147" i="8"/>
  <c r="G145" i="8"/>
  <c r="I145" i="8"/>
  <c r="H144" i="8"/>
  <c r="J144" i="8"/>
  <c r="M144" i="8"/>
  <c r="N144" i="8"/>
  <c r="O144" i="8"/>
  <c r="P144" i="8"/>
  <c r="R144" i="8"/>
  <c r="J143" i="8"/>
  <c r="H143" i="8"/>
  <c r="I141" i="8"/>
  <c r="L141" i="8" s="1"/>
  <c r="I140" i="8"/>
  <c r="L140" i="8" s="1"/>
  <c r="G141" i="8"/>
  <c r="G140" i="8"/>
  <c r="N141" i="8"/>
  <c r="O141" i="8"/>
  <c r="P141" i="8"/>
  <c r="Q141" i="8"/>
  <c r="R141" i="8"/>
  <c r="H139" i="8"/>
  <c r="L139" i="8" s="1"/>
  <c r="O139" i="8" s="1"/>
  <c r="M139" i="8"/>
  <c r="N139" i="8"/>
  <c r="P139" i="8"/>
  <c r="Q139" i="8"/>
  <c r="R139" i="8"/>
  <c r="I138" i="8"/>
  <c r="L138" i="8" s="1"/>
  <c r="O138" i="8" s="1"/>
  <c r="M138" i="8"/>
  <c r="N138" i="8"/>
  <c r="P138" i="8"/>
  <c r="Q138" i="8"/>
  <c r="R138" i="8"/>
  <c r="I137" i="8"/>
  <c r="L137" i="8" s="1"/>
  <c r="P137" i="8" s="1"/>
  <c r="M137" i="8"/>
  <c r="N137" i="8"/>
  <c r="Q137" i="8"/>
  <c r="R137" i="8"/>
  <c r="J136" i="8"/>
  <c r="H136" i="8"/>
  <c r="J135" i="8"/>
  <c r="H135" i="8"/>
  <c r="R140" i="8"/>
  <c r="Q140" i="8"/>
  <c r="P140" i="8"/>
  <c r="O140" i="8"/>
  <c r="N140" i="8"/>
  <c r="R136" i="8"/>
  <c r="O136" i="8"/>
  <c r="N136" i="8"/>
  <c r="M136" i="8"/>
  <c r="R135" i="8"/>
  <c r="Q135" i="8"/>
  <c r="O135" i="8"/>
  <c r="N135" i="8"/>
  <c r="M135" i="8"/>
  <c r="R134" i="8"/>
  <c r="Q134" i="8"/>
  <c r="P134" i="8"/>
  <c r="O134" i="8"/>
  <c r="N134" i="8"/>
  <c r="M134" i="8"/>
  <c r="L134" i="8"/>
  <c r="I133" i="8"/>
  <c r="J132" i="8"/>
  <c r="H132" i="8"/>
  <c r="J131" i="8"/>
  <c r="H131" i="8"/>
  <c r="I129" i="8"/>
  <c r="I128" i="8"/>
  <c r="J127" i="8"/>
  <c r="J125" i="8"/>
  <c r="J124" i="8"/>
  <c r="H125" i="8"/>
  <c r="H124" i="8"/>
  <c r="I126" i="8"/>
  <c r="I122" i="8"/>
  <c r="I121" i="8"/>
  <c r="J120" i="8"/>
  <c r="H120" i="8"/>
  <c r="J119" i="8"/>
  <c r="J118" i="8"/>
  <c r="H119" i="8"/>
  <c r="H118" i="8"/>
  <c r="I116" i="8"/>
  <c r="I115" i="8"/>
  <c r="G116" i="8"/>
  <c r="J114" i="8"/>
  <c r="J113" i="8"/>
  <c r="J112" i="8"/>
  <c r="H113" i="8"/>
  <c r="H112" i="8"/>
  <c r="P277" i="8" l="1"/>
  <c r="O277" i="8"/>
  <c r="M226" i="8"/>
  <c r="M216" i="8"/>
  <c r="M184" i="8"/>
  <c r="L200" i="8"/>
  <c r="P200" i="8" s="1"/>
  <c r="M215" i="8"/>
  <c r="P211" i="8"/>
  <c r="L202" i="8"/>
  <c r="P202" i="8" s="1"/>
  <c r="L201" i="8"/>
  <c r="P201" i="8" s="1"/>
  <c r="M191" i="8"/>
  <c r="M204" i="8"/>
  <c r="O168" i="8"/>
  <c r="P168" i="8"/>
  <c r="L135" i="8"/>
  <c r="P135" i="8" s="1"/>
  <c r="M205" i="8"/>
  <c r="L144" i="8"/>
  <c r="Q144" i="8" s="1"/>
  <c r="M203" i="8"/>
  <c r="O188" i="8"/>
  <c r="M183" i="8"/>
  <c r="O169" i="8"/>
  <c r="M141" i="8"/>
  <c r="O137" i="8"/>
  <c r="M140" i="8"/>
  <c r="L136" i="8"/>
  <c r="P136" i="8" s="1"/>
  <c r="Q136" i="8"/>
  <c r="I110" i="8"/>
  <c r="I109" i="8"/>
  <c r="I108" i="8"/>
  <c r="G110" i="8"/>
  <c r="G107" i="8"/>
  <c r="G106" i="8"/>
  <c r="I107" i="8"/>
  <c r="I106" i="8"/>
  <c r="H105" i="8"/>
  <c r="I104" i="8"/>
  <c r="J103" i="8"/>
  <c r="I103" i="8"/>
  <c r="R102" i="8"/>
  <c r="Q102" i="8"/>
  <c r="O102" i="8"/>
  <c r="N102" i="8"/>
  <c r="M102" i="8"/>
  <c r="J102" i="8"/>
  <c r="H102" i="8"/>
  <c r="H100" i="8"/>
  <c r="H101" i="8"/>
  <c r="J101" i="8"/>
  <c r="J100" i="8"/>
  <c r="J99" i="8"/>
  <c r="H99" i="8"/>
  <c r="G97" i="8"/>
  <c r="I97" i="8"/>
  <c r="J96" i="8"/>
  <c r="J95" i="8"/>
  <c r="H96" i="8"/>
  <c r="H95" i="8"/>
  <c r="I93" i="8"/>
  <c r="I92" i="8"/>
  <c r="I91" i="8"/>
  <c r="J90" i="8"/>
  <c r="J89" i="8"/>
  <c r="H89" i="8"/>
  <c r="H90" i="8"/>
  <c r="I87" i="8"/>
  <c r="I86" i="8"/>
  <c r="I85" i="8"/>
  <c r="G87" i="8"/>
  <c r="J84" i="8"/>
  <c r="H84" i="8"/>
  <c r="J83" i="8"/>
  <c r="H82" i="8"/>
  <c r="J82" i="8"/>
  <c r="I80" i="8"/>
  <c r="I79" i="8"/>
  <c r="H78" i="8"/>
  <c r="I78" i="8"/>
  <c r="I77" i="8"/>
  <c r="I76" i="8"/>
  <c r="G80" i="8"/>
  <c r="G79" i="8"/>
  <c r="J75" i="8"/>
  <c r="J74" i="8"/>
  <c r="H75" i="8"/>
  <c r="H74" i="8"/>
  <c r="I72" i="8"/>
  <c r="I71" i="8"/>
  <c r="H70" i="8"/>
  <c r="I69" i="8"/>
  <c r="J68" i="8"/>
  <c r="J67" i="8"/>
  <c r="H68" i="8"/>
  <c r="H67" i="8"/>
  <c r="J62" i="8"/>
  <c r="H62" i="8"/>
  <c r="J61" i="8"/>
  <c r="H61" i="8"/>
  <c r="I65" i="8"/>
  <c r="I64" i="8"/>
  <c r="I63" i="8"/>
  <c r="G59" i="8"/>
  <c r="G58" i="8"/>
  <c r="I59" i="8"/>
  <c r="I58" i="8"/>
  <c r="I44" i="8"/>
  <c r="I43" i="8"/>
  <c r="I50" i="8"/>
  <c r="I51" i="8"/>
  <c r="I52" i="8"/>
  <c r="I49" i="8"/>
  <c r="H57" i="8"/>
  <c r="I57" i="8"/>
  <c r="I56" i="8"/>
  <c r="J55" i="8"/>
  <c r="J54" i="8"/>
  <c r="H55" i="8"/>
  <c r="H54" i="8"/>
  <c r="J48" i="8"/>
  <c r="H48" i="8"/>
  <c r="J47" i="8"/>
  <c r="J46" i="8"/>
  <c r="H46" i="8"/>
  <c r="H42" i="8"/>
  <c r="H41" i="8"/>
  <c r="J41" i="8"/>
  <c r="J42" i="8"/>
  <c r="G30" i="8"/>
  <c r="G32" i="8"/>
  <c r="I39" i="8"/>
  <c r="I38" i="8"/>
  <c r="I37" i="8"/>
  <c r="J36" i="8"/>
  <c r="J35" i="8"/>
  <c r="H37" i="8"/>
  <c r="H36" i="8"/>
  <c r="H35" i="8"/>
  <c r="I36" i="8"/>
  <c r="I35" i="8"/>
  <c r="M37" i="8"/>
  <c r="N37" i="8"/>
  <c r="P37" i="8"/>
  <c r="R37" i="8"/>
  <c r="I33" i="8"/>
  <c r="I32" i="8"/>
  <c r="I31" i="8"/>
  <c r="I30" i="8"/>
  <c r="J15" i="8"/>
  <c r="J14" i="8"/>
  <c r="J29" i="8"/>
  <c r="J28" i="8"/>
  <c r="H29" i="8"/>
  <c r="H28" i="8"/>
  <c r="I26" i="8"/>
  <c r="G16" i="8"/>
  <c r="G26" i="8"/>
  <c r="J25" i="8"/>
  <c r="J24" i="8"/>
  <c r="H25" i="8"/>
  <c r="H24" i="8"/>
  <c r="I21" i="8"/>
  <c r="J20" i="8"/>
  <c r="J19" i="8"/>
  <c r="H20" i="8"/>
  <c r="H19" i="8"/>
  <c r="I16" i="8"/>
  <c r="H15" i="8"/>
  <c r="H14" i="8"/>
  <c r="I10" i="8"/>
  <c r="I11" i="8"/>
  <c r="I12" i="8"/>
  <c r="I9" i="8"/>
  <c r="G9" i="8"/>
  <c r="I7" i="8"/>
  <c r="H8" i="8"/>
  <c r="J7" i="8"/>
  <c r="H7" i="8"/>
  <c r="J6" i="8"/>
  <c r="H6" i="8"/>
  <c r="I6" i="8"/>
  <c r="L102" i="8" l="1"/>
  <c r="P102" i="8" s="1"/>
  <c r="L37" i="8"/>
  <c r="Q37" i="8" s="1"/>
  <c r="O37" i="8" l="1"/>
  <c r="I35" i="4" l="1"/>
  <c r="I36" i="4"/>
  <c r="I37" i="4"/>
  <c r="I38" i="4"/>
  <c r="I39" i="4"/>
  <c r="I40" i="4"/>
  <c r="I41" i="4"/>
  <c r="I42" i="4"/>
  <c r="I43" i="4"/>
  <c r="I45" i="4"/>
  <c r="I46" i="4"/>
  <c r="I47" i="4"/>
  <c r="I48" i="4"/>
  <c r="I49" i="4"/>
  <c r="I50" i="4"/>
  <c r="I51" i="4"/>
  <c r="I52" i="4"/>
  <c r="I53" i="4"/>
  <c r="I54" i="4"/>
  <c r="I55" i="4"/>
  <c r="I57" i="4"/>
  <c r="I58" i="4"/>
  <c r="I62" i="4"/>
  <c r="I63" i="4"/>
  <c r="I65" i="4"/>
  <c r="I67" i="4"/>
  <c r="I68" i="4"/>
  <c r="I69" i="4"/>
  <c r="I70" i="4"/>
  <c r="I71" i="4"/>
  <c r="I72" i="4"/>
  <c r="I73" i="4"/>
  <c r="I74" i="4"/>
  <c r="I76" i="4"/>
  <c r="I77" i="4"/>
  <c r="I78" i="4"/>
  <c r="I79" i="4"/>
  <c r="I81" i="4"/>
  <c r="I82" i="4"/>
  <c r="I83" i="4"/>
  <c r="I84" i="4"/>
  <c r="I85" i="4"/>
  <c r="I86" i="4"/>
  <c r="I87" i="4"/>
  <c r="I88" i="4"/>
  <c r="I89" i="4"/>
  <c r="I90" i="4"/>
  <c r="I91" i="4"/>
  <c r="I93" i="4"/>
  <c r="I94" i="4"/>
  <c r="I95" i="4"/>
  <c r="I96" i="4"/>
  <c r="I97" i="4"/>
  <c r="I100" i="4"/>
  <c r="I101" i="4"/>
  <c r="I102" i="4"/>
  <c r="I34" i="4"/>
  <c r="I125" i="2" l="1"/>
  <c r="I124" i="2"/>
  <c r="I121" i="2"/>
  <c r="I120" i="2"/>
  <c r="I115" i="2"/>
  <c r="I114" i="2"/>
  <c r="I113" i="2"/>
  <c r="I108" i="2"/>
  <c r="I107" i="2"/>
  <c r="I102" i="2"/>
  <c r="I103" i="2"/>
  <c r="I97" i="2"/>
  <c r="I95" i="2"/>
  <c r="I94" i="2"/>
  <c r="I92" i="2"/>
  <c r="I91" i="2"/>
  <c r="I85" i="2"/>
  <c r="I83" i="2"/>
  <c r="I82" i="2"/>
  <c r="I80" i="2"/>
  <c r="I79" i="2"/>
  <c r="I174" i="2"/>
  <c r="I173" i="2"/>
  <c r="I172" i="2"/>
  <c r="I162" i="2"/>
  <c r="I161" i="2"/>
  <c r="I160" i="2"/>
  <c r="I154" i="2"/>
  <c r="I153" i="2"/>
  <c r="I152" i="2"/>
  <c r="I145" i="2"/>
  <c r="I144" i="2"/>
  <c r="I134" i="2"/>
  <c r="I133" i="2"/>
  <c r="I127" i="2"/>
  <c r="I126" i="2"/>
  <c r="I122" i="2"/>
  <c r="I118" i="2"/>
  <c r="I117" i="2"/>
  <c r="I111" i="2"/>
  <c r="I110" i="2"/>
  <c r="I105" i="2"/>
  <c r="I104" i="2"/>
  <c r="I100" i="2"/>
  <c r="I99" i="2"/>
  <c r="I89" i="2"/>
  <c r="I88" i="2"/>
  <c r="I87" i="2"/>
  <c r="I77" i="2"/>
  <c r="I76" i="2"/>
  <c r="I75" i="2"/>
  <c r="I67" i="2"/>
  <c r="I60" i="2"/>
  <c r="I59" i="2"/>
  <c r="I50" i="2"/>
  <c r="I49" i="2"/>
  <c r="I40" i="2"/>
  <c r="I39" i="2"/>
  <c r="I30" i="2"/>
  <c r="I23" i="2"/>
  <c r="I22" i="2"/>
  <c r="I15" i="2"/>
  <c r="I14" i="2"/>
  <c r="I6" i="2" l="1"/>
  <c r="I7" i="2"/>
  <c r="I73" i="2"/>
  <c r="I72" i="2"/>
  <c r="I71" i="2"/>
  <c r="I70" i="2"/>
  <c r="I69" i="2"/>
  <c r="I68" i="2"/>
  <c r="I66" i="2"/>
  <c r="I65" i="2"/>
  <c r="I64" i="2"/>
  <c r="I63" i="2"/>
  <c r="I62" i="2"/>
  <c r="I61" i="2"/>
  <c r="I58" i="2"/>
  <c r="I57" i="2"/>
  <c r="I56" i="2"/>
  <c r="I55" i="2"/>
  <c r="I54" i="2"/>
  <c r="I53" i="2"/>
  <c r="I52" i="2"/>
  <c r="I51" i="2"/>
  <c r="I48" i="2"/>
  <c r="I47" i="2"/>
  <c r="I46" i="2"/>
  <c r="I45" i="2"/>
  <c r="I44" i="2"/>
  <c r="I43" i="2"/>
  <c r="I42" i="2"/>
  <c r="I41" i="2"/>
  <c r="I38" i="2"/>
  <c r="I37" i="2"/>
  <c r="I36" i="2"/>
  <c r="I35" i="2"/>
  <c r="I34" i="2"/>
  <c r="I33" i="2"/>
  <c r="I32" i="2"/>
  <c r="I31" i="2"/>
  <c r="I29" i="2"/>
  <c r="I28" i="2"/>
  <c r="I27" i="2"/>
  <c r="I26" i="2"/>
  <c r="I25" i="2"/>
  <c r="I24" i="2"/>
  <c r="I21" i="2"/>
  <c r="I20" i="2"/>
  <c r="I19" i="2"/>
  <c r="I18" i="2"/>
  <c r="I17" i="2"/>
  <c r="I16" i="2"/>
  <c r="I13" i="2"/>
  <c r="I12" i="2"/>
  <c r="I11" i="2"/>
  <c r="I10" i="2"/>
  <c r="I9" i="2"/>
  <c r="I8" i="2"/>
  <c r="K174" i="2"/>
  <c r="K173" i="2"/>
  <c r="K172" i="2"/>
  <c r="K162" i="2"/>
  <c r="K161" i="2"/>
  <c r="K160" i="2"/>
  <c r="K154" i="2"/>
  <c r="K153" i="2"/>
  <c r="K152" i="2"/>
  <c r="K145" i="2"/>
  <c r="K144" i="2"/>
  <c r="K134" i="2"/>
  <c r="K133" i="2"/>
  <c r="K127" i="2"/>
  <c r="K126" i="2"/>
  <c r="K122" i="2"/>
  <c r="K118" i="2"/>
  <c r="K117" i="2"/>
  <c r="K111" i="2"/>
  <c r="K110" i="2"/>
  <c r="K105" i="2"/>
  <c r="K104" i="2"/>
  <c r="K100" i="2"/>
  <c r="K99" i="2"/>
  <c r="K89" i="2"/>
  <c r="K88" i="2"/>
  <c r="K87" i="2"/>
  <c r="K77" i="2"/>
  <c r="K76" i="2"/>
  <c r="K75" i="2"/>
  <c r="K67" i="2"/>
  <c r="K60" i="2"/>
  <c r="K59" i="2"/>
  <c r="K50" i="2"/>
  <c r="K49" i="2"/>
  <c r="K40" i="2"/>
  <c r="K39" i="2"/>
  <c r="K30" i="2"/>
  <c r="K23" i="2"/>
  <c r="K22" i="2"/>
  <c r="K15" i="2"/>
  <c r="K14" i="2"/>
  <c r="K7" i="2"/>
  <c r="K6" i="2"/>
  <c r="S183" i="2" l="1"/>
  <c r="R363" i="2"/>
  <c r="Q363" i="2"/>
  <c r="P363" i="2"/>
  <c r="O363" i="2"/>
  <c r="N363" i="2"/>
  <c r="M363" i="2"/>
  <c r="L363" i="2"/>
  <c r="R362" i="2"/>
  <c r="Q362" i="2"/>
  <c r="P362" i="2"/>
  <c r="O362" i="2"/>
  <c r="N362" i="2"/>
  <c r="I362" i="2"/>
  <c r="L362" i="2" s="1"/>
  <c r="G362" i="2"/>
  <c r="R361" i="2"/>
  <c r="Q361" i="2"/>
  <c r="P361" i="2"/>
  <c r="O361" i="2"/>
  <c r="N361" i="2"/>
  <c r="I361" i="2"/>
  <c r="L361" i="2" s="1"/>
  <c r="G361" i="2"/>
  <c r="R360" i="2"/>
  <c r="Q360" i="2"/>
  <c r="P360" i="2"/>
  <c r="O360" i="2"/>
  <c r="N360" i="2"/>
  <c r="I360" i="2"/>
  <c r="L360" i="2" s="1"/>
  <c r="G360" i="2"/>
  <c r="F360" i="2"/>
  <c r="R359" i="2"/>
  <c r="Q359" i="2"/>
  <c r="P359" i="2"/>
  <c r="O359" i="2"/>
  <c r="N359" i="2"/>
  <c r="I359" i="2"/>
  <c r="L359" i="2" s="1"/>
  <c r="G359" i="2"/>
  <c r="R358" i="2"/>
  <c r="Q358" i="2"/>
  <c r="P358" i="2"/>
  <c r="O358" i="2"/>
  <c r="N358" i="2"/>
  <c r="M358" i="2"/>
  <c r="L358" i="2"/>
  <c r="R357" i="2"/>
  <c r="Q357" i="2"/>
  <c r="P357" i="2"/>
  <c r="O357" i="2"/>
  <c r="M357" i="2"/>
  <c r="K357" i="2"/>
  <c r="L357" i="2" s="1"/>
  <c r="N357" i="2" s="1"/>
  <c r="S356" i="2"/>
  <c r="R356" i="2"/>
  <c r="Q356" i="2"/>
  <c r="P356" i="2"/>
  <c r="N356" i="2"/>
  <c r="M356" i="2"/>
  <c r="K356" i="2"/>
  <c r="L356" i="2" s="1"/>
  <c r="O356" i="2" s="1"/>
  <c r="S355" i="2"/>
  <c r="R355" i="2"/>
  <c r="Q355" i="2"/>
  <c r="O355" i="2"/>
  <c r="N355" i="2"/>
  <c r="M355" i="2"/>
  <c r="K355" i="2"/>
  <c r="L355" i="2" s="1"/>
  <c r="P355" i="2" s="1"/>
  <c r="A355" i="2"/>
  <c r="R354" i="2"/>
  <c r="Q354" i="2"/>
  <c r="P354" i="2"/>
  <c r="O354" i="2"/>
  <c r="N354" i="2"/>
  <c r="I354" i="2"/>
  <c r="L354" i="2" s="1"/>
  <c r="G354" i="2"/>
  <c r="M354" i="2" s="1"/>
  <c r="R353" i="2"/>
  <c r="Q353" i="2"/>
  <c r="P353" i="2"/>
  <c r="O353" i="2"/>
  <c r="N353" i="2"/>
  <c r="I353" i="2"/>
  <c r="L353" i="2" s="1"/>
  <c r="M353" i="2" s="1"/>
  <c r="G353" i="2"/>
  <c r="R352" i="2"/>
  <c r="Q352" i="2"/>
  <c r="P352" i="2"/>
  <c r="O352" i="2"/>
  <c r="N352" i="2"/>
  <c r="I352" i="2"/>
  <c r="L352" i="2" s="1"/>
  <c r="G352" i="2"/>
  <c r="R351" i="2"/>
  <c r="Q351" i="2"/>
  <c r="P351" i="2"/>
  <c r="O351" i="2"/>
  <c r="N351" i="2"/>
  <c r="I351" i="2"/>
  <c r="L351" i="2" s="1"/>
  <c r="G351" i="2"/>
  <c r="R350" i="2"/>
  <c r="Q350" i="2"/>
  <c r="P350" i="2"/>
  <c r="O350" i="2"/>
  <c r="N350" i="2"/>
  <c r="I350" i="2"/>
  <c r="L350" i="2" s="1"/>
  <c r="G350" i="2"/>
  <c r="M350" i="2" s="1"/>
  <c r="R349" i="2"/>
  <c r="Q349" i="2"/>
  <c r="P349" i="2"/>
  <c r="O349" i="2"/>
  <c r="N349" i="2"/>
  <c r="L349" i="2"/>
  <c r="I349" i="2"/>
  <c r="G349" i="2"/>
  <c r="R348" i="2"/>
  <c r="Q348" i="2"/>
  <c r="P348" i="2"/>
  <c r="O348" i="2"/>
  <c r="N348" i="2"/>
  <c r="I348" i="2"/>
  <c r="L348" i="2" s="1"/>
  <c r="G348" i="2"/>
  <c r="R347" i="2"/>
  <c r="Q347" i="2"/>
  <c r="P347" i="2"/>
  <c r="O347" i="2"/>
  <c r="N347" i="2"/>
  <c r="I347" i="2"/>
  <c r="L347" i="2" s="1"/>
  <c r="G347" i="2"/>
  <c r="R346" i="2"/>
  <c r="Q346" i="2"/>
  <c r="P346" i="2"/>
  <c r="O346" i="2"/>
  <c r="N346" i="2"/>
  <c r="M346" i="2"/>
  <c r="L346" i="2"/>
  <c r="R345" i="2"/>
  <c r="Q345" i="2"/>
  <c r="P345" i="2"/>
  <c r="O345" i="2"/>
  <c r="M345" i="2"/>
  <c r="K345" i="2"/>
  <c r="L345" i="2" s="1"/>
  <c r="N345" i="2" s="1"/>
  <c r="S344" i="2"/>
  <c r="R344" i="2"/>
  <c r="Q344" i="2"/>
  <c r="P344" i="2"/>
  <c r="N344" i="2"/>
  <c r="M344" i="2"/>
  <c r="K344" i="2"/>
  <c r="L344" i="2" s="1"/>
  <c r="O344" i="2" s="1"/>
  <c r="S343" i="2"/>
  <c r="R343" i="2"/>
  <c r="Q343" i="2"/>
  <c r="O343" i="2"/>
  <c r="N343" i="2"/>
  <c r="M343" i="2"/>
  <c r="K343" i="2"/>
  <c r="L343" i="2" s="1"/>
  <c r="P343" i="2" s="1"/>
  <c r="A343" i="2"/>
  <c r="R342" i="2"/>
  <c r="Q342" i="2"/>
  <c r="P342" i="2"/>
  <c r="O342" i="2"/>
  <c r="N342" i="2"/>
  <c r="I342" i="2"/>
  <c r="L342" i="2" s="1"/>
  <c r="G342" i="2"/>
  <c r="R341" i="2"/>
  <c r="Q341" i="2"/>
  <c r="P341" i="2"/>
  <c r="O341" i="2"/>
  <c r="N341" i="2"/>
  <c r="I341" i="2"/>
  <c r="L341" i="2" s="1"/>
  <c r="G341" i="2"/>
  <c r="M341" i="2" s="1"/>
  <c r="R340" i="2"/>
  <c r="Q340" i="2"/>
  <c r="P340" i="2"/>
  <c r="O340" i="2"/>
  <c r="N340" i="2"/>
  <c r="I340" i="2"/>
  <c r="L340" i="2" s="1"/>
  <c r="G340" i="2"/>
  <c r="F340" i="2"/>
  <c r="R339" i="2"/>
  <c r="Q339" i="2"/>
  <c r="P339" i="2"/>
  <c r="O339" i="2"/>
  <c r="N339" i="2"/>
  <c r="I339" i="2"/>
  <c r="L339" i="2" s="1"/>
  <c r="G339" i="2"/>
  <c r="R338" i="2"/>
  <c r="Q338" i="2"/>
  <c r="P338" i="2"/>
  <c r="O338" i="2"/>
  <c r="N338" i="2"/>
  <c r="M338" i="2"/>
  <c r="L338" i="2"/>
  <c r="R337" i="2"/>
  <c r="Q337" i="2"/>
  <c r="P337" i="2"/>
  <c r="O337" i="2"/>
  <c r="M337" i="2"/>
  <c r="K337" i="2"/>
  <c r="L337" i="2" s="1"/>
  <c r="N337" i="2" s="1"/>
  <c r="S336" i="2"/>
  <c r="R336" i="2"/>
  <c r="Q336" i="2"/>
  <c r="P336" i="2"/>
  <c r="N336" i="2"/>
  <c r="M336" i="2"/>
  <c r="K336" i="2"/>
  <c r="L336" i="2" s="1"/>
  <c r="O336" i="2" s="1"/>
  <c r="S335" i="2"/>
  <c r="R335" i="2"/>
  <c r="Q335" i="2"/>
  <c r="O335" i="2"/>
  <c r="N335" i="2"/>
  <c r="M335" i="2"/>
  <c r="K335" i="2"/>
  <c r="L335" i="2" s="1"/>
  <c r="P335" i="2" s="1"/>
  <c r="A335" i="2"/>
  <c r="R334" i="2"/>
  <c r="Q334" i="2"/>
  <c r="P334" i="2"/>
  <c r="O334" i="2"/>
  <c r="N334" i="2"/>
  <c r="I334" i="2"/>
  <c r="L334" i="2" s="1"/>
  <c r="G334" i="2"/>
  <c r="R333" i="2"/>
  <c r="Q333" i="2"/>
  <c r="P333" i="2"/>
  <c r="O333" i="2"/>
  <c r="N333" i="2"/>
  <c r="I333" i="2"/>
  <c r="L333" i="2" s="1"/>
  <c r="G333" i="2"/>
  <c r="R332" i="2"/>
  <c r="Q332" i="2"/>
  <c r="P332" i="2"/>
  <c r="O332" i="2"/>
  <c r="N332" i="2"/>
  <c r="I332" i="2"/>
  <c r="L332" i="2" s="1"/>
  <c r="G332" i="2"/>
  <c r="M332" i="2" s="1"/>
  <c r="R331" i="2"/>
  <c r="Q331" i="2"/>
  <c r="P331" i="2"/>
  <c r="O331" i="2"/>
  <c r="N331" i="2"/>
  <c r="I331" i="2"/>
  <c r="L331" i="2" s="1"/>
  <c r="G331" i="2"/>
  <c r="F331" i="2"/>
  <c r="R330" i="2"/>
  <c r="Q330" i="2"/>
  <c r="P330" i="2"/>
  <c r="O330" i="2"/>
  <c r="N330" i="2"/>
  <c r="I330" i="2"/>
  <c r="L330" i="2" s="1"/>
  <c r="G330" i="2"/>
  <c r="R329" i="2"/>
  <c r="Q329" i="2"/>
  <c r="P329" i="2"/>
  <c r="O329" i="2"/>
  <c r="N329" i="2"/>
  <c r="M329" i="2"/>
  <c r="L329" i="2"/>
  <c r="R328" i="2"/>
  <c r="Q328" i="2"/>
  <c r="P328" i="2"/>
  <c r="O328" i="2"/>
  <c r="M328" i="2"/>
  <c r="K328" i="2"/>
  <c r="L328" i="2" s="1"/>
  <c r="N328" i="2" s="1"/>
  <c r="S327" i="2"/>
  <c r="R327" i="2"/>
  <c r="Q327" i="2"/>
  <c r="P327" i="2"/>
  <c r="N327" i="2"/>
  <c r="M327" i="2"/>
  <c r="K327" i="2"/>
  <c r="L327" i="2" s="1"/>
  <c r="O327" i="2" s="1"/>
  <c r="S326" i="2"/>
  <c r="R326" i="2"/>
  <c r="Q326" i="2"/>
  <c r="O326" i="2"/>
  <c r="N326" i="2"/>
  <c r="M326" i="2"/>
  <c r="K326" i="2"/>
  <c r="L326" i="2" s="1"/>
  <c r="P326" i="2" s="1"/>
  <c r="A326" i="2"/>
  <c r="R325" i="2"/>
  <c r="Q325" i="2"/>
  <c r="P325" i="2"/>
  <c r="O325" i="2"/>
  <c r="N325" i="2"/>
  <c r="I325" i="2"/>
  <c r="L325" i="2" s="1"/>
  <c r="M325" i="2" s="1"/>
  <c r="G325" i="2"/>
  <c r="R324" i="2"/>
  <c r="Q324" i="2"/>
  <c r="P324" i="2"/>
  <c r="O324" i="2"/>
  <c r="N324" i="2"/>
  <c r="L324" i="2"/>
  <c r="M324" i="2" s="1"/>
  <c r="I324" i="2"/>
  <c r="G324" i="2"/>
  <c r="R323" i="2"/>
  <c r="Q323" i="2"/>
  <c r="P323" i="2"/>
  <c r="O323" i="2"/>
  <c r="N323" i="2"/>
  <c r="I323" i="2"/>
  <c r="L323" i="2" s="1"/>
  <c r="G323" i="2"/>
  <c r="R322" i="2"/>
  <c r="Q322" i="2"/>
  <c r="P322" i="2"/>
  <c r="O322" i="2"/>
  <c r="N322" i="2"/>
  <c r="I322" i="2"/>
  <c r="L322" i="2" s="1"/>
  <c r="G322" i="2"/>
  <c r="R321" i="2"/>
  <c r="Q321" i="2"/>
  <c r="P321" i="2"/>
  <c r="O321" i="2"/>
  <c r="N321" i="2"/>
  <c r="I321" i="2"/>
  <c r="L321" i="2" s="1"/>
  <c r="G321" i="2"/>
  <c r="R320" i="2"/>
  <c r="Q320" i="2"/>
  <c r="P320" i="2"/>
  <c r="O320" i="2"/>
  <c r="N320" i="2"/>
  <c r="I320" i="2"/>
  <c r="L320" i="2" s="1"/>
  <c r="G320" i="2"/>
  <c r="R319" i="2"/>
  <c r="Q319" i="2"/>
  <c r="P319" i="2"/>
  <c r="O319" i="2"/>
  <c r="N319" i="2"/>
  <c r="I319" i="2"/>
  <c r="L319" i="2" s="1"/>
  <c r="G319" i="2"/>
  <c r="R318" i="2"/>
  <c r="Q318" i="2"/>
  <c r="P318" i="2"/>
  <c r="O318" i="2"/>
  <c r="N318" i="2"/>
  <c r="I318" i="2"/>
  <c r="L318" i="2" s="1"/>
  <c r="G318" i="2"/>
  <c r="R317" i="2"/>
  <c r="Q317" i="2"/>
  <c r="P317" i="2"/>
  <c r="O317" i="2"/>
  <c r="N317" i="2"/>
  <c r="M317" i="2"/>
  <c r="L317" i="2"/>
  <c r="R316" i="2"/>
  <c r="Q316" i="2"/>
  <c r="P316" i="2"/>
  <c r="O316" i="2"/>
  <c r="M316" i="2"/>
  <c r="K316" i="2"/>
  <c r="L316" i="2" s="1"/>
  <c r="N316" i="2" s="1"/>
  <c r="S315" i="2"/>
  <c r="R315" i="2"/>
  <c r="Q315" i="2"/>
  <c r="P315" i="2"/>
  <c r="N315" i="2"/>
  <c r="M315" i="2"/>
  <c r="K315" i="2"/>
  <c r="L315" i="2" s="1"/>
  <c r="O315" i="2" s="1"/>
  <c r="S314" i="2"/>
  <c r="R314" i="2"/>
  <c r="Q314" i="2"/>
  <c r="O314" i="2"/>
  <c r="N314" i="2"/>
  <c r="M314" i="2"/>
  <c r="K314" i="2"/>
  <c r="L314" i="2" s="1"/>
  <c r="P314" i="2" s="1"/>
  <c r="A314" i="2"/>
  <c r="R313" i="2"/>
  <c r="Q313" i="2"/>
  <c r="P313" i="2"/>
  <c r="O313" i="2"/>
  <c r="N313" i="2"/>
  <c r="I313" i="2"/>
  <c r="L313" i="2" s="1"/>
  <c r="G313" i="2"/>
  <c r="R312" i="2"/>
  <c r="Q312" i="2"/>
  <c r="P312" i="2"/>
  <c r="O312" i="2"/>
  <c r="N312" i="2"/>
  <c r="I312" i="2"/>
  <c r="L312" i="2" s="1"/>
  <c r="G312" i="2"/>
  <c r="R311" i="2"/>
  <c r="Q311" i="2"/>
  <c r="P311" i="2"/>
  <c r="O311" i="2"/>
  <c r="N311" i="2"/>
  <c r="I311" i="2"/>
  <c r="L311" i="2" s="1"/>
  <c r="G311" i="2"/>
  <c r="F311" i="2"/>
  <c r="R310" i="2"/>
  <c r="Q310" i="2"/>
  <c r="P310" i="2"/>
  <c r="O310" i="2"/>
  <c r="N310" i="2"/>
  <c r="I310" i="2"/>
  <c r="L310" i="2" s="1"/>
  <c r="G310" i="2"/>
  <c r="R309" i="2"/>
  <c r="Q309" i="2"/>
  <c r="P309" i="2"/>
  <c r="O309" i="2"/>
  <c r="N309" i="2"/>
  <c r="M309" i="2"/>
  <c r="L309" i="2"/>
  <c r="S308" i="2"/>
  <c r="R308" i="2"/>
  <c r="Q308" i="2"/>
  <c r="P308" i="2"/>
  <c r="N308" i="2"/>
  <c r="M308" i="2"/>
  <c r="K308" i="2"/>
  <c r="L308" i="2" s="1"/>
  <c r="O308" i="2" s="1"/>
  <c r="S307" i="2"/>
  <c r="R307" i="2"/>
  <c r="Q307" i="2"/>
  <c r="O307" i="2"/>
  <c r="N307" i="2"/>
  <c r="M307" i="2"/>
  <c r="K307" i="2"/>
  <c r="L307" i="2" s="1"/>
  <c r="P307" i="2" s="1"/>
  <c r="A307" i="2"/>
  <c r="R306" i="2"/>
  <c r="Q306" i="2"/>
  <c r="P306" i="2"/>
  <c r="O306" i="2"/>
  <c r="N306" i="2"/>
  <c r="I306" i="2"/>
  <c r="L306" i="2" s="1"/>
  <c r="G306" i="2"/>
  <c r="R305" i="2"/>
  <c r="Q305" i="2"/>
  <c r="P305" i="2"/>
  <c r="O305" i="2"/>
  <c r="N305" i="2"/>
  <c r="I305" i="2"/>
  <c r="L305" i="2" s="1"/>
  <c r="G305" i="2"/>
  <c r="R304" i="2"/>
  <c r="Q304" i="2"/>
  <c r="P304" i="2"/>
  <c r="O304" i="2"/>
  <c r="N304" i="2"/>
  <c r="I304" i="2"/>
  <c r="L304" i="2" s="1"/>
  <c r="G304" i="2"/>
  <c r="R303" i="2"/>
  <c r="Q303" i="2"/>
  <c r="P303" i="2"/>
  <c r="O303" i="2"/>
  <c r="N303" i="2"/>
  <c r="I303" i="2"/>
  <c r="L303" i="2" s="1"/>
  <c r="G303" i="2"/>
  <c r="R302" i="2"/>
  <c r="Q302" i="2"/>
  <c r="P302" i="2"/>
  <c r="O302" i="2"/>
  <c r="N302" i="2"/>
  <c r="M302" i="2"/>
  <c r="L302" i="2"/>
  <c r="S301" i="2"/>
  <c r="R301" i="2"/>
  <c r="Q301" i="2"/>
  <c r="P301" i="2"/>
  <c r="N301" i="2"/>
  <c r="M301" i="2"/>
  <c r="K301" i="2"/>
  <c r="L301" i="2" s="1"/>
  <c r="O301" i="2" s="1"/>
  <c r="S300" i="2"/>
  <c r="R300" i="2"/>
  <c r="Q300" i="2"/>
  <c r="O300" i="2"/>
  <c r="N300" i="2"/>
  <c r="M300" i="2"/>
  <c r="K300" i="2"/>
  <c r="L300" i="2" s="1"/>
  <c r="P300" i="2" s="1"/>
  <c r="A300" i="2"/>
  <c r="R299" i="2"/>
  <c r="Q299" i="2"/>
  <c r="P299" i="2"/>
  <c r="O299" i="2"/>
  <c r="N299" i="2"/>
  <c r="I299" i="2"/>
  <c r="L299" i="2" s="1"/>
  <c r="G299" i="2"/>
  <c r="R298" i="2"/>
  <c r="Q298" i="2"/>
  <c r="P298" i="2"/>
  <c r="O298" i="2"/>
  <c r="N298" i="2"/>
  <c r="I298" i="2"/>
  <c r="L298" i="2" s="1"/>
  <c r="G298" i="2"/>
  <c r="R297" i="2"/>
  <c r="Q297" i="2"/>
  <c r="P297" i="2"/>
  <c r="O297" i="2"/>
  <c r="N297" i="2"/>
  <c r="M297" i="2"/>
  <c r="L297" i="2"/>
  <c r="R296" i="2"/>
  <c r="Q296" i="2"/>
  <c r="P296" i="2"/>
  <c r="N296" i="2"/>
  <c r="M296" i="2"/>
  <c r="K296" i="2"/>
  <c r="L296" i="2" s="1"/>
  <c r="E296" i="2"/>
  <c r="S296" i="2" s="1"/>
  <c r="S295" i="2"/>
  <c r="R295" i="2"/>
  <c r="Q295" i="2"/>
  <c r="O295" i="2"/>
  <c r="N295" i="2"/>
  <c r="M295" i="2"/>
  <c r="K295" i="2"/>
  <c r="L295" i="2" s="1"/>
  <c r="P295" i="2" s="1"/>
  <c r="A295" i="2"/>
  <c r="R294" i="2"/>
  <c r="Q294" i="2"/>
  <c r="P294" i="2"/>
  <c r="O294" i="2"/>
  <c r="N294" i="2"/>
  <c r="I294" i="2"/>
  <c r="L294" i="2" s="1"/>
  <c r="G294" i="2"/>
  <c r="R293" i="2"/>
  <c r="Q293" i="2"/>
  <c r="P293" i="2"/>
  <c r="O293" i="2"/>
  <c r="N293" i="2"/>
  <c r="I293" i="2"/>
  <c r="L293" i="2" s="1"/>
  <c r="G293" i="2"/>
  <c r="R292" i="2"/>
  <c r="Q292" i="2"/>
  <c r="P292" i="2"/>
  <c r="O292" i="2"/>
  <c r="N292" i="2"/>
  <c r="I292" i="2"/>
  <c r="L292" i="2" s="1"/>
  <c r="G292" i="2"/>
  <c r="R291" i="2"/>
  <c r="Q291" i="2"/>
  <c r="P291" i="2"/>
  <c r="O291" i="2"/>
  <c r="N291" i="2"/>
  <c r="I291" i="2"/>
  <c r="L291" i="2" s="1"/>
  <c r="G291" i="2"/>
  <c r="R290" i="2"/>
  <c r="Q290" i="2"/>
  <c r="P290" i="2"/>
  <c r="O290" i="2"/>
  <c r="N290" i="2"/>
  <c r="M290" i="2"/>
  <c r="L290" i="2"/>
  <c r="R289" i="2"/>
  <c r="Q289" i="2"/>
  <c r="P289" i="2"/>
  <c r="N289" i="2"/>
  <c r="M289" i="2"/>
  <c r="K289" i="2"/>
  <c r="L289" i="2" s="1"/>
  <c r="E289" i="2"/>
  <c r="S289" i="2" s="1"/>
  <c r="S288" i="2"/>
  <c r="R288" i="2"/>
  <c r="Q288" i="2"/>
  <c r="O288" i="2"/>
  <c r="N288" i="2"/>
  <c r="M288" i="2"/>
  <c r="K288" i="2"/>
  <c r="L288" i="2" s="1"/>
  <c r="P288" i="2" s="1"/>
  <c r="A288" i="2"/>
  <c r="R287" i="2"/>
  <c r="Q287" i="2"/>
  <c r="P287" i="2"/>
  <c r="O287" i="2"/>
  <c r="N287" i="2"/>
  <c r="I287" i="2"/>
  <c r="L287" i="2" s="1"/>
  <c r="G287" i="2"/>
  <c r="R286" i="2"/>
  <c r="Q286" i="2"/>
  <c r="P286" i="2"/>
  <c r="O286" i="2"/>
  <c r="N286" i="2"/>
  <c r="I286" i="2"/>
  <c r="L286" i="2" s="1"/>
  <c r="M286" i="2" s="1"/>
  <c r="G286" i="2"/>
  <c r="R285" i="2"/>
  <c r="Q285" i="2"/>
  <c r="P285" i="2"/>
  <c r="O285" i="2"/>
  <c r="N285" i="2"/>
  <c r="I285" i="2"/>
  <c r="L285" i="2" s="1"/>
  <c r="M285" i="2" s="1"/>
  <c r="G285" i="2"/>
  <c r="R284" i="2"/>
  <c r="Q284" i="2"/>
  <c r="P284" i="2"/>
  <c r="O284" i="2"/>
  <c r="N284" i="2"/>
  <c r="M284" i="2"/>
  <c r="L284" i="2"/>
  <c r="S283" i="2"/>
  <c r="R283" i="2"/>
  <c r="Q283" i="2"/>
  <c r="P283" i="2"/>
  <c r="N283" i="2"/>
  <c r="M283" i="2"/>
  <c r="K283" i="2"/>
  <c r="L283" i="2" s="1"/>
  <c r="O283" i="2" s="1"/>
  <c r="S282" i="2"/>
  <c r="R282" i="2"/>
  <c r="Q282" i="2"/>
  <c r="O282" i="2"/>
  <c r="N282" i="2"/>
  <c r="M282" i="2"/>
  <c r="K282" i="2"/>
  <c r="L282" i="2" s="1"/>
  <c r="P282" i="2" s="1"/>
  <c r="A282" i="2"/>
  <c r="R281" i="2"/>
  <c r="Q281" i="2"/>
  <c r="P281" i="2"/>
  <c r="O281" i="2"/>
  <c r="N281" i="2"/>
  <c r="I281" i="2"/>
  <c r="L281" i="2" s="1"/>
  <c r="G281" i="2"/>
  <c r="R280" i="2"/>
  <c r="Q280" i="2"/>
  <c r="P280" i="2"/>
  <c r="O280" i="2"/>
  <c r="N280" i="2"/>
  <c r="I280" i="2"/>
  <c r="L280" i="2" s="1"/>
  <c r="G280" i="2"/>
  <c r="R279" i="2"/>
  <c r="Q279" i="2"/>
  <c r="P279" i="2"/>
  <c r="O279" i="2"/>
  <c r="N279" i="2"/>
  <c r="M279" i="2"/>
  <c r="L279" i="2"/>
  <c r="S278" i="2"/>
  <c r="R278" i="2"/>
  <c r="Q278" i="2"/>
  <c r="P278" i="2"/>
  <c r="N278" i="2"/>
  <c r="M278" i="2"/>
  <c r="K278" i="2"/>
  <c r="L278" i="2" s="1"/>
  <c r="O278" i="2" s="1"/>
  <c r="S277" i="2"/>
  <c r="R277" i="2"/>
  <c r="Q277" i="2"/>
  <c r="O277" i="2"/>
  <c r="N277" i="2"/>
  <c r="M277" i="2"/>
  <c r="K277" i="2"/>
  <c r="L277" i="2" s="1"/>
  <c r="P277" i="2" s="1"/>
  <c r="A277" i="2"/>
  <c r="R276" i="2"/>
  <c r="Q276" i="2"/>
  <c r="P276" i="2"/>
  <c r="O276" i="2"/>
  <c r="N276" i="2"/>
  <c r="I276" i="2"/>
  <c r="L276" i="2" s="1"/>
  <c r="G276" i="2"/>
  <c r="R275" i="2"/>
  <c r="Q275" i="2"/>
  <c r="P275" i="2"/>
  <c r="O275" i="2"/>
  <c r="N275" i="2"/>
  <c r="I275" i="2"/>
  <c r="L275" i="2" s="1"/>
  <c r="G275" i="2"/>
  <c r="R274" i="2"/>
  <c r="Q274" i="2"/>
  <c r="P274" i="2"/>
  <c r="O274" i="2"/>
  <c r="N274" i="2"/>
  <c r="I274" i="2"/>
  <c r="L274" i="2" s="1"/>
  <c r="G274" i="2"/>
  <c r="R273" i="2"/>
  <c r="Q273" i="2"/>
  <c r="P273" i="2"/>
  <c r="O273" i="2"/>
  <c r="N273" i="2"/>
  <c r="I273" i="2"/>
  <c r="L273" i="2" s="1"/>
  <c r="G273" i="2"/>
  <c r="R272" i="2"/>
  <c r="Q272" i="2"/>
  <c r="P272" i="2"/>
  <c r="O272" i="2"/>
  <c r="N272" i="2"/>
  <c r="I272" i="2"/>
  <c r="L272" i="2" s="1"/>
  <c r="G272" i="2"/>
  <c r="R271" i="2"/>
  <c r="Q271" i="2"/>
  <c r="P271" i="2"/>
  <c r="O271" i="2"/>
  <c r="N271" i="2"/>
  <c r="L271" i="2"/>
  <c r="M271" i="2" s="1"/>
  <c r="I271" i="2"/>
  <c r="G271" i="2"/>
  <c r="R270" i="2"/>
  <c r="Q270" i="2"/>
  <c r="P270" i="2"/>
  <c r="O270" i="2"/>
  <c r="N270" i="2"/>
  <c r="I270" i="2"/>
  <c r="L270" i="2" s="1"/>
  <c r="G270" i="2"/>
  <c r="R269" i="2"/>
  <c r="Q269" i="2"/>
  <c r="P269" i="2"/>
  <c r="O269" i="2"/>
  <c r="N269" i="2"/>
  <c r="I269" i="2"/>
  <c r="L269" i="2" s="1"/>
  <c r="G269" i="2"/>
  <c r="R268" i="2"/>
  <c r="Q268" i="2"/>
  <c r="P268" i="2"/>
  <c r="O268" i="2"/>
  <c r="N268" i="2"/>
  <c r="M268" i="2"/>
  <c r="L268" i="2"/>
  <c r="R267" i="2"/>
  <c r="Q267" i="2"/>
  <c r="P267" i="2"/>
  <c r="O267" i="2"/>
  <c r="M267" i="2"/>
  <c r="K267" i="2"/>
  <c r="L267" i="2" s="1"/>
  <c r="N267" i="2" s="1"/>
  <c r="S266" i="2"/>
  <c r="R266" i="2"/>
  <c r="Q266" i="2"/>
  <c r="P266" i="2"/>
  <c r="N266" i="2"/>
  <c r="M266" i="2"/>
  <c r="L266" i="2"/>
  <c r="O266" i="2" s="1"/>
  <c r="K266" i="2"/>
  <c r="S265" i="2"/>
  <c r="R265" i="2"/>
  <c r="Q265" i="2"/>
  <c r="O265" i="2"/>
  <c r="N265" i="2"/>
  <c r="M265" i="2"/>
  <c r="L265" i="2"/>
  <c r="P265" i="2" s="1"/>
  <c r="K265" i="2"/>
  <c r="A265" i="2"/>
  <c r="R264" i="2"/>
  <c r="Q264" i="2"/>
  <c r="P264" i="2"/>
  <c r="O264" i="2"/>
  <c r="N264" i="2"/>
  <c r="I264" i="2"/>
  <c r="L264" i="2" s="1"/>
  <c r="G264" i="2"/>
  <c r="R263" i="2"/>
  <c r="Q263" i="2"/>
  <c r="P263" i="2"/>
  <c r="O263" i="2"/>
  <c r="N263" i="2"/>
  <c r="I263" i="2"/>
  <c r="L263" i="2" s="1"/>
  <c r="G263" i="2"/>
  <c r="R262" i="2"/>
  <c r="Q262" i="2"/>
  <c r="P262" i="2"/>
  <c r="O262" i="2"/>
  <c r="N262" i="2"/>
  <c r="I262" i="2"/>
  <c r="L262" i="2" s="1"/>
  <c r="G262" i="2"/>
  <c r="R261" i="2"/>
  <c r="Q261" i="2"/>
  <c r="P261" i="2"/>
  <c r="O261" i="2"/>
  <c r="N261" i="2"/>
  <c r="I261" i="2"/>
  <c r="L261" i="2" s="1"/>
  <c r="G261" i="2"/>
  <c r="R260" i="2"/>
  <c r="Q260" i="2"/>
  <c r="P260" i="2"/>
  <c r="O260" i="2"/>
  <c r="N260" i="2"/>
  <c r="I260" i="2"/>
  <c r="L260" i="2" s="1"/>
  <c r="G260" i="2"/>
  <c r="R259" i="2"/>
  <c r="Q259" i="2"/>
  <c r="P259" i="2"/>
  <c r="O259" i="2"/>
  <c r="N259" i="2"/>
  <c r="I259" i="2"/>
  <c r="L259" i="2" s="1"/>
  <c r="G259" i="2"/>
  <c r="R258" i="2"/>
  <c r="Q258" i="2"/>
  <c r="P258" i="2"/>
  <c r="O258" i="2"/>
  <c r="N258" i="2"/>
  <c r="I258" i="2"/>
  <c r="L258" i="2" s="1"/>
  <c r="G258" i="2"/>
  <c r="R257" i="2"/>
  <c r="Q257" i="2"/>
  <c r="P257" i="2"/>
  <c r="O257" i="2"/>
  <c r="N257" i="2"/>
  <c r="I257" i="2"/>
  <c r="L257" i="2" s="1"/>
  <c r="G257" i="2"/>
  <c r="R256" i="2"/>
  <c r="Q256" i="2"/>
  <c r="P256" i="2"/>
  <c r="O256" i="2"/>
  <c r="N256" i="2"/>
  <c r="M256" i="2"/>
  <c r="L256" i="2"/>
  <c r="R255" i="2"/>
  <c r="Q255" i="2"/>
  <c r="P255" i="2"/>
  <c r="O255" i="2"/>
  <c r="M255" i="2"/>
  <c r="K255" i="2"/>
  <c r="L255" i="2" s="1"/>
  <c r="N255" i="2" s="1"/>
  <c r="S254" i="2"/>
  <c r="R254" i="2"/>
  <c r="Q254" i="2"/>
  <c r="P254" i="2"/>
  <c r="N254" i="2"/>
  <c r="M254" i="2"/>
  <c r="K254" i="2"/>
  <c r="L254" i="2" s="1"/>
  <c r="O254" i="2" s="1"/>
  <c r="S253" i="2"/>
  <c r="R253" i="2"/>
  <c r="Q253" i="2"/>
  <c r="O253" i="2"/>
  <c r="N253" i="2"/>
  <c r="M253" i="2"/>
  <c r="K253" i="2"/>
  <c r="L253" i="2" s="1"/>
  <c r="P253" i="2" s="1"/>
  <c r="A253" i="2"/>
  <c r="R252" i="2"/>
  <c r="Q252" i="2"/>
  <c r="P252" i="2"/>
  <c r="O252" i="2"/>
  <c r="N252" i="2"/>
  <c r="M252" i="2"/>
  <c r="L252" i="2"/>
  <c r="R251" i="2"/>
  <c r="Q251" i="2"/>
  <c r="P251" i="2"/>
  <c r="O251" i="2"/>
  <c r="N251" i="2"/>
  <c r="I251" i="2"/>
  <c r="L251" i="2" s="1"/>
  <c r="G251" i="2"/>
  <c r="R250" i="2"/>
  <c r="Q250" i="2"/>
  <c r="P250" i="2"/>
  <c r="O250" i="2"/>
  <c r="N250" i="2"/>
  <c r="I250" i="2"/>
  <c r="L250" i="2" s="1"/>
  <c r="G250" i="2"/>
  <c r="R249" i="2"/>
  <c r="Q249" i="2"/>
  <c r="P249" i="2"/>
  <c r="O249" i="2"/>
  <c r="N249" i="2"/>
  <c r="I249" i="2"/>
  <c r="L249" i="2" s="1"/>
  <c r="G249" i="2"/>
  <c r="R248" i="2"/>
  <c r="Q248" i="2"/>
  <c r="P248" i="2"/>
  <c r="O248" i="2"/>
  <c r="M248" i="2"/>
  <c r="I248" i="2"/>
  <c r="L248" i="2" s="1"/>
  <c r="G248" i="2"/>
  <c r="F248" i="2"/>
  <c r="R247" i="2"/>
  <c r="Q247" i="2"/>
  <c r="P247" i="2"/>
  <c r="O247" i="2"/>
  <c r="M247" i="2"/>
  <c r="I247" i="2"/>
  <c r="L247" i="2" s="1"/>
  <c r="G247" i="2"/>
  <c r="R246" i="2"/>
  <c r="Q246" i="2"/>
  <c r="P246" i="2"/>
  <c r="O246" i="2"/>
  <c r="M246" i="2"/>
  <c r="I246" i="2"/>
  <c r="L246" i="2" s="1"/>
  <c r="G246" i="2"/>
  <c r="E246" i="2"/>
  <c r="E247" i="2" s="1"/>
  <c r="E248" i="2" s="1"/>
  <c r="S245" i="2"/>
  <c r="R245" i="2"/>
  <c r="Q245" i="2"/>
  <c r="O245" i="2"/>
  <c r="N245" i="2"/>
  <c r="M245" i="2"/>
  <c r="K245" i="2"/>
  <c r="L245" i="2" s="1"/>
  <c r="P245" i="2" s="1"/>
  <c r="S244" i="2"/>
  <c r="R244" i="2"/>
  <c r="P244" i="2"/>
  <c r="O244" i="2"/>
  <c r="N244" i="2"/>
  <c r="M244" i="2"/>
  <c r="K244" i="2"/>
  <c r="L244" i="2" s="1"/>
  <c r="Q244" i="2" s="1"/>
  <c r="A244" i="2"/>
  <c r="R243" i="2"/>
  <c r="Q243" i="2"/>
  <c r="P243" i="2"/>
  <c r="O243" i="2"/>
  <c r="N243" i="2"/>
  <c r="I243" i="2"/>
  <c r="L243" i="2" s="1"/>
  <c r="G243" i="2"/>
  <c r="R242" i="2"/>
  <c r="Q242" i="2"/>
  <c r="P242" i="2"/>
  <c r="O242" i="2"/>
  <c r="N242" i="2"/>
  <c r="I242" i="2"/>
  <c r="L242" i="2" s="1"/>
  <c r="G242" i="2"/>
  <c r="R241" i="2"/>
  <c r="Q241" i="2"/>
  <c r="P241" i="2"/>
  <c r="O241" i="2"/>
  <c r="N241" i="2"/>
  <c r="I241" i="2"/>
  <c r="L241" i="2" s="1"/>
  <c r="G241" i="2"/>
  <c r="R240" i="2"/>
  <c r="Q240" i="2"/>
  <c r="P240" i="2"/>
  <c r="O240" i="2"/>
  <c r="M240" i="2"/>
  <c r="I240" i="2"/>
  <c r="L240" i="2" s="1"/>
  <c r="G240" i="2"/>
  <c r="F240" i="2"/>
  <c r="R239" i="2"/>
  <c r="Q239" i="2"/>
  <c r="P239" i="2"/>
  <c r="O239" i="2"/>
  <c r="M239" i="2"/>
  <c r="I239" i="2"/>
  <c r="L239" i="2" s="1"/>
  <c r="G239" i="2"/>
  <c r="F239" i="2"/>
  <c r="R238" i="2"/>
  <c r="Q238" i="2"/>
  <c r="P238" i="2"/>
  <c r="O238" i="2"/>
  <c r="M238" i="2"/>
  <c r="I238" i="2"/>
  <c r="L238" i="2" s="1"/>
  <c r="G238" i="2"/>
  <c r="R237" i="2"/>
  <c r="Q237" i="2"/>
  <c r="P237" i="2"/>
  <c r="N237" i="2"/>
  <c r="M237" i="2"/>
  <c r="K237" i="2"/>
  <c r="L237" i="2" s="1"/>
  <c r="E237" i="2"/>
  <c r="S236" i="2"/>
  <c r="R236" i="2"/>
  <c r="Q236" i="2"/>
  <c r="O236" i="2"/>
  <c r="N236" i="2"/>
  <c r="M236" i="2"/>
  <c r="K236" i="2"/>
  <c r="L236" i="2" s="1"/>
  <c r="P236" i="2" s="1"/>
  <c r="A236" i="2"/>
  <c r="R235" i="2"/>
  <c r="Q235" i="2"/>
  <c r="P235" i="2"/>
  <c r="O235" i="2"/>
  <c r="N235" i="2"/>
  <c r="I235" i="2"/>
  <c r="L235" i="2" s="1"/>
  <c r="G235" i="2"/>
  <c r="R234" i="2"/>
  <c r="Q234" i="2"/>
  <c r="P234" i="2"/>
  <c r="O234" i="2"/>
  <c r="N234" i="2"/>
  <c r="I234" i="2"/>
  <c r="L234" i="2" s="1"/>
  <c r="G234" i="2"/>
  <c r="R233" i="2"/>
  <c r="Q233" i="2"/>
  <c r="P233" i="2"/>
  <c r="O233" i="2"/>
  <c r="N233" i="2"/>
  <c r="I233" i="2"/>
  <c r="L233" i="2" s="1"/>
  <c r="G233" i="2"/>
  <c r="R232" i="2"/>
  <c r="Q232" i="2"/>
  <c r="P232" i="2"/>
  <c r="O232" i="2"/>
  <c r="N232" i="2"/>
  <c r="I232" i="2"/>
  <c r="L232" i="2" s="1"/>
  <c r="G232" i="2"/>
  <c r="R231" i="2"/>
  <c r="Q231" i="2"/>
  <c r="P231" i="2"/>
  <c r="O231" i="2"/>
  <c r="M231" i="2"/>
  <c r="I231" i="2"/>
  <c r="L231" i="2" s="1"/>
  <c r="G231" i="2"/>
  <c r="R230" i="2"/>
  <c r="Q230" i="2"/>
  <c r="P230" i="2"/>
  <c r="O230" i="2"/>
  <c r="M230" i="2"/>
  <c r="I230" i="2"/>
  <c r="L230" i="2" s="1"/>
  <c r="G230" i="2"/>
  <c r="F230" i="2"/>
  <c r="R229" i="2"/>
  <c r="Q229" i="2"/>
  <c r="P229" i="2"/>
  <c r="O229" i="2"/>
  <c r="M229" i="2"/>
  <c r="I229" i="2"/>
  <c r="L229" i="2" s="1"/>
  <c r="G229" i="2"/>
  <c r="R228" i="2"/>
  <c r="Q228" i="2"/>
  <c r="P228" i="2"/>
  <c r="O228" i="2"/>
  <c r="M228" i="2"/>
  <c r="I228" i="2"/>
  <c r="L228" i="2" s="1"/>
  <c r="G228" i="2"/>
  <c r="R227" i="2"/>
  <c r="Q227" i="2"/>
  <c r="P227" i="2"/>
  <c r="N227" i="2"/>
  <c r="M227" i="2"/>
  <c r="K227" i="2"/>
  <c r="L227" i="2" s="1"/>
  <c r="O227" i="2" s="1"/>
  <c r="E227" i="2"/>
  <c r="E228" i="2" s="1"/>
  <c r="S226" i="2"/>
  <c r="R226" i="2"/>
  <c r="Q226" i="2"/>
  <c r="O226" i="2"/>
  <c r="N226" i="2"/>
  <c r="M226" i="2"/>
  <c r="L226" i="2"/>
  <c r="P226" i="2" s="1"/>
  <c r="K226" i="2"/>
  <c r="A226" i="2"/>
  <c r="R225" i="2"/>
  <c r="Q225" i="2"/>
  <c r="P225" i="2"/>
  <c r="O225" i="2"/>
  <c r="N225" i="2"/>
  <c r="I225" i="2"/>
  <c r="L225" i="2" s="1"/>
  <c r="G225" i="2"/>
  <c r="R224" i="2"/>
  <c r="Q224" i="2"/>
  <c r="P224" i="2"/>
  <c r="O224" i="2"/>
  <c r="N224" i="2"/>
  <c r="I224" i="2"/>
  <c r="L224" i="2" s="1"/>
  <c r="G224" i="2"/>
  <c r="R223" i="2"/>
  <c r="Q223" i="2"/>
  <c r="P223" i="2"/>
  <c r="O223" i="2"/>
  <c r="N223" i="2"/>
  <c r="I223" i="2"/>
  <c r="L223" i="2" s="1"/>
  <c r="G223" i="2"/>
  <c r="R222" i="2"/>
  <c r="Q222" i="2"/>
  <c r="P222" i="2"/>
  <c r="O222" i="2"/>
  <c r="N222" i="2"/>
  <c r="I222" i="2"/>
  <c r="L222" i="2" s="1"/>
  <c r="G222" i="2"/>
  <c r="R221" i="2"/>
  <c r="Q221" i="2"/>
  <c r="P221" i="2"/>
  <c r="O221" i="2"/>
  <c r="M221" i="2"/>
  <c r="I221" i="2"/>
  <c r="L221" i="2" s="1"/>
  <c r="G221" i="2"/>
  <c r="R220" i="2"/>
  <c r="Q220" i="2"/>
  <c r="P220" i="2"/>
  <c r="O220" i="2"/>
  <c r="M220" i="2"/>
  <c r="I220" i="2"/>
  <c r="L220" i="2" s="1"/>
  <c r="G220" i="2"/>
  <c r="F220" i="2"/>
  <c r="R219" i="2"/>
  <c r="Q219" i="2"/>
  <c r="P219" i="2"/>
  <c r="O219" i="2"/>
  <c r="M219" i="2"/>
  <c r="I219" i="2"/>
  <c r="L219" i="2" s="1"/>
  <c r="G219" i="2"/>
  <c r="R218" i="2"/>
  <c r="Q218" i="2"/>
  <c r="P218" i="2"/>
  <c r="O218" i="2"/>
  <c r="M218" i="2"/>
  <c r="I218" i="2"/>
  <c r="L218" i="2" s="1"/>
  <c r="G218" i="2"/>
  <c r="R217" i="2"/>
  <c r="Q217" i="2"/>
  <c r="P217" i="2"/>
  <c r="N217" i="2"/>
  <c r="M217" i="2"/>
  <c r="K217" i="2"/>
  <c r="L217" i="2" s="1"/>
  <c r="E217" i="2"/>
  <c r="S217" i="2" s="1"/>
  <c r="S216" i="2"/>
  <c r="R216" i="2"/>
  <c r="Q216" i="2"/>
  <c r="O216" i="2"/>
  <c r="N216" i="2"/>
  <c r="M216" i="2"/>
  <c r="K216" i="2"/>
  <c r="L216" i="2" s="1"/>
  <c r="P216" i="2" s="1"/>
  <c r="A216" i="2"/>
  <c r="R215" i="2"/>
  <c r="Q215" i="2"/>
  <c r="P215" i="2"/>
  <c r="O215" i="2"/>
  <c r="N215" i="2"/>
  <c r="I215" i="2"/>
  <c r="L215" i="2" s="1"/>
  <c r="G215" i="2"/>
  <c r="R214" i="2"/>
  <c r="Q214" i="2"/>
  <c r="P214" i="2"/>
  <c r="O214" i="2"/>
  <c r="N214" i="2"/>
  <c r="I214" i="2"/>
  <c r="L214" i="2" s="1"/>
  <c r="G214" i="2"/>
  <c r="R213" i="2"/>
  <c r="Q213" i="2"/>
  <c r="P213" i="2"/>
  <c r="O213" i="2"/>
  <c r="N213" i="2"/>
  <c r="I213" i="2"/>
  <c r="L213" i="2" s="1"/>
  <c r="G213" i="2"/>
  <c r="R212" i="2"/>
  <c r="Q212" i="2"/>
  <c r="P212" i="2"/>
  <c r="O212" i="2"/>
  <c r="N212" i="2"/>
  <c r="I212" i="2"/>
  <c r="L212" i="2" s="1"/>
  <c r="G212" i="2"/>
  <c r="R211" i="2"/>
  <c r="Q211" i="2"/>
  <c r="P211" i="2"/>
  <c r="O211" i="2"/>
  <c r="M211" i="2"/>
  <c r="I211" i="2"/>
  <c r="L211" i="2" s="1"/>
  <c r="G211" i="2"/>
  <c r="R210" i="2"/>
  <c r="Q210" i="2"/>
  <c r="P210" i="2"/>
  <c r="O210" i="2"/>
  <c r="M210" i="2"/>
  <c r="I210" i="2"/>
  <c r="L210" i="2" s="1"/>
  <c r="G210" i="2"/>
  <c r="F210" i="2"/>
  <c r="R209" i="2"/>
  <c r="Q209" i="2"/>
  <c r="P209" i="2"/>
  <c r="O209" i="2"/>
  <c r="M209" i="2"/>
  <c r="I209" i="2"/>
  <c r="L209" i="2" s="1"/>
  <c r="G209" i="2"/>
  <c r="R208" i="2"/>
  <c r="Q208" i="2"/>
  <c r="P208" i="2"/>
  <c r="O208" i="2"/>
  <c r="M208" i="2"/>
  <c r="I208" i="2"/>
  <c r="L208" i="2" s="1"/>
  <c r="G208" i="2"/>
  <c r="E208" i="2"/>
  <c r="S207" i="2"/>
  <c r="R207" i="2"/>
  <c r="P207" i="2"/>
  <c r="O207" i="2"/>
  <c r="N207" i="2"/>
  <c r="M207" i="2"/>
  <c r="K207" i="2"/>
  <c r="L207" i="2" s="1"/>
  <c r="Q207" i="2" s="1"/>
  <c r="A207" i="2"/>
  <c r="R206" i="2"/>
  <c r="Q206" i="2"/>
  <c r="P206" i="2"/>
  <c r="O206" i="2"/>
  <c r="N206" i="2"/>
  <c r="I206" i="2"/>
  <c r="L206" i="2" s="1"/>
  <c r="G206" i="2"/>
  <c r="R205" i="2"/>
  <c r="Q205" i="2"/>
  <c r="P205" i="2"/>
  <c r="O205" i="2"/>
  <c r="N205" i="2"/>
  <c r="I205" i="2"/>
  <c r="L205" i="2" s="1"/>
  <c r="G205" i="2"/>
  <c r="R204" i="2"/>
  <c r="Q204" i="2"/>
  <c r="P204" i="2"/>
  <c r="O204" i="2"/>
  <c r="N204" i="2"/>
  <c r="I204" i="2"/>
  <c r="L204" i="2" s="1"/>
  <c r="G204" i="2"/>
  <c r="R203" i="2"/>
  <c r="Q203" i="2"/>
  <c r="P203" i="2"/>
  <c r="O203" i="2"/>
  <c r="M203" i="2"/>
  <c r="I203" i="2"/>
  <c r="L203" i="2" s="1"/>
  <c r="G203" i="2"/>
  <c r="F203" i="2"/>
  <c r="R202" i="2"/>
  <c r="Q202" i="2"/>
  <c r="P202" i="2"/>
  <c r="O202" i="2"/>
  <c r="M202" i="2"/>
  <c r="I202" i="2"/>
  <c r="L202" i="2" s="1"/>
  <c r="G202" i="2"/>
  <c r="R201" i="2"/>
  <c r="Q201" i="2"/>
  <c r="P201" i="2"/>
  <c r="O201" i="2"/>
  <c r="M201" i="2"/>
  <c r="I201" i="2"/>
  <c r="L201" i="2" s="1"/>
  <c r="G201" i="2"/>
  <c r="R200" i="2"/>
  <c r="P200" i="2"/>
  <c r="O200" i="2"/>
  <c r="N200" i="2"/>
  <c r="M200" i="2"/>
  <c r="K200" i="2"/>
  <c r="L200" i="2" s="1"/>
  <c r="E200" i="2"/>
  <c r="S200" i="2" s="1"/>
  <c r="S199" i="2"/>
  <c r="Q199" i="2"/>
  <c r="P199" i="2"/>
  <c r="O199" i="2"/>
  <c r="N199" i="2"/>
  <c r="M199" i="2"/>
  <c r="K199" i="2"/>
  <c r="L199" i="2" s="1"/>
  <c r="R199" i="2" s="1"/>
  <c r="A199" i="2"/>
  <c r="R198" i="2"/>
  <c r="Q198" i="2"/>
  <c r="P198" i="2"/>
  <c r="O198" i="2"/>
  <c r="N198" i="2"/>
  <c r="I198" i="2"/>
  <c r="L198" i="2" s="1"/>
  <c r="G198" i="2"/>
  <c r="R197" i="2"/>
  <c r="Q197" i="2"/>
  <c r="P197" i="2"/>
  <c r="O197" i="2"/>
  <c r="N197" i="2"/>
  <c r="I197" i="2"/>
  <c r="L197" i="2" s="1"/>
  <c r="G197" i="2"/>
  <c r="R196" i="2"/>
  <c r="Q196" i="2"/>
  <c r="P196" i="2"/>
  <c r="O196" i="2"/>
  <c r="N196" i="2"/>
  <c r="I196" i="2"/>
  <c r="L196" i="2" s="1"/>
  <c r="G196" i="2"/>
  <c r="R195" i="2"/>
  <c r="Q195" i="2"/>
  <c r="P195" i="2"/>
  <c r="O195" i="2"/>
  <c r="M195" i="2"/>
  <c r="I195" i="2"/>
  <c r="L195" i="2" s="1"/>
  <c r="G195" i="2"/>
  <c r="F195" i="2"/>
  <c r="R194" i="2"/>
  <c r="Q194" i="2"/>
  <c r="P194" i="2"/>
  <c r="O194" i="2"/>
  <c r="M194" i="2"/>
  <c r="I194" i="2"/>
  <c r="L194" i="2" s="1"/>
  <c r="G194" i="2"/>
  <c r="R193" i="2"/>
  <c r="Q193" i="2"/>
  <c r="P193" i="2"/>
  <c r="O193" i="2"/>
  <c r="M193" i="2"/>
  <c r="I193" i="2"/>
  <c r="L193" i="2" s="1"/>
  <c r="G193" i="2"/>
  <c r="R192" i="2"/>
  <c r="Q192" i="2"/>
  <c r="O192" i="2"/>
  <c r="N192" i="2"/>
  <c r="M192" i="2"/>
  <c r="K192" i="2"/>
  <c r="L192" i="2" s="1"/>
  <c r="P192" i="2" s="1"/>
  <c r="E192" i="2"/>
  <c r="S192" i="2" s="1"/>
  <c r="S191" i="2"/>
  <c r="R191" i="2"/>
  <c r="P191" i="2"/>
  <c r="O191" i="2"/>
  <c r="N191" i="2"/>
  <c r="M191" i="2"/>
  <c r="K191" i="2"/>
  <c r="L191" i="2" s="1"/>
  <c r="Q191" i="2" s="1"/>
  <c r="A191" i="2"/>
  <c r="R190" i="2"/>
  <c r="Q190" i="2"/>
  <c r="P190" i="2"/>
  <c r="O190" i="2"/>
  <c r="N190" i="2"/>
  <c r="I190" i="2"/>
  <c r="L190" i="2" s="1"/>
  <c r="G190" i="2"/>
  <c r="R189" i="2"/>
  <c r="Q189" i="2"/>
  <c r="P189" i="2"/>
  <c r="O189" i="2"/>
  <c r="N189" i="2"/>
  <c r="I189" i="2"/>
  <c r="L189" i="2" s="1"/>
  <c r="G189" i="2"/>
  <c r="R188" i="2"/>
  <c r="Q188" i="2"/>
  <c r="P188" i="2"/>
  <c r="O188" i="2"/>
  <c r="N188" i="2"/>
  <c r="I188" i="2"/>
  <c r="L188" i="2" s="1"/>
  <c r="G188" i="2"/>
  <c r="R187" i="2"/>
  <c r="Q187" i="2"/>
  <c r="P187" i="2"/>
  <c r="O187" i="2"/>
  <c r="M187" i="2"/>
  <c r="I187" i="2"/>
  <c r="L187" i="2" s="1"/>
  <c r="G187" i="2"/>
  <c r="F187" i="2"/>
  <c r="R186" i="2"/>
  <c r="Q186" i="2"/>
  <c r="P186" i="2"/>
  <c r="O186" i="2"/>
  <c r="M186" i="2"/>
  <c r="I186" i="2"/>
  <c r="L186" i="2" s="1"/>
  <c r="G186" i="2"/>
  <c r="R185" i="2"/>
  <c r="Q185" i="2"/>
  <c r="P185" i="2"/>
  <c r="O185" i="2"/>
  <c r="M185" i="2"/>
  <c r="I185" i="2"/>
  <c r="L185" i="2" s="1"/>
  <c r="G185" i="2"/>
  <c r="R184" i="2"/>
  <c r="Q184" i="2"/>
  <c r="P184" i="2"/>
  <c r="N184" i="2"/>
  <c r="M184" i="2"/>
  <c r="K184" i="2"/>
  <c r="L184" i="2" s="1"/>
  <c r="E184" i="2"/>
  <c r="S184" i="2" s="1"/>
  <c r="R183" i="2"/>
  <c r="Q183" i="2"/>
  <c r="O183" i="2"/>
  <c r="N183" i="2"/>
  <c r="M183" i="2"/>
  <c r="K183" i="2"/>
  <c r="L183" i="2" s="1"/>
  <c r="P183" i="2" s="1"/>
  <c r="A183" i="2"/>
  <c r="Q200" i="2" l="1"/>
  <c r="O289" i="2"/>
  <c r="M298" i="2"/>
  <c r="M303" i="2"/>
  <c r="M331" i="2"/>
  <c r="M340" i="2"/>
  <c r="M334" i="2"/>
  <c r="O217" i="2"/>
  <c r="M272" i="2"/>
  <c r="M320" i="2"/>
  <c r="M362" i="2"/>
  <c r="M351" i="2"/>
  <c r="M258" i="2"/>
  <c r="M321" i="2"/>
  <c r="M359" i="2"/>
  <c r="E218" i="2"/>
  <c r="E219" i="2" s="1"/>
  <c r="E220" i="2" s="1"/>
  <c r="N220" i="2" s="1"/>
  <c r="M262" i="2"/>
  <c r="M274" i="2"/>
  <c r="M280" i="2"/>
  <c r="M281" i="2"/>
  <c r="M292" i="2"/>
  <c r="M299" i="2"/>
  <c r="M306" i="2"/>
  <c r="M312" i="2"/>
  <c r="M330" i="2"/>
  <c r="M339" i="2"/>
  <c r="M348" i="2"/>
  <c r="O237" i="2"/>
  <c r="M259" i="2"/>
  <c r="M261" i="2"/>
  <c r="M305" i="2"/>
  <c r="M310" i="2"/>
  <c r="M347" i="2"/>
  <c r="M352" i="2"/>
  <c r="M360" i="2"/>
  <c r="M333" i="2"/>
  <c r="M342" i="2"/>
  <c r="M257" i="2"/>
  <c r="M275" i="2"/>
  <c r="M293" i="2"/>
  <c r="E193" i="2"/>
  <c r="E194" i="2" s="1"/>
  <c r="E201" i="2"/>
  <c r="E202" i="2" s="1"/>
  <c r="E203" i="2" s="1"/>
  <c r="S227" i="2"/>
  <c r="N193" i="2"/>
  <c r="N208" i="2"/>
  <c r="E209" i="2"/>
  <c r="N209" i="2" s="1"/>
  <c r="N246" i="2"/>
  <c r="M276" i="2"/>
  <c r="M294" i="2"/>
  <c r="M311" i="2"/>
  <c r="M349" i="2"/>
  <c r="N218" i="2"/>
  <c r="M361" i="2"/>
  <c r="E195" i="2"/>
  <c r="N194" i="2"/>
  <c r="N203" i="2"/>
  <c r="E204" i="2"/>
  <c r="O184" i="2"/>
  <c r="E210" i="2"/>
  <c r="E185" i="2"/>
  <c r="N202" i="2"/>
  <c r="E229" i="2"/>
  <c r="N228" i="2"/>
  <c r="M264" i="2"/>
  <c r="M270" i="2"/>
  <c r="M273" i="2"/>
  <c r="M291" i="2"/>
  <c r="M304" i="2"/>
  <c r="M323" i="2"/>
  <c r="M260" i="2"/>
  <c r="M263" i="2"/>
  <c r="M269" i="2"/>
  <c r="M287" i="2"/>
  <c r="M313" i="2"/>
  <c r="M319" i="2"/>
  <c r="M322" i="2"/>
  <c r="N248" i="2"/>
  <c r="E249" i="2"/>
  <c r="M318" i="2"/>
  <c r="N201" i="2"/>
  <c r="S237" i="2"/>
  <c r="E238" i="2"/>
  <c r="N247" i="2"/>
  <c r="O296" i="2"/>
  <c r="R1116" i="2"/>
  <c r="Q1116" i="2"/>
  <c r="P1116" i="2"/>
  <c r="O1116" i="2"/>
  <c r="N1116" i="2"/>
  <c r="M1116" i="2"/>
  <c r="L1116" i="2"/>
  <c r="R1115" i="2"/>
  <c r="Q1115" i="2"/>
  <c r="P1115" i="2"/>
  <c r="O1115" i="2"/>
  <c r="N1115" i="2"/>
  <c r="I1115" i="2"/>
  <c r="L1115" i="2" s="1"/>
  <c r="G1115" i="2"/>
  <c r="R1114" i="2"/>
  <c r="Q1114" i="2"/>
  <c r="P1114" i="2"/>
  <c r="O1114" i="2"/>
  <c r="N1114" i="2"/>
  <c r="I1114" i="2"/>
  <c r="L1114" i="2" s="1"/>
  <c r="G1114" i="2"/>
  <c r="R1113" i="2"/>
  <c r="Q1113" i="2"/>
  <c r="P1113" i="2"/>
  <c r="O1113" i="2"/>
  <c r="N1113" i="2"/>
  <c r="I1113" i="2"/>
  <c r="L1113" i="2" s="1"/>
  <c r="G1113" i="2"/>
  <c r="R1112" i="2"/>
  <c r="Q1112" i="2"/>
  <c r="P1112" i="2"/>
  <c r="O1112" i="2"/>
  <c r="N1112" i="2"/>
  <c r="I1112" i="2"/>
  <c r="L1112" i="2" s="1"/>
  <c r="G1112" i="2"/>
  <c r="R1111" i="2"/>
  <c r="Q1111" i="2"/>
  <c r="P1111" i="2"/>
  <c r="O1111" i="2"/>
  <c r="N1111" i="2"/>
  <c r="M1111" i="2"/>
  <c r="L1111" i="2"/>
  <c r="R1110" i="2"/>
  <c r="Q1110" i="2"/>
  <c r="P1110" i="2"/>
  <c r="O1110" i="2"/>
  <c r="M1110" i="2"/>
  <c r="K1110" i="2"/>
  <c r="L1110" i="2" s="1"/>
  <c r="N1110" i="2" s="1"/>
  <c r="I1110" i="2"/>
  <c r="R1109" i="2"/>
  <c r="Q1109" i="2"/>
  <c r="P1109" i="2"/>
  <c r="N1109" i="2"/>
  <c r="M1109" i="2"/>
  <c r="K1109" i="2"/>
  <c r="I1109" i="2"/>
  <c r="R1108" i="2"/>
  <c r="Q1108" i="2"/>
  <c r="O1108" i="2"/>
  <c r="N1108" i="2"/>
  <c r="M1108" i="2"/>
  <c r="K1108" i="2"/>
  <c r="I1108" i="2"/>
  <c r="R1107" i="2"/>
  <c r="Q1107" i="2"/>
  <c r="P1107" i="2"/>
  <c r="O1107" i="2"/>
  <c r="N1107" i="2"/>
  <c r="I1107" i="2"/>
  <c r="L1107" i="2" s="1"/>
  <c r="M1107" i="2" s="1"/>
  <c r="G1107" i="2"/>
  <c r="R1106" i="2"/>
  <c r="Q1106" i="2"/>
  <c r="P1106" i="2"/>
  <c r="O1106" i="2"/>
  <c r="N1106" i="2"/>
  <c r="I1106" i="2"/>
  <c r="L1106" i="2" s="1"/>
  <c r="G1106" i="2"/>
  <c r="R1105" i="2"/>
  <c r="Q1105" i="2"/>
  <c r="P1105" i="2"/>
  <c r="O1105" i="2"/>
  <c r="N1105" i="2"/>
  <c r="I1105" i="2"/>
  <c r="L1105" i="2" s="1"/>
  <c r="G1105" i="2"/>
  <c r="R1104" i="2"/>
  <c r="Q1104" i="2"/>
  <c r="P1104" i="2"/>
  <c r="O1104" i="2"/>
  <c r="N1104" i="2"/>
  <c r="I1104" i="2"/>
  <c r="L1104" i="2" s="1"/>
  <c r="G1104" i="2"/>
  <c r="R1103" i="2"/>
  <c r="Q1103" i="2"/>
  <c r="P1103" i="2"/>
  <c r="O1103" i="2"/>
  <c r="N1103" i="2"/>
  <c r="I1103" i="2"/>
  <c r="L1103" i="2" s="1"/>
  <c r="G1103" i="2"/>
  <c r="R1102" i="2"/>
  <c r="Q1102" i="2"/>
  <c r="P1102" i="2"/>
  <c r="O1102" i="2"/>
  <c r="N1102" i="2"/>
  <c r="I1102" i="2"/>
  <c r="L1102" i="2" s="1"/>
  <c r="G1102" i="2"/>
  <c r="R1101" i="2"/>
  <c r="Q1101" i="2"/>
  <c r="P1101" i="2"/>
  <c r="O1101" i="2"/>
  <c r="N1101" i="2"/>
  <c r="I1101" i="2"/>
  <c r="L1101" i="2" s="1"/>
  <c r="G1101" i="2"/>
  <c r="R1100" i="2"/>
  <c r="Q1100" i="2"/>
  <c r="P1100" i="2"/>
  <c r="O1100" i="2"/>
  <c r="N1100" i="2"/>
  <c r="I1100" i="2"/>
  <c r="L1100" i="2" s="1"/>
  <c r="G1100" i="2"/>
  <c r="R1099" i="2"/>
  <c r="Q1099" i="2"/>
  <c r="P1099" i="2"/>
  <c r="O1099" i="2"/>
  <c r="N1099" i="2"/>
  <c r="M1099" i="2"/>
  <c r="L1099" i="2"/>
  <c r="R1098" i="2"/>
  <c r="Q1098" i="2"/>
  <c r="P1098" i="2"/>
  <c r="O1098" i="2"/>
  <c r="M1098" i="2"/>
  <c r="K1098" i="2"/>
  <c r="L1098" i="2" s="1"/>
  <c r="N1098" i="2" s="1"/>
  <c r="I1098" i="2"/>
  <c r="R1097" i="2"/>
  <c r="Q1097" i="2"/>
  <c r="P1097" i="2"/>
  <c r="N1097" i="2"/>
  <c r="M1097" i="2"/>
  <c r="K1097" i="2"/>
  <c r="I1097" i="2"/>
  <c r="R1096" i="2"/>
  <c r="Q1096" i="2"/>
  <c r="O1096" i="2"/>
  <c r="N1096" i="2"/>
  <c r="M1096" i="2"/>
  <c r="K1096" i="2"/>
  <c r="I1096" i="2"/>
  <c r="R1095" i="2"/>
  <c r="Q1095" i="2"/>
  <c r="P1095" i="2"/>
  <c r="O1095" i="2"/>
  <c r="N1095" i="2"/>
  <c r="I1095" i="2"/>
  <c r="L1095" i="2" s="1"/>
  <c r="G1095" i="2"/>
  <c r="M1095" i="2" s="1"/>
  <c r="R1094" i="2"/>
  <c r="Q1094" i="2"/>
  <c r="P1094" i="2"/>
  <c r="O1094" i="2"/>
  <c r="N1094" i="2"/>
  <c r="I1094" i="2"/>
  <c r="L1094" i="2" s="1"/>
  <c r="M1094" i="2" s="1"/>
  <c r="G1094" i="2"/>
  <c r="R1093" i="2"/>
  <c r="Q1093" i="2"/>
  <c r="P1093" i="2"/>
  <c r="O1093" i="2"/>
  <c r="N1093" i="2"/>
  <c r="I1093" i="2"/>
  <c r="L1093" i="2" s="1"/>
  <c r="G1093" i="2"/>
  <c r="M1093" i="2" s="1"/>
  <c r="R1092" i="2"/>
  <c r="Q1092" i="2"/>
  <c r="P1092" i="2"/>
  <c r="O1092" i="2"/>
  <c r="N1092" i="2"/>
  <c r="I1092" i="2"/>
  <c r="L1092" i="2" s="1"/>
  <c r="G1092" i="2"/>
  <c r="F1092" i="2"/>
  <c r="R1091" i="2"/>
  <c r="Q1091" i="2"/>
  <c r="P1091" i="2"/>
  <c r="O1091" i="2"/>
  <c r="N1091" i="2"/>
  <c r="I1091" i="2"/>
  <c r="L1091" i="2" s="1"/>
  <c r="G1091" i="2"/>
  <c r="R1090" i="2"/>
  <c r="Q1090" i="2"/>
  <c r="P1090" i="2"/>
  <c r="O1090" i="2"/>
  <c r="N1090" i="2"/>
  <c r="M1090" i="2"/>
  <c r="L1090" i="2"/>
  <c r="R1089" i="2"/>
  <c r="Q1089" i="2"/>
  <c r="P1089" i="2"/>
  <c r="O1089" i="2"/>
  <c r="M1089" i="2"/>
  <c r="K1089" i="2"/>
  <c r="L1089" i="2" s="1"/>
  <c r="N1089" i="2" s="1"/>
  <c r="I1089" i="2"/>
  <c r="R1088" i="2"/>
  <c r="Q1088" i="2"/>
  <c r="P1088" i="2"/>
  <c r="N1088" i="2"/>
  <c r="M1088" i="2"/>
  <c r="K1088" i="2"/>
  <c r="I1088" i="2"/>
  <c r="R1087" i="2"/>
  <c r="Q1087" i="2"/>
  <c r="O1087" i="2"/>
  <c r="N1087" i="2"/>
  <c r="M1087" i="2"/>
  <c r="K1087" i="2"/>
  <c r="I1087" i="2"/>
  <c r="R1086" i="2"/>
  <c r="Q1086" i="2"/>
  <c r="P1086" i="2"/>
  <c r="O1086" i="2"/>
  <c r="N1086" i="2"/>
  <c r="I1086" i="2"/>
  <c r="L1086" i="2" s="1"/>
  <c r="G1086" i="2"/>
  <c r="R1085" i="2"/>
  <c r="Q1085" i="2"/>
  <c r="P1085" i="2"/>
  <c r="O1085" i="2"/>
  <c r="N1085" i="2"/>
  <c r="L1085" i="2"/>
  <c r="M1085" i="2" s="1"/>
  <c r="I1085" i="2"/>
  <c r="G1085" i="2"/>
  <c r="R1084" i="2"/>
  <c r="Q1084" i="2"/>
  <c r="P1084" i="2"/>
  <c r="O1084" i="2"/>
  <c r="N1084" i="2"/>
  <c r="I1084" i="2"/>
  <c r="L1084" i="2" s="1"/>
  <c r="M1084" i="2" s="1"/>
  <c r="G1084" i="2"/>
  <c r="R1083" i="2"/>
  <c r="Q1083" i="2"/>
  <c r="P1083" i="2"/>
  <c r="O1083" i="2"/>
  <c r="N1083" i="2"/>
  <c r="I1083" i="2"/>
  <c r="L1083" i="2" s="1"/>
  <c r="G1083" i="2"/>
  <c r="R1082" i="2"/>
  <c r="Q1082" i="2"/>
  <c r="P1082" i="2"/>
  <c r="O1082" i="2"/>
  <c r="N1082" i="2"/>
  <c r="I1082" i="2"/>
  <c r="L1082" i="2" s="1"/>
  <c r="G1082" i="2"/>
  <c r="R1081" i="2"/>
  <c r="Q1081" i="2"/>
  <c r="P1081" i="2"/>
  <c r="O1081" i="2"/>
  <c r="N1081" i="2"/>
  <c r="M1081" i="2"/>
  <c r="L1081" i="2"/>
  <c r="R1080" i="2"/>
  <c r="Q1080" i="2"/>
  <c r="P1080" i="2"/>
  <c r="O1080" i="2"/>
  <c r="M1080" i="2"/>
  <c r="K1080" i="2"/>
  <c r="I1080" i="2"/>
  <c r="R1079" i="2"/>
  <c r="Q1079" i="2"/>
  <c r="P1079" i="2"/>
  <c r="N1079" i="2"/>
  <c r="M1079" i="2"/>
  <c r="K1079" i="2"/>
  <c r="I1079" i="2"/>
  <c r="L1079" i="2" s="1"/>
  <c r="O1079" i="2" s="1"/>
  <c r="R1078" i="2"/>
  <c r="Q1078" i="2"/>
  <c r="O1078" i="2"/>
  <c r="N1078" i="2"/>
  <c r="M1078" i="2"/>
  <c r="K1078" i="2"/>
  <c r="I1078" i="2"/>
  <c r="R1077" i="2"/>
  <c r="Q1077" i="2"/>
  <c r="P1077" i="2"/>
  <c r="O1077" i="2"/>
  <c r="N1077" i="2"/>
  <c r="I1077" i="2"/>
  <c r="L1077" i="2" s="1"/>
  <c r="G1077" i="2"/>
  <c r="R1076" i="2"/>
  <c r="Q1076" i="2"/>
  <c r="P1076" i="2"/>
  <c r="O1076" i="2"/>
  <c r="N1076" i="2"/>
  <c r="I1076" i="2"/>
  <c r="L1076" i="2" s="1"/>
  <c r="G1076" i="2"/>
  <c r="R1075" i="2"/>
  <c r="Q1075" i="2"/>
  <c r="P1075" i="2"/>
  <c r="O1075" i="2"/>
  <c r="N1075" i="2"/>
  <c r="I1075" i="2"/>
  <c r="L1075" i="2" s="1"/>
  <c r="G1075" i="2"/>
  <c r="R1074" i="2"/>
  <c r="Q1074" i="2"/>
  <c r="P1074" i="2"/>
  <c r="O1074" i="2"/>
  <c r="N1074" i="2"/>
  <c r="I1074" i="2"/>
  <c r="L1074" i="2" s="1"/>
  <c r="M1074" i="2" s="1"/>
  <c r="G1074" i="2"/>
  <c r="R1073" i="2"/>
  <c r="Q1073" i="2"/>
  <c r="P1073" i="2"/>
  <c r="O1073" i="2"/>
  <c r="N1073" i="2"/>
  <c r="I1073" i="2"/>
  <c r="L1073" i="2" s="1"/>
  <c r="G1073" i="2"/>
  <c r="R1072" i="2"/>
  <c r="Q1072" i="2"/>
  <c r="P1072" i="2"/>
  <c r="O1072" i="2"/>
  <c r="N1072" i="2"/>
  <c r="I1072" i="2"/>
  <c r="L1072" i="2" s="1"/>
  <c r="G1072" i="2"/>
  <c r="M1072" i="2" s="1"/>
  <c r="R1071" i="2"/>
  <c r="Q1071" i="2"/>
  <c r="P1071" i="2"/>
  <c r="O1071" i="2"/>
  <c r="N1071" i="2"/>
  <c r="I1071" i="2"/>
  <c r="L1071" i="2" s="1"/>
  <c r="G1071" i="2"/>
  <c r="R1070" i="2"/>
  <c r="Q1070" i="2"/>
  <c r="P1070" i="2"/>
  <c r="O1070" i="2"/>
  <c r="N1070" i="2"/>
  <c r="I1070" i="2"/>
  <c r="L1070" i="2" s="1"/>
  <c r="G1070" i="2"/>
  <c r="R1069" i="2"/>
  <c r="Q1069" i="2"/>
  <c r="P1069" i="2"/>
  <c r="O1069" i="2"/>
  <c r="N1069" i="2"/>
  <c r="M1069" i="2"/>
  <c r="L1069" i="2"/>
  <c r="R1068" i="2"/>
  <c r="Q1068" i="2"/>
  <c r="P1068" i="2"/>
  <c r="O1068" i="2"/>
  <c r="M1068" i="2"/>
  <c r="K1068" i="2"/>
  <c r="I1068" i="2"/>
  <c r="R1067" i="2"/>
  <c r="Q1067" i="2"/>
  <c r="P1067" i="2"/>
  <c r="N1067" i="2"/>
  <c r="M1067" i="2"/>
  <c r="K1067" i="2"/>
  <c r="I1067" i="2"/>
  <c r="R1066" i="2"/>
  <c r="Q1066" i="2"/>
  <c r="O1066" i="2"/>
  <c r="N1066" i="2"/>
  <c r="M1066" i="2"/>
  <c r="K1066" i="2"/>
  <c r="I1066" i="2"/>
  <c r="R1065" i="2"/>
  <c r="Q1065" i="2"/>
  <c r="P1065" i="2"/>
  <c r="O1065" i="2"/>
  <c r="N1065" i="2"/>
  <c r="I1065" i="2"/>
  <c r="L1065" i="2" s="1"/>
  <c r="M1065" i="2" s="1"/>
  <c r="G1065" i="2"/>
  <c r="R1064" i="2"/>
  <c r="Q1064" i="2"/>
  <c r="P1064" i="2"/>
  <c r="O1064" i="2"/>
  <c r="N1064" i="2"/>
  <c r="I1064" i="2"/>
  <c r="L1064" i="2" s="1"/>
  <c r="G1064" i="2"/>
  <c r="R1063" i="2"/>
  <c r="Q1063" i="2"/>
  <c r="P1063" i="2"/>
  <c r="O1063" i="2"/>
  <c r="N1063" i="2"/>
  <c r="I1063" i="2"/>
  <c r="L1063" i="2" s="1"/>
  <c r="G1063" i="2"/>
  <c r="R1062" i="2"/>
  <c r="Q1062" i="2"/>
  <c r="P1062" i="2"/>
  <c r="O1062" i="2"/>
  <c r="N1062" i="2"/>
  <c r="I1062" i="2"/>
  <c r="L1062" i="2" s="1"/>
  <c r="G1062" i="2"/>
  <c r="S1061" i="2"/>
  <c r="R1061" i="2"/>
  <c r="Q1061" i="2"/>
  <c r="P1061" i="2"/>
  <c r="O1061" i="2"/>
  <c r="N1061" i="2"/>
  <c r="I1061" i="2"/>
  <c r="L1061" i="2" s="1"/>
  <c r="M1061" i="2" s="1"/>
  <c r="G1061" i="2"/>
  <c r="R1060" i="2"/>
  <c r="Q1060" i="2"/>
  <c r="P1060" i="2"/>
  <c r="O1060" i="2"/>
  <c r="N1060" i="2"/>
  <c r="M1060" i="2"/>
  <c r="L1060" i="2"/>
  <c r="R1059" i="2"/>
  <c r="Q1059" i="2"/>
  <c r="P1059" i="2"/>
  <c r="O1059" i="2"/>
  <c r="M1059" i="2"/>
  <c r="K1059" i="2"/>
  <c r="L1059" i="2" s="1"/>
  <c r="N1059" i="2" s="1"/>
  <c r="I1059" i="2"/>
  <c r="R1058" i="2"/>
  <c r="Q1058" i="2"/>
  <c r="P1058" i="2"/>
  <c r="N1058" i="2"/>
  <c r="M1058" i="2"/>
  <c r="K1058" i="2"/>
  <c r="I1058" i="2"/>
  <c r="R1057" i="2"/>
  <c r="Q1057" i="2"/>
  <c r="O1057" i="2"/>
  <c r="N1057" i="2"/>
  <c r="M1057" i="2"/>
  <c r="K1057" i="2"/>
  <c r="I1057" i="2"/>
  <c r="R1056" i="2"/>
  <c r="Q1056" i="2"/>
  <c r="P1056" i="2"/>
  <c r="O1056" i="2"/>
  <c r="N1056" i="2"/>
  <c r="I1056" i="2"/>
  <c r="L1056" i="2" s="1"/>
  <c r="G1056" i="2"/>
  <c r="R1055" i="2"/>
  <c r="Q1055" i="2"/>
  <c r="P1055" i="2"/>
  <c r="O1055" i="2"/>
  <c r="N1055" i="2"/>
  <c r="I1055" i="2"/>
  <c r="L1055" i="2" s="1"/>
  <c r="G1055" i="2"/>
  <c r="R1054" i="2"/>
  <c r="Q1054" i="2"/>
  <c r="P1054" i="2"/>
  <c r="O1054" i="2"/>
  <c r="N1054" i="2"/>
  <c r="I1054" i="2"/>
  <c r="L1054" i="2" s="1"/>
  <c r="G1054" i="2"/>
  <c r="R1053" i="2"/>
  <c r="Q1053" i="2"/>
  <c r="P1053" i="2"/>
  <c r="O1053" i="2"/>
  <c r="N1053" i="2"/>
  <c r="I1053" i="2"/>
  <c r="L1053" i="2" s="1"/>
  <c r="G1053" i="2"/>
  <c r="R1052" i="2"/>
  <c r="Q1052" i="2"/>
  <c r="P1052" i="2"/>
  <c r="O1052" i="2"/>
  <c r="N1052" i="2"/>
  <c r="M1052" i="2"/>
  <c r="L1052" i="2"/>
  <c r="R1051" i="2"/>
  <c r="Q1051" i="2"/>
  <c r="P1051" i="2"/>
  <c r="O1051" i="2"/>
  <c r="M1051" i="2"/>
  <c r="K1051" i="2"/>
  <c r="I1051" i="2"/>
  <c r="R1050" i="2"/>
  <c r="Q1050" i="2"/>
  <c r="P1050" i="2"/>
  <c r="N1050" i="2"/>
  <c r="M1050" i="2"/>
  <c r="K1050" i="2"/>
  <c r="I1050" i="2"/>
  <c r="R1049" i="2"/>
  <c r="Q1049" i="2"/>
  <c r="O1049" i="2"/>
  <c r="N1049" i="2"/>
  <c r="M1049" i="2"/>
  <c r="K1049" i="2"/>
  <c r="I1049" i="2"/>
  <c r="R1048" i="2"/>
  <c r="Q1048" i="2"/>
  <c r="P1048" i="2"/>
  <c r="O1048" i="2"/>
  <c r="N1048" i="2"/>
  <c r="I1048" i="2"/>
  <c r="L1048" i="2" s="1"/>
  <c r="G1048" i="2"/>
  <c r="R1047" i="2"/>
  <c r="Q1047" i="2"/>
  <c r="P1047" i="2"/>
  <c r="O1047" i="2"/>
  <c r="N1047" i="2"/>
  <c r="I1047" i="2"/>
  <c r="L1047" i="2" s="1"/>
  <c r="G1047" i="2"/>
  <c r="M1047" i="2" s="1"/>
  <c r="R1046" i="2"/>
  <c r="Q1046" i="2"/>
  <c r="P1046" i="2"/>
  <c r="O1046" i="2"/>
  <c r="N1046" i="2"/>
  <c r="M1046" i="2"/>
  <c r="L1046" i="2"/>
  <c r="R1045" i="2"/>
  <c r="Q1045" i="2"/>
  <c r="P1045" i="2"/>
  <c r="O1045" i="2"/>
  <c r="M1045" i="2"/>
  <c r="K1045" i="2"/>
  <c r="I1045" i="2"/>
  <c r="R1044" i="2"/>
  <c r="Q1044" i="2"/>
  <c r="P1044" i="2"/>
  <c r="N1044" i="2"/>
  <c r="M1044" i="2"/>
  <c r="K1044" i="2"/>
  <c r="I1044" i="2"/>
  <c r="E1044" i="2"/>
  <c r="E1045" i="2" s="1"/>
  <c r="R1043" i="2"/>
  <c r="Q1043" i="2"/>
  <c r="O1043" i="2"/>
  <c r="N1043" i="2"/>
  <c r="M1043" i="2"/>
  <c r="K1043" i="2"/>
  <c r="I1043" i="2"/>
  <c r="R1042" i="2"/>
  <c r="Q1042" i="2"/>
  <c r="P1042" i="2"/>
  <c r="O1042" i="2"/>
  <c r="N1042" i="2"/>
  <c r="I1042" i="2"/>
  <c r="L1042" i="2" s="1"/>
  <c r="G1042" i="2"/>
  <c r="R1041" i="2"/>
  <c r="Q1041" i="2"/>
  <c r="P1041" i="2"/>
  <c r="O1041" i="2"/>
  <c r="N1041" i="2"/>
  <c r="I1041" i="2"/>
  <c r="L1041" i="2" s="1"/>
  <c r="M1041" i="2" s="1"/>
  <c r="G1041" i="2"/>
  <c r="R1040" i="2"/>
  <c r="Q1040" i="2"/>
  <c r="P1040" i="2"/>
  <c r="O1040" i="2"/>
  <c r="N1040" i="2"/>
  <c r="I1040" i="2"/>
  <c r="L1040" i="2" s="1"/>
  <c r="G1040" i="2"/>
  <c r="R1039" i="2"/>
  <c r="Q1039" i="2"/>
  <c r="P1039" i="2"/>
  <c r="O1039" i="2"/>
  <c r="N1039" i="2"/>
  <c r="I1039" i="2"/>
  <c r="L1039" i="2" s="1"/>
  <c r="G1039" i="2"/>
  <c r="R1038" i="2"/>
  <c r="Q1038" i="2"/>
  <c r="P1038" i="2"/>
  <c r="O1038" i="2"/>
  <c r="N1038" i="2"/>
  <c r="M1038" i="2"/>
  <c r="L1038" i="2"/>
  <c r="R1037" i="2"/>
  <c r="Q1037" i="2"/>
  <c r="P1037" i="2"/>
  <c r="O1037" i="2"/>
  <c r="M1037" i="2"/>
  <c r="K1037" i="2"/>
  <c r="I1037" i="2"/>
  <c r="R1036" i="2"/>
  <c r="Q1036" i="2"/>
  <c r="P1036" i="2"/>
  <c r="N1036" i="2"/>
  <c r="M1036" i="2"/>
  <c r="K1036" i="2"/>
  <c r="I1036" i="2"/>
  <c r="L1036" i="2" s="1"/>
  <c r="E1036" i="2"/>
  <c r="E1037" i="2" s="1"/>
  <c r="R1035" i="2"/>
  <c r="Q1035" i="2"/>
  <c r="O1035" i="2"/>
  <c r="N1035" i="2"/>
  <c r="M1035" i="2"/>
  <c r="K1035" i="2"/>
  <c r="I1035" i="2"/>
  <c r="R1034" i="2"/>
  <c r="Q1034" i="2"/>
  <c r="P1034" i="2"/>
  <c r="O1034" i="2"/>
  <c r="N1034" i="2"/>
  <c r="I1034" i="2"/>
  <c r="L1034" i="2" s="1"/>
  <c r="M1034" i="2" s="1"/>
  <c r="G1034" i="2"/>
  <c r="R1033" i="2"/>
  <c r="Q1033" i="2"/>
  <c r="P1033" i="2"/>
  <c r="O1033" i="2"/>
  <c r="N1033" i="2"/>
  <c r="I1033" i="2"/>
  <c r="L1033" i="2" s="1"/>
  <c r="G1033" i="2"/>
  <c r="R1032" i="2"/>
  <c r="Q1032" i="2"/>
  <c r="P1032" i="2"/>
  <c r="O1032" i="2"/>
  <c r="N1032" i="2"/>
  <c r="I1032" i="2"/>
  <c r="L1032" i="2" s="1"/>
  <c r="G1032" i="2"/>
  <c r="R1031" i="2"/>
  <c r="Q1031" i="2"/>
  <c r="P1031" i="2"/>
  <c r="O1031" i="2"/>
  <c r="N1031" i="2"/>
  <c r="M1031" i="2"/>
  <c r="L1031" i="2"/>
  <c r="R1030" i="2"/>
  <c r="Q1030" i="2"/>
  <c r="P1030" i="2"/>
  <c r="N1030" i="2"/>
  <c r="M1030" i="2"/>
  <c r="K1030" i="2"/>
  <c r="I1030" i="2"/>
  <c r="R1029" i="2"/>
  <c r="Q1029" i="2"/>
  <c r="O1029" i="2"/>
  <c r="N1029" i="2"/>
  <c r="M1029" i="2"/>
  <c r="K1029" i="2"/>
  <c r="I1029" i="2"/>
  <c r="R1028" i="2"/>
  <c r="Q1028" i="2"/>
  <c r="P1028" i="2"/>
  <c r="O1028" i="2"/>
  <c r="N1028" i="2"/>
  <c r="I1028" i="2"/>
  <c r="L1028" i="2" s="1"/>
  <c r="G1028" i="2"/>
  <c r="R1027" i="2"/>
  <c r="Q1027" i="2"/>
  <c r="P1027" i="2"/>
  <c r="O1027" i="2"/>
  <c r="N1027" i="2"/>
  <c r="I1027" i="2"/>
  <c r="L1027" i="2" s="1"/>
  <c r="G1027" i="2"/>
  <c r="R1026" i="2"/>
  <c r="Q1026" i="2"/>
  <c r="P1026" i="2"/>
  <c r="O1026" i="2"/>
  <c r="N1026" i="2"/>
  <c r="M1026" i="2"/>
  <c r="L1026" i="2"/>
  <c r="R1025" i="2"/>
  <c r="Q1025" i="2"/>
  <c r="P1025" i="2"/>
  <c r="N1025" i="2"/>
  <c r="M1025" i="2"/>
  <c r="K1025" i="2"/>
  <c r="I1025" i="2"/>
  <c r="R1024" i="2"/>
  <c r="Q1024" i="2"/>
  <c r="O1024" i="2"/>
  <c r="N1024" i="2"/>
  <c r="M1024" i="2"/>
  <c r="K1024" i="2"/>
  <c r="I1024" i="2"/>
  <c r="R1023" i="2"/>
  <c r="Q1023" i="2"/>
  <c r="P1023" i="2"/>
  <c r="O1023" i="2"/>
  <c r="N1023" i="2"/>
  <c r="I1023" i="2"/>
  <c r="L1023" i="2" s="1"/>
  <c r="G1023" i="2"/>
  <c r="R1022" i="2"/>
  <c r="Q1022" i="2"/>
  <c r="P1022" i="2"/>
  <c r="O1022" i="2"/>
  <c r="N1022" i="2"/>
  <c r="I1022" i="2"/>
  <c r="L1022" i="2" s="1"/>
  <c r="G1022" i="2"/>
  <c r="R1021" i="2"/>
  <c r="Q1021" i="2"/>
  <c r="P1021" i="2"/>
  <c r="O1021" i="2"/>
  <c r="N1021" i="2"/>
  <c r="I1021" i="2"/>
  <c r="L1021" i="2" s="1"/>
  <c r="M1021" i="2" s="1"/>
  <c r="G1021" i="2"/>
  <c r="R1020" i="2"/>
  <c r="Q1020" i="2"/>
  <c r="P1020" i="2"/>
  <c r="O1020" i="2"/>
  <c r="N1020" i="2"/>
  <c r="I1020" i="2"/>
  <c r="L1020" i="2" s="1"/>
  <c r="G1020" i="2"/>
  <c r="R1019" i="2"/>
  <c r="Q1019" i="2"/>
  <c r="P1019" i="2"/>
  <c r="O1019" i="2"/>
  <c r="N1019" i="2"/>
  <c r="I1019" i="2"/>
  <c r="L1019" i="2" s="1"/>
  <c r="G1019" i="2"/>
  <c r="M1019" i="2" s="1"/>
  <c r="R1018" i="2"/>
  <c r="Q1018" i="2"/>
  <c r="P1018" i="2"/>
  <c r="O1018" i="2"/>
  <c r="N1018" i="2"/>
  <c r="I1018" i="2"/>
  <c r="L1018" i="2" s="1"/>
  <c r="G1018" i="2"/>
  <c r="R1017" i="2"/>
  <c r="Q1017" i="2"/>
  <c r="P1017" i="2"/>
  <c r="O1017" i="2"/>
  <c r="N1017" i="2"/>
  <c r="I1017" i="2"/>
  <c r="L1017" i="2" s="1"/>
  <c r="G1017" i="2"/>
  <c r="R1016" i="2"/>
  <c r="Q1016" i="2"/>
  <c r="P1016" i="2"/>
  <c r="O1016" i="2"/>
  <c r="N1016" i="2"/>
  <c r="I1016" i="2"/>
  <c r="L1016" i="2" s="1"/>
  <c r="G1016" i="2"/>
  <c r="R1015" i="2"/>
  <c r="Q1015" i="2"/>
  <c r="P1015" i="2"/>
  <c r="O1015" i="2"/>
  <c r="N1015" i="2"/>
  <c r="M1015" i="2"/>
  <c r="L1015" i="2"/>
  <c r="R1014" i="2"/>
  <c r="Q1014" i="2"/>
  <c r="P1014" i="2"/>
  <c r="O1014" i="2"/>
  <c r="M1014" i="2"/>
  <c r="K1014" i="2"/>
  <c r="I1014" i="2"/>
  <c r="R1013" i="2"/>
  <c r="Q1013" i="2"/>
  <c r="P1013" i="2"/>
  <c r="N1013" i="2"/>
  <c r="M1013" i="2"/>
  <c r="K1013" i="2"/>
  <c r="L1013" i="2" s="1"/>
  <c r="O1013" i="2" s="1"/>
  <c r="I1013" i="2"/>
  <c r="R1012" i="2"/>
  <c r="Q1012" i="2"/>
  <c r="O1012" i="2"/>
  <c r="N1012" i="2"/>
  <c r="M1012" i="2"/>
  <c r="K1012" i="2"/>
  <c r="I1012" i="2"/>
  <c r="R1011" i="2"/>
  <c r="Q1011" i="2"/>
  <c r="P1011" i="2"/>
  <c r="O1011" i="2"/>
  <c r="N1011" i="2"/>
  <c r="I1011" i="2"/>
  <c r="L1011" i="2" s="1"/>
  <c r="G1011" i="2"/>
  <c r="R1010" i="2"/>
  <c r="Q1010" i="2"/>
  <c r="P1010" i="2"/>
  <c r="O1010" i="2"/>
  <c r="N1010" i="2"/>
  <c r="I1010" i="2"/>
  <c r="L1010" i="2" s="1"/>
  <c r="G1010" i="2"/>
  <c r="R1009" i="2"/>
  <c r="Q1009" i="2"/>
  <c r="P1009" i="2"/>
  <c r="O1009" i="2"/>
  <c r="N1009" i="2"/>
  <c r="I1009" i="2"/>
  <c r="L1009" i="2" s="1"/>
  <c r="G1009" i="2"/>
  <c r="R1008" i="2"/>
  <c r="Q1008" i="2"/>
  <c r="P1008" i="2"/>
  <c r="O1008" i="2"/>
  <c r="N1008" i="2"/>
  <c r="I1008" i="2"/>
  <c r="L1008" i="2" s="1"/>
  <c r="M1008" i="2" s="1"/>
  <c r="G1008" i="2"/>
  <c r="R1007" i="2"/>
  <c r="Q1007" i="2"/>
  <c r="P1007" i="2"/>
  <c r="O1007" i="2"/>
  <c r="N1007" i="2"/>
  <c r="I1007" i="2"/>
  <c r="L1007" i="2" s="1"/>
  <c r="G1007" i="2"/>
  <c r="M1007" i="2" s="1"/>
  <c r="R1006" i="2"/>
  <c r="Q1006" i="2"/>
  <c r="P1006" i="2"/>
  <c r="O1006" i="2"/>
  <c r="N1006" i="2"/>
  <c r="I1006" i="2"/>
  <c r="L1006" i="2" s="1"/>
  <c r="G1006" i="2"/>
  <c r="M1006" i="2" s="1"/>
  <c r="R1005" i="2"/>
  <c r="Q1005" i="2"/>
  <c r="P1005" i="2"/>
  <c r="O1005" i="2"/>
  <c r="N1005" i="2"/>
  <c r="I1005" i="2"/>
  <c r="L1005" i="2" s="1"/>
  <c r="G1005" i="2"/>
  <c r="R1004" i="2"/>
  <c r="Q1004" i="2"/>
  <c r="P1004" i="2"/>
  <c r="O1004" i="2"/>
  <c r="N1004" i="2"/>
  <c r="L1004" i="2"/>
  <c r="I1004" i="2"/>
  <c r="G1004" i="2"/>
  <c r="R1003" i="2"/>
  <c r="Q1003" i="2"/>
  <c r="P1003" i="2"/>
  <c r="O1003" i="2"/>
  <c r="N1003" i="2"/>
  <c r="M1003" i="2"/>
  <c r="L1003" i="2"/>
  <c r="R1002" i="2"/>
  <c r="Q1002" i="2"/>
  <c r="P1002" i="2"/>
  <c r="O1002" i="2"/>
  <c r="M1002" i="2"/>
  <c r="K1002" i="2"/>
  <c r="I1002" i="2"/>
  <c r="R1001" i="2"/>
  <c r="Q1001" i="2"/>
  <c r="P1001" i="2"/>
  <c r="N1001" i="2"/>
  <c r="M1001" i="2"/>
  <c r="K1001" i="2"/>
  <c r="I1001" i="2"/>
  <c r="R1000" i="2"/>
  <c r="Q1000" i="2"/>
  <c r="O1000" i="2"/>
  <c r="N1000" i="2"/>
  <c r="M1000" i="2"/>
  <c r="K1000" i="2"/>
  <c r="I1000" i="2"/>
  <c r="R999" i="2"/>
  <c r="Q999" i="2"/>
  <c r="P999" i="2"/>
  <c r="O999" i="2"/>
  <c r="N999" i="2"/>
  <c r="M999" i="2"/>
  <c r="L999" i="2"/>
  <c r="R998" i="2"/>
  <c r="Q998" i="2"/>
  <c r="P998" i="2"/>
  <c r="O998" i="2"/>
  <c r="N998" i="2"/>
  <c r="I998" i="2"/>
  <c r="L998" i="2" s="1"/>
  <c r="G998" i="2"/>
  <c r="R997" i="2"/>
  <c r="Q997" i="2"/>
  <c r="P997" i="2"/>
  <c r="O997" i="2"/>
  <c r="N997" i="2"/>
  <c r="I997" i="2"/>
  <c r="L997" i="2" s="1"/>
  <c r="G997" i="2"/>
  <c r="R996" i="2"/>
  <c r="Q996" i="2"/>
  <c r="P996" i="2"/>
  <c r="O996" i="2"/>
  <c r="N996" i="2"/>
  <c r="I996" i="2"/>
  <c r="L996" i="2" s="1"/>
  <c r="G996" i="2"/>
  <c r="R995" i="2"/>
  <c r="Q995" i="2"/>
  <c r="P995" i="2"/>
  <c r="O995" i="2"/>
  <c r="M995" i="2"/>
  <c r="I995" i="2"/>
  <c r="L995" i="2" s="1"/>
  <c r="G995" i="2"/>
  <c r="F995" i="2"/>
  <c r="R994" i="2"/>
  <c r="Q994" i="2"/>
  <c r="P994" i="2"/>
  <c r="O994" i="2"/>
  <c r="M994" i="2"/>
  <c r="I994" i="2"/>
  <c r="L994" i="2" s="1"/>
  <c r="G994" i="2"/>
  <c r="R993" i="2"/>
  <c r="Q993" i="2"/>
  <c r="P993" i="2"/>
  <c r="O993" i="2"/>
  <c r="M993" i="2"/>
  <c r="I993" i="2"/>
  <c r="L993" i="2" s="1"/>
  <c r="G993" i="2"/>
  <c r="E993" i="2"/>
  <c r="R992" i="2"/>
  <c r="Q992" i="2"/>
  <c r="P992" i="2"/>
  <c r="N992" i="2"/>
  <c r="M992" i="2"/>
  <c r="K992" i="2"/>
  <c r="I992" i="2"/>
  <c r="R991" i="2"/>
  <c r="Q991" i="2"/>
  <c r="O991" i="2"/>
  <c r="N991" i="2"/>
  <c r="M991" i="2"/>
  <c r="K991" i="2"/>
  <c r="I991" i="2"/>
  <c r="L991" i="2" s="1"/>
  <c r="P991" i="2" s="1"/>
  <c r="R990" i="2"/>
  <c r="Q990" i="2"/>
  <c r="P990" i="2"/>
  <c r="O990" i="2"/>
  <c r="N990" i="2"/>
  <c r="I990" i="2"/>
  <c r="L990" i="2" s="1"/>
  <c r="G990" i="2"/>
  <c r="R989" i="2"/>
  <c r="Q989" i="2"/>
  <c r="P989" i="2"/>
  <c r="O989" i="2"/>
  <c r="N989" i="2"/>
  <c r="I989" i="2"/>
  <c r="L989" i="2" s="1"/>
  <c r="G989" i="2"/>
  <c r="R988" i="2"/>
  <c r="Q988" i="2"/>
  <c r="P988" i="2"/>
  <c r="O988" i="2"/>
  <c r="N988" i="2"/>
  <c r="I988" i="2"/>
  <c r="L988" i="2" s="1"/>
  <c r="G988" i="2"/>
  <c r="R987" i="2"/>
  <c r="Q987" i="2"/>
  <c r="P987" i="2"/>
  <c r="O987" i="2"/>
  <c r="M987" i="2"/>
  <c r="I987" i="2"/>
  <c r="L987" i="2" s="1"/>
  <c r="G987" i="2"/>
  <c r="F987" i="2"/>
  <c r="R986" i="2"/>
  <c r="Q986" i="2"/>
  <c r="P986" i="2"/>
  <c r="O986" i="2"/>
  <c r="M986" i="2"/>
  <c r="I986" i="2"/>
  <c r="L986" i="2" s="1"/>
  <c r="G986" i="2"/>
  <c r="F986" i="2"/>
  <c r="R985" i="2"/>
  <c r="Q985" i="2"/>
  <c r="P985" i="2"/>
  <c r="O985" i="2"/>
  <c r="M985" i="2"/>
  <c r="I985" i="2"/>
  <c r="L985" i="2" s="1"/>
  <c r="G985" i="2"/>
  <c r="R984" i="2"/>
  <c r="Q984" i="2"/>
  <c r="P984" i="2"/>
  <c r="N984" i="2"/>
  <c r="M984" i="2"/>
  <c r="K984" i="2"/>
  <c r="I984" i="2"/>
  <c r="E984" i="2"/>
  <c r="E985" i="2" s="1"/>
  <c r="R983" i="2"/>
  <c r="Q983" i="2"/>
  <c r="O983" i="2"/>
  <c r="N983" i="2"/>
  <c r="M983" i="2"/>
  <c r="K983" i="2"/>
  <c r="I983" i="2"/>
  <c r="R982" i="2"/>
  <c r="Q982" i="2"/>
  <c r="P982" i="2"/>
  <c r="O982" i="2"/>
  <c r="N982" i="2"/>
  <c r="I982" i="2"/>
  <c r="L982" i="2" s="1"/>
  <c r="G982" i="2"/>
  <c r="R981" i="2"/>
  <c r="Q981" i="2"/>
  <c r="P981" i="2"/>
  <c r="O981" i="2"/>
  <c r="N981" i="2"/>
  <c r="I981" i="2"/>
  <c r="L981" i="2" s="1"/>
  <c r="G981" i="2"/>
  <c r="R980" i="2"/>
  <c r="Q980" i="2"/>
  <c r="P980" i="2"/>
  <c r="O980" i="2"/>
  <c r="N980" i="2"/>
  <c r="I980" i="2"/>
  <c r="L980" i="2" s="1"/>
  <c r="G980" i="2"/>
  <c r="R979" i="2"/>
  <c r="Q979" i="2"/>
  <c r="P979" i="2"/>
  <c r="O979" i="2"/>
  <c r="N979" i="2"/>
  <c r="I979" i="2"/>
  <c r="L979" i="2" s="1"/>
  <c r="G979" i="2"/>
  <c r="R978" i="2"/>
  <c r="Q978" i="2"/>
  <c r="P978" i="2"/>
  <c r="O978" i="2"/>
  <c r="M978" i="2"/>
  <c r="I978" i="2"/>
  <c r="L978" i="2" s="1"/>
  <c r="G978" i="2"/>
  <c r="R977" i="2"/>
  <c r="Q977" i="2"/>
  <c r="P977" i="2"/>
  <c r="O977" i="2"/>
  <c r="M977" i="2"/>
  <c r="I977" i="2"/>
  <c r="L977" i="2" s="1"/>
  <c r="G977" i="2"/>
  <c r="F977" i="2"/>
  <c r="R976" i="2"/>
  <c r="Q976" i="2"/>
  <c r="P976" i="2"/>
  <c r="O976" i="2"/>
  <c r="M976" i="2"/>
  <c r="I976" i="2"/>
  <c r="L976" i="2" s="1"/>
  <c r="G976" i="2"/>
  <c r="R975" i="2"/>
  <c r="Q975" i="2"/>
  <c r="P975" i="2"/>
  <c r="O975" i="2"/>
  <c r="M975" i="2"/>
  <c r="I975" i="2"/>
  <c r="L975" i="2" s="1"/>
  <c r="G975" i="2"/>
  <c r="R974" i="2"/>
  <c r="Q974" i="2"/>
  <c r="P974" i="2"/>
  <c r="N974" i="2"/>
  <c r="M974" i="2"/>
  <c r="K974" i="2"/>
  <c r="I974" i="2"/>
  <c r="E974" i="2"/>
  <c r="E975" i="2" s="1"/>
  <c r="R973" i="2"/>
  <c r="Q973" i="2"/>
  <c r="O973" i="2"/>
  <c r="N973" i="2"/>
  <c r="M973" i="2"/>
  <c r="K973" i="2"/>
  <c r="I973" i="2"/>
  <c r="R972" i="2"/>
  <c r="Q972" i="2"/>
  <c r="P972" i="2"/>
  <c r="O972" i="2"/>
  <c r="N972" i="2"/>
  <c r="I972" i="2"/>
  <c r="L972" i="2" s="1"/>
  <c r="G972" i="2"/>
  <c r="R971" i="2"/>
  <c r="Q971" i="2"/>
  <c r="P971" i="2"/>
  <c r="O971" i="2"/>
  <c r="N971" i="2"/>
  <c r="I971" i="2"/>
  <c r="L971" i="2" s="1"/>
  <c r="G971" i="2"/>
  <c r="R970" i="2"/>
  <c r="Q970" i="2"/>
  <c r="P970" i="2"/>
  <c r="O970" i="2"/>
  <c r="N970" i="2"/>
  <c r="I970" i="2"/>
  <c r="L970" i="2" s="1"/>
  <c r="G970" i="2"/>
  <c r="R969" i="2"/>
  <c r="Q969" i="2"/>
  <c r="P969" i="2"/>
  <c r="O969" i="2"/>
  <c r="N969" i="2"/>
  <c r="I969" i="2"/>
  <c r="L969" i="2" s="1"/>
  <c r="G969" i="2"/>
  <c r="R968" i="2"/>
  <c r="Q968" i="2"/>
  <c r="P968" i="2"/>
  <c r="O968" i="2"/>
  <c r="M968" i="2"/>
  <c r="I968" i="2"/>
  <c r="L968" i="2" s="1"/>
  <c r="G968" i="2"/>
  <c r="R967" i="2"/>
  <c r="Q967" i="2"/>
  <c r="P967" i="2"/>
  <c r="O967" i="2"/>
  <c r="M967" i="2"/>
  <c r="I967" i="2"/>
  <c r="L967" i="2" s="1"/>
  <c r="G967" i="2"/>
  <c r="F967" i="2"/>
  <c r="R966" i="2"/>
  <c r="Q966" i="2"/>
  <c r="P966" i="2"/>
  <c r="O966" i="2"/>
  <c r="M966" i="2"/>
  <c r="I966" i="2"/>
  <c r="L966" i="2" s="1"/>
  <c r="G966" i="2"/>
  <c r="R965" i="2"/>
  <c r="Q965" i="2"/>
  <c r="P965" i="2"/>
  <c r="O965" i="2"/>
  <c r="M965" i="2"/>
  <c r="I965" i="2"/>
  <c r="L965" i="2" s="1"/>
  <c r="G965" i="2"/>
  <c r="R964" i="2"/>
  <c r="Q964" i="2"/>
  <c r="P964" i="2"/>
  <c r="N964" i="2"/>
  <c r="M964" i="2"/>
  <c r="K964" i="2"/>
  <c r="I964" i="2"/>
  <c r="E964" i="2"/>
  <c r="E965" i="2" s="1"/>
  <c r="R963" i="2"/>
  <c r="Q963" i="2"/>
  <c r="O963" i="2"/>
  <c r="N963" i="2"/>
  <c r="M963" i="2"/>
  <c r="K963" i="2"/>
  <c r="L963" i="2" s="1"/>
  <c r="P963" i="2" s="1"/>
  <c r="I963" i="2"/>
  <c r="R962" i="2"/>
  <c r="Q962" i="2"/>
  <c r="P962" i="2"/>
  <c r="O962" i="2"/>
  <c r="N962" i="2"/>
  <c r="I962" i="2"/>
  <c r="L962" i="2" s="1"/>
  <c r="G962" i="2"/>
  <c r="R961" i="2"/>
  <c r="Q961" i="2"/>
  <c r="P961" i="2"/>
  <c r="O961" i="2"/>
  <c r="N961" i="2"/>
  <c r="I961" i="2"/>
  <c r="L961" i="2" s="1"/>
  <c r="G961" i="2"/>
  <c r="R960" i="2"/>
  <c r="Q960" i="2"/>
  <c r="P960" i="2"/>
  <c r="O960" i="2"/>
  <c r="N960" i="2"/>
  <c r="I960" i="2"/>
  <c r="L960" i="2" s="1"/>
  <c r="G960" i="2"/>
  <c r="R959" i="2"/>
  <c r="Q959" i="2"/>
  <c r="P959" i="2"/>
  <c r="O959" i="2"/>
  <c r="N959" i="2"/>
  <c r="I959" i="2"/>
  <c r="L959" i="2" s="1"/>
  <c r="G959" i="2"/>
  <c r="R958" i="2"/>
  <c r="Q958" i="2"/>
  <c r="P958" i="2"/>
  <c r="O958" i="2"/>
  <c r="M958" i="2"/>
  <c r="I958" i="2"/>
  <c r="L958" i="2" s="1"/>
  <c r="G958" i="2"/>
  <c r="R957" i="2"/>
  <c r="Q957" i="2"/>
  <c r="P957" i="2"/>
  <c r="O957" i="2"/>
  <c r="M957" i="2"/>
  <c r="I957" i="2"/>
  <c r="L957" i="2" s="1"/>
  <c r="G957" i="2"/>
  <c r="F957" i="2"/>
  <c r="R956" i="2"/>
  <c r="Q956" i="2"/>
  <c r="P956" i="2"/>
  <c r="O956" i="2"/>
  <c r="M956" i="2"/>
  <c r="I956" i="2"/>
  <c r="L956" i="2" s="1"/>
  <c r="G956" i="2"/>
  <c r="R955" i="2"/>
  <c r="Q955" i="2"/>
  <c r="P955" i="2"/>
  <c r="O955" i="2"/>
  <c r="M955" i="2"/>
  <c r="I955" i="2"/>
  <c r="L955" i="2" s="1"/>
  <c r="G955" i="2"/>
  <c r="E955" i="2"/>
  <c r="E956" i="2" s="1"/>
  <c r="R954" i="2"/>
  <c r="Q954" i="2"/>
  <c r="P954" i="2"/>
  <c r="N954" i="2"/>
  <c r="M954" i="2"/>
  <c r="K954" i="2"/>
  <c r="I954" i="2"/>
  <c r="R953" i="2"/>
  <c r="Q953" i="2"/>
  <c r="O953" i="2"/>
  <c r="N953" i="2"/>
  <c r="M953" i="2"/>
  <c r="K953" i="2"/>
  <c r="I953" i="2"/>
  <c r="R952" i="2"/>
  <c r="Q952" i="2"/>
  <c r="P952" i="2"/>
  <c r="O952" i="2"/>
  <c r="N952" i="2"/>
  <c r="I952" i="2"/>
  <c r="L952" i="2" s="1"/>
  <c r="G952" i="2"/>
  <c r="R951" i="2"/>
  <c r="Q951" i="2"/>
  <c r="P951" i="2"/>
  <c r="O951" i="2"/>
  <c r="N951" i="2"/>
  <c r="I951" i="2"/>
  <c r="L951" i="2" s="1"/>
  <c r="G951" i="2"/>
  <c r="R950" i="2"/>
  <c r="Q950" i="2"/>
  <c r="P950" i="2"/>
  <c r="O950" i="2"/>
  <c r="N950" i="2"/>
  <c r="I950" i="2"/>
  <c r="L950" i="2" s="1"/>
  <c r="G950" i="2"/>
  <c r="R949" i="2"/>
  <c r="Q949" i="2"/>
  <c r="P949" i="2"/>
  <c r="O949" i="2"/>
  <c r="M949" i="2"/>
  <c r="I949" i="2"/>
  <c r="L949" i="2" s="1"/>
  <c r="G949" i="2"/>
  <c r="F949" i="2"/>
  <c r="R948" i="2"/>
  <c r="Q948" i="2"/>
  <c r="P948" i="2"/>
  <c r="O948" i="2"/>
  <c r="M948" i="2"/>
  <c r="I948" i="2"/>
  <c r="L948" i="2" s="1"/>
  <c r="G948" i="2"/>
  <c r="R947" i="2"/>
  <c r="Q947" i="2"/>
  <c r="P947" i="2"/>
  <c r="O947" i="2"/>
  <c r="M947" i="2"/>
  <c r="I947" i="2"/>
  <c r="L947" i="2" s="1"/>
  <c r="G947" i="2"/>
  <c r="R946" i="2"/>
  <c r="P946" i="2"/>
  <c r="O946" i="2"/>
  <c r="N946" i="2"/>
  <c r="M946" i="2"/>
  <c r="K946" i="2"/>
  <c r="I946" i="2"/>
  <c r="E946" i="2"/>
  <c r="E947" i="2" s="1"/>
  <c r="R945" i="2"/>
  <c r="Q945" i="2"/>
  <c r="O945" i="2"/>
  <c r="N945" i="2"/>
  <c r="M945" i="2"/>
  <c r="K945" i="2"/>
  <c r="I945" i="2"/>
  <c r="R944" i="2"/>
  <c r="Q944" i="2"/>
  <c r="P944" i="2"/>
  <c r="O944" i="2"/>
  <c r="N944" i="2"/>
  <c r="I944" i="2"/>
  <c r="L944" i="2" s="1"/>
  <c r="G944" i="2"/>
  <c r="R943" i="2"/>
  <c r="Q943" i="2"/>
  <c r="P943" i="2"/>
  <c r="O943" i="2"/>
  <c r="N943" i="2"/>
  <c r="I943" i="2"/>
  <c r="L943" i="2" s="1"/>
  <c r="G943" i="2"/>
  <c r="R942" i="2"/>
  <c r="Q942" i="2"/>
  <c r="P942" i="2"/>
  <c r="O942" i="2"/>
  <c r="N942" i="2"/>
  <c r="I942" i="2"/>
  <c r="L942" i="2" s="1"/>
  <c r="G942" i="2"/>
  <c r="R941" i="2"/>
  <c r="Q941" i="2"/>
  <c r="P941" i="2"/>
  <c r="O941" i="2"/>
  <c r="M941" i="2"/>
  <c r="I941" i="2"/>
  <c r="L941" i="2" s="1"/>
  <c r="G941" i="2"/>
  <c r="F941" i="2"/>
  <c r="R940" i="2"/>
  <c r="Q940" i="2"/>
  <c r="P940" i="2"/>
  <c r="O940" i="2"/>
  <c r="M940" i="2"/>
  <c r="I940" i="2"/>
  <c r="L940" i="2" s="1"/>
  <c r="G940" i="2"/>
  <c r="R939" i="2"/>
  <c r="Q939" i="2"/>
  <c r="P939" i="2"/>
  <c r="O939" i="2"/>
  <c r="M939" i="2"/>
  <c r="I939" i="2"/>
  <c r="L939" i="2" s="1"/>
  <c r="G939" i="2"/>
  <c r="R938" i="2"/>
  <c r="Q938" i="2"/>
  <c r="P938" i="2"/>
  <c r="N938" i="2"/>
  <c r="M938" i="2"/>
  <c r="K938" i="2"/>
  <c r="I938" i="2"/>
  <c r="R937" i="2"/>
  <c r="Q937" i="2"/>
  <c r="O937" i="2"/>
  <c r="N937" i="2"/>
  <c r="M937" i="2"/>
  <c r="K937" i="2"/>
  <c r="I937" i="2"/>
  <c r="R936" i="2"/>
  <c r="Q936" i="2"/>
  <c r="P936" i="2"/>
  <c r="O936" i="2"/>
  <c r="N936" i="2"/>
  <c r="I936" i="2"/>
  <c r="L936" i="2" s="1"/>
  <c r="G936" i="2"/>
  <c r="R935" i="2"/>
  <c r="Q935" i="2"/>
  <c r="P935" i="2"/>
  <c r="O935" i="2"/>
  <c r="N935" i="2"/>
  <c r="L935" i="2"/>
  <c r="I935" i="2"/>
  <c r="G935" i="2"/>
  <c r="R934" i="2"/>
  <c r="Q934" i="2"/>
  <c r="P934" i="2"/>
  <c r="O934" i="2"/>
  <c r="N934" i="2"/>
  <c r="I934" i="2"/>
  <c r="L934" i="2" s="1"/>
  <c r="G934" i="2"/>
  <c r="R933" i="2"/>
  <c r="Q933" i="2"/>
  <c r="P933" i="2"/>
  <c r="O933" i="2"/>
  <c r="M933" i="2"/>
  <c r="I933" i="2"/>
  <c r="L933" i="2" s="1"/>
  <c r="G933" i="2"/>
  <c r="F933" i="2"/>
  <c r="R932" i="2"/>
  <c r="Q932" i="2"/>
  <c r="P932" i="2"/>
  <c r="O932" i="2"/>
  <c r="M932" i="2"/>
  <c r="I932" i="2"/>
  <c r="L932" i="2" s="1"/>
  <c r="G932" i="2"/>
  <c r="R931" i="2"/>
  <c r="Q931" i="2"/>
  <c r="P931" i="2"/>
  <c r="O931" i="2"/>
  <c r="M931" i="2"/>
  <c r="I931" i="2"/>
  <c r="L931" i="2" s="1"/>
  <c r="G931" i="2"/>
  <c r="R930" i="2"/>
  <c r="Q930" i="2"/>
  <c r="P930" i="2"/>
  <c r="N930" i="2"/>
  <c r="M930" i="2"/>
  <c r="K930" i="2"/>
  <c r="I930" i="2"/>
  <c r="E930" i="2"/>
  <c r="E931" i="2" s="1"/>
  <c r="R929" i="2"/>
  <c r="Q929" i="2"/>
  <c r="O929" i="2"/>
  <c r="N929" i="2"/>
  <c r="M929" i="2"/>
  <c r="K929" i="2"/>
  <c r="I929" i="2"/>
  <c r="I873" i="2"/>
  <c r="G872" i="2"/>
  <c r="R872" i="2"/>
  <c r="Q872" i="2"/>
  <c r="P872" i="2"/>
  <c r="O872" i="2"/>
  <c r="N872" i="2"/>
  <c r="I872" i="2"/>
  <c r="L872" i="2" s="1"/>
  <c r="I870" i="2"/>
  <c r="S870" i="2"/>
  <c r="I854" i="2"/>
  <c r="K854" i="2"/>
  <c r="L854" i="2" s="1"/>
  <c r="M854" i="2"/>
  <c r="P854" i="2"/>
  <c r="Q854" i="2"/>
  <c r="R854" i="2"/>
  <c r="M1033" i="2" l="1"/>
  <c r="L954" i="2"/>
  <c r="O954" i="2" s="1"/>
  <c r="L1002" i="2"/>
  <c r="N1002" i="2" s="1"/>
  <c r="M1011" i="2"/>
  <c r="L1035" i="2"/>
  <c r="P1035" i="2" s="1"/>
  <c r="L1037" i="2"/>
  <c r="L1051" i="2"/>
  <c r="N1051" i="2" s="1"/>
  <c r="L1097" i="2"/>
  <c r="O1097" i="2" s="1"/>
  <c r="L946" i="2"/>
  <c r="L953" i="2"/>
  <c r="P953" i="2" s="1"/>
  <c r="L984" i="2"/>
  <c r="L1001" i="2"/>
  <c r="O1001" i="2" s="1"/>
  <c r="L1014" i="2"/>
  <c r="N1014" i="2" s="1"/>
  <c r="M1018" i="2"/>
  <c r="M1022" i="2"/>
  <c r="L1025" i="2"/>
  <c r="O1025" i="2" s="1"/>
  <c r="M1039" i="2"/>
  <c r="L1050" i="2"/>
  <c r="O1050" i="2" s="1"/>
  <c r="M1053" i="2"/>
  <c r="L1058" i="2"/>
  <c r="O1058" i="2" s="1"/>
  <c r="M1064" i="2"/>
  <c r="M1103" i="2"/>
  <c r="M1016" i="2"/>
  <c r="M1048" i="2"/>
  <c r="M1102" i="2"/>
  <c r="L1000" i="2"/>
  <c r="P1000" i="2" s="1"/>
  <c r="L1012" i="2"/>
  <c r="P1012" i="2" s="1"/>
  <c r="L1045" i="2"/>
  <c r="N1045" i="2" s="1"/>
  <c r="L1049" i="2"/>
  <c r="P1049" i="2" s="1"/>
  <c r="L1068" i="2"/>
  <c r="N1068" i="2" s="1"/>
  <c r="L1088" i="2"/>
  <c r="O1088" i="2" s="1"/>
  <c r="M1104" i="2"/>
  <c r="L1109" i="2"/>
  <c r="O1109" i="2" s="1"/>
  <c r="M1114" i="2"/>
  <c r="E221" i="2"/>
  <c r="M1113" i="2"/>
  <c r="L938" i="2"/>
  <c r="O938" i="2" s="1"/>
  <c r="N947" i="2"/>
  <c r="L929" i="2"/>
  <c r="P929" i="2" s="1"/>
  <c r="L930" i="2"/>
  <c r="O930" i="2" s="1"/>
  <c r="M942" i="2"/>
  <c r="L945" i="2"/>
  <c r="P945" i="2" s="1"/>
  <c r="L973" i="2"/>
  <c r="P973" i="2" s="1"/>
  <c r="L983" i="2"/>
  <c r="P983" i="2" s="1"/>
  <c r="M1005" i="2"/>
  <c r="M1009" i="2"/>
  <c r="L1024" i="2"/>
  <c r="P1024" i="2" s="1"/>
  <c r="L1043" i="2"/>
  <c r="P1043" i="2" s="1"/>
  <c r="L1044" i="2"/>
  <c r="M1056" i="2"/>
  <c r="M1071" i="2"/>
  <c r="M1091" i="2"/>
  <c r="L1096" i="2"/>
  <c r="P1096" i="2" s="1"/>
  <c r="L1108" i="2"/>
  <c r="P1108" i="2" s="1"/>
  <c r="N219" i="2"/>
  <c r="M1017" i="2"/>
  <c r="M1042" i="2"/>
  <c r="M1054" i="2"/>
  <c r="L1066" i="2"/>
  <c r="P1066" i="2" s="1"/>
  <c r="M1075" i="2"/>
  <c r="L1078" i="2"/>
  <c r="P1078" i="2" s="1"/>
  <c r="M1101" i="2"/>
  <c r="M1105" i="2"/>
  <c r="M1027" i="2"/>
  <c r="M1055" i="2"/>
  <c r="M1070" i="2"/>
  <c r="N941" i="2"/>
  <c r="L992" i="2"/>
  <c r="O992" i="2" s="1"/>
  <c r="L1029" i="2"/>
  <c r="P1029" i="2" s="1"/>
  <c r="L1067" i="2"/>
  <c r="O1067" i="2" s="1"/>
  <c r="L1080" i="2"/>
  <c r="N1080" i="2" s="1"/>
  <c r="L1087" i="2"/>
  <c r="P1087" i="2" s="1"/>
  <c r="N939" i="2"/>
  <c r="N940" i="2"/>
  <c r="M943" i="2"/>
  <c r="O984" i="2"/>
  <c r="M1004" i="2"/>
  <c r="M1028" i="2"/>
  <c r="M1092" i="2"/>
  <c r="M1100" i="2"/>
  <c r="M1112" i="2"/>
  <c r="M1115" i="2"/>
  <c r="R1117" i="2"/>
  <c r="L937" i="2"/>
  <c r="P937" i="2" s="1"/>
  <c r="N955" i="2"/>
  <c r="L974" i="2"/>
  <c r="O974" i="2" s="1"/>
  <c r="L1030" i="2"/>
  <c r="O1030" i="2" s="1"/>
  <c r="L1057" i="2"/>
  <c r="P1057" i="2" s="1"/>
  <c r="N238" i="2"/>
  <c r="E239" i="2"/>
  <c r="M249" i="2"/>
  <c r="E250" i="2"/>
  <c r="E230" i="2"/>
  <c r="N229" i="2"/>
  <c r="E211" i="2"/>
  <c r="N210" i="2"/>
  <c r="N195" i="2"/>
  <c r="E196" i="2"/>
  <c r="E186" i="2"/>
  <c r="N185" i="2"/>
  <c r="M204" i="2"/>
  <c r="E205" i="2"/>
  <c r="E222" i="2"/>
  <c r="N221" i="2"/>
  <c r="E957" i="2"/>
  <c r="N956" i="2"/>
  <c r="Q946" i="2"/>
  <c r="Q1117" i="2" s="1"/>
  <c r="N931" i="2"/>
  <c r="M944" i="2"/>
  <c r="E932" i="2"/>
  <c r="E948" i="2"/>
  <c r="L964" i="2"/>
  <c r="O964" i="2" s="1"/>
  <c r="N975" i="2"/>
  <c r="E976" i="2"/>
  <c r="N985" i="2"/>
  <c r="E986" i="2"/>
  <c r="M1032" i="2"/>
  <c r="M1063" i="2"/>
  <c r="M1077" i="2"/>
  <c r="M1083" i="2"/>
  <c r="M1086" i="2"/>
  <c r="M1010" i="2"/>
  <c r="M1020" i="2"/>
  <c r="M1023" i="2"/>
  <c r="M1040" i="2"/>
  <c r="M1062" i="2"/>
  <c r="M1073" i="2"/>
  <c r="M1076" i="2"/>
  <c r="M1082" i="2"/>
  <c r="M1106" i="2"/>
  <c r="N993" i="2"/>
  <c r="E994" i="2"/>
  <c r="N965" i="2"/>
  <c r="E966" i="2"/>
  <c r="N1037" i="2"/>
  <c r="O1036" i="2"/>
  <c r="O1044" i="2"/>
  <c r="M872" i="2"/>
  <c r="C551" i="15"/>
  <c r="F551" i="15"/>
  <c r="F550" i="15"/>
  <c r="F549" i="15"/>
  <c r="C7" i="16"/>
  <c r="C5" i="16"/>
  <c r="G627" i="16"/>
  <c r="G621" i="16"/>
  <c r="G620" i="16"/>
  <c r="G619" i="16"/>
  <c r="G618" i="16"/>
  <c r="G617" i="16"/>
  <c r="G616" i="16"/>
  <c r="G615" i="16"/>
  <c r="G614" i="16"/>
  <c r="G613" i="16"/>
  <c r="G612" i="16"/>
  <c r="G611" i="16"/>
  <c r="G610" i="16"/>
  <c r="G609" i="16"/>
  <c r="G608" i="16"/>
  <c r="G607" i="16"/>
  <c r="G606" i="16"/>
  <c r="G626" i="16"/>
  <c r="G624" i="16"/>
  <c r="G625" i="16"/>
  <c r="M458" i="16"/>
  <c r="M375" i="16"/>
  <c r="M292" i="16"/>
  <c r="J178" i="16"/>
  <c r="G623" i="16"/>
  <c r="J103" i="16"/>
  <c r="D517" i="15"/>
  <c r="G541" i="15"/>
  <c r="G540" i="15"/>
  <c r="F539" i="15"/>
  <c r="G539" i="15" s="1"/>
  <c r="G536" i="15"/>
  <c r="G535" i="15"/>
  <c r="F534" i="15"/>
  <c r="G534" i="15" s="1"/>
  <c r="G530" i="15"/>
  <c r="G519" i="15"/>
  <c r="F517" i="15"/>
  <c r="F516" i="15"/>
  <c r="E503" i="15"/>
  <c r="G503" i="15" s="1"/>
  <c r="G494" i="15"/>
  <c r="G495" i="15"/>
  <c r="G497" i="15"/>
  <c r="G498" i="15"/>
  <c r="G499" i="15"/>
  <c r="G500" i="15"/>
  <c r="G501" i="15"/>
  <c r="G502" i="15"/>
  <c r="G504" i="15"/>
  <c r="G505" i="15"/>
  <c r="G507" i="15"/>
  <c r="F496" i="15"/>
  <c r="G496" i="15" s="1"/>
  <c r="F493" i="15"/>
  <c r="G493" i="15" s="1"/>
  <c r="P1117" i="2" l="1"/>
  <c r="O1117" i="2"/>
  <c r="E223" i="2"/>
  <c r="M222" i="2"/>
  <c r="N211" i="2"/>
  <c r="E212" i="2"/>
  <c r="E251" i="2"/>
  <c r="M251" i="2" s="1"/>
  <c r="M250" i="2"/>
  <c r="E206" i="2"/>
  <c r="M206" i="2" s="1"/>
  <c r="M205" i="2"/>
  <c r="E197" i="2"/>
  <c r="M196" i="2"/>
  <c r="E240" i="2"/>
  <c r="N239" i="2"/>
  <c r="N186" i="2"/>
  <c r="E187" i="2"/>
  <c r="N230" i="2"/>
  <c r="E231" i="2"/>
  <c r="E987" i="2"/>
  <c r="N986" i="2"/>
  <c r="N994" i="2"/>
  <c r="E995" i="2"/>
  <c r="E949" i="2"/>
  <c r="N948" i="2"/>
  <c r="E958" i="2"/>
  <c r="N957" i="2"/>
  <c r="N966" i="2"/>
  <c r="E967" i="2"/>
  <c r="E977" i="2"/>
  <c r="N976" i="2"/>
  <c r="E933" i="2"/>
  <c r="N932" i="2"/>
  <c r="F482" i="15"/>
  <c r="F481" i="15"/>
  <c r="F480" i="15"/>
  <c r="G475" i="15"/>
  <c r="G474" i="15"/>
  <c r="G473" i="15"/>
  <c r="G471" i="15"/>
  <c r="G470" i="15"/>
  <c r="G469" i="15"/>
  <c r="G468" i="15"/>
  <c r="G467" i="15"/>
  <c r="G466" i="15"/>
  <c r="G465" i="15"/>
  <c r="G464" i="15"/>
  <c r="G463" i="15"/>
  <c r="G462" i="15"/>
  <c r="G461" i="15"/>
  <c r="G460" i="15"/>
  <c r="F459" i="15"/>
  <c r="G459" i="15" s="1"/>
  <c r="M458" i="15"/>
  <c r="G458" i="15"/>
  <c r="G457" i="15"/>
  <c r="G456" i="15"/>
  <c r="G455" i="15"/>
  <c r="G454" i="15"/>
  <c r="G453" i="15"/>
  <c r="G452" i="15"/>
  <c r="G451" i="15"/>
  <c r="G450" i="15"/>
  <c r="G449" i="15"/>
  <c r="G448" i="15"/>
  <c r="G447" i="15"/>
  <c r="G446" i="15"/>
  <c r="G445" i="15"/>
  <c r="G444" i="15"/>
  <c r="G443" i="15"/>
  <c r="G442" i="15"/>
  <c r="G441" i="15"/>
  <c r="G440" i="15"/>
  <c r="G439" i="15"/>
  <c r="G438" i="15"/>
  <c r="G437" i="15"/>
  <c r="G436" i="15"/>
  <c r="G435" i="15"/>
  <c r="G434" i="15"/>
  <c r="G433" i="15"/>
  <c r="G432" i="15"/>
  <c r="G431" i="15"/>
  <c r="G430" i="15"/>
  <c r="G429" i="15"/>
  <c r="G428" i="15"/>
  <c r="G427" i="15"/>
  <c r="G426" i="15"/>
  <c r="G425" i="15"/>
  <c r="G424" i="15"/>
  <c r="G423" i="15"/>
  <c r="G422" i="15"/>
  <c r="G421" i="15"/>
  <c r="G420" i="15"/>
  <c r="G419" i="15"/>
  <c r="G418" i="15"/>
  <c r="G417" i="15"/>
  <c r="G416" i="15"/>
  <c r="G415" i="15"/>
  <c r="G414" i="15"/>
  <c r="G413" i="15"/>
  <c r="G412" i="15"/>
  <c r="G411" i="15"/>
  <c r="G410" i="15"/>
  <c r="G409" i="15"/>
  <c r="G408" i="15"/>
  <c r="F407" i="15"/>
  <c r="G407" i="15" s="1"/>
  <c r="G406" i="15"/>
  <c r="G405" i="15"/>
  <c r="G404" i="15"/>
  <c r="G403" i="15"/>
  <c r="G402" i="15"/>
  <c r="G401" i="15"/>
  <c r="G400" i="15"/>
  <c r="G399" i="15"/>
  <c r="G398" i="15"/>
  <c r="G397" i="15"/>
  <c r="G396" i="15"/>
  <c r="G395" i="15"/>
  <c r="G394" i="15"/>
  <c r="G393" i="15"/>
  <c r="G370" i="15"/>
  <c r="G369" i="15"/>
  <c r="G287" i="15"/>
  <c r="G392" i="15"/>
  <c r="G391" i="15"/>
  <c r="G390" i="15"/>
  <c r="G388" i="15"/>
  <c r="G387" i="15"/>
  <c r="G386" i="15"/>
  <c r="G385" i="15"/>
  <c r="G384" i="15"/>
  <c r="G383" i="15"/>
  <c r="G382" i="15"/>
  <c r="G381" i="15"/>
  <c r="G380" i="15"/>
  <c r="G379" i="15"/>
  <c r="G378" i="15"/>
  <c r="G377" i="15"/>
  <c r="F376" i="15"/>
  <c r="G376" i="15" s="1"/>
  <c r="M375" i="15"/>
  <c r="G375" i="15"/>
  <c r="G374" i="15"/>
  <c r="G373" i="15"/>
  <c r="G372" i="15"/>
  <c r="G371" i="15"/>
  <c r="G368" i="15"/>
  <c r="G367" i="15"/>
  <c r="G366" i="15"/>
  <c r="G365" i="15"/>
  <c r="G364" i="15"/>
  <c r="G363" i="15"/>
  <c r="G362" i="15"/>
  <c r="G361" i="15"/>
  <c r="G360" i="15"/>
  <c r="G359" i="15"/>
  <c r="G358" i="15"/>
  <c r="G357" i="15"/>
  <c r="G356" i="15"/>
  <c r="G355" i="15"/>
  <c r="G354" i="15"/>
  <c r="G353" i="15"/>
  <c r="G352" i="15"/>
  <c r="G351" i="15"/>
  <c r="G350" i="15"/>
  <c r="G349" i="15"/>
  <c r="G348" i="15"/>
  <c r="G347" i="15"/>
  <c r="G346" i="15"/>
  <c r="G345" i="15"/>
  <c r="G344" i="15"/>
  <c r="G343" i="15"/>
  <c r="G342" i="15"/>
  <c r="G341" i="15"/>
  <c r="G340" i="15"/>
  <c r="G339" i="15"/>
  <c r="G338" i="15"/>
  <c r="G337" i="15"/>
  <c r="G336" i="15"/>
  <c r="G335" i="15"/>
  <c r="G334" i="15"/>
  <c r="G333" i="15"/>
  <c r="G332" i="15"/>
  <c r="G331" i="15"/>
  <c r="G330" i="15"/>
  <c r="G329" i="15"/>
  <c r="G328" i="15"/>
  <c r="G327" i="15"/>
  <c r="G326" i="15"/>
  <c r="G325" i="15"/>
  <c r="F324" i="15"/>
  <c r="G324" i="15" s="1"/>
  <c r="G323" i="15"/>
  <c r="G322" i="15"/>
  <c r="G321" i="15"/>
  <c r="G320" i="15"/>
  <c r="G319" i="15"/>
  <c r="G318" i="15"/>
  <c r="G317" i="15"/>
  <c r="G316" i="15"/>
  <c r="G315" i="15"/>
  <c r="G314" i="15"/>
  <c r="G313" i="15"/>
  <c r="G312" i="15"/>
  <c r="G311" i="15"/>
  <c r="G310" i="15"/>
  <c r="G307" i="15"/>
  <c r="G297" i="15"/>
  <c r="G296" i="15"/>
  <c r="G295" i="15"/>
  <c r="G294" i="15"/>
  <c r="M292" i="15"/>
  <c r="N187" i="2" l="1"/>
  <c r="E188" i="2"/>
  <c r="E198" i="2"/>
  <c r="M198" i="2" s="1"/>
  <c r="M197" i="2"/>
  <c r="M223" i="2"/>
  <c r="E224" i="2"/>
  <c r="E232" i="2"/>
  <c r="N231" i="2"/>
  <c r="E213" i="2"/>
  <c r="M212" i="2"/>
  <c r="N240" i="2"/>
  <c r="E241" i="2"/>
  <c r="N977" i="2"/>
  <c r="E978" i="2"/>
  <c r="E959" i="2"/>
  <c r="N958" i="2"/>
  <c r="N967" i="2"/>
  <c r="E968" i="2"/>
  <c r="E934" i="2"/>
  <c r="N933" i="2"/>
  <c r="E950" i="2"/>
  <c r="N949" i="2"/>
  <c r="N987" i="2"/>
  <c r="E988" i="2"/>
  <c r="E996" i="2"/>
  <c r="N995" i="2"/>
  <c r="F293" i="15"/>
  <c r="G266" i="15"/>
  <c r="G257" i="15"/>
  <c r="G256" i="15"/>
  <c r="G255" i="15"/>
  <c r="G254" i="15"/>
  <c r="G246" i="15"/>
  <c r="G240" i="15"/>
  <c r="F241" i="15"/>
  <c r="G238" i="15"/>
  <c r="G237" i="15"/>
  <c r="G236" i="15"/>
  <c r="G227" i="15"/>
  <c r="G226" i="15"/>
  <c r="G225" i="15"/>
  <c r="G224" i="15"/>
  <c r="G223" i="15"/>
  <c r="G222" i="15"/>
  <c r="F221" i="15"/>
  <c r="G221" i="15" s="1"/>
  <c r="F220" i="15"/>
  <c r="G220" i="15" s="1"/>
  <c r="G219" i="15"/>
  <c r="G218" i="15"/>
  <c r="G217" i="15"/>
  <c r="G216" i="15"/>
  <c r="G215" i="15"/>
  <c r="G214" i="15"/>
  <c r="G213" i="15"/>
  <c r="G212" i="15"/>
  <c r="G211" i="15"/>
  <c r="G210" i="15"/>
  <c r="G209" i="15"/>
  <c r="G208" i="15"/>
  <c r="G207" i="15"/>
  <c r="G206" i="15"/>
  <c r="G205" i="15"/>
  <c r="G204" i="15"/>
  <c r="G203" i="15"/>
  <c r="G202" i="15"/>
  <c r="G201" i="15"/>
  <c r="G200" i="15"/>
  <c r="G199" i="15"/>
  <c r="F198" i="15"/>
  <c r="G198" i="15" s="1"/>
  <c r="G197" i="15"/>
  <c r="G196" i="15"/>
  <c r="G195" i="15"/>
  <c r="G194" i="15"/>
  <c r="G193" i="15"/>
  <c r="G192" i="15"/>
  <c r="G191" i="15"/>
  <c r="G190" i="15"/>
  <c r="G189" i="15"/>
  <c r="F188" i="15"/>
  <c r="G188" i="15" s="1"/>
  <c r="F187" i="15"/>
  <c r="G187" i="15" s="1"/>
  <c r="G186" i="15"/>
  <c r="G185" i="15"/>
  <c r="G184" i="15"/>
  <c r="G183" i="15"/>
  <c r="G182" i="15"/>
  <c r="G181" i="15"/>
  <c r="G180" i="15"/>
  <c r="G179" i="15"/>
  <c r="J178" i="15"/>
  <c r="G178" i="15"/>
  <c r="G177" i="15"/>
  <c r="G176" i="15"/>
  <c r="G175" i="15"/>
  <c r="G174" i="15"/>
  <c r="G173" i="15"/>
  <c r="G172" i="15"/>
  <c r="G171" i="15"/>
  <c r="G170" i="15"/>
  <c r="G169" i="15"/>
  <c r="G168" i="15"/>
  <c r="G167" i="15"/>
  <c r="G166" i="15"/>
  <c r="G165" i="15"/>
  <c r="F164" i="15"/>
  <c r="G164" i="15" s="1"/>
  <c r="F163" i="15"/>
  <c r="G163" i="15" s="1"/>
  <c r="G162" i="15"/>
  <c r="G161" i="15"/>
  <c r="G160" i="15"/>
  <c r="G159" i="15"/>
  <c r="G158" i="15"/>
  <c r="G157" i="15"/>
  <c r="G156" i="15"/>
  <c r="G155" i="15"/>
  <c r="G154" i="15"/>
  <c r="G153" i="15"/>
  <c r="G152" i="15"/>
  <c r="G147" i="15"/>
  <c r="F146" i="15"/>
  <c r="G146" i="15" s="1"/>
  <c r="F145" i="15"/>
  <c r="G145" i="15" s="1"/>
  <c r="G144" i="15"/>
  <c r="G143" i="15"/>
  <c r="G114" i="15"/>
  <c r="F113" i="15"/>
  <c r="G113" i="15" s="1"/>
  <c r="F112" i="15"/>
  <c r="G112" i="15" s="1"/>
  <c r="G111" i="15"/>
  <c r="G110" i="15"/>
  <c r="G90" i="15"/>
  <c r="F89" i="15"/>
  <c r="G89" i="15" s="1"/>
  <c r="F88" i="15"/>
  <c r="G88" i="15" s="1"/>
  <c r="G87" i="15"/>
  <c r="G86" i="15"/>
  <c r="G52" i="15"/>
  <c r="F51" i="15"/>
  <c r="G51" i="15" s="1"/>
  <c r="F50" i="15"/>
  <c r="G50" i="15" s="1"/>
  <c r="G49" i="15"/>
  <c r="G48" i="15"/>
  <c r="F15" i="15"/>
  <c r="G15" i="15" s="1"/>
  <c r="G16" i="15"/>
  <c r="F14" i="15"/>
  <c r="G14" i="15" s="1"/>
  <c r="G12" i="15"/>
  <c r="G13" i="15"/>
  <c r="G17" i="15"/>
  <c r="M232" i="2" l="1"/>
  <c r="E233" i="2"/>
  <c r="M241" i="2"/>
  <c r="E242" i="2"/>
  <c r="E225" i="2"/>
  <c r="M225" i="2" s="1"/>
  <c r="M224" i="2"/>
  <c r="M188" i="2"/>
  <c r="E189" i="2"/>
  <c r="M213" i="2"/>
  <c r="E214" i="2"/>
  <c r="E969" i="2"/>
  <c r="N968" i="2"/>
  <c r="M959" i="2"/>
  <c r="E960" i="2"/>
  <c r="E997" i="2"/>
  <c r="M996" i="2"/>
  <c r="M950" i="2"/>
  <c r="E951" i="2"/>
  <c r="E979" i="2"/>
  <c r="N978" i="2"/>
  <c r="E989" i="2"/>
  <c r="M988" i="2"/>
  <c r="E935" i="2"/>
  <c r="M934" i="2"/>
  <c r="G139" i="15"/>
  <c r="G138" i="15"/>
  <c r="G137" i="15"/>
  <c r="G129" i="15"/>
  <c r="G128" i="15"/>
  <c r="G83" i="15"/>
  <c r="F123" i="15"/>
  <c r="G104" i="15"/>
  <c r="J103" i="15"/>
  <c r="G107" i="15"/>
  <c r="G106" i="15"/>
  <c r="G105" i="15"/>
  <c r="G97" i="15"/>
  <c r="G96" i="15"/>
  <c r="G95" i="15"/>
  <c r="G82" i="15"/>
  <c r="G72" i="15"/>
  <c r="G66" i="15"/>
  <c r="G65" i="15"/>
  <c r="G64" i="15"/>
  <c r="N1117" i="2" l="1"/>
  <c r="E215" i="2"/>
  <c r="M215" i="2" s="1"/>
  <c r="M214" i="2"/>
  <c r="E234" i="2"/>
  <c r="M233" i="2"/>
  <c r="M189" i="2"/>
  <c r="E190" i="2"/>
  <c r="M190" i="2" s="1"/>
  <c r="E243" i="2"/>
  <c r="M243" i="2" s="1"/>
  <c r="M242" i="2"/>
  <c r="M989" i="2"/>
  <c r="E990" i="2"/>
  <c r="M990" i="2" s="1"/>
  <c r="E936" i="2"/>
  <c r="M936" i="2" s="1"/>
  <c r="M935" i="2"/>
  <c r="M979" i="2"/>
  <c r="E980" i="2"/>
  <c r="M997" i="2"/>
  <c r="E998" i="2"/>
  <c r="M998" i="2" s="1"/>
  <c r="M969" i="2"/>
  <c r="E970" i="2"/>
  <c r="M951" i="2"/>
  <c r="E952" i="2"/>
  <c r="M952" i="2" s="1"/>
  <c r="E961" i="2"/>
  <c r="M960" i="2"/>
  <c r="G30" i="15"/>
  <c r="G29" i="15"/>
  <c r="G9" i="15"/>
  <c r="G10" i="15"/>
  <c r="G43" i="15"/>
  <c r="G42" i="15"/>
  <c r="F41" i="15"/>
  <c r="G41" i="15" s="1"/>
  <c r="F40" i="15"/>
  <c r="G40" i="15" s="1"/>
  <c r="G39" i="15"/>
  <c r="G38" i="15"/>
  <c r="G37" i="15"/>
  <c r="G36" i="15"/>
  <c r="G31" i="15"/>
  <c r="G28" i="15"/>
  <c r="F27" i="15"/>
  <c r="G27" i="15" s="1"/>
  <c r="F26" i="15"/>
  <c r="G26" i="15" s="1"/>
  <c r="G25" i="15"/>
  <c r="G24" i="15"/>
  <c r="F23" i="15"/>
  <c r="G23" i="15" s="1"/>
  <c r="F20" i="15"/>
  <c r="G20" i="15" s="1"/>
  <c r="F19" i="15"/>
  <c r="G19" i="15" s="1"/>
  <c r="F11" i="15"/>
  <c r="G11" i="15" s="1"/>
  <c r="F7" i="15"/>
  <c r="G7" i="15" s="1"/>
  <c r="F6" i="15"/>
  <c r="G6" i="15" s="1"/>
  <c r="G18" i="15"/>
  <c r="G34" i="15"/>
  <c r="G67" i="15"/>
  <c r="G141" i="15"/>
  <c r="G229" i="15"/>
  <c r="G250" i="15"/>
  <c r="G251" i="15"/>
  <c r="G276" i="15"/>
  <c r="G301" i="15"/>
  <c r="G302" i="15"/>
  <c r="G305" i="15"/>
  <c r="G480" i="15"/>
  <c r="G483" i="15"/>
  <c r="G514" i="15"/>
  <c r="G515" i="15"/>
  <c r="G537" i="15"/>
  <c r="G549" i="15"/>
  <c r="G551" i="15"/>
  <c r="G550" i="15"/>
  <c r="G546" i="15"/>
  <c r="G543" i="15"/>
  <c r="G542" i="15"/>
  <c r="G538" i="15"/>
  <c r="G533" i="15"/>
  <c r="G532" i="15"/>
  <c r="G531" i="15"/>
  <c r="G529" i="15"/>
  <c r="G528" i="15"/>
  <c r="G527" i="15"/>
  <c r="G526" i="15"/>
  <c r="G525" i="15"/>
  <c r="G524" i="15"/>
  <c r="G523" i="15"/>
  <c r="G522" i="15"/>
  <c r="G521" i="15"/>
  <c r="G520" i="15"/>
  <c r="G518" i="15"/>
  <c r="G517" i="15"/>
  <c r="G516" i="15"/>
  <c r="G513" i="15"/>
  <c r="G512" i="15"/>
  <c r="G511" i="15"/>
  <c r="G510" i="15"/>
  <c r="G509" i="15"/>
  <c r="G492" i="15"/>
  <c r="G491" i="15"/>
  <c r="G490" i="15"/>
  <c r="G489" i="15"/>
  <c r="G488" i="15"/>
  <c r="G487" i="15"/>
  <c r="G482" i="15"/>
  <c r="G481" i="15"/>
  <c r="G508" i="15"/>
  <c r="G486" i="15"/>
  <c r="G485" i="15"/>
  <c r="G479" i="15"/>
  <c r="G478" i="15"/>
  <c r="G477" i="15"/>
  <c r="G476" i="15"/>
  <c r="G309" i="15"/>
  <c r="G308" i="15"/>
  <c r="G304" i="15"/>
  <c r="G303" i="15"/>
  <c r="G300" i="15"/>
  <c r="G299" i="15"/>
  <c r="G298" i="15"/>
  <c r="G293" i="15"/>
  <c r="G292" i="15"/>
  <c r="G291" i="15"/>
  <c r="G290" i="15"/>
  <c r="G289" i="15"/>
  <c r="G288" i="15"/>
  <c r="G286" i="15"/>
  <c r="G285" i="15"/>
  <c r="G284" i="15"/>
  <c r="G283" i="15"/>
  <c r="G282" i="15"/>
  <c r="G281" i="15"/>
  <c r="G280" i="15"/>
  <c r="G279" i="15"/>
  <c r="G278" i="15"/>
  <c r="G277" i="15"/>
  <c r="G275" i="15"/>
  <c r="G274" i="15"/>
  <c r="G273" i="15"/>
  <c r="G272" i="15"/>
  <c r="G271" i="15"/>
  <c r="G270" i="15"/>
  <c r="G269" i="15"/>
  <c r="G268" i="15"/>
  <c r="G267" i="15"/>
  <c r="G265" i="15"/>
  <c r="G264" i="15"/>
  <c r="G263" i="15"/>
  <c r="G262" i="15"/>
  <c r="G261" i="15"/>
  <c r="G260" i="15"/>
  <c r="G259" i="15"/>
  <c r="G258" i="15"/>
  <c r="G253" i="15"/>
  <c r="G252" i="15"/>
  <c r="G249" i="15"/>
  <c r="G248" i="15"/>
  <c r="G247" i="15"/>
  <c r="G245" i="15"/>
  <c r="G244" i="15"/>
  <c r="G243" i="15"/>
  <c r="G242" i="15"/>
  <c r="G241" i="15"/>
  <c r="G239" i="15"/>
  <c r="G235" i="15"/>
  <c r="G234" i="15"/>
  <c r="G233" i="15"/>
  <c r="G232" i="15"/>
  <c r="G231" i="15"/>
  <c r="G230" i="15"/>
  <c r="G228" i="15"/>
  <c r="G151" i="15"/>
  <c r="G150" i="15"/>
  <c r="G149" i="15"/>
  <c r="G148" i="15"/>
  <c r="G142" i="15"/>
  <c r="G140" i="15"/>
  <c r="G136" i="15"/>
  <c r="G135" i="15"/>
  <c r="G134" i="15"/>
  <c r="G133" i="15"/>
  <c r="G132" i="15"/>
  <c r="G131" i="15"/>
  <c r="G130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09" i="15"/>
  <c r="G108" i="15"/>
  <c r="G103" i="15"/>
  <c r="G102" i="15"/>
  <c r="G101" i="15"/>
  <c r="G100" i="15"/>
  <c r="G99" i="15"/>
  <c r="G98" i="15"/>
  <c r="G94" i="15"/>
  <c r="G93" i="15"/>
  <c r="G92" i="15"/>
  <c r="G91" i="15"/>
  <c r="G85" i="15"/>
  <c r="G84" i="15"/>
  <c r="G81" i="15"/>
  <c r="G80" i="15"/>
  <c r="G79" i="15"/>
  <c r="G78" i="15"/>
  <c r="G77" i="15"/>
  <c r="G76" i="15"/>
  <c r="G75" i="15"/>
  <c r="G74" i="15"/>
  <c r="G73" i="15"/>
  <c r="G71" i="15"/>
  <c r="G70" i="15"/>
  <c r="G69" i="15"/>
  <c r="G68" i="15"/>
  <c r="G63" i="15"/>
  <c r="G62" i="15"/>
  <c r="G61" i="15"/>
  <c r="G60" i="15"/>
  <c r="G59" i="15"/>
  <c r="G58" i="15"/>
  <c r="G57" i="15"/>
  <c r="G56" i="15"/>
  <c r="G55" i="15"/>
  <c r="G54" i="15"/>
  <c r="G53" i="15"/>
  <c r="G47" i="15"/>
  <c r="G46" i="15"/>
  <c r="G45" i="15"/>
  <c r="G44" i="15"/>
  <c r="G35" i="15"/>
  <c r="G33" i="15"/>
  <c r="G32" i="15"/>
  <c r="G22" i="15"/>
  <c r="G21" i="15"/>
  <c r="G8" i="15"/>
  <c r="G5" i="15"/>
  <c r="G544" i="15" s="1"/>
  <c r="G4" i="15"/>
  <c r="G552" i="15" l="1"/>
  <c r="L13" i="10" s="1"/>
  <c r="G547" i="15"/>
  <c r="J13" i="10"/>
  <c r="M234" i="2"/>
  <c r="E235" i="2"/>
  <c r="M235" i="2" s="1"/>
  <c r="E971" i="2"/>
  <c r="M970" i="2"/>
  <c r="E981" i="2"/>
  <c r="M980" i="2"/>
  <c r="M961" i="2"/>
  <c r="E962" i="2"/>
  <c r="M962" i="2" s="1"/>
  <c r="G545" i="15"/>
  <c r="G102" i="4"/>
  <c r="G101" i="4"/>
  <c r="G100" i="4"/>
  <c r="D99" i="4"/>
  <c r="D98" i="4"/>
  <c r="I98" i="4" s="1"/>
  <c r="G97" i="4"/>
  <c r="G96" i="4"/>
  <c r="G95" i="4"/>
  <c r="G94" i="4"/>
  <c r="G93" i="4"/>
  <c r="D92" i="4"/>
  <c r="G91" i="4"/>
  <c r="G90" i="4"/>
  <c r="G89" i="4"/>
  <c r="G88" i="4"/>
  <c r="G87" i="4"/>
  <c r="G86" i="4"/>
  <c r="G85" i="4"/>
  <c r="G84" i="4"/>
  <c r="G83" i="4"/>
  <c r="G82" i="4"/>
  <c r="G81" i="4"/>
  <c r="D80" i="4"/>
  <c r="G79" i="4"/>
  <c r="G78" i="4"/>
  <c r="G77" i="4"/>
  <c r="G76" i="4"/>
  <c r="D75" i="4"/>
  <c r="I75" i="4" s="1"/>
  <c r="G74" i="4"/>
  <c r="G73" i="4"/>
  <c r="G72" i="4"/>
  <c r="G71" i="4"/>
  <c r="G70" i="4"/>
  <c r="G69" i="4"/>
  <c r="G68" i="4"/>
  <c r="G67" i="4"/>
  <c r="D66" i="4"/>
  <c r="G65" i="4"/>
  <c r="D64" i="4"/>
  <c r="G63" i="4"/>
  <c r="G62" i="4"/>
  <c r="D61" i="4"/>
  <c r="D60" i="4"/>
  <c r="D59" i="4"/>
  <c r="G58" i="4"/>
  <c r="G57" i="4"/>
  <c r="D56" i="4"/>
  <c r="G55" i="4"/>
  <c r="G54" i="4"/>
  <c r="G53" i="4"/>
  <c r="G52" i="4"/>
  <c r="G51" i="4"/>
  <c r="G50" i="4"/>
  <c r="G49" i="4"/>
  <c r="G48" i="4"/>
  <c r="G47" i="4"/>
  <c r="G46" i="4"/>
  <c r="G45" i="4"/>
  <c r="D44" i="4"/>
  <c r="G43" i="4"/>
  <c r="G42" i="4"/>
  <c r="G41" i="4"/>
  <c r="G40" i="4"/>
  <c r="G39" i="4"/>
  <c r="G38" i="4"/>
  <c r="G37" i="4"/>
  <c r="G36" i="4"/>
  <c r="G35" i="4"/>
  <c r="G34" i="4"/>
  <c r="G171" i="11"/>
  <c r="G170" i="11"/>
  <c r="G169" i="11"/>
  <c r="G168" i="11"/>
  <c r="D165" i="11"/>
  <c r="G165" i="11" s="1"/>
  <c r="D164" i="11"/>
  <c r="G164" i="11" s="1"/>
  <c r="D163" i="11"/>
  <c r="G163" i="11" s="1"/>
  <c r="D162" i="11"/>
  <c r="G152" i="11"/>
  <c r="G153" i="11"/>
  <c r="G154" i="11"/>
  <c r="G155" i="11"/>
  <c r="G156" i="11"/>
  <c r="G157" i="11"/>
  <c r="G158" i="11"/>
  <c r="G159" i="11"/>
  <c r="G160" i="11"/>
  <c r="G161" i="11"/>
  <c r="G162" i="11"/>
  <c r="G166" i="11"/>
  <c r="G167" i="11"/>
  <c r="D151" i="11"/>
  <c r="G151" i="11" s="1"/>
  <c r="D150" i="11"/>
  <c r="G150" i="11" s="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D127" i="11"/>
  <c r="G127" i="11" s="1"/>
  <c r="D126" i="11"/>
  <c r="G126" i="11" s="1"/>
  <c r="G118" i="11"/>
  <c r="G119" i="11"/>
  <c r="G120" i="11"/>
  <c r="G121" i="11"/>
  <c r="G122" i="11"/>
  <c r="G123" i="11"/>
  <c r="G124" i="11"/>
  <c r="G125" i="11"/>
  <c r="G128" i="11"/>
  <c r="G129" i="11"/>
  <c r="G130" i="11"/>
  <c r="G131" i="11"/>
  <c r="G132" i="11"/>
  <c r="G133" i="11"/>
  <c r="G134" i="11"/>
  <c r="G135" i="11"/>
  <c r="D117" i="11"/>
  <c r="G117" i="11" s="1"/>
  <c r="D116" i="11"/>
  <c r="G116" i="11" s="1"/>
  <c r="G115" i="11"/>
  <c r="G114" i="11"/>
  <c r="G113" i="11"/>
  <c r="G112" i="11"/>
  <c r="G111" i="11"/>
  <c r="G100" i="11"/>
  <c r="G101" i="11"/>
  <c r="G102" i="11"/>
  <c r="G103" i="11"/>
  <c r="G104" i="11"/>
  <c r="G105" i="11"/>
  <c r="G106" i="11"/>
  <c r="G107" i="11"/>
  <c r="G108" i="11"/>
  <c r="G109" i="11"/>
  <c r="G110" i="11"/>
  <c r="D99" i="11"/>
  <c r="G99" i="11" s="1"/>
  <c r="D98" i="11"/>
  <c r="G98" i="11" s="1"/>
  <c r="D95" i="11"/>
  <c r="G95" i="11" s="1"/>
  <c r="D94" i="11"/>
  <c r="G94" i="11" s="1"/>
  <c r="D89" i="11"/>
  <c r="G89" i="11" s="1"/>
  <c r="D88" i="11"/>
  <c r="G88" i="11" s="1"/>
  <c r="D87" i="11"/>
  <c r="G87" i="11" s="1"/>
  <c r="D86" i="11"/>
  <c r="G86" i="11" s="1"/>
  <c r="D85" i="11"/>
  <c r="G85" i="11" s="1"/>
  <c r="D84" i="11"/>
  <c r="G84" i="11" s="1"/>
  <c r="G80" i="11"/>
  <c r="G81" i="11"/>
  <c r="G82" i="11"/>
  <c r="G83" i="11"/>
  <c r="G90" i="11"/>
  <c r="G91" i="11"/>
  <c r="G92" i="11"/>
  <c r="G93" i="11"/>
  <c r="G96" i="11"/>
  <c r="G97" i="11"/>
  <c r="G548" i="15" l="1"/>
  <c r="K13" i="10"/>
  <c r="G59" i="4"/>
  <c r="I59" i="4"/>
  <c r="G44" i="4"/>
  <c r="I44" i="4"/>
  <c r="G56" i="4"/>
  <c r="I56" i="4"/>
  <c r="G60" i="4"/>
  <c r="I60" i="4"/>
  <c r="G64" i="4"/>
  <c r="I64" i="4"/>
  <c r="G75" i="4"/>
  <c r="G98" i="4"/>
  <c r="G66" i="4"/>
  <c r="I66" i="4"/>
  <c r="G61" i="4"/>
  <c r="I61" i="4"/>
  <c r="G80" i="4"/>
  <c r="I80" i="4"/>
  <c r="G92" i="4"/>
  <c r="I92" i="4"/>
  <c r="G99" i="4"/>
  <c r="I99" i="4"/>
  <c r="M971" i="2"/>
  <c r="E972" i="2"/>
  <c r="M972" i="2" s="1"/>
  <c r="M981" i="2"/>
  <c r="E982" i="2"/>
  <c r="M982" i="2" s="1"/>
  <c r="D79" i="11"/>
  <c r="G79" i="11" s="1"/>
  <c r="D78" i="11"/>
  <c r="G78" i="11" s="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D55" i="11"/>
  <c r="G55" i="11" s="1"/>
  <c r="D54" i="11"/>
  <c r="G51" i="11"/>
  <c r="G50" i="11"/>
  <c r="G49" i="11"/>
  <c r="G48" i="11"/>
  <c r="G47" i="11"/>
  <c r="G46" i="11"/>
  <c r="G45" i="11"/>
  <c r="G44" i="11"/>
  <c r="G43" i="11"/>
  <c r="G42" i="11"/>
  <c r="G35" i="11"/>
  <c r="G36" i="11"/>
  <c r="G37" i="11"/>
  <c r="G38" i="11"/>
  <c r="G39" i="11"/>
  <c r="G40" i="11"/>
  <c r="G41" i="11"/>
  <c r="G52" i="11"/>
  <c r="G53" i="11"/>
  <c r="G54" i="11"/>
  <c r="G56" i="11"/>
  <c r="G57" i="11"/>
  <c r="G34" i="11"/>
  <c r="G38" i="14"/>
  <c r="I37" i="14"/>
  <c r="I36" i="14"/>
  <c r="R38" i="14"/>
  <c r="Q38" i="14"/>
  <c r="P38" i="14"/>
  <c r="O38" i="14"/>
  <c r="N38" i="14"/>
  <c r="I38" i="14"/>
  <c r="L38" i="14" s="1"/>
  <c r="M38" i="14" s="1"/>
  <c r="R37" i="14"/>
  <c r="Q37" i="14"/>
  <c r="P37" i="14"/>
  <c r="O37" i="14"/>
  <c r="M37" i="14"/>
  <c r="L37" i="14"/>
  <c r="N37" i="14" s="1"/>
  <c r="R36" i="14"/>
  <c r="Q36" i="14"/>
  <c r="P36" i="14"/>
  <c r="O36" i="14"/>
  <c r="M36" i="14"/>
  <c r="L36" i="14"/>
  <c r="N36" i="14" s="1"/>
  <c r="R35" i="14"/>
  <c r="Q35" i="14"/>
  <c r="P35" i="14"/>
  <c r="O35" i="14"/>
  <c r="N35" i="14"/>
  <c r="M35" i="14"/>
  <c r="L35" i="14"/>
  <c r="G34" i="14"/>
  <c r="I33" i="14"/>
  <c r="L33" i="14" s="1"/>
  <c r="N33" i="14" s="1"/>
  <c r="I32" i="14"/>
  <c r="L32" i="14" s="1"/>
  <c r="N32" i="14" s="1"/>
  <c r="R34" i="14"/>
  <c r="Q34" i="14"/>
  <c r="P34" i="14"/>
  <c r="O34" i="14"/>
  <c r="N34" i="14"/>
  <c r="I34" i="14"/>
  <c r="L34" i="14" s="1"/>
  <c r="M34" i="14" s="1"/>
  <c r="R33" i="14"/>
  <c r="Q33" i="14"/>
  <c r="P33" i="14"/>
  <c r="O33" i="14"/>
  <c r="M33" i="14"/>
  <c r="R32" i="14"/>
  <c r="Q32" i="14"/>
  <c r="P32" i="14"/>
  <c r="O32" i="14"/>
  <c r="M32" i="14"/>
  <c r="R31" i="14"/>
  <c r="Q31" i="14"/>
  <c r="P31" i="14"/>
  <c r="O31" i="14"/>
  <c r="N31" i="14"/>
  <c r="M31" i="14"/>
  <c r="L31" i="14"/>
  <c r="G30" i="14"/>
  <c r="I29" i="14"/>
  <c r="L29" i="14" s="1"/>
  <c r="N29" i="14" s="1"/>
  <c r="I28" i="14"/>
  <c r="R30" i="14"/>
  <c r="Q30" i="14"/>
  <c r="P30" i="14"/>
  <c r="O30" i="14"/>
  <c r="N30" i="14"/>
  <c r="I30" i="14"/>
  <c r="L30" i="14" s="1"/>
  <c r="M30" i="14" s="1"/>
  <c r="R29" i="14"/>
  <c r="Q29" i="14"/>
  <c r="P29" i="14"/>
  <c r="O29" i="14"/>
  <c r="M29" i="14"/>
  <c r="R28" i="14"/>
  <c r="Q28" i="14"/>
  <c r="P28" i="14"/>
  <c r="O28" i="14"/>
  <c r="M28" i="14"/>
  <c r="L28" i="14"/>
  <c r="N28" i="14" s="1"/>
  <c r="R27" i="14"/>
  <c r="Q27" i="14"/>
  <c r="P27" i="14"/>
  <c r="O27" i="14"/>
  <c r="N27" i="14"/>
  <c r="M27" i="14"/>
  <c r="L27" i="14"/>
  <c r="G26" i="14"/>
  <c r="I25" i="14"/>
  <c r="I24" i="14"/>
  <c r="L24" i="14" s="1"/>
  <c r="N24" i="14" s="1"/>
  <c r="R26" i="14"/>
  <c r="Q26" i="14"/>
  <c r="P26" i="14"/>
  <c r="O26" i="14"/>
  <c r="N26" i="14"/>
  <c r="I26" i="14"/>
  <c r="L26" i="14" s="1"/>
  <c r="M26" i="14" s="1"/>
  <c r="R25" i="14"/>
  <c r="Q25" i="14"/>
  <c r="P25" i="14"/>
  <c r="O25" i="14"/>
  <c r="M25" i="14"/>
  <c r="L25" i="14"/>
  <c r="N25" i="14" s="1"/>
  <c r="R24" i="14"/>
  <c r="Q24" i="14"/>
  <c r="P24" i="14"/>
  <c r="O24" i="14"/>
  <c r="M24" i="14"/>
  <c r="R23" i="14"/>
  <c r="Q23" i="14"/>
  <c r="P23" i="14"/>
  <c r="O23" i="14"/>
  <c r="N23" i="14"/>
  <c r="M23" i="14"/>
  <c r="L23" i="14"/>
  <c r="I380" i="14"/>
  <c r="I379" i="14"/>
  <c r="G380" i="14"/>
  <c r="G379" i="14"/>
  <c r="I375" i="14"/>
  <c r="I374" i="14"/>
  <c r="I373" i="14"/>
  <c r="G375" i="14"/>
  <c r="G374" i="14"/>
  <c r="G369" i="14"/>
  <c r="R369" i="14"/>
  <c r="Q369" i="14"/>
  <c r="P369" i="14"/>
  <c r="O369" i="14"/>
  <c r="N369" i="14"/>
  <c r="I369" i="14"/>
  <c r="L369" i="14" s="1"/>
  <c r="R368" i="14"/>
  <c r="Q368" i="14"/>
  <c r="N368" i="14"/>
  <c r="M368" i="14"/>
  <c r="I368" i="14"/>
  <c r="L368" i="14" s="1"/>
  <c r="P368" i="14" s="1"/>
  <c r="R367" i="14"/>
  <c r="Q367" i="14"/>
  <c r="N367" i="14"/>
  <c r="M367" i="14"/>
  <c r="I367" i="14"/>
  <c r="L367" i="14" s="1"/>
  <c r="P367" i="14" s="1"/>
  <c r="R366" i="14"/>
  <c r="Q366" i="14"/>
  <c r="P366" i="14"/>
  <c r="O366" i="14"/>
  <c r="N366" i="14"/>
  <c r="M366" i="14"/>
  <c r="L366" i="14"/>
  <c r="G364" i="14"/>
  <c r="I364" i="14"/>
  <c r="L364" i="14" s="1"/>
  <c r="N364" i="14"/>
  <c r="O364" i="14"/>
  <c r="P364" i="14"/>
  <c r="Q364" i="14"/>
  <c r="R364" i="14"/>
  <c r="G363" i="14"/>
  <c r="I365" i="14"/>
  <c r="I363" i="14"/>
  <c r="G359" i="14"/>
  <c r="G358" i="14"/>
  <c r="I359" i="14"/>
  <c r="I358" i="14"/>
  <c r="G354" i="14"/>
  <c r="R354" i="14"/>
  <c r="Q354" i="14"/>
  <c r="P354" i="14"/>
  <c r="O354" i="14"/>
  <c r="N354" i="14"/>
  <c r="I354" i="14"/>
  <c r="L354" i="14" s="1"/>
  <c r="R353" i="14"/>
  <c r="Q353" i="14"/>
  <c r="N353" i="14"/>
  <c r="M353" i="14"/>
  <c r="L353" i="14"/>
  <c r="P353" i="14" s="1"/>
  <c r="R352" i="14"/>
  <c r="Q352" i="14"/>
  <c r="N352" i="14"/>
  <c r="M352" i="14"/>
  <c r="L352" i="14"/>
  <c r="P352" i="14" s="1"/>
  <c r="R351" i="14"/>
  <c r="Q351" i="14"/>
  <c r="P351" i="14"/>
  <c r="O351" i="14"/>
  <c r="N351" i="14"/>
  <c r="M351" i="14"/>
  <c r="L351" i="14"/>
  <c r="R350" i="14"/>
  <c r="Q350" i="14"/>
  <c r="P350" i="14"/>
  <c r="O350" i="14"/>
  <c r="N350" i="14"/>
  <c r="I350" i="14"/>
  <c r="L350" i="14" s="1"/>
  <c r="G350" i="14"/>
  <c r="R349" i="14"/>
  <c r="Q349" i="14"/>
  <c r="P349" i="14"/>
  <c r="O349" i="14"/>
  <c r="N349" i="14"/>
  <c r="I349" i="14"/>
  <c r="L349" i="14" s="1"/>
  <c r="G349" i="14"/>
  <c r="R348" i="14"/>
  <c r="Q348" i="14"/>
  <c r="N348" i="14"/>
  <c r="M348" i="14"/>
  <c r="I348" i="14"/>
  <c r="L348" i="14" s="1"/>
  <c r="O348" i="14" s="1"/>
  <c r="R347" i="14"/>
  <c r="Q347" i="14"/>
  <c r="N347" i="14"/>
  <c r="M347" i="14"/>
  <c r="I347" i="14"/>
  <c r="L347" i="14" s="1"/>
  <c r="O347" i="14" s="1"/>
  <c r="R346" i="14"/>
  <c r="Q346" i="14"/>
  <c r="P346" i="14"/>
  <c r="O346" i="14"/>
  <c r="N346" i="14"/>
  <c r="M346" i="14"/>
  <c r="L346" i="14"/>
  <c r="I345" i="14"/>
  <c r="I344" i="14"/>
  <c r="I340" i="14"/>
  <c r="G103" i="4" l="1"/>
  <c r="C6" i="12" s="1"/>
  <c r="E6" i="10" s="1"/>
  <c r="H172" i="11"/>
  <c r="C6" i="7" s="1"/>
  <c r="D6" i="10" s="1"/>
  <c r="M1117" i="2"/>
  <c r="S1117" i="2" s="1"/>
  <c r="M364" i="14"/>
  <c r="O367" i="14"/>
  <c r="M369" i="14"/>
  <c r="M350" i="14"/>
  <c r="P348" i="14"/>
  <c r="O368" i="14"/>
  <c r="M349" i="14"/>
  <c r="P347" i="14"/>
  <c r="O353" i="14"/>
  <c r="O352" i="14"/>
  <c r="M354" i="14"/>
  <c r="G336" i="14"/>
  <c r="R336" i="14"/>
  <c r="Q336" i="14"/>
  <c r="P336" i="14"/>
  <c r="O336" i="14"/>
  <c r="N336" i="14"/>
  <c r="I336" i="14"/>
  <c r="L336" i="14" s="1"/>
  <c r="G335" i="14"/>
  <c r="R335" i="14"/>
  <c r="Q335" i="14"/>
  <c r="P335" i="14"/>
  <c r="O335" i="14"/>
  <c r="N335" i="14"/>
  <c r="I335" i="14"/>
  <c r="L335" i="14" s="1"/>
  <c r="R334" i="14"/>
  <c r="Q334" i="14"/>
  <c r="P334" i="14"/>
  <c r="O334" i="14"/>
  <c r="N334" i="14"/>
  <c r="I334" i="14"/>
  <c r="L334" i="14" s="1"/>
  <c r="G334" i="14"/>
  <c r="I333" i="14"/>
  <c r="I332" i="14"/>
  <c r="I331" i="14"/>
  <c r="I330" i="14"/>
  <c r="G331" i="14"/>
  <c r="G330" i="14"/>
  <c r="I329" i="14"/>
  <c r="K329" i="14"/>
  <c r="K328" i="14"/>
  <c r="I328" i="14"/>
  <c r="I326" i="14"/>
  <c r="I325" i="14"/>
  <c r="I324" i="14"/>
  <c r="I323" i="14"/>
  <c r="G313" i="14"/>
  <c r="I313" i="14"/>
  <c r="I309" i="14"/>
  <c r="I308" i="14"/>
  <c r="G309" i="14"/>
  <c r="G308" i="14"/>
  <c r="I304" i="14"/>
  <c r="I303" i="14"/>
  <c r="G304" i="14"/>
  <c r="G303" i="14"/>
  <c r="M334" i="14" l="1"/>
  <c r="M336" i="14"/>
  <c r="M335" i="14"/>
  <c r="I299" i="14"/>
  <c r="I298" i="14"/>
  <c r="G294" i="14"/>
  <c r="G293" i="14"/>
  <c r="I294" i="14"/>
  <c r="I293" i="14"/>
  <c r="I289" i="14"/>
  <c r="I288" i="14"/>
  <c r="G289" i="14"/>
  <c r="G288" i="14"/>
  <c r="G284" i="14"/>
  <c r="G283" i="14"/>
  <c r="R284" i="14"/>
  <c r="Q284" i="14"/>
  <c r="P284" i="14"/>
  <c r="O284" i="14"/>
  <c r="N284" i="14"/>
  <c r="I284" i="14"/>
  <c r="L284" i="14" s="1"/>
  <c r="I282" i="14"/>
  <c r="L282" i="14" s="1"/>
  <c r="P282" i="14" s="1"/>
  <c r="I281" i="14"/>
  <c r="L281" i="14" s="1"/>
  <c r="P281" i="14" s="1"/>
  <c r="R283" i="14"/>
  <c r="Q283" i="14"/>
  <c r="P283" i="14"/>
  <c r="O283" i="14"/>
  <c r="N283" i="14"/>
  <c r="I283" i="14"/>
  <c r="L283" i="14" s="1"/>
  <c r="R282" i="14"/>
  <c r="Q282" i="14"/>
  <c r="O282" i="14"/>
  <c r="N282" i="14"/>
  <c r="M282" i="14"/>
  <c r="R281" i="14"/>
  <c r="Q281" i="14"/>
  <c r="O281" i="14"/>
  <c r="N281" i="14"/>
  <c r="M281" i="14"/>
  <c r="R280" i="14"/>
  <c r="Q280" i="14"/>
  <c r="P280" i="14"/>
  <c r="O280" i="14"/>
  <c r="N280" i="14"/>
  <c r="M280" i="14"/>
  <c r="L280" i="14"/>
  <c r="I279" i="14"/>
  <c r="I278" i="14"/>
  <c r="G272" i="14"/>
  <c r="I271" i="14"/>
  <c r="L271" i="14" s="1"/>
  <c r="O271" i="14" s="1"/>
  <c r="I270" i="14"/>
  <c r="L270" i="14" s="1"/>
  <c r="O270" i="14" s="1"/>
  <c r="R272" i="14"/>
  <c r="Q272" i="14"/>
  <c r="P272" i="14"/>
  <c r="O272" i="14"/>
  <c r="N272" i="14"/>
  <c r="I272" i="14"/>
  <c r="L272" i="14" s="1"/>
  <c r="R271" i="14"/>
  <c r="Q271" i="14"/>
  <c r="N271" i="14"/>
  <c r="M271" i="14"/>
  <c r="R270" i="14"/>
  <c r="Q270" i="14"/>
  <c r="N270" i="14"/>
  <c r="M270" i="14"/>
  <c r="R269" i="14"/>
  <c r="Q269" i="14"/>
  <c r="P269" i="14"/>
  <c r="O269" i="14"/>
  <c r="N269" i="14"/>
  <c r="M269" i="14"/>
  <c r="L269" i="14"/>
  <c r="I268" i="14"/>
  <c r="I264" i="14"/>
  <c r="I263" i="14"/>
  <c r="I257" i="14"/>
  <c r="I260" i="14"/>
  <c r="I259" i="14"/>
  <c r="I253" i="14"/>
  <c r="I252" i="14"/>
  <c r="G248" i="14"/>
  <c r="G247" i="14"/>
  <c r="G246" i="14"/>
  <c r="I248" i="14"/>
  <c r="I247" i="14"/>
  <c r="I246" i="14"/>
  <c r="K242" i="14"/>
  <c r="I242" i="14"/>
  <c r="I240" i="14"/>
  <c r="I239" i="14"/>
  <c r="I238" i="14"/>
  <c r="I235" i="14"/>
  <c r="I234" i="14"/>
  <c r="I233" i="14"/>
  <c r="I232" i="14"/>
  <c r="G230" i="14"/>
  <c r="I229" i="14"/>
  <c r="L229" i="14" s="1"/>
  <c r="O229" i="14" s="1"/>
  <c r="I228" i="14"/>
  <c r="L228" i="14" s="1"/>
  <c r="O228" i="14" s="1"/>
  <c r="R230" i="14"/>
  <c r="Q230" i="14"/>
  <c r="P230" i="14"/>
  <c r="O230" i="14"/>
  <c r="N230" i="14"/>
  <c r="I230" i="14"/>
  <c r="L230" i="14" s="1"/>
  <c r="M230" i="14" s="1"/>
  <c r="R229" i="14"/>
  <c r="Q229" i="14"/>
  <c r="P229" i="14"/>
  <c r="N229" i="14"/>
  <c r="M229" i="14"/>
  <c r="R228" i="14"/>
  <c r="Q228" i="14"/>
  <c r="P228" i="14"/>
  <c r="N228" i="14"/>
  <c r="M228" i="14"/>
  <c r="R227" i="14"/>
  <c r="Q227" i="14"/>
  <c r="P227" i="14"/>
  <c r="O227" i="14"/>
  <c r="N227" i="14"/>
  <c r="M227" i="14"/>
  <c r="L227" i="14"/>
  <c r="G226" i="14"/>
  <c r="G225" i="14"/>
  <c r="I226" i="14"/>
  <c r="I225" i="14"/>
  <c r="I224" i="14"/>
  <c r="I223" i="14"/>
  <c r="I222" i="14"/>
  <c r="G220" i="14"/>
  <c r="G219" i="14"/>
  <c r="I220" i="14"/>
  <c r="I219" i="14"/>
  <c r="I218" i="14"/>
  <c r="I217" i="14"/>
  <c r="G215" i="14"/>
  <c r="G214" i="14"/>
  <c r="I215" i="14"/>
  <c r="I214" i="14"/>
  <c r="I213" i="14"/>
  <c r="L213" i="14" s="1"/>
  <c r="O213" i="14" s="1"/>
  <c r="M213" i="14"/>
  <c r="N213" i="14"/>
  <c r="P213" i="14"/>
  <c r="Q213" i="14"/>
  <c r="R213" i="14"/>
  <c r="L211" i="14"/>
  <c r="O211" i="14" s="1"/>
  <c r="M211" i="14"/>
  <c r="N211" i="14"/>
  <c r="P211" i="14"/>
  <c r="Q211" i="14"/>
  <c r="R211" i="14"/>
  <c r="I210" i="14"/>
  <c r="I209" i="14"/>
  <c r="I207" i="14"/>
  <c r="I206" i="14"/>
  <c r="G207" i="14"/>
  <c r="G206" i="14"/>
  <c r="I205" i="14"/>
  <c r="I204" i="14"/>
  <c r="G202" i="14"/>
  <c r="G201" i="14"/>
  <c r="I202" i="14"/>
  <c r="I201" i="14"/>
  <c r="I200" i="14"/>
  <c r="I199" i="14"/>
  <c r="G195" i="14"/>
  <c r="G194" i="14"/>
  <c r="R195" i="14"/>
  <c r="Q195" i="14"/>
  <c r="P195" i="14"/>
  <c r="O195" i="14"/>
  <c r="N195" i="14"/>
  <c r="I195" i="14"/>
  <c r="L195" i="14" s="1"/>
  <c r="R194" i="14"/>
  <c r="Q194" i="14"/>
  <c r="P194" i="14"/>
  <c r="O194" i="14"/>
  <c r="N194" i="14"/>
  <c r="I194" i="14"/>
  <c r="L194" i="14" s="1"/>
  <c r="M194" i="14" s="1"/>
  <c r="G193" i="14"/>
  <c r="I193" i="14"/>
  <c r="L193" i="14" s="1"/>
  <c r="N193" i="14"/>
  <c r="O193" i="14"/>
  <c r="P193" i="14"/>
  <c r="Q193" i="14"/>
  <c r="R193" i="14"/>
  <c r="G192" i="14"/>
  <c r="I192" i="14"/>
  <c r="L192" i="14" s="1"/>
  <c r="N192" i="14"/>
  <c r="O192" i="14"/>
  <c r="P192" i="14"/>
  <c r="Q192" i="14"/>
  <c r="R192" i="14"/>
  <c r="G191" i="14"/>
  <c r="I191" i="14"/>
  <c r="I190" i="14"/>
  <c r="K190" i="14"/>
  <c r="K189" i="14"/>
  <c r="I189" i="14"/>
  <c r="I187" i="14"/>
  <c r="I186" i="14"/>
  <c r="G187" i="14"/>
  <c r="G186" i="14"/>
  <c r="L187" i="14"/>
  <c r="N187" i="14"/>
  <c r="O187" i="14"/>
  <c r="P187" i="14"/>
  <c r="Q187" i="14"/>
  <c r="R187" i="14"/>
  <c r="I185" i="14"/>
  <c r="I184" i="14"/>
  <c r="I182" i="14"/>
  <c r="G180" i="14"/>
  <c r="I179" i="14"/>
  <c r="I178" i="14"/>
  <c r="I180" i="14"/>
  <c r="I176" i="14"/>
  <c r="I175" i="14"/>
  <c r="I169" i="14"/>
  <c r="I168" i="14"/>
  <c r="I167" i="14"/>
  <c r="I166" i="14"/>
  <c r="I162" i="14"/>
  <c r="I161" i="14"/>
  <c r="I160" i="14"/>
  <c r="I159" i="14"/>
  <c r="G169" i="14"/>
  <c r="G168" i="14"/>
  <c r="G167" i="14"/>
  <c r="G166" i="14"/>
  <c r="I164" i="14"/>
  <c r="M272" i="14" l="1"/>
  <c r="M283" i="14"/>
  <c r="M284" i="14"/>
  <c r="P271" i="14"/>
  <c r="P270" i="14"/>
  <c r="M192" i="14"/>
  <c r="M195" i="14"/>
  <c r="M193" i="14"/>
  <c r="M187" i="14"/>
  <c r="I151" i="14"/>
  <c r="I150" i="14"/>
  <c r="I149" i="14"/>
  <c r="I145" i="14"/>
  <c r="I144" i="14"/>
  <c r="I142" i="14"/>
  <c r="I141" i="14"/>
  <c r="G135" i="14"/>
  <c r="G134" i="14"/>
  <c r="R135" i="14"/>
  <c r="Q135" i="14"/>
  <c r="P135" i="14"/>
  <c r="O135" i="14"/>
  <c r="N135" i="14"/>
  <c r="I135" i="14"/>
  <c r="L135" i="14" s="1"/>
  <c r="R134" i="14"/>
  <c r="Q134" i="14"/>
  <c r="P134" i="14"/>
  <c r="O134" i="14"/>
  <c r="N134" i="14"/>
  <c r="I134" i="14"/>
  <c r="L134" i="14" s="1"/>
  <c r="M134" i="14" s="1"/>
  <c r="G133" i="14"/>
  <c r="G132" i="14"/>
  <c r="I133" i="14"/>
  <c r="L133" i="14" s="1"/>
  <c r="N133" i="14"/>
  <c r="O133" i="14"/>
  <c r="P133" i="14"/>
  <c r="Q133" i="14"/>
  <c r="R133" i="14"/>
  <c r="I132" i="14"/>
  <c r="I131" i="14"/>
  <c r="L131" i="14" s="1"/>
  <c r="O131" i="14" s="1"/>
  <c r="M131" i="14"/>
  <c r="N131" i="14"/>
  <c r="P131" i="14"/>
  <c r="Q131" i="14"/>
  <c r="R131" i="14"/>
  <c r="L130" i="14"/>
  <c r="O130" i="14" s="1"/>
  <c r="M130" i="14"/>
  <c r="N130" i="14"/>
  <c r="P130" i="14"/>
  <c r="Q130" i="14"/>
  <c r="R130" i="14"/>
  <c r="L129" i="14"/>
  <c r="O129" i="14" s="1"/>
  <c r="M129" i="14"/>
  <c r="N129" i="14"/>
  <c r="P129" i="14"/>
  <c r="Q129" i="14"/>
  <c r="R129" i="14"/>
  <c r="I128" i="14"/>
  <c r="I127" i="14"/>
  <c r="G125" i="14"/>
  <c r="G124" i="14"/>
  <c r="R125" i="14"/>
  <c r="Q125" i="14"/>
  <c r="P125" i="14"/>
  <c r="O125" i="14"/>
  <c r="N125" i="14"/>
  <c r="I125" i="14"/>
  <c r="L125" i="14" s="1"/>
  <c r="R124" i="14"/>
  <c r="Q124" i="14"/>
  <c r="P124" i="14"/>
  <c r="O124" i="14"/>
  <c r="N124" i="14"/>
  <c r="I124" i="14"/>
  <c r="L124" i="14" s="1"/>
  <c r="G123" i="14"/>
  <c r="I123" i="14"/>
  <c r="L123" i="14" s="1"/>
  <c r="N123" i="14"/>
  <c r="O123" i="14"/>
  <c r="P123" i="14"/>
  <c r="Q123" i="14"/>
  <c r="R123" i="14"/>
  <c r="G122" i="14"/>
  <c r="I122" i="14"/>
  <c r="L122" i="14" s="1"/>
  <c r="N122" i="14"/>
  <c r="O122" i="14"/>
  <c r="P122" i="14"/>
  <c r="Q122" i="14"/>
  <c r="R122" i="14"/>
  <c r="I121" i="14"/>
  <c r="G121" i="14"/>
  <c r="L120" i="14"/>
  <c r="P120" i="14" s="1"/>
  <c r="M120" i="14"/>
  <c r="N120" i="14"/>
  <c r="O120" i="14"/>
  <c r="Q120" i="14"/>
  <c r="R120" i="14"/>
  <c r="L119" i="14"/>
  <c r="P119" i="14" s="1"/>
  <c r="M119" i="14"/>
  <c r="N119" i="14"/>
  <c r="O119" i="14"/>
  <c r="Q119" i="14"/>
  <c r="R119" i="14"/>
  <c r="L117" i="14"/>
  <c r="O117" i="14" s="1"/>
  <c r="M117" i="14"/>
  <c r="N117" i="14"/>
  <c r="P117" i="14"/>
  <c r="Q117" i="14"/>
  <c r="R117" i="14"/>
  <c r="K115" i="14"/>
  <c r="K114" i="14"/>
  <c r="I112" i="14"/>
  <c r="I111" i="14"/>
  <c r="I107" i="14"/>
  <c r="I106" i="14"/>
  <c r="G112" i="14"/>
  <c r="G111" i="14"/>
  <c r="G107" i="14"/>
  <c r="G106" i="14"/>
  <c r="G102" i="14"/>
  <c r="G101" i="14"/>
  <c r="R102" i="14"/>
  <c r="Q102" i="14"/>
  <c r="P102" i="14"/>
  <c r="O102" i="14"/>
  <c r="N102" i="14"/>
  <c r="I102" i="14"/>
  <c r="L102" i="14" s="1"/>
  <c r="R101" i="14"/>
  <c r="Q101" i="14"/>
  <c r="P101" i="14"/>
  <c r="O101" i="14"/>
  <c r="N101" i="14"/>
  <c r="I101" i="14"/>
  <c r="L101" i="14" s="1"/>
  <c r="I100" i="14"/>
  <c r="I99" i="14"/>
  <c r="G100" i="14"/>
  <c r="G99" i="14"/>
  <c r="I97" i="14"/>
  <c r="I91" i="14"/>
  <c r="I95" i="14"/>
  <c r="I90" i="14"/>
  <c r="I89" i="14"/>
  <c r="I87" i="14"/>
  <c r="I86" i="14"/>
  <c r="I79" i="14"/>
  <c r="I78" i="14"/>
  <c r="I74" i="14"/>
  <c r="I73" i="14"/>
  <c r="I72" i="14"/>
  <c r="I71" i="14"/>
  <c r="I70" i="14"/>
  <c r="I68" i="14"/>
  <c r="I67" i="14"/>
  <c r="G68" i="14"/>
  <c r="G67" i="14"/>
  <c r="G63" i="14"/>
  <c r="G62" i="14"/>
  <c r="I63" i="14"/>
  <c r="I62" i="14"/>
  <c r="I61" i="14"/>
  <c r="I60" i="14"/>
  <c r="G61" i="14"/>
  <c r="G60" i="14"/>
  <c r="I59" i="14"/>
  <c r="I58" i="14"/>
  <c r="G54" i="14"/>
  <c r="G53" i="14"/>
  <c r="R54" i="14"/>
  <c r="Q54" i="14"/>
  <c r="P54" i="14"/>
  <c r="O54" i="14"/>
  <c r="N54" i="14"/>
  <c r="I54" i="14"/>
  <c r="L54" i="14" s="1"/>
  <c r="R53" i="14"/>
  <c r="Q53" i="14"/>
  <c r="P53" i="14"/>
  <c r="O53" i="14"/>
  <c r="N53" i="14"/>
  <c r="I53" i="14"/>
  <c r="L53" i="14" s="1"/>
  <c r="G52" i="14"/>
  <c r="G51" i="14"/>
  <c r="I52" i="14"/>
  <c r="I51" i="14"/>
  <c r="K50" i="14"/>
  <c r="K49" i="14"/>
  <c r="G47" i="14"/>
  <c r="I45" i="14"/>
  <c r="I44" i="14"/>
  <c r="I42" i="14"/>
  <c r="G42" i="14"/>
  <c r="M123" i="14" l="1"/>
  <c r="M135" i="14"/>
  <c r="M122" i="14"/>
  <c r="M133" i="14"/>
  <c r="M125" i="14"/>
  <c r="M124" i="14"/>
  <c r="M102" i="14"/>
  <c r="M101" i="14"/>
  <c r="M54" i="14"/>
  <c r="M53" i="14"/>
  <c r="I415" i="8"/>
  <c r="I414" i="8"/>
  <c r="I302" i="8"/>
  <c r="I300" i="8"/>
  <c r="G21" i="8"/>
  <c r="G22" i="14"/>
  <c r="I22" i="14"/>
  <c r="I18" i="14"/>
  <c r="L18" i="14" s="1"/>
  <c r="I17" i="14"/>
  <c r="L17" i="14" s="1"/>
  <c r="G18" i="14"/>
  <c r="G17" i="14"/>
  <c r="G12" i="14"/>
  <c r="G11" i="14"/>
  <c r="G10" i="14"/>
  <c r="G9" i="14"/>
  <c r="I10" i="14"/>
  <c r="L10" i="14" s="1"/>
  <c r="I11" i="14"/>
  <c r="L11" i="14" s="1"/>
  <c r="I12" i="14"/>
  <c r="L12" i="14" s="1"/>
  <c r="I9" i="14"/>
  <c r="L9" i="14" s="1"/>
  <c r="R381" i="14"/>
  <c r="Q381" i="14"/>
  <c r="P381" i="14"/>
  <c r="O381" i="14"/>
  <c r="N381" i="14"/>
  <c r="M381" i="14"/>
  <c r="L381" i="14"/>
  <c r="R380" i="14"/>
  <c r="Q380" i="14"/>
  <c r="P380" i="14"/>
  <c r="O380" i="14"/>
  <c r="N380" i="14"/>
  <c r="L380" i="14"/>
  <c r="R379" i="14"/>
  <c r="Q379" i="14"/>
  <c r="P379" i="14"/>
  <c r="O379" i="14"/>
  <c r="N379" i="14"/>
  <c r="L379" i="14"/>
  <c r="R378" i="14"/>
  <c r="Q378" i="14"/>
  <c r="N378" i="14"/>
  <c r="M378" i="14"/>
  <c r="I378" i="14"/>
  <c r="L378" i="14" s="1"/>
  <c r="P378" i="14" s="1"/>
  <c r="R377" i="14"/>
  <c r="Q377" i="14"/>
  <c r="N377" i="14"/>
  <c r="M377" i="14"/>
  <c r="I377" i="14"/>
  <c r="L377" i="14" s="1"/>
  <c r="P377" i="14" s="1"/>
  <c r="R376" i="14"/>
  <c r="Q376" i="14"/>
  <c r="P376" i="14"/>
  <c r="O376" i="14"/>
  <c r="N376" i="14"/>
  <c r="M376" i="14"/>
  <c r="L376" i="14"/>
  <c r="R375" i="14"/>
  <c r="Q375" i="14"/>
  <c r="P375" i="14"/>
  <c r="O375" i="14"/>
  <c r="N375" i="14"/>
  <c r="L375" i="14"/>
  <c r="R374" i="14"/>
  <c r="Q374" i="14"/>
  <c r="P374" i="14"/>
  <c r="O374" i="14"/>
  <c r="N374" i="14"/>
  <c r="L374" i="14"/>
  <c r="R373" i="14"/>
  <c r="Q373" i="14"/>
  <c r="P373" i="14"/>
  <c r="O373" i="14"/>
  <c r="N373" i="14"/>
  <c r="L373" i="14"/>
  <c r="G373" i="14"/>
  <c r="R372" i="14"/>
  <c r="Q372" i="14"/>
  <c r="N372" i="14"/>
  <c r="M372" i="14"/>
  <c r="I372" i="14"/>
  <c r="L372" i="14" s="1"/>
  <c r="P372" i="14" s="1"/>
  <c r="R371" i="14"/>
  <c r="Q371" i="14"/>
  <c r="N371" i="14"/>
  <c r="M371" i="14"/>
  <c r="I371" i="14"/>
  <c r="L371" i="14" s="1"/>
  <c r="P371" i="14" s="1"/>
  <c r="R370" i="14"/>
  <c r="Q370" i="14"/>
  <c r="P370" i="14"/>
  <c r="O370" i="14"/>
  <c r="N370" i="14"/>
  <c r="M370" i="14"/>
  <c r="L370" i="14"/>
  <c r="R365" i="14"/>
  <c r="Q365" i="14"/>
  <c r="P365" i="14"/>
  <c r="O365" i="14"/>
  <c r="N365" i="14"/>
  <c r="L365" i="14"/>
  <c r="G365" i="14"/>
  <c r="R363" i="14"/>
  <c r="Q363" i="14"/>
  <c r="P363" i="14"/>
  <c r="O363" i="14"/>
  <c r="N363" i="14"/>
  <c r="L363" i="14"/>
  <c r="R362" i="14"/>
  <c r="Q362" i="14"/>
  <c r="O362" i="14"/>
  <c r="N362" i="14"/>
  <c r="M362" i="14"/>
  <c r="I362" i="14"/>
  <c r="L362" i="14" s="1"/>
  <c r="P362" i="14" s="1"/>
  <c r="R361" i="14"/>
  <c r="Q361" i="14"/>
  <c r="O361" i="14"/>
  <c r="N361" i="14"/>
  <c r="M361" i="14"/>
  <c r="I361" i="14"/>
  <c r="L361" i="14" s="1"/>
  <c r="P361" i="14" s="1"/>
  <c r="R360" i="14"/>
  <c r="Q360" i="14"/>
  <c r="P360" i="14"/>
  <c r="O360" i="14"/>
  <c r="N360" i="14"/>
  <c r="M360" i="14"/>
  <c r="L360" i="14"/>
  <c r="R359" i="14"/>
  <c r="Q359" i="14"/>
  <c r="P359" i="14"/>
  <c r="O359" i="14"/>
  <c r="N359" i="14"/>
  <c r="L359" i="14"/>
  <c r="R358" i="14"/>
  <c r="Q358" i="14"/>
  <c r="P358" i="14"/>
  <c r="O358" i="14"/>
  <c r="N358" i="14"/>
  <c r="L358" i="14"/>
  <c r="R357" i="14"/>
  <c r="Q357" i="14"/>
  <c r="O357" i="14"/>
  <c r="N357" i="14"/>
  <c r="M357" i="14"/>
  <c r="I357" i="14"/>
  <c r="L357" i="14" s="1"/>
  <c r="P357" i="14" s="1"/>
  <c r="R356" i="14"/>
  <c r="Q356" i="14"/>
  <c r="O356" i="14"/>
  <c r="N356" i="14"/>
  <c r="M356" i="14"/>
  <c r="I356" i="14"/>
  <c r="L356" i="14" s="1"/>
  <c r="P356" i="14" s="1"/>
  <c r="R355" i="14"/>
  <c r="Q355" i="14"/>
  <c r="P355" i="14"/>
  <c r="O355" i="14"/>
  <c r="N355" i="14"/>
  <c r="M355" i="14"/>
  <c r="L355" i="14"/>
  <c r="R345" i="14"/>
  <c r="Q345" i="14"/>
  <c r="P345" i="14"/>
  <c r="O345" i="14"/>
  <c r="N345" i="14"/>
  <c r="L345" i="14"/>
  <c r="G345" i="14"/>
  <c r="R344" i="14"/>
  <c r="Q344" i="14"/>
  <c r="P344" i="14"/>
  <c r="O344" i="14"/>
  <c r="N344" i="14"/>
  <c r="L344" i="14"/>
  <c r="G344" i="14"/>
  <c r="R343" i="14"/>
  <c r="Q343" i="14"/>
  <c r="N343" i="14"/>
  <c r="M343" i="14"/>
  <c r="I343" i="14"/>
  <c r="L343" i="14" s="1"/>
  <c r="P343" i="14" s="1"/>
  <c r="R342" i="14"/>
  <c r="Q342" i="14"/>
  <c r="N342" i="14"/>
  <c r="M342" i="14"/>
  <c r="I342" i="14"/>
  <c r="L342" i="14" s="1"/>
  <c r="P342" i="14" s="1"/>
  <c r="R341" i="14"/>
  <c r="Q341" i="14"/>
  <c r="P341" i="14"/>
  <c r="O341" i="14"/>
  <c r="N341" i="14"/>
  <c r="M341" i="14"/>
  <c r="L341" i="14"/>
  <c r="R340" i="14"/>
  <c r="Q340" i="14"/>
  <c r="P340" i="14"/>
  <c r="O340" i="14"/>
  <c r="N340" i="14"/>
  <c r="L340" i="14"/>
  <c r="G340" i="14"/>
  <c r="R339" i="14"/>
  <c r="Q339" i="14"/>
  <c r="N339" i="14"/>
  <c r="M339" i="14"/>
  <c r="I339" i="14"/>
  <c r="L339" i="14" s="1"/>
  <c r="P339" i="14" s="1"/>
  <c r="R338" i="14"/>
  <c r="Q338" i="14"/>
  <c r="N338" i="14"/>
  <c r="M338" i="14"/>
  <c r="I338" i="14"/>
  <c r="L338" i="14" s="1"/>
  <c r="P338" i="14" s="1"/>
  <c r="R337" i="14"/>
  <c r="Q337" i="14"/>
  <c r="P337" i="14"/>
  <c r="O337" i="14"/>
  <c r="N337" i="14"/>
  <c r="M337" i="14"/>
  <c r="L337" i="14"/>
  <c r="R333" i="14"/>
  <c r="Q333" i="14"/>
  <c r="P333" i="14"/>
  <c r="O333" i="14"/>
  <c r="N333" i="14"/>
  <c r="L333" i="14"/>
  <c r="G333" i="14"/>
  <c r="R332" i="14"/>
  <c r="Q332" i="14"/>
  <c r="P332" i="14"/>
  <c r="O332" i="14"/>
  <c r="N332" i="14"/>
  <c r="L332" i="14"/>
  <c r="G332" i="14"/>
  <c r="R331" i="14"/>
  <c r="Q331" i="14"/>
  <c r="P331" i="14"/>
  <c r="O331" i="14"/>
  <c r="N331" i="14"/>
  <c r="L331" i="14"/>
  <c r="R330" i="14"/>
  <c r="Q330" i="14"/>
  <c r="P330" i="14"/>
  <c r="O330" i="14"/>
  <c r="N330" i="14"/>
  <c r="L330" i="14"/>
  <c r="R329" i="14"/>
  <c r="Q329" i="14"/>
  <c r="O329" i="14"/>
  <c r="N329" i="14"/>
  <c r="M329" i="14"/>
  <c r="L329" i="14"/>
  <c r="P329" i="14" s="1"/>
  <c r="R328" i="14"/>
  <c r="Q328" i="14"/>
  <c r="O328" i="14"/>
  <c r="N328" i="14"/>
  <c r="M328" i="14"/>
  <c r="L328" i="14"/>
  <c r="P328" i="14" s="1"/>
  <c r="R327" i="14"/>
  <c r="Q327" i="14"/>
  <c r="P327" i="14"/>
  <c r="O327" i="14"/>
  <c r="N327" i="14"/>
  <c r="M327" i="14"/>
  <c r="L327" i="14"/>
  <c r="R326" i="14"/>
  <c r="Q326" i="14"/>
  <c r="P326" i="14"/>
  <c r="O326" i="14"/>
  <c r="M326" i="14"/>
  <c r="L326" i="14"/>
  <c r="G326" i="14"/>
  <c r="R325" i="14"/>
  <c r="Q325" i="14"/>
  <c r="P325" i="14"/>
  <c r="O325" i="14"/>
  <c r="M325" i="14"/>
  <c r="L325" i="14"/>
  <c r="G325" i="14"/>
  <c r="R324" i="14"/>
  <c r="Q324" i="14"/>
  <c r="O324" i="14"/>
  <c r="N324" i="14"/>
  <c r="M324" i="14"/>
  <c r="L324" i="14"/>
  <c r="P324" i="14" s="1"/>
  <c r="R323" i="14"/>
  <c r="Q323" i="14"/>
  <c r="O323" i="14"/>
  <c r="N323" i="14"/>
  <c r="M323" i="14"/>
  <c r="L323" i="14"/>
  <c r="P323" i="14" s="1"/>
  <c r="R322" i="14"/>
  <c r="Q322" i="14"/>
  <c r="P322" i="14"/>
  <c r="O322" i="14"/>
  <c r="N322" i="14"/>
  <c r="M322" i="14"/>
  <c r="L322" i="14"/>
  <c r="R321" i="14"/>
  <c r="Q321" i="14"/>
  <c r="P321" i="14"/>
  <c r="O321" i="14"/>
  <c r="M321" i="14"/>
  <c r="L321" i="14"/>
  <c r="G321" i="14"/>
  <c r="R320" i="14"/>
  <c r="Q320" i="14"/>
  <c r="O320" i="14"/>
  <c r="N320" i="14"/>
  <c r="M320" i="14"/>
  <c r="I320" i="14"/>
  <c r="H320" i="14"/>
  <c r="R319" i="14"/>
  <c r="Q319" i="14"/>
  <c r="N319" i="14"/>
  <c r="M319" i="14"/>
  <c r="I319" i="14"/>
  <c r="H319" i="14"/>
  <c r="R318" i="14"/>
  <c r="Q318" i="14"/>
  <c r="P318" i="14"/>
  <c r="O318" i="14"/>
  <c r="N318" i="14"/>
  <c r="M318" i="14"/>
  <c r="L318" i="14"/>
  <c r="R317" i="14"/>
  <c r="Q317" i="14"/>
  <c r="P317" i="14"/>
  <c r="O317" i="14"/>
  <c r="N317" i="14"/>
  <c r="L317" i="14"/>
  <c r="G317" i="14"/>
  <c r="R316" i="14"/>
  <c r="Q316" i="14"/>
  <c r="N316" i="14"/>
  <c r="M316" i="14"/>
  <c r="I316" i="14"/>
  <c r="L316" i="14" s="1"/>
  <c r="P316" i="14" s="1"/>
  <c r="R315" i="14"/>
  <c r="Q315" i="14"/>
  <c r="P315" i="14"/>
  <c r="N315" i="14"/>
  <c r="M315" i="14"/>
  <c r="I315" i="14"/>
  <c r="L315" i="14" s="1"/>
  <c r="O315" i="14" s="1"/>
  <c r="R314" i="14"/>
  <c r="Q314" i="14"/>
  <c r="P314" i="14"/>
  <c r="O314" i="14"/>
  <c r="N314" i="14"/>
  <c r="M314" i="14"/>
  <c r="L314" i="14"/>
  <c r="R313" i="14"/>
  <c r="Q313" i="14"/>
  <c r="P313" i="14"/>
  <c r="O313" i="14"/>
  <c r="N313" i="14"/>
  <c r="L313" i="14"/>
  <c r="R312" i="14"/>
  <c r="Q312" i="14"/>
  <c r="P312" i="14"/>
  <c r="N312" i="14"/>
  <c r="M312" i="14"/>
  <c r="I312" i="14"/>
  <c r="L312" i="14" s="1"/>
  <c r="O312" i="14" s="1"/>
  <c r="R311" i="14"/>
  <c r="Q311" i="14"/>
  <c r="P311" i="14"/>
  <c r="N311" i="14"/>
  <c r="M311" i="14"/>
  <c r="I311" i="14"/>
  <c r="L311" i="14" s="1"/>
  <c r="O311" i="14" s="1"/>
  <c r="R310" i="14"/>
  <c r="Q310" i="14"/>
  <c r="P310" i="14"/>
  <c r="O310" i="14"/>
  <c r="N310" i="14"/>
  <c r="M310" i="14"/>
  <c r="L310" i="14"/>
  <c r="R309" i="14"/>
  <c r="Q309" i="14"/>
  <c r="P309" i="14"/>
  <c r="O309" i="14"/>
  <c r="N309" i="14"/>
  <c r="L309" i="14"/>
  <c r="R308" i="14"/>
  <c r="Q308" i="14"/>
  <c r="P308" i="14"/>
  <c r="O308" i="14"/>
  <c r="N308" i="14"/>
  <c r="L308" i="14"/>
  <c r="R307" i="14"/>
  <c r="Q307" i="14"/>
  <c r="N307" i="14"/>
  <c r="M307" i="14"/>
  <c r="I307" i="14"/>
  <c r="L307" i="14" s="1"/>
  <c r="P307" i="14" s="1"/>
  <c r="R306" i="14"/>
  <c r="Q306" i="14"/>
  <c r="N306" i="14"/>
  <c r="M306" i="14"/>
  <c r="I306" i="14"/>
  <c r="L306" i="14" s="1"/>
  <c r="P306" i="14" s="1"/>
  <c r="R305" i="14"/>
  <c r="Q305" i="14"/>
  <c r="P305" i="14"/>
  <c r="O305" i="14"/>
  <c r="N305" i="14"/>
  <c r="M305" i="14"/>
  <c r="L305" i="14"/>
  <c r="R304" i="14"/>
  <c r="Q304" i="14"/>
  <c r="P304" i="14"/>
  <c r="O304" i="14"/>
  <c r="N304" i="14"/>
  <c r="L304" i="14"/>
  <c r="R303" i="14"/>
  <c r="Q303" i="14"/>
  <c r="P303" i="14"/>
  <c r="O303" i="14"/>
  <c r="N303" i="14"/>
  <c r="L303" i="14"/>
  <c r="R302" i="14"/>
  <c r="Q302" i="14"/>
  <c r="O302" i="14"/>
  <c r="N302" i="14"/>
  <c r="M302" i="14"/>
  <c r="I302" i="14"/>
  <c r="L302" i="14" s="1"/>
  <c r="P302" i="14" s="1"/>
  <c r="R301" i="14"/>
  <c r="Q301" i="14"/>
  <c r="O301" i="14"/>
  <c r="N301" i="14"/>
  <c r="M301" i="14"/>
  <c r="I301" i="14"/>
  <c r="L301" i="14" s="1"/>
  <c r="P301" i="14" s="1"/>
  <c r="R300" i="14"/>
  <c r="Q300" i="14"/>
  <c r="P300" i="14"/>
  <c r="O300" i="14"/>
  <c r="N300" i="14"/>
  <c r="M300" i="14"/>
  <c r="L300" i="14"/>
  <c r="R299" i="14"/>
  <c r="Q299" i="14"/>
  <c r="P299" i="14"/>
  <c r="O299" i="14"/>
  <c r="N299" i="14"/>
  <c r="L299" i="14"/>
  <c r="G299" i="14"/>
  <c r="R298" i="14"/>
  <c r="Q298" i="14"/>
  <c r="P298" i="14"/>
  <c r="O298" i="14"/>
  <c r="N298" i="14"/>
  <c r="L298" i="14"/>
  <c r="G298" i="14"/>
  <c r="R297" i="14"/>
  <c r="Q297" i="14"/>
  <c r="O297" i="14"/>
  <c r="N297" i="14"/>
  <c r="M297" i="14"/>
  <c r="I297" i="14"/>
  <c r="L297" i="14" s="1"/>
  <c r="P297" i="14" s="1"/>
  <c r="R296" i="14"/>
  <c r="Q296" i="14"/>
  <c r="O296" i="14"/>
  <c r="N296" i="14"/>
  <c r="M296" i="14"/>
  <c r="I296" i="14"/>
  <c r="L296" i="14" s="1"/>
  <c r="P296" i="14" s="1"/>
  <c r="R295" i="14"/>
  <c r="Q295" i="14"/>
  <c r="P295" i="14"/>
  <c r="O295" i="14"/>
  <c r="N295" i="14"/>
  <c r="M295" i="14"/>
  <c r="L295" i="14"/>
  <c r="R289" i="14"/>
  <c r="Q289" i="14"/>
  <c r="P289" i="14"/>
  <c r="O289" i="14"/>
  <c r="N289" i="14"/>
  <c r="L289" i="14"/>
  <c r="R288" i="14"/>
  <c r="Q288" i="14"/>
  <c r="P288" i="14"/>
  <c r="O288" i="14"/>
  <c r="N288" i="14"/>
  <c r="L288" i="14"/>
  <c r="R287" i="14"/>
  <c r="Q287" i="14"/>
  <c r="N287" i="14"/>
  <c r="M287" i="14"/>
  <c r="I287" i="14"/>
  <c r="L287" i="14" s="1"/>
  <c r="P287" i="14" s="1"/>
  <c r="R286" i="14"/>
  <c r="Q286" i="14"/>
  <c r="N286" i="14"/>
  <c r="M286" i="14"/>
  <c r="I286" i="14"/>
  <c r="L286" i="14" s="1"/>
  <c r="P286" i="14" s="1"/>
  <c r="R285" i="14"/>
  <c r="Q285" i="14"/>
  <c r="P285" i="14"/>
  <c r="O285" i="14"/>
  <c r="N285" i="14"/>
  <c r="M285" i="14"/>
  <c r="L285" i="14"/>
  <c r="R294" i="14"/>
  <c r="Q294" i="14"/>
  <c r="P294" i="14"/>
  <c r="O294" i="14"/>
  <c r="N294" i="14"/>
  <c r="L294" i="14"/>
  <c r="R293" i="14"/>
  <c r="Q293" i="14"/>
  <c r="P293" i="14"/>
  <c r="O293" i="14"/>
  <c r="N293" i="14"/>
  <c r="L293" i="14"/>
  <c r="R292" i="14"/>
  <c r="Q292" i="14"/>
  <c r="O292" i="14"/>
  <c r="N292" i="14"/>
  <c r="M292" i="14"/>
  <c r="I292" i="14"/>
  <c r="L292" i="14" s="1"/>
  <c r="P292" i="14" s="1"/>
  <c r="R291" i="14"/>
  <c r="Q291" i="14"/>
  <c r="O291" i="14"/>
  <c r="N291" i="14"/>
  <c r="M291" i="14"/>
  <c r="I291" i="14"/>
  <c r="L291" i="14" s="1"/>
  <c r="P291" i="14" s="1"/>
  <c r="R290" i="14"/>
  <c r="Q290" i="14"/>
  <c r="P290" i="14"/>
  <c r="O290" i="14"/>
  <c r="N290" i="14"/>
  <c r="M290" i="14"/>
  <c r="L290" i="14"/>
  <c r="R279" i="14"/>
  <c r="Q279" i="14"/>
  <c r="P279" i="14"/>
  <c r="O279" i="14"/>
  <c r="N279" i="14"/>
  <c r="L279" i="14"/>
  <c r="G279" i="14"/>
  <c r="R278" i="14"/>
  <c r="Q278" i="14"/>
  <c r="P278" i="14"/>
  <c r="O278" i="14"/>
  <c r="N278" i="14"/>
  <c r="L278" i="14"/>
  <c r="G278" i="14"/>
  <c r="R277" i="14"/>
  <c r="Q277" i="14"/>
  <c r="P277" i="14"/>
  <c r="N277" i="14"/>
  <c r="M277" i="14"/>
  <c r="I277" i="14"/>
  <c r="L277" i="14" s="1"/>
  <c r="O277" i="14" s="1"/>
  <c r="R276" i="14"/>
  <c r="Q276" i="14"/>
  <c r="P276" i="14"/>
  <c r="N276" i="14"/>
  <c r="M276" i="14"/>
  <c r="L276" i="14"/>
  <c r="O276" i="14" s="1"/>
  <c r="R275" i="14"/>
  <c r="Q275" i="14"/>
  <c r="O275" i="14"/>
  <c r="N275" i="14"/>
  <c r="M275" i="14"/>
  <c r="I275" i="14"/>
  <c r="L275" i="14" s="1"/>
  <c r="P275" i="14" s="1"/>
  <c r="R274" i="14"/>
  <c r="Q274" i="14"/>
  <c r="O274" i="14"/>
  <c r="N274" i="14"/>
  <c r="M274" i="14"/>
  <c r="I274" i="14"/>
  <c r="L274" i="14" s="1"/>
  <c r="P274" i="14" s="1"/>
  <c r="R273" i="14"/>
  <c r="Q273" i="14"/>
  <c r="P273" i="14"/>
  <c r="O273" i="14"/>
  <c r="N273" i="14"/>
  <c r="M273" i="14"/>
  <c r="L273" i="14"/>
  <c r="R268" i="14"/>
  <c r="Q268" i="14"/>
  <c r="P268" i="14"/>
  <c r="O268" i="14"/>
  <c r="N268" i="14"/>
  <c r="L268" i="14"/>
  <c r="G268" i="14"/>
  <c r="R267" i="14"/>
  <c r="Q267" i="14"/>
  <c r="N267" i="14"/>
  <c r="M267" i="14"/>
  <c r="J267" i="14"/>
  <c r="I267" i="14"/>
  <c r="R266" i="14"/>
  <c r="Q266" i="14"/>
  <c r="N266" i="14"/>
  <c r="M266" i="14"/>
  <c r="J266" i="14"/>
  <c r="I266" i="14"/>
  <c r="R265" i="14"/>
  <c r="Q265" i="14"/>
  <c r="P265" i="14"/>
  <c r="O265" i="14"/>
  <c r="N265" i="14"/>
  <c r="M265" i="14"/>
  <c r="L265" i="14"/>
  <c r="R264" i="14"/>
  <c r="Q264" i="14"/>
  <c r="P264" i="14"/>
  <c r="O264" i="14"/>
  <c r="N264" i="14"/>
  <c r="L264" i="14"/>
  <c r="G264" i="14"/>
  <c r="R263" i="14"/>
  <c r="Q263" i="14"/>
  <c r="P263" i="14"/>
  <c r="O263" i="14"/>
  <c r="N263" i="14"/>
  <c r="L263" i="14"/>
  <c r="G263" i="14"/>
  <c r="R262" i="14"/>
  <c r="Q262" i="14"/>
  <c r="P262" i="14"/>
  <c r="N262" i="14"/>
  <c r="M262" i="14"/>
  <c r="I262" i="14"/>
  <c r="L262" i="14" s="1"/>
  <c r="O262" i="14" s="1"/>
  <c r="R261" i="14"/>
  <c r="Q261" i="14"/>
  <c r="P261" i="14"/>
  <c r="N261" i="14"/>
  <c r="M261" i="14"/>
  <c r="L261" i="14"/>
  <c r="O261" i="14" s="1"/>
  <c r="R260" i="14"/>
  <c r="Q260" i="14"/>
  <c r="N260" i="14"/>
  <c r="M260" i="14"/>
  <c r="L260" i="14"/>
  <c r="P260" i="14" s="1"/>
  <c r="R259" i="14"/>
  <c r="Q259" i="14"/>
  <c r="N259" i="14"/>
  <c r="M259" i="14"/>
  <c r="L259" i="14"/>
  <c r="P259" i="14" s="1"/>
  <c r="R258" i="14"/>
  <c r="Q258" i="14"/>
  <c r="P258" i="14"/>
  <c r="O258" i="14"/>
  <c r="N258" i="14"/>
  <c r="M258" i="14"/>
  <c r="L258" i="14"/>
  <c r="R257" i="14"/>
  <c r="Q257" i="14"/>
  <c r="P257" i="14"/>
  <c r="O257" i="14"/>
  <c r="N257" i="14"/>
  <c r="L257" i="14"/>
  <c r="G257" i="14"/>
  <c r="R256" i="14"/>
  <c r="Q256" i="14"/>
  <c r="N256" i="14"/>
  <c r="M256" i="14"/>
  <c r="I256" i="14"/>
  <c r="L256" i="14" s="1"/>
  <c r="P256" i="14" s="1"/>
  <c r="R255" i="14"/>
  <c r="Q255" i="14"/>
  <c r="N255" i="14"/>
  <c r="M255" i="14"/>
  <c r="I255" i="14"/>
  <c r="L255" i="14" s="1"/>
  <c r="P255" i="14" s="1"/>
  <c r="R254" i="14"/>
  <c r="Q254" i="14"/>
  <c r="P254" i="14"/>
  <c r="O254" i="14"/>
  <c r="N254" i="14"/>
  <c r="M254" i="14"/>
  <c r="L254" i="14"/>
  <c r="R253" i="14"/>
  <c r="Q253" i="14"/>
  <c r="P253" i="14"/>
  <c r="O253" i="14"/>
  <c r="N253" i="14"/>
  <c r="L253" i="14"/>
  <c r="G253" i="14"/>
  <c r="R252" i="14"/>
  <c r="Q252" i="14"/>
  <c r="P252" i="14"/>
  <c r="O252" i="14"/>
  <c r="N252" i="14"/>
  <c r="L252" i="14"/>
  <c r="G252" i="14"/>
  <c r="R251" i="14"/>
  <c r="Q251" i="14"/>
  <c r="O251" i="14"/>
  <c r="N251" i="14"/>
  <c r="M251" i="14"/>
  <c r="I251" i="14"/>
  <c r="L251" i="14" s="1"/>
  <c r="P251" i="14" s="1"/>
  <c r="R250" i="14"/>
  <c r="Q250" i="14"/>
  <c r="O250" i="14"/>
  <c r="N250" i="14"/>
  <c r="M250" i="14"/>
  <c r="I250" i="14"/>
  <c r="L250" i="14" s="1"/>
  <c r="P250" i="14" s="1"/>
  <c r="R249" i="14"/>
  <c r="Q249" i="14"/>
  <c r="P249" i="14"/>
  <c r="O249" i="14"/>
  <c r="N249" i="14"/>
  <c r="M249" i="14"/>
  <c r="L249" i="14"/>
  <c r="R248" i="14"/>
  <c r="Q248" i="14"/>
  <c r="P248" i="14"/>
  <c r="O248" i="14"/>
  <c r="N248" i="14"/>
  <c r="L248" i="14"/>
  <c r="R247" i="14"/>
  <c r="Q247" i="14"/>
  <c r="P247" i="14"/>
  <c r="O247" i="14"/>
  <c r="N247" i="14"/>
  <c r="L247" i="14"/>
  <c r="R246" i="14"/>
  <c r="Q246" i="14"/>
  <c r="P246" i="14"/>
  <c r="O246" i="14"/>
  <c r="N246" i="14"/>
  <c r="L246" i="14"/>
  <c r="R245" i="14"/>
  <c r="Q245" i="14"/>
  <c r="P245" i="14"/>
  <c r="N245" i="14"/>
  <c r="M245" i="14"/>
  <c r="L245" i="14"/>
  <c r="O245" i="14" s="1"/>
  <c r="R244" i="14"/>
  <c r="Q244" i="14"/>
  <c r="P244" i="14"/>
  <c r="N244" i="14"/>
  <c r="M244" i="14"/>
  <c r="L244" i="14"/>
  <c r="O244" i="14" s="1"/>
  <c r="R243" i="14"/>
  <c r="Q243" i="14"/>
  <c r="O243" i="14"/>
  <c r="N243" i="14"/>
  <c r="M243" i="14"/>
  <c r="K243" i="14"/>
  <c r="I243" i="14"/>
  <c r="R242" i="14"/>
  <c r="Q242" i="14"/>
  <c r="O242" i="14"/>
  <c r="N242" i="14"/>
  <c r="M242" i="14"/>
  <c r="L242" i="14"/>
  <c r="P242" i="14" s="1"/>
  <c r="R241" i="14"/>
  <c r="Q241" i="14"/>
  <c r="P241" i="14"/>
  <c r="O241" i="14"/>
  <c r="N241" i="14"/>
  <c r="M241" i="14"/>
  <c r="L241" i="14"/>
  <c r="R240" i="14"/>
  <c r="Q240" i="14"/>
  <c r="P240" i="14"/>
  <c r="O240" i="14"/>
  <c r="N240" i="14"/>
  <c r="L240" i="14"/>
  <c r="G240" i="14"/>
  <c r="R239" i="14"/>
  <c r="Q239" i="14"/>
  <c r="P239" i="14"/>
  <c r="O239" i="14"/>
  <c r="N239" i="14"/>
  <c r="L239" i="14"/>
  <c r="G239" i="14"/>
  <c r="R238" i="14"/>
  <c r="Q238" i="14"/>
  <c r="O238" i="14"/>
  <c r="N238" i="14"/>
  <c r="M238" i="14"/>
  <c r="L238" i="14"/>
  <c r="P238" i="14" s="1"/>
  <c r="R237" i="14"/>
  <c r="Q237" i="14"/>
  <c r="O237" i="14"/>
  <c r="N237" i="14"/>
  <c r="M237" i="14"/>
  <c r="I237" i="14"/>
  <c r="L237" i="14" s="1"/>
  <c r="P237" i="14" s="1"/>
  <c r="R236" i="14"/>
  <c r="Q236" i="14"/>
  <c r="P236" i="14"/>
  <c r="O236" i="14"/>
  <c r="N236" i="14"/>
  <c r="M236" i="14"/>
  <c r="L236" i="14"/>
  <c r="R235" i="14"/>
  <c r="Q235" i="14"/>
  <c r="P235" i="14"/>
  <c r="O235" i="14"/>
  <c r="N235" i="14"/>
  <c r="L235" i="14"/>
  <c r="G235" i="14"/>
  <c r="R234" i="14"/>
  <c r="Q234" i="14"/>
  <c r="P234" i="14"/>
  <c r="O234" i="14"/>
  <c r="N234" i="14"/>
  <c r="L234" i="14"/>
  <c r="G234" i="14"/>
  <c r="R233" i="14"/>
  <c r="Q233" i="14"/>
  <c r="N233" i="14"/>
  <c r="M233" i="14"/>
  <c r="L233" i="14"/>
  <c r="P233" i="14" s="1"/>
  <c r="R232" i="14"/>
  <c r="Q232" i="14"/>
  <c r="N232" i="14"/>
  <c r="M232" i="14"/>
  <c r="L232" i="14"/>
  <c r="P232" i="14" s="1"/>
  <c r="R231" i="14"/>
  <c r="Q231" i="14"/>
  <c r="P231" i="14"/>
  <c r="O231" i="14"/>
  <c r="N231" i="14"/>
  <c r="M231" i="14"/>
  <c r="L231" i="14"/>
  <c r="R226" i="14"/>
  <c r="Q226" i="14"/>
  <c r="P226" i="14"/>
  <c r="O226" i="14"/>
  <c r="N226" i="14"/>
  <c r="L226" i="14"/>
  <c r="R225" i="14"/>
  <c r="Q225" i="14"/>
  <c r="P225" i="14"/>
  <c r="O225" i="14"/>
  <c r="N225" i="14"/>
  <c r="L225" i="14"/>
  <c r="R224" i="14"/>
  <c r="Q224" i="14"/>
  <c r="P224" i="14"/>
  <c r="O224" i="14"/>
  <c r="N224" i="14"/>
  <c r="L224" i="14"/>
  <c r="G224" i="14"/>
  <c r="R223" i="14"/>
  <c r="Q223" i="14"/>
  <c r="N223" i="14"/>
  <c r="M223" i="14"/>
  <c r="L223" i="14"/>
  <c r="P223" i="14" s="1"/>
  <c r="R222" i="14"/>
  <c r="Q222" i="14"/>
  <c r="N222" i="14"/>
  <c r="M222" i="14"/>
  <c r="L222" i="14"/>
  <c r="P222" i="14" s="1"/>
  <c r="R221" i="14"/>
  <c r="Q221" i="14"/>
  <c r="P221" i="14"/>
  <c r="O221" i="14"/>
  <c r="N221" i="14"/>
  <c r="M221" i="14"/>
  <c r="L221" i="14"/>
  <c r="R220" i="14"/>
  <c r="Q220" i="14"/>
  <c r="P220" i="14"/>
  <c r="O220" i="14"/>
  <c r="N220" i="14"/>
  <c r="L220" i="14"/>
  <c r="R219" i="14"/>
  <c r="Q219" i="14"/>
  <c r="P219" i="14"/>
  <c r="O219" i="14"/>
  <c r="N219" i="14"/>
  <c r="L219" i="14"/>
  <c r="R218" i="14"/>
  <c r="Q218" i="14"/>
  <c r="O218" i="14"/>
  <c r="N218" i="14"/>
  <c r="M218" i="14"/>
  <c r="L218" i="14"/>
  <c r="P218" i="14" s="1"/>
  <c r="R217" i="14"/>
  <c r="Q217" i="14"/>
  <c r="O217" i="14"/>
  <c r="N217" i="14"/>
  <c r="M217" i="14"/>
  <c r="L217" i="14"/>
  <c r="P217" i="14" s="1"/>
  <c r="R216" i="14"/>
  <c r="Q216" i="14"/>
  <c r="P216" i="14"/>
  <c r="O216" i="14"/>
  <c r="N216" i="14"/>
  <c r="M216" i="14"/>
  <c r="L216" i="14"/>
  <c r="R215" i="14"/>
  <c r="Q215" i="14"/>
  <c r="P215" i="14"/>
  <c r="O215" i="14"/>
  <c r="N215" i="14"/>
  <c r="L215" i="14"/>
  <c r="R214" i="14"/>
  <c r="Q214" i="14"/>
  <c r="P214" i="14"/>
  <c r="O214" i="14"/>
  <c r="N214" i="14"/>
  <c r="L214" i="14"/>
  <c r="R212" i="14"/>
  <c r="Q212" i="14"/>
  <c r="P212" i="14"/>
  <c r="N212" i="14"/>
  <c r="M212" i="14"/>
  <c r="L212" i="14"/>
  <c r="O212" i="14" s="1"/>
  <c r="R210" i="14"/>
  <c r="Q210" i="14"/>
  <c r="O210" i="14"/>
  <c r="N210" i="14"/>
  <c r="M210" i="14"/>
  <c r="L210" i="14"/>
  <c r="P210" i="14" s="1"/>
  <c r="R209" i="14"/>
  <c r="Q209" i="14"/>
  <c r="O209" i="14"/>
  <c r="N209" i="14"/>
  <c r="M209" i="14"/>
  <c r="L209" i="14"/>
  <c r="P209" i="14" s="1"/>
  <c r="R208" i="14"/>
  <c r="Q208" i="14"/>
  <c r="P208" i="14"/>
  <c r="O208" i="14"/>
  <c r="N208" i="14"/>
  <c r="M208" i="14"/>
  <c r="L208" i="14"/>
  <c r="R207" i="14"/>
  <c r="Q207" i="14"/>
  <c r="P207" i="14"/>
  <c r="O207" i="14"/>
  <c r="N207" i="14"/>
  <c r="L207" i="14"/>
  <c r="R206" i="14"/>
  <c r="Q206" i="14"/>
  <c r="P206" i="14"/>
  <c r="O206" i="14"/>
  <c r="N206" i="14"/>
  <c r="L206" i="14"/>
  <c r="R205" i="14"/>
  <c r="Q205" i="14"/>
  <c r="N205" i="14"/>
  <c r="M205" i="14"/>
  <c r="L205" i="14"/>
  <c r="P205" i="14" s="1"/>
  <c r="R204" i="14"/>
  <c r="Q204" i="14"/>
  <c r="N204" i="14"/>
  <c r="M204" i="14"/>
  <c r="L204" i="14"/>
  <c r="P204" i="14" s="1"/>
  <c r="R203" i="14"/>
  <c r="Q203" i="14"/>
  <c r="P203" i="14"/>
  <c r="O203" i="14"/>
  <c r="N203" i="14"/>
  <c r="M203" i="14"/>
  <c r="L203" i="14"/>
  <c r="R202" i="14"/>
  <c r="Q202" i="14"/>
  <c r="P202" i="14"/>
  <c r="O202" i="14"/>
  <c r="N202" i="14"/>
  <c r="L202" i="14"/>
  <c r="R201" i="14"/>
  <c r="Q201" i="14"/>
  <c r="P201" i="14"/>
  <c r="O201" i="14"/>
  <c r="N201" i="14"/>
  <c r="L201" i="14"/>
  <c r="R200" i="14"/>
  <c r="Q200" i="14"/>
  <c r="O200" i="14"/>
  <c r="N200" i="14"/>
  <c r="M200" i="14"/>
  <c r="L200" i="14"/>
  <c r="P200" i="14" s="1"/>
  <c r="R199" i="14"/>
  <c r="Q199" i="14"/>
  <c r="O199" i="14"/>
  <c r="N199" i="14"/>
  <c r="M199" i="14"/>
  <c r="L199" i="14"/>
  <c r="P199" i="14" s="1"/>
  <c r="R198" i="14"/>
  <c r="Q198" i="14"/>
  <c r="P198" i="14"/>
  <c r="O198" i="14"/>
  <c r="N198" i="14"/>
  <c r="M198" i="14"/>
  <c r="L198" i="14"/>
  <c r="R191" i="14"/>
  <c r="Q191" i="14"/>
  <c r="P191" i="14"/>
  <c r="O191" i="14"/>
  <c r="N191" i="14"/>
  <c r="L191" i="14"/>
  <c r="R190" i="14"/>
  <c r="Q190" i="14"/>
  <c r="O190" i="14"/>
  <c r="N190" i="14"/>
  <c r="M190" i="14"/>
  <c r="L190" i="14"/>
  <c r="P190" i="14" s="1"/>
  <c r="R189" i="14"/>
  <c r="Q189" i="14"/>
  <c r="O189" i="14"/>
  <c r="N189" i="14"/>
  <c r="M189" i="14"/>
  <c r="L189" i="14"/>
  <c r="P189" i="14" s="1"/>
  <c r="R188" i="14"/>
  <c r="Q188" i="14"/>
  <c r="P188" i="14"/>
  <c r="O188" i="14"/>
  <c r="N188" i="14"/>
  <c r="M188" i="14"/>
  <c r="L188" i="14"/>
  <c r="R186" i="14"/>
  <c r="Q186" i="14"/>
  <c r="P186" i="14"/>
  <c r="O186" i="14"/>
  <c r="N186" i="14"/>
  <c r="L186" i="14"/>
  <c r="R185" i="14"/>
  <c r="Q185" i="14"/>
  <c r="P185" i="14"/>
  <c r="O185" i="14"/>
  <c r="N185" i="14"/>
  <c r="L185" i="14"/>
  <c r="G185" i="14"/>
  <c r="R184" i="14"/>
  <c r="Q184" i="14"/>
  <c r="P184" i="14"/>
  <c r="O184" i="14"/>
  <c r="N184" i="14"/>
  <c r="L184" i="14"/>
  <c r="G184" i="14"/>
  <c r="R183" i="14"/>
  <c r="Q183" i="14"/>
  <c r="O183" i="14"/>
  <c r="N183" i="14"/>
  <c r="M183" i="14"/>
  <c r="I183" i="14"/>
  <c r="L183" i="14" s="1"/>
  <c r="P183" i="14" s="1"/>
  <c r="R182" i="14"/>
  <c r="Q182" i="14"/>
  <c r="O182" i="14"/>
  <c r="N182" i="14"/>
  <c r="M182" i="14"/>
  <c r="L182" i="14"/>
  <c r="P182" i="14" s="1"/>
  <c r="R181" i="14"/>
  <c r="Q181" i="14"/>
  <c r="P181" i="14"/>
  <c r="O181" i="14"/>
  <c r="N181" i="14"/>
  <c r="M181" i="14"/>
  <c r="L181" i="14"/>
  <c r="R180" i="14"/>
  <c r="Q180" i="14"/>
  <c r="P180" i="14"/>
  <c r="O180" i="14"/>
  <c r="N180" i="14"/>
  <c r="L180" i="14"/>
  <c r="R179" i="14"/>
  <c r="P179" i="14"/>
  <c r="O179" i="14"/>
  <c r="N179" i="14"/>
  <c r="M179" i="14"/>
  <c r="L179" i="14"/>
  <c r="Q179" i="14" s="1"/>
  <c r="R178" i="14"/>
  <c r="P178" i="14"/>
  <c r="O178" i="14"/>
  <c r="N178" i="14"/>
  <c r="M178" i="14"/>
  <c r="L178" i="14"/>
  <c r="Q178" i="14" s="1"/>
  <c r="R177" i="14"/>
  <c r="Q177" i="14"/>
  <c r="P177" i="14"/>
  <c r="O177" i="14"/>
  <c r="N177" i="14"/>
  <c r="M177" i="14"/>
  <c r="L177" i="14"/>
  <c r="R176" i="14"/>
  <c r="Q176" i="14"/>
  <c r="P176" i="14"/>
  <c r="O176" i="14"/>
  <c r="N176" i="14"/>
  <c r="L176" i="14"/>
  <c r="G176" i="14"/>
  <c r="R175" i="14"/>
  <c r="Q175" i="14"/>
  <c r="P175" i="14"/>
  <c r="O175" i="14"/>
  <c r="N175" i="14"/>
  <c r="L175" i="14"/>
  <c r="G175" i="14"/>
  <c r="R174" i="14"/>
  <c r="Q174" i="14"/>
  <c r="O174" i="14"/>
  <c r="N174" i="14"/>
  <c r="M174" i="14"/>
  <c r="I174" i="14"/>
  <c r="L174" i="14" s="1"/>
  <c r="P174" i="14" s="1"/>
  <c r="R173" i="14"/>
  <c r="Q173" i="14"/>
  <c r="P173" i="14"/>
  <c r="N173" i="14"/>
  <c r="M173" i="14"/>
  <c r="L173" i="14"/>
  <c r="O173" i="14" s="1"/>
  <c r="R172" i="14"/>
  <c r="Q172" i="14"/>
  <c r="O172" i="14"/>
  <c r="N172" i="14"/>
  <c r="M172" i="14"/>
  <c r="I172" i="14"/>
  <c r="L172" i="14" s="1"/>
  <c r="P172" i="14" s="1"/>
  <c r="R171" i="14"/>
  <c r="Q171" i="14"/>
  <c r="O171" i="14"/>
  <c r="N171" i="14"/>
  <c r="M171" i="14"/>
  <c r="I171" i="14"/>
  <c r="L171" i="14" s="1"/>
  <c r="P171" i="14" s="1"/>
  <c r="R170" i="14"/>
  <c r="Q170" i="14"/>
  <c r="P170" i="14"/>
  <c r="O170" i="14"/>
  <c r="N170" i="14"/>
  <c r="M170" i="14"/>
  <c r="L170" i="14"/>
  <c r="R169" i="14"/>
  <c r="Q169" i="14"/>
  <c r="P169" i="14"/>
  <c r="O169" i="14"/>
  <c r="N169" i="14"/>
  <c r="L169" i="14"/>
  <c r="R168" i="14"/>
  <c r="Q168" i="14"/>
  <c r="P168" i="14"/>
  <c r="O168" i="14"/>
  <c r="N168" i="14"/>
  <c r="L168" i="14"/>
  <c r="R167" i="14"/>
  <c r="Q167" i="14"/>
  <c r="P167" i="14"/>
  <c r="O167" i="14"/>
  <c r="N167" i="14"/>
  <c r="L167" i="14"/>
  <c r="R166" i="14"/>
  <c r="Q166" i="14"/>
  <c r="P166" i="14"/>
  <c r="O166" i="14"/>
  <c r="N166" i="14"/>
  <c r="L166" i="14"/>
  <c r="R165" i="14"/>
  <c r="O165" i="14"/>
  <c r="N165" i="14"/>
  <c r="M165" i="14"/>
  <c r="I165" i="14"/>
  <c r="L165" i="14" s="1"/>
  <c r="Q165" i="14" s="1"/>
  <c r="R164" i="14"/>
  <c r="Q164" i="14"/>
  <c r="O164" i="14"/>
  <c r="N164" i="14"/>
  <c r="M164" i="14"/>
  <c r="L164" i="14"/>
  <c r="P164" i="14" s="1"/>
  <c r="R163" i="14"/>
  <c r="Q163" i="14"/>
  <c r="P163" i="14"/>
  <c r="O163" i="14"/>
  <c r="N163" i="14"/>
  <c r="M163" i="14"/>
  <c r="L163" i="14"/>
  <c r="R162" i="14"/>
  <c r="Q162" i="14"/>
  <c r="P162" i="14"/>
  <c r="O162" i="14"/>
  <c r="N162" i="14"/>
  <c r="L162" i="14"/>
  <c r="G162" i="14"/>
  <c r="R161" i="14"/>
  <c r="Q161" i="14"/>
  <c r="P161" i="14"/>
  <c r="O161" i="14"/>
  <c r="N161" i="14"/>
  <c r="L161" i="14"/>
  <c r="G161" i="14"/>
  <c r="R160" i="14"/>
  <c r="Q160" i="14"/>
  <c r="P160" i="14"/>
  <c r="O160" i="14"/>
  <c r="N160" i="14"/>
  <c r="L160" i="14"/>
  <c r="G160" i="14"/>
  <c r="R159" i="14"/>
  <c r="Q159" i="14"/>
  <c r="P159" i="14"/>
  <c r="O159" i="14"/>
  <c r="N159" i="14"/>
  <c r="L159" i="14"/>
  <c r="G159" i="14"/>
  <c r="R158" i="14"/>
  <c r="Q158" i="14"/>
  <c r="P158" i="14"/>
  <c r="N158" i="14"/>
  <c r="M158" i="14"/>
  <c r="I158" i="14"/>
  <c r="L158" i="14" s="1"/>
  <c r="O158" i="14" s="1"/>
  <c r="R157" i="14"/>
  <c r="Q157" i="14"/>
  <c r="O157" i="14"/>
  <c r="N157" i="14"/>
  <c r="M157" i="14"/>
  <c r="I157" i="14"/>
  <c r="L157" i="14" s="1"/>
  <c r="P157" i="14" s="1"/>
  <c r="R156" i="14"/>
  <c r="Q156" i="14"/>
  <c r="O156" i="14"/>
  <c r="N156" i="14"/>
  <c r="M156" i="14"/>
  <c r="L156" i="14"/>
  <c r="P156" i="14" s="1"/>
  <c r="R155" i="14"/>
  <c r="Q155" i="14"/>
  <c r="P155" i="14"/>
  <c r="N155" i="14"/>
  <c r="M155" i="14"/>
  <c r="L155" i="14"/>
  <c r="O155" i="14" s="1"/>
  <c r="R154" i="14"/>
  <c r="Q154" i="14"/>
  <c r="O154" i="14"/>
  <c r="N154" i="14"/>
  <c r="M154" i="14"/>
  <c r="I154" i="14"/>
  <c r="L154" i="14" s="1"/>
  <c r="P154" i="14" s="1"/>
  <c r="R153" i="14"/>
  <c r="Q153" i="14"/>
  <c r="O153" i="14"/>
  <c r="N153" i="14"/>
  <c r="M153" i="14"/>
  <c r="I153" i="14"/>
  <c r="L153" i="14" s="1"/>
  <c r="P153" i="14" s="1"/>
  <c r="R152" i="14"/>
  <c r="Q152" i="14"/>
  <c r="P152" i="14"/>
  <c r="O152" i="14"/>
  <c r="N152" i="14"/>
  <c r="M152" i="14"/>
  <c r="L152" i="14"/>
  <c r="R151" i="14"/>
  <c r="Q151" i="14"/>
  <c r="P151" i="14"/>
  <c r="O151" i="14"/>
  <c r="N151" i="14"/>
  <c r="L151" i="14"/>
  <c r="G151" i="14"/>
  <c r="R150" i="14"/>
  <c r="Q150" i="14"/>
  <c r="P150" i="14"/>
  <c r="O150" i="14"/>
  <c r="N150" i="14"/>
  <c r="L150" i="14"/>
  <c r="G150" i="14"/>
  <c r="R149" i="14"/>
  <c r="Q149" i="14"/>
  <c r="P149" i="14"/>
  <c r="O149" i="14"/>
  <c r="N149" i="14"/>
  <c r="L149" i="14"/>
  <c r="G149" i="14"/>
  <c r="R148" i="14"/>
  <c r="Q148" i="14"/>
  <c r="P148" i="14"/>
  <c r="N148" i="14"/>
  <c r="M148" i="14"/>
  <c r="L148" i="14"/>
  <c r="O148" i="14" s="1"/>
  <c r="R147" i="14"/>
  <c r="Q147" i="14"/>
  <c r="P147" i="14"/>
  <c r="N147" i="14"/>
  <c r="M147" i="14"/>
  <c r="L147" i="14"/>
  <c r="O147" i="14" s="1"/>
  <c r="R146" i="14"/>
  <c r="Q146" i="14"/>
  <c r="P146" i="14"/>
  <c r="N146" i="14"/>
  <c r="M146" i="14"/>
  <c r="L146" i="14"/>
  <c r="O146" i="14" s="1"/>
  <c r="R145" i="14"/>
  <c r="Q145" i="14"/>
  <c r="O145" i="14"/>
  <c r="N145" i="14"/>
  <c r="M145" i="14"/>
  <c r="L145" i="14"/>
  <c r="P145" i="14" s="1"/>
  <c r="R144" i="14"/>
  <c r="Q144" i="14"/>
  <c r="O144" i="14"/>
  <c r="N144" i="14"/>
  <c r="M144" i="14"/>
  <c r="L144" i="14"/>
  <c r="P144" i="14" s="1"/>
  <c r="R143" i="14"/>
  <c r="Q143" i="14"/>
  <c r="P143" i="14"/>
  <c r="O143" i="14"/>
  <c r="N143" i="14"/>
  <c r="M143" i="14"/>
  <c r="L143" i="14"/>
  <c r="R142" i="14"/>
  <c r="Q142" i="14"/>
  <c r="P142" i="14"/>
  <c r="O142" i="14"/>
  <c r="N142" i="14"/>
  <c r="L142" i="14"/>
  <c r="G142" i="14"/>
  <c r="R141" i="14"/>
  <c r="Q141" i="14"/>
  <c r="P141" i="14"/>
  <c r="O141" i="14"/>
  <c r="N141" i="14"/>
  <c r="L141" i="14"/>
  <c r="G141" i="14"/>
  <c r="R140" i="14"/>
  <c r="Q140" i="14"/>
  <c r="P140" i="14"/>
  <c r="N140" i="14"/>
  <c r="M140" i="14"/>
  <c r="I140" i="14"/>
  <c r="L140" i="14" s="1"/>
  <c r="O140" i="14" s="1"/>
  <c r="R139" i="14"/>
  <c r="Q139" i="14"/>
  <c r="P139" i="14"/>
  <c r="N139" i="14"/>
  <c r="M139" i="14"/>
  <c r="L139" i="14"/>
  <c r="O139" i="14" s="1"/>
  <c r="R138" i="14"/>
  <c r="Q138" i="14"/>
  <c r="O138" i="14"/>
  <c r="N138" i="14"/>
  <c r="M138" i="14"/>
  <c r="I138" i="14"/>
  <c r="L138" i="14" s="1"/>
  <c r="P138" i="14" s="1"/>
  <c r="R137" i="14"/>
  <c r="Q137" i="14"/>
  <c r="O137" i="14"/>
  <c r="N137" i="14"/>
  <c r="M137" i="14"/>
  <c r="I137" i="14"/>
  <c r="L137" i="14" s="1"/>
  <c r="P137" i="14" s="1"/>
  <c r="R136" i="14"/>
  <c r="Q136" i="14"/>
  <c r="P136" i="14"/>
  <c r="O136" i="14"/>
  <c r="N136" i="14"/>
  <c r="M136" i="14"/>
  <c r="L136" i="14"/>
  <c r="R132" i="14"/>
  <c r="Q132" i="14"/>
  <c r="P132" i="14"/>
  <c r="O132" i="14"/>
  <c r="N132" i="14"/>
  <c r="L132" i="14"/>
  <c r="R128" i="14"/>
  <c r="O128" i="14"/>
  <c r="N128" i="14"/>
  <c r="M128" i="14"/>
  <c r="L128" i="14"/>
  <c r="Q128" i="14" s="1"/>
  <c r="R127" i="14"/>
  <c r="Q127" i="14"/>
  <c r="O127" i="14"/>
  <c r="N127" i="14"/>
  <c r="M127" i="14"/>
  <c r="L127" i="14"/>
  <c r="P127" i="14" s="1"/>
  <c r="R126" i="14"/>
  <c r="Q126" i="14"/>
  <c r="P126" i="14"/>
  <c r="O126" i="14"/>
  <c r="N126" i="14"/>
  <c r="M126" i="14"/>
  <c r="L126" i="14"/>
  <c r="R121" i="14"/>
  <c r="Q121" i="14"/>
  <c r="P121" i="14"/>
  <c r="O121" i="14"/>
  <c r="N121" i="14"/>
  <c r="L121" i="14"/>
  <c r="R118" i="14"/>
  <c r="Q118" i="14"/>
  <c r="O118" i="14"/>
  <c r="N118" i="14"/>
  <c r="M118" i="14"/>
  <c r="L118" i="14"/>
  <c r="P118" i="14" s="1"/>
  <c r="R116" i="14"/>
  <c r="Q116" i="14"/>
  <c r="P116" i="14"/>
  <c r="N116" i="14"/>
  <c r="M116" i="14"/>
  <c r="L116" i="14"/>
  <c r="O116" i="14" s="1"/>
  <c r="R115" i="14"/>
  <c r="Q115" i="14"/>
  <c r="O115" i="14"/>
  <c r="N115" i="14"/>
  <c r="M115" i="14"/>
  <c r="L115" i="14"/>
  <c r="P115" i="14" s="1"/>
  <c r="R114" i="14"/>
  <c r="Q114" i="14"/>
  <c r="O114" i="14"/>
  <c r="N114" i="14"/>
  <c r="M114" i="14"/>
  <c r="L114" i="14"/>
  <c r="P114" i="14" s="1"/>
  <c r="R113" i="14"/>
  <c r="Q113" i="14"/>
  <c r="P113" i="14"/>
  <c r="O113" i="14"/>
  <c r="N113" i="14"/>
  <c r="M113" i="14"/>
  <c r="L113" i="14"/>
  <c r="R112" i="14"/>
  <c r="Q112" i="14"/>
  <c r="P112" i="14"/>
  <c r="O112" i="14"/>
  <c r="L112" i="14"/>
  <c r="M112" i="14" s="1"/>
  <c r="R111" i="14"/>
  <c r="Q111" i="14"/>
  <c r="P111" i="14"/>
  <c r="O111" i="14"/>
  <c r="L111" i="14"/>
  <c r="M111" i="14" s="1"/>
  <c r="P110" i="14"/>
  <c r="O110" i="14"/>
  <c r="N110" i="14"/>
  <c r="M110" i="14"/>
  <c r="L110" i="14"/>
  <c r="R110" i="14" s="1"/>
  <c r="Q109" i="14"/>
  <c r="O109" i="14"/>
  <c r="N109" i="14"/>
  <c r="M109" i="14"/>
  <c r="L109" i="14"/>
  <c r="R109" i="14" s="1"/>
  <c r="R108" i="14"/>
  <c r="Q108" i="14"/>
  <c r="P108" i="14"/>
  <c r="O108" i="14"/>
  <c r="N108" i="14"/>
  <c r="M108" i="14"/>
  <c r="L108" i="14"/>
  <c r="R107" i="14"/>
  <c r="Q107" i="14"/>
  <c r="P107" i="14"/>
  <c r="O107" i="14"/>
  <c r="N107" i="14"/>
  <c r="L107" i="14"/>
  <c r="R106" i="14"/>
  <c r="Q106" i="14"/>
  <c r="P106" i="14"/>
  <c r="O106" i="14"/>
  <c r="N106" i="14"/>
  <c r="L106" i="14"/>
  <c r="R105" i="14"/>
  <c r="Q105" i="14"/>
  <c r="N105" i="14"/>
  <c r="M105" i="14"/>
  <c r="I105" i="14"/>
  <c r="L105" i="14" s="1"/>
  <c r="P105" i="14" s="1"/>
  <c r="R104" i="14"/>
  <c r="Q104" i="14"/>
  <c r="N104" i="14"/>
  <c r="M104" i="14"/>
  <c r="I104" i="14"/>
  <c r="L104" i="14" s="1"/>
  <c r="P104" i="14" s="1"/>
  <c r="R103" i="14"/>
  <c r="Q103" i="14"/>
  <c r="P103" i="14"/>
  <c r="O103" i="14"/>
  <c r="N103" i="14"/>
  <c r="M103" i="14"/>
  <c r="L103" i="14"/>
  <c r="R100" i="14"/>
  <c r="Q100" i="14"/>
  <c r="P100" i="14"/>
  <c r="O100" i="14"/>
  <c r="N100" i="14"/>
  <c r="L100" i="14"/>
  <c r="R99" i="14"/>
  <c r="Q99" i="14"/>
  <c r="P99" i="14"/>
  <c r="O99" i="14"/>
  <c r="N99" i="14"/>
  <c r="L99" i="14"/>
  <c r="R98" i="14"/>
  <c r="O98" i="14"/>
  <c r="N98" i="14"/>
  <c r="M98" i="14"/>
  <c r="I98" i="14"/>
  <c r="L98" i="14" s="1"/>
  <c r="Q98" i="14" s="1"/>
  <c r="R97" i="14"/>
  <c r="Q97" i="14"/>
  <c r="O97" i="14"/>
  <c r="N97" i="14"/>
  <c r="M97" i="14"/>
  <c r="L97" i="14"/>
  <c r="P97" i="14" s="1"/>
  <c r="R96" i="14"/>
  <c r="Q96" i="14"/>
  <c r="P96" i="14"/>
  <c r="O96" i="14"/>
  <c r="N96" i="14"/>
  <c r="M96" i="14"/>
  <c r="L96" i="14"/>
  <c r="R95" i="14"/>
  <c r="Q95" i="14"/>
  <c r="P95" i="14"/>
  <c r="O95" i="14"/>
  <c r="N95" i="14"/>
  <c r="L95" i="14"/>
  <c r="G95" i="14"/>
  <c r="R94" i="14"/>
  <c r="O94" i="14"/>
  <c r="N94" i="14"/>
  <c r="M94" i="14"/>
  <c r="L94" i="14"/>
  <c r="Q94" i="14" s="1"/>
  <c r="R93" i="14"/>
  <c r="Q93" i="14"/>
  <c r="O93" i="14"/>
  <c r="N93" i="14"/>
  <c r="M93" i="14"/>
  <c r="L93" i="14"/>
  <c r="P93" i="14" s="1"/>
  <c r="R92" i="14"/>
  <c r="Q92" i="14"/>
  <c r="P92" i="14"/>
  <c r="O92" i="14"/>
  <c r="N92" i="14"/>
  <c r="M92" i="14"/>
  <c r="L92" i="14"/>
  <c r="R91" i="14"/>
  <c r="Q91" i="14"/>
  <c r="P91" i="14"/>
  <c r="O91" i="14"/>
  <c r="N91" i="14"/>
  <c r="L91" i="14"/>
  <c r="G91" i="14"/>
  <c r="R90" i="14"/>
  <c r="O90" i="14"/>
  <c r="N90" i="14"/>
  <c r="M90" i="14"/>
  <c r="L90" i="14"/>
  <c r="Q90" i="14" s="1"/>
  <c r="R89" i="14"/>
  <c r="O89" i="14"/>
  <c r="N89" i="14"/>
  <c r="M89" i="14"/>
  <c r="L89" i="14"/>
  <c r="Q89" i="14" s="1"/>
  <c r="R88" i="14"/>
  <c r="Q88" i="14"/>
  <c r="P88" i="14"/>
  <c r="O88" i="14"/>
  <c r="N88" i="14"/>
  <c r="M88" i="14"/>
  <c r="L88" i="14"/>
  <c r="R74" i="14"/>
  <c r="Q74" i="14"/>
  <c r="P74" i="14"/>
  <c r="O74" i="14"/>
  <c r="N74" i="14"/>
  <c r="L74" i="14"/>
  <c r="G74" i="14"/>
  <c r="R73" i="14"/>
  <c r="Q73" i="14"/>
  <c r="P73" i="14"/>
  <c r="O73" i="14"/>
  <c r="N73" i="14"/>
  <c r="L73" i="14"/>
  <c r="G73" i="14"/>
  <c r="R72" i="14"/>
  <c r="Q72" i="14"/>
  <c r="P72" i="14"/>
  <c r="O72" i="14"/>
  <c r="N72" i="14"/>
  <c r="L72" i="14"/>
  <c r="G72" i="14"/>
  <c r="R71" i="14"/>
  <c r="Q71" i="14"/>
  <c r="O71" i="14"/>
  <c r="N71" i="14"/>
  <c r="M71" i="14"/>
  <c r="L71" i="14"/>
  <c r="P71" i="14" s="1"/>
  <c r="R70" i="14"/>
  <c r="Q70" i="14"/>
  <c r="O70" i="14"/>
  <c r="N70" i="14"/>
  <c r="M70" i="14"/>
  <c r="L70" i="14"/>
  <c r="P70" i="14" s="1"/>
  <c r="R69" i="14"/>
  <c r="Q69" i="14"/>
  <c r="P69" i="14"/>
  <c r="O69" i="14"/>
  <c r="N69" i="14"/>
  <c r="M69" i="14"/>
  <c r="L69" i="14"/>
  <c r="R87" i="14"/>
  <c r="Q87" i="14"/>
  <c r="P87" i="14"/>
  <c r="O87" i="14"/>
  <c r="N87" i="14"/>
  <c r="L87" i="14"/>
  <c r="G87" i="14"/>
  <c r="R86" i="14"/>
  <c r="Q86" i="14"/>
  <c r="P86" i="14"/>
  <c r="O86" i="14"/>
  <c r="N86" i="14"/>
  <c r="L86" i="14"/>
  <c r="G86" i="14"/>
  <c r="R85" i="14"/>
  <c r="Q85" i="14"/>
  <c r="P85" i="14"/>
  <c r="N85" i="14"/>
  <c r="M85" i="14"/>
  <c r="I85" i="14"/>
  <c r="L85" i="14" s="1"/>
  <c r="O85" i="14" s="1"/>
  <c r="R84" i="14"/>
  <c r="Q84" i="14"/>
  <c r="P84" i="14"/>
  <c r="N84" i="14"/>
  <c r="M84" i="14"/>
  <c r="L84" i="14"/>
  <c r="O84" i="14" s="1"/>
  <c r="R83" i="14"/>
  <c r="Q83" i="14"/>
  <c r="P83" i="14"/>
  <c r="N83" i="14"/>
  <c r="M83" i="14"/>
  <c r="L83" i="14"/>
  <c r="O83" i="14" s="1"/>
  <c r="R82" i="14"/>
  <c r="Q82" i="14"/>
  <c r="O82" i="14"/>
  <c r="N82" i="14"/>
  <c r="M82" i="14"/>
  <c r="K82" i="14"/>
  <c r="I82" i="14"/>
  <c r="R81" i="14"/>
  <c r="Q81" i="14"/>
  <c r="O81" i="14"/>
  <c r="N81" i="14"/>
  <c r="M81" i="14"/>
  <c r="K81" i="14"/>
  <c r="I81" i="14"/>
  <c r="R80" i="14"/>
  <c r="Q80" i="14"/>
  <c r="P80" i="14"/>
  <c r="O80" i="14"/>
  <c r="N80" i="14"/>
  <c r="M80" i="14"/>
  <c r="L80" i="14"/>
  <c r="R79" i="14"/>
  <c r="Q79" i="14"/>
  <c r="P79" i="14"/>
  <c r="O79" i="14"/>
  <c r="N79" i="14"/>
  <c r="L79" i="14"/>
  <c r="G79" i="14"/>
  <c r="R78" i="14"/>
  <c r="Q78" i="14"/>
  <c r="P78" i="14"/>
  <c r="O78" i="14"/>
  <c r="N78" i="14"/>
  <c r="L78" i="14"/>
  <c r="G78" i="14"/>
  <c r="R77" i="14"/>
  <c r="Q77" i="14"/>
  <c r="O77" i="14"/>
  <c r="N77" i="14"/>
  <c r="M77" i="14"/>
  <c r="I77" i="14"/>
  <c r="L77" i="14" s="1"/>
  <c r="P77" i="14" s="1"/>
  <c r="R76" i="14"/>
  <c r="Q76" i="14"/>
  <c r="O76" i="14"/>
  <c r="N76" i="14"/>
  <c r="M76" i="14"/>
  <c r="I76" i="14"/>
  <c r="L76" i="14" s="1"/>
  <c r="P76" i="14" s="1"/>
  <c r="R75" i="14"/>
  <c r="Q75" i="14"/>
  <c r="P75" i="14"/>
  <c r="O75" i="14"/>
  <c r="N75" i="14"/>
  <c r="M75" i="14"/>
  <c r="L75" i="14"/>
  <c r="R68" i="14"/>
  <c r="Q68" i="14"/>
  <c r="P68" i="14"/>
  <c r="O68" i="14"/>
  <c r="N68" i="14"/>
  <c r="L68" i="14"/>
  <c r="R67" i="14"/>
  <c r="Q67" i="14"/>
  <c r="P67" i="14"/>
  <c r="O67" i="14"/>
  <c r="N67" i="14"/>
  <c r="L67" i="14"/>
  <c r="R66" i="14"/>
  <c r="Q66" i="14"/>
  <c r="O66" i="14"/>
  <c r="N66" i="14"/>
  <c r="M66" i="14"/>
  <c r="L66" i="14"/>
  <c r="P66" i="14" s="1"/>
  <c r="R65" i="14"/>
  <c r="Q65" i="14"/>
  <c r="O65" i="14"/>
  <c r="N65" i="14"/>
  <c r="M65" i="14"/>
  <c r="L65" i="14"/>
  <c r="P65" i="14" s="1"/>
  <c r="R64" i="14"/>
  <c r="Q64" i="14"/>
  <c r="P64" i="14"/>
  <c r="O64" i="14"/>
  <c r="N64" i="14"/>
  <c r="M64" i="14"/>
  <c r="L64" i="14"/>
  <c r="R63" i="14"/>
  <c r="Q63" i="14"/>
  <c r="P63" i="14"/>
  <c r="O63" i="14"/>
  <c r="N63" i="14"/>
  <c r="L63" i="14"/>
  <c r="R62" i="14"/>
  <c r="Q62" i="14"/>
  <c r="P62" i="14"/>
  <c r="O62" i="14"/>
  <c r="N62" i="14"/>
  <c r="L62" i="14"/>
  <c r="R61" i="14"/>
  <c r="Q61" i="14"/>
  <c r="P61" i="14"/>
  <c r="O61" i="14"/>
  <c r="N61" i="14"/>
  <c r="L61" i="14"/>
  <c r="R60" i="14"/>
  <c r="Q60" i="14"/>
  <c r="P60" i="14"/>
  <c r="O60" i="14"/>
  <c r="N60" i="14"/>
  <c r="L60" i="14"/>
  <c r="R59" i="14"/>
  <c r="Q59" i="14"/>
  <c r="O59" i="14"/>
  <c r="N59" i="14"/>
  <c r="M59" i="14"/>
  <c r="L59" i="14"/>
  <c r="P59" i="14" s="1"/>
  <c r="R58" i="14"/>
  <c r="Q58" i="14"/>
  <c r="O58" i="14"/>
  <c r="N58" i="14"/>
  <c r="M58" i="14"/>
  <c r="L58" i="14"/>
  <c r="P58" i="14" s="1"/>
  <c r="R57" i="14"/>
  <c r="Q57" i="14"/>
  <c r="P57" i="14"/>
  <c r="O57" i="14"/>
  <c r="N57" i="14"/>
  <c r="M57" i="14"/>
  <c r="L57" i="14"/>
  <c r="R52" i="14"/>
  <c r="Q52" i="14"/>
  <c r="P52" i="14"/>
  <c r="O52" i="14"/>
  <c r="N52" i="14"/>
  <c r="L52" i="14"/>
  <c r="R51" i="14"/>
  <c r="Q51" i="14"/>
  <c r="P51" i="14"/>
  <c r="O51" i="14"/>
  <c r="N51" i="14"/>
  <c r="L51" i="14"/>
  <c r="R50" i="14"/>
  <c r="P50" i="14"/>
  <c r="N50" i="14"/>
  <c r="M50" i="14"/>
  <c r="L50" i="14"/>
  <c r="Q50" i="14" s="1"/>
  <c r="R49" i="14"/>
  <c r="Q49" i="14"/>
  <c r="N49" i="14"/>
  <c r="M49" i="14"/>
  <c r="L49" i="14"/>
  <c r="P49" i="14" s="1"/>
  <c r="R48" i="14"/>
  <c r="Q48" i="14"/>
  <c r="P48" i="14"/>
  <c r="O48" i="14"/>
  <c r="N48" i="14"/>
  <c r="M48" i="14"/>
  <c r="L48" i="14"/>
  <c r="R47" i="14"/>
  <c r="Q47" i="14"/>
  <c r="P47" i="14"/>
  <c r="O47" i="14"/>
  <c r="N47" i="14"/>
  <c r="I47" i="14"/>
  <c r="L47" i="14" s="1"/>
  <c r="R46" i="14"/>
  <c r="Q46" i="14"/>
  <c r="P46" i="14"/>
  <c r="O46" i="14"/>
  <c r="N46" i="14"/>
  <c r="I46" i="14"/>
  <c r="L46" i="14" s="1"/>
  <c r="G46" i="14"/>
  <c r="R45" i="14"/>
  <c r="Q45" i="14"/>
  <c r="N45" i="14"/>
  <c r="M45" i="14"/>
  <c r="L45" i="14"/>
  <c r="P45" i="14" s="1"/>
  <c r="R44" i="14"/>
  <c r="Q44" i="14"/>
  <c r="N44" i="14"/>
  <c r="M44" i="14"/>
  <c r="L44" i="14"/>
  <c r="P44" i="14" s="1"/>
  <c r="R43" i="14"/>
  <c r="Q43" i="14"/>
  <c r="P43" i="14"/>
  <c r="O43" i="14"/>
  <c r="N43" i="14"/>
  <c r="M43" i="14"/>
  <c r="L43" i="14"/>
  <c r="R42" i="14"/>
  <c r="Q42" i="14"/>
  <c r="P42" i="14"/>
  <c r="O42" i="14"/>
  <c r="N42" i="14"/>
  <c r="L42" i="14"/>
  <c r="R41" i="14"/>
  <c r="O41" i="14"/>
  <c r="N41" i="14"/>
  <c r="M41" i="14"/>
  <c r="I41" i="14"/>
  <c r="L41" i="14" s="1"/>
  <c r="Q41" i="14" s="1"/>
  <c r="R40" i="14"/>
  <c r="O40" i="14"/>
  <c r="N40" i="14"/>
  <c r="M40" i="14"/>
  <c r="I40" i="14"/>
  <c r="L40" i="14" s="1"/>
  <c r="Q40" i="14" s="1"/>
  <c r="R39" i="14"/>
  <c r="Q39" i="14"/>
  <c r="P39" i="14"/>
  <c r="O39" i="14"/>
  <c r="N39" i="14"/>
  <c r="M39" i="14"/>
  <c r="L39" i="14"/>
  <c r="R22" i="14"/>
  <c r="Q22" i="14"/>
  <c r="P22" i="14"/>
  <c r="O22" i="14"/>
  <c r="N22" i="14"/>
  <c r="L22" i="14"/>
  <c r="R21" i="14"/>
  <c r="Q21" i="14"/>
  <c r="P21" i="14"/>
  <c r="O21" i="14"/>
  <c r="M21" i="14"/>
  <c r="I21" i="14"/>
  <c r="L21" i="14" s="1"/>
  <c r="N21" i="14" s="1"/>
  <c r="R20" i="14"/>
  <c r="Q20" i="14"/>
  <c r="P20" i="14"/>
  <c r="O20" i="14"/>
  <c r="M20" i="14"/>
  <c r="I20" i="14"/>
  <c r="L20" i="14" s="1"/>
  <c r="N20" i="14" s="1"/>
  <c r="R19" i="14"/>
  <c r="Q19" i="14"/>
  <c r="P19" i="14"/>
  <c r="O19" i="14"/>
  <c r="N19" i="14"/>
  <c r="M19" i="14"/>
  <c r="L19" i="14"/>
  <c r="R18" i="14"/>
  <c r="Q18" i="14"/>
  <c r="P18" i="14"/>
  <c r="O18" i="14"/>
  <c r="N18" i="14"/>
  <c r="R17" i="14"/>
  <c r="Q17" i="14"/>
  <c r="P17" i="14"/>
  <c r="O17" i="14"/>
  <c r="N17" i="14"/>
  <c r="R16" i="14"/>
  <c r="Q16" i="14"/>
  <c r="P16" i="14"/>
  <c r="N16" i="14"/>
  <c r="M16" i="14"/>
  <c r="I16" i="14"/>
  <c r="L16" i="14" s="1"/>
  <c r="O16" i="14" s="1"/>
  <c r="R15" i="14"/>
  <c r="O15" i="14"/>
  <c r="N15" i="14"/>
  <c r="M15" i="14"/>
  <c r="I15" i="14"/>
  <c r="L15" i="14" s="1"/>
  <c r="R14" i="14"/>
  <c r="Q14" i="14"/>
  <c r="O14" i="14"/>
  <c r="N14" i="14"/>
  <c r="M14" i="14"/>
  <c r="I14" i="14"/>
  <c r="L14" i="14" s="1"/>
  <c r="P14" i="14" s="1"/>
  <c r="R13" i="14"/>
  <c r="Q13" i="14"/>
  <c r="P13" i="14"/>
  <c r="O13" i="14"/>
  <c r="N13" i="14"/>
  <c r="M13" i="14"/>
  <c r="L13" i="14"/>
  <c r="R12" i="14"/>
  <c r="Q12" i="14"/>
  <c r="P12" i="14"/>
  <c r="O12" i="14"/>
  <c r="N12" i="14"/>
  <c r="R11" i="14"/>
  <c r="Q11" i="14"/>
  <c r="P11" i="14"/>
  <c r="O11" i="14"/>
  <c r="N11" i="14"/>
  <c r="R10" i="14"/>
  <c r="Q10" i="14"/>
  <c r="P10" i="14"/>
  <c r="O10" i="14"/>
  <c r="N10" i="14"/>
  <c r="R9" i="14"/>
  <c r="Q9" i="14"/>
  <c r="P9" i="14"/>
  <c r="O9" i="14"/>
  <c r="N9" i="14"/>
  <c r="R8" i="14"/>
  <c r="Q8" i="14"/>
  <c r="P8" i="14"/>
  <c r="N8" i="14"/>
  <c r="M8" i="14"/>
  <c r="I8" i="14"/>
  <c r="L8" i="14" s="1"/>
  <c r="O8" i="14" s="1"/>
  <c r="R7" i="14"/>
  <c r="O7" i="14"/>
  <c r="N7" i="14"/>
  <c r="M7" i="14"/>
  <c r="I7" i="14"/>
  <c r="L7" i="14" s="1"/>
  <c r="Q7" i="14" s="1"/>
  <c r="R6" i="14"/>
  <c r="Q6" i="14"/>
  <c r="O6" i="14"/>
  <c r="N6" i="14"/>
  <c r="M6" i="14"/>
  <c r="I6" i="14"/>
  <c r="L6" i="14" s="1"/>
  <c r="P6" i="14" s="1"/>
  <c r="R5" i="14"/>
  <c r="Q5" i="14"/>
  <c r="P5" i="14"/>
  <c r="O5" i="14"/>
  <c r="N5" i="14"/>
  <c r="M5" i="14"/>
  <c r="L5" i="14"/>
  <c r="O372" i="14" l="1"/>
  <c r="O377" i="14"/>
  <c r="O378" i="14"/>
  <c r="O371" i="14"/>
  <c r="O342" i="14"/>
  <c r="O343" i="14"/>
  <c r="O338" i="14"/>
  <c r="O339" i="14"/>
  <c r="O286" i="14"/>
  <c r="O307" i="14"/>
  <c r="O316" i="14"/>
  <c r="O306" i="14"/>
  <c r="O287" i="14"/>
  <c r="O256" i="14"/>
  <c r="O255" i="14"/>
  <c r="O260" i="14"/>
  <c r="O259" i="14"/>
  <c r="O232" i="14"/>
  <c r="O233" i="14"/>
  <c r="O223" i="14"/>
  <c r="O222" i="14"/>
  <c r="O205" i="14"/>
  <c r="O204" i="14"/>
  <c r="P165" i="14"/>
  <c r="O104" i="14"/>
  <c r="P128" i="14"/>
  <c r="Q110" i="14"/>
  <c r="O105" i="14"/>
  <c r="P109" i="14"/>
  <c r="P98" i="14"/>
  <c r="P94" i="14"/>
  <c r="P90" i="14"/>
  <c r="P89" i="14"/>
  <c r="M235" i="14"/>
  <c r="M169" i="14"/>
  <c r="L267" i="14"/>
  <c r="M294" i="14"/>
  <c r="M375" i="14"/>
  <c r="M248" i="14"/>
  <c r="M344" i="14"/>
  <c r="M224" i="14"/>
  <c r="M239" i="14"/>
  <c r="M264" i="14"/>
  <c r="M141" i="14"/>
  <c r="M166" i="14"/>
  <c r="M167" i="14"/>
  <c r="M176" i="14"/>
  <c r="M345" i="14"/>
  <c r="M374" i="14"/>
  <c r="M99" i="14"/>
  <c r="M207" i="14"/>
  <c r="L243" i="14"/>
  <c r="P243" i="14" s="1"/>
  <c r="M313" i="14"/>
  <c r="M317" i="14"/>
  <c r="L320" i="14"/>
  <c r="P320" i="14" s="1"/>
  <c r="M332" i="14"/>
  <c r="M247" i="14"/>
  <c r="O44" i="14"/>
  <c r="L82" i="14"/>
  <c r="P82" i="14" s="1"/>
  <c r="M87" i="14"/>
  <c r="M72" i="14"/>
  <c r="M100" i="14"/>
  <c r="M162" i="14"/>
  <c r="M303" i="14"/>
  <c r="O50" i="14"/>
  <c r="O49" i="14"/>
  <c r="Q15" i="14"/>
  <c r="P15" i="14"/>
  <c r="P41" i="14"/>
  <c r="L81" i="14"/>
  <c r="P81" i="14" s="1"/>
  <c r="M201" i="14"/>
  <c r="M278" i="14"/>
  <c r="M298" i="14"/>
  <c r="M309" i="14"/>
  <c r="L319" i="14"/>
  <c r="N321" i="14"/>
  <c r="N325" i="14"/>
  <c r="M358" i="14"/>
  <c r="M168" i="14"/>
  <c r="M186" i="14"/>
  <c r="P40" i="14"/>
  <c r="M63" i="14"/>
  <c r="M95" i="14"/>
  <c r="M106" i="14"/>
  <c r="M160" i="14"/>
  <c r="M333" i="14"/>
  <c r="P7" i="14"/>
  <c r="M180" i="14"/>
  <c r="M185" i="14"/>
  <c r="M252" i="14"/>
  <c r="M288" i="14"/>
  <c r="M379" i="14"/>
  <c r="O45" i="14"/>
  <c r="M60" i="14"/>
  <c r="M191" i="14"/>
  <c r="M268" i="14"/>
  <c r="M279" i="14"/>
  <c r="N112" i="14"/>
  <c r="M67" i="14"/>
  <c r="M121" i="14"/>
  <c r="M219" i="14"/>
  <c r="M18" i="14"/>
  <c r="M74" i="14"/>
  <c r="M150" i="14"/>
  <c r="M46" i="14"/>
  <c r="M61" i="14"/>
  <c r="M17" i="14"/>
  <c r="M42" i="14"/>
  <c r="M47" i="14"/>
  <c r="M86" i="14"/>
  <c r="M73" i="14"/>
  <c r="M132" i="14"/>
  <c r="M149" i="14"/>
  <c r="M161" i="14"/>
  <c r="M184" i="14"/>
  <c r="M202" i="14"/>
  <c r="M215" i="14"/>
  <c r="M225" i="14"/>
  <c r="M240" i="14"/>
  <c r="M246" i="14"/>
  <c r="M257" i="14"/>
  <c r="L266" i="14"/>
  <c r="M289" i="14"/>
  <c r="M299" i="14"/>
  <c r="M11" i="14"/>
  <c r="M51" i="14"/>
  <c r="M79" i="14"/>
  <c r="M151" i="14"/>
  <c r="M9" i="14"/>
  <c r="M12" i="14"/>
  <c r="M10" i="14"/>
  <c r="M22" i="14"/>
  <c r="M52" i="14"/>
  <c r="M62" i="14"/>
  <c r="M78" i="14"/>
  <c r="M142" i="14"/>
  <c r="M159" i="14"/>
  <c r="M175" i="14"/>
  <c r="M220" i="14"/>
  <c r="M253" i="14"/>
  <c r="M293" i="14"/>
  <c r="M331" i="14"/>
  <c r="M359" i="14"/>
  <c r="M363" i="14"/>
  <c r="M380" i="14"/>
  <c r="M91" i="14"/>
  <c r="M206" i="14"/>
  <c r="M68" i="14"/>
  <c r="M107" i="14"/>
  <c r="N111" i="14"/>
  <c r="M214" i="14"/>
  <c r="M226" i="14"/>
  <c r="M263" i="14"/>
  <c r="M304" i="14"/>
  <c r="M234" i="14"/>
  <c r="M308" i="14"/>
  <c r="N326" i="14"/>
  <c r="M330" i="14"/>
  <c r="M340" i="14"/>
  <c r="M365" i="14"/>
  <c r="M373" i="14"/>
  <c r="R382" i="14"/>
  <c r="I5" i="3" s="1"/>
  <c r="D306" i="13"/>
  <c r="G306" i="13" s="1"/>
  <c r="G304" i="13"/>
  <c r="G310" i="13" s="1"/>
  <c r="I13" i="10" s="1"/>
  <c r="G305" i="13"/>
  <c r="G300" i="13"/>
  <c r="D296" i="13"/>
  <c r="G295" i="13"/>
  <c r="G294" i="13"/>
  <c r="G293" i="13"/>
  <c r="G292" i="13"/>
  <c r="G291" i="13"/>
  <c r="G290" i="13"/>
  <c r="G289" i="13"/>
  <c r="D288" i="13"/>
  <c r="G288" i="13" s="1"/>
  <c r="G287" i="13"/>
  <c r="G286" i="13"/>
  <c r="G285" i="13"/>
  <c r="D284" i="13"/>
  <c r="G284" i="13" s="1"/>
  <c r="G283" i="13"/>
  <c r="G282" i="13"/>
  <c r="G281" i="13"/>
  <c r="G280" i="13"/>
  <c r="G279" i="13"/>
  <c r="G278" i="13"/>
  <c r="G277" i="13"/>
  <c r="G276" i="13"/>
  <c r="F275" i="13"/>
  <c r="G275" i="13" s="1"/>
  <c r="G274" i="13"/>
  <c r="G273" i="13"/>
  <c r="F272" i="13"/>
  <c r="G272" i="13" s="1"/>
  <c r="F271" i="13"/>
  <c r="G271" i="13" s="1"/>
  <c r="G270" i="13"/>
  <c r="G269" i="13"/>
  <c r="G268" i="13"/>
  <c r="G267" i="13"/>
  <c r="G266" i="13"/>
  <c r="G265" i="13"/>
  <c r="G264" i="13"/>
  <c r="G263" i="13"/>
  <c r="G262" i="13"/>
  <c r="G261" i="13"/>
  <c r="G260" i="13"/>
  <c r="G259" i="13"/>
  <c r="G258" i="13"/>
  <c r="G257" i="13"/>
  <c r="G256" i="13"/>
  <c r="G255" i="13"/>
  <c r="G254" i="13"/>
  <c r="G253" i="13"/>
  <c r="G252" i="13"/>
  <c r="F251" i="13"/>
  <c r="G251" i="13" s="1"/>
  <c r="G250" i="13"/>
  <c r="F250" i="13"/>
  <c r="G249" i="13"/>
  <c r="G248" i="13"/>
  <c r="G247" i="13"/>
  <c r="G246" i="13"/>
  <c r="G245" i="13"/>
  <c r="D234" i="13"/>
  <c r="G234" i="13" s="1"/>
  <c r="G244" i="13"/>
  <c r="G243" i="13"/>
  <c r="G242" i="13"/>
  <c r="G241" i="13"/>
  <c r="G240" i="13"/>
  <c r="G239" i="13"/>
  <c r="D238" i="13"/>
  <c r="G238" i="13" s="1"/>
  <c r="G237" i="13"/>
  <c r="G236" i="13"/>
  <c r="G235" i="13"/>
  <c r="G233" i="13"/>
  <c r="G232" i="13"/>
  <c r="G231" i="13"/>
  <c r="G230" i="13"/>
  <c r="G229" i="13"/>
  <c r="G228" i="13"/>
  <c r="G227" i="13"/>
  <c r="G226" i="13"/>
  <c r="F225" i="13"/>
  <c r="G225" i="13" s="1"/>
  <c r="G224" i="13"/>
  <c r="G223" i="13"/>
  <c r="F222" i="13"/>
  <c r="G222" i="13" s="1"/>
  <c r="F221" i="13"/>
  <c r="G221" i="13" s="1"/>
  <c r="G220" i="13"/>
  <c r="G219" i="13"/>
  <c r="G218" i="13"/>
  <c r="G217" i="13"/>
  <c r="G216" i="13"/>
  <c r="G215" i="13"/>
  <c r="G214" i="13"/>
  <c r="G213" i="13"/>
  <c r="G212" i="13"/>
  <c r="G211" i="13"/>
  <c r="G210" i="13"/>
  <c r="G209" i="13"/>
  <c r="G208" i="13"/>
  <c r="G207" i="13"/>
  <c r="G206" i="13"/>
  <c r="G205" i="13"/>
  <c r="G204" i="13"/>
  <c r="G203" i="13"/>
  <c r="G202" i="13"/>
  <c r="F201" i="13"/>
  <c r="G201" i="13" s="1"/>
  <c r="F200" i="13"/>
  <c r="G200" i="13" s="1"/>
  <c r="G199" i="13"/>
  <c r="G198" i="13"/>
  <c r="G197" i="13"/>
  <c r="G196" i="13"/>
  <c r="G195" i="13"/>
  <c r="D187" i="13"/>
  <c r="G187" i="13" s="1"/>
  <c r="F184" i="13"/>
  <c r="F183" i="13"/>
  <c r="G183" i="13" s="1"/>
  <c r="G181" i="13"/>
  <c r="G182" i="13"/>
  <c r="G184" i="13"/>
  <c r="G185" i="13"/>
  <c r="G186" i="13"/>
  <c r="G188" i="13"/>
  <c r="G189" i="13"/>
  <c r="G190" i="13"/>
  <c r="G191" i="13"/>
  <c r="G192" i="13"/>
  <c r="G193" i="13"/>
  <c r="G194" i="13"/>
  <c r="G296" i="13"/>
  <c r="G297" i="13"/>
  <c r="G298" i="13"/>
  <c r="G299" i="13"/>
  <c r="G301" i="13"/>
  <c r="G178" i="13"/>
  <c r="G177" i="13"/>
  <c r="G176" i="13"/>
  <c r="F172" i="13"/>
  <c r="F169" i="13"/>
  <c r="F168" i="13"/>
  <c r="G168" i="13" s="1"/>
  <c r="G165" i="13"/>
  <c r="G164" i="13"/>
  <c r="G157" i="13"/>
  <c r="G156" i="13"/>
  <c r="G155" i="13"/>
  <c r="G154" i="13"/>
  <c r="G151" i="13"/>
  <c r="F148" i="13"/>
  <c r="G148" i="13" s="1"/>
  <c r="F147" i="13"/>
  <c r="G147" i="13" s="1"/>
  <c r="G142" i="13"/>
  <c r="G143" i="13"/>
  <c r="G144" i="13"/>
  <c r="G145" i="13"/>
  <c r="G146" i="13"/>
  <c r="G149" i="13"/>
  <c r="G150" i="13"/>
  <c r="G152" i="13"/>
  <c r="G153" i="13"/>
  <c r="G158" i="13"/>
  <c r="G159" i="13"/>
  <c r="G160" i="13"/>
  <c r="G161" i="13"/>
  <c r="G162" i="13"/>
  <c r="G163" i="13"/>
  <c r="G166" i="13"/>
  <c r="G167" i="13"/>
  <c r="G169" i="13"/>
  <c r="G170" i="13"/>
  <c r="G171" i="13"/>
  <c r="G172" i="13"/>
  <c r="G173" i="13"/>
  <c r="G174" i="13"/>
  <c r="G175" i="13"/>
  <c r="G179" i="13"/>
  <c r="G180" i="13"/>
  <c r="G140" i="13"/>
  <c r="G139" i="13"/>
  <c r="G138" i="13"/>
  <c r="G137" i="13"/>
  <c r="G136" i="13"/>
  <c r="G135" i="13"/>
  <c r="G134" i="13"/>
  <c r="F133" i="13"/>
  <c r="G133" i="13" s="1"/>
  <c r="G132" i="13"/>
  <c r="G131" i="13"/>
  <c r="G130" i="13"/>
  <c r="G129" i="13"/>
  <c r="F128" i="13"/>
  <c r="G128" i="13" s="1"/>
  <c r="F127" i="13"/>
  <c r="G127" i="13" s="1"/>
  <c r="G126" i="13"/>
  <c r="F125" i="13"/>
  <c r="G125" i="13" s="1"/>
  <c r="G124" i="13"/>
  <c r="G123" i="13"/>
  <c r="G122" i="13"/>
  <c r="G121" i="13"/>
  <c r="G120" i="13"/>
  <c r="G119" i="13"/>
  <c r="G118" i="13"/>
  <c r="D117" i="13"/>
  <c r="G117" i="13" s="1"/>
  <c r="G116" i="13"/>
  <c r="G115" i="13"/>
  <c r="G114" i="13"/>
  <c r="G113" i="13"/>
  <c r="G112" i="13"/>
  <c r="G111" i="13"/>
  <c r="G110" i="13"/>
  <c r="F109" i="13"/>
  <c r="G109" i="13" s="1"/>
  <c r="G108" i="13"/>
  <c r="F107" i="13"/>
  <c r="G107" i="13" s="1"/>
  <c r="G106" i="13"/>
  <c r="F105" i="13"/>
  <c r="G105" i="13" s="1"/>
  <c r="G104" i="13"/>
  <c r="G103" i="13"/>
  <c r="G102" i="13"/>
  <c r="G101" i="13"/>
  <c r="G100" i="13"/>
  <c r="F99" i="13"/>
  <c r="G99" i="13" s="1"/>
  <c r="G98" i="13"/>
  <c r="G97" i="13"/>
  <c r="G96" i="13"/>
  <c r="G95" i="13"/>
  <c r="G94" i="13"/>
  <c r="G93" i="13"/>
  <c r="G92" i="13"/>
  <c r="N382" i="14" l="1"/>
  <c r="E5" i="3" s="1"/>
  <c r="M382" i="14"/>
  <c r="P319" i="14"/>
  <c r="O319" i="14"/>
  <c r="P267" i="14"/>
  <c r="O267" i="14"/>
  <c r="P266" i="14"/>
  <c r="O266" i="14"/>
  <c r="Q382" i="14"/>
  <c r="H5" i="3" s="1"/>
  <c r="G47" i="13"/>
  <c r="G91" i="13"/>
  <c r="G90" i="13"/>
  <c r="G89" i="13"/>
  <c r="G59" i="13"/>
  <c r="F84" i="13"/>
  <c r="G84" i="13" s="1"/>
  <c r="G77" i="13"/>
  <c r="G83" i="13"/>
  <c r="G82" i="13"/>
  <c r="G81" i="13"/>
  <c r="G80" i="13"/>
  <c r="G85" i="13"/>
  <c r="G86" i="13"/>
  <c r="G87" i="13"/>
  <c r="G88" i="13"/>
  <c r="G141" i="13"/>
  <c r="G302" i="13"/>
  <c r="G303" i="13"/>
  <c r="F79" i="13"/>
  <c r="G79" i="13" s="1"/>
  <c r="F78" i="13"/>
  <c r="G78" i="13" s="1"/>
  <c r="F76" i="13"/>
  <c r="G76" i="13" s="1"/>
  <c r="G71" i="13"/>
  <c r="D68" i="13"/>
  <c r="G68" i="13" s="1"/>
  <c r="G70" i="13"/>
  <c r="G69" i="13"/>
  <c r="G63" i="13"/>
  <c r="G61" i="13"/>
  <c r="F60" i="13"/>
  <c r="G60" i="13" s="1"/>
  <c r="F58" i="13"/>
  <c r="G58" i="13" s="1"/>
  <c r="F56" i="13"/>
  <c r="G56" i="13" s="1"/>
  <c r="G55" i="13"/>
  <c r="G54" i="13"/>
  <c r="G53" i="13"/>
  <c r="G52" i="13"/>
  <c r="F50" i="13"/>
  <c r="G50" i="13" s="1"/>
  <c r="G44" i="13"/>
  <c r="G45" i="13"/>
  <c r="G46" i="13"/>
  <c r="G48" i="13"/>
  <c r="G49" i="13"/>
  <c r="G57" i="13"/>
  <c r="G62" i="13"/>
  <c r="G64" i="13"/>
  <c r="G65" i="13"/>
  <c r="G66" i="13"/>
  <c r="G67" i="13"/>
  <c r="G72" i="13"/>
  <c r="G73" i="13"/>
  <c r="G74" i="13"/>
  <c r="G75" i="13"/>
  <c r="D38" i="13"/>
  <c r="G38" i="13" s="1"/>
  <c r="G41" i="13"/>
  <c r="G40" i="13"/>
  <c r="G37" i="13"/>
  <c r="G36" i="13"/>
  <c r="G35" i="13"/>
  <c r="G39" i="13"/>
  <c r="G42" i="13"/>
  <c r="G43" i="13"/>
  <c r="G33" i="13"/>
  <c r="G32" i="13"/>
  <c r="G31" i="13"/>
  <c r="G30" i="13"/>
  <c r="G25" i="13"/>
  <c r="F28" i="13"/>
  <c r="F24" i="13"/>
  <c r="F23" i="13"/>
  <c r="F22" i="13"/>
  <c r="F21" i="13"/>
  <c r="G20" i="13"/>
  <c r="G19" i="13"/>
  <c r="F11" i="13"/>
  <c r="G11" i="13" s="1"/>
  <c r="F18" i="13"/>
  <c r="F17" i="13"/>
  <c r="F16" i="13"/>
  <c r="F10" i="13"/>
  <c r="F9" i="13"/>
  <c r="F8" i="13"/>
  <c r="F7" i="13"/>
  <c r="D5" i="3" l="1"/>
  <c r="O382" i="14"/>
  <c r="F5" i="3" s="1"/>
  <c r="P382" i="14"/>
  <c r="G5" i="3" s="1"/>
  <c r="F6" i="13"/>
  <c r="F5" i="13"/>
  <c r="F4" i="13"/>
  <c r="G4" i="13" s="1"/>
  <c r="S382" i="14" l="1"/>
  <c r="J5" i="3"/>
  <c r="C6" i="10" s="1"/>
  <c r="G312" i="13"/>
  <c r="G51" i="13"/>
  <c r="G34" i="13"/>
  <c r="G29" i="13"/>
  <c r="G28" i="13"/>
  <c r="G27" i="13"/>
  <c r="G26" i="13"/>
  <c r="G24" i="13"/>
  <c r="G23" i="13"/>
  <c r="G22" i="13"/>
  <c r="G21" i="13"/>
  <c r="G18" i="13"/>
  <c r="G17" i="13"/>
  <c r="G16" i="13"/>
  <c r="G15" i="13"/>
  <c r="G14" i="13"/>
  <c r="G13" i="13"/>
  <c r="G12" i="13"/>
  <c r="G10" i="13"/>
  <c r="G9" i="13"/>
  <c r="G8" i="13"/>
  <c r="G309" i="13" s="1"/>
  <c r="H13" i="10" s="1"/>
  <c r="G7" i="13"/>
  <c r="G6" i="13"/>
  <c r="G5" i="13"/>
  <c r="G308" i="13" s="1"/>
  <c r="F13" i="10" s="1"/>
  <c r="G311" i="13" l="1"/>
  <c r="G13" i="10" s="1"/>
  <c r="F30" i="11"/>
  <c r="F29" i="11"/>
  <c r="G29" i="11" s="1"/>
  <c r="F28" i="11"/>
  <c r="F27" i="11"/>
  <c r="G27" i="11" s="1"/>
  <c r="F26" i="11"/>
  <c r="G26" i="11" s="1"/>
  <c r="F25" i="11"/>
  <c r="G25" i="11" s="1"/>
  <c r="F24" i="11"/>
  <c r="G24" i="11" s="1"/>
  <c r="F23" i="11"/>
  <c r="G23" i="11" s="1"/>
  <c r="F22" i="11"/>
  <c r="G22" i="11" s="1"/>
  <c r="F21" i="11"/>
  <c r="G21" i="11" s="1"/>
  <c r="F20" i="11"/>
  <c r="G20" i="11" s="1"/>
  <c r="F19" i="11"/>
  <c r="G19" i="11" s="1"/>
  <c r="F18" i="11"/>
  <c r="G18" i="11" s="1"/>
  <c r="F17" i="11"/>
  <c r="G17" i="11" s="1"/>
  <c r="F16" i="11"/>
  <c r="G16" i="11" s="1"/>
  <c r="F15" i="11"/>
  <c r="F14" i="11"/>
  <c r="G14" i="11" s="1"/>
  <c r="F13" i="11"/>
  <c r="F12" i="11"/>
  <c r="G12" i="11" s="1"/>
  <c r="F11" i="11"/>
  <c r="G11" i="11" s="1"/>
  <c r="F10" i="11"/>
  <c r="G10" i="11" s="1"/>
  <c r="F9" i="11"/>
  <c r="G9" i="11" s="1"/>
  <c r="F8" i="11"/>
  <c r="G8" i="11" s="1"/>
  <c r="F7" i="11"/>
  <c r="G7" i="11" s="1"/>
  <c r="F6" i="11"/>
  <c r="G6" i="11" s="1"/>
  <c r="G28" i="11"/>
  <c r="G30" i="11"/>
  <c r="G15" i="11"/>
  <c r="G13" i="11"/>
  <c r="G4" i="11"/>
  <c r="C4" i="7" s="1"/>
  <c r="D4" i="10" s="1"/>
  <c r="G31" i="11" l="1"/>
  <c r="C5" i="7" s="1"/>
  <c r="D5" i="10" s="1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32" i="9"/>
  <c r="G38" i="9"/>
  <c r="D28" i="9"/>
  <c r="G28" i="9" s="1"/>
  <c r="D24" i="9"/>
  <c r="G24" i="9" s="1"/>
  <c r="D16" i="9"/>
  <c r="G16" i="9" s="1"/>
  <c r="D14" i="9"/>
  <c r="G14" i="9" s="1"/>
  <c r="G6" i="9"/>
  <c r="G7" i="9"/>
  <c r="G8" i="9"/>
  <c r="G9" i="9"/>
  <c r="G10" i="9"/>
  <c r="G11" i="9"/>
  <c r="G12" i="9"/>
  <c r="G13" i="9"/>
  <c r="G15" i="9"/>
  <c r="G17" i="9"/>
  <c r="G18" i="9"/>
  <c r="G19" i="9"/>
  <c r="G20" i="9"/>
  <c r="G21" i="9"/>
  <c r="G22" i="9"/>
  <c r="G23" i="9"/>
  <c r="G25" i="9"/>
  <c r="G26" i="9"/>
  <c r="G27" i="9"/>
  <c r="G29" i="9"/>
  <c r="G5" i="9"/>
  <c r="G238" i="9"/>
  <c r="G237" i="9"/>
  <c r="G236" i="9"/>
  <c r="G235" i="9"/>
  <c r="G234" i="9"/>
  <c r="G233" i="9"/>
  <c r="G232" i="9"/>
  <c r="G231" i="9"/>
  <c r="G230" i="9"/>
  <c r="G229" i="9"/>
  <c r="G228" i="9"/>
  <c r="G227" i="9"/>
  <c r="G226" i="9"/>
  <c r="G225" i="9"/>
  <c r="G224" i="9"/>
  <c r="G223" i="9"/>
  <c r="G220" i="9"/>
  <c r="G219" i="9"/>
  <c r="G218" i="9"/>
  <c r="G217" i="9"/>
  <c r="G216" i="9"/>
  <c r="D214" i="9"/>
  <c r="D215" i="9" s="1"/>
  <c r="G215" i="9" s="1"/>
  <c r="D213" i="9"/>
  <c r="G213" i="9" s="1"/>
  <c r="D211" i="9"/>
  <c r="G211" i="9" s="1"/>
  <c r="D210" i="9"/>
  <c r="G210" i="9" s="1"/>
  <c r="G209" i="9"/>
  <c r="G208" i="9"/>
  <c r="G207" i="9"/>
  <c r="G206" i="9"/>
  <c r="G205" i="9"/>
  <c r="G204" i="9"/>
  <c r="G203" i="9"/>
  <c r="G202" i="9"/>
  <c r="G201" i="9"/>
  <c r="G200" i="9"/>
  <c r="G199" i="9"/>
  <c r="G198" i="9"/>
  <c r="G197" i="9"/>
  <c r="G196" i="9"/>
  <c r="G195" i="9"/>
  <c r="G194" i="9"/>
  <c r="G193" i="9"/>
  <c r="G192" i="9"/>
  <c r="G189" i="9"/>
  <c r="G188" i="9"/>
  <c r="G187" i="9"/>
  <c r="G186" i="9"/>
  <c r="G185" i="9"/>
  <c r="D184" i="9"/>
  <c r="G184" i="9" s="1"/>
  <c r="G183" i="9"/>
  <c r="D182" i="9"/>
  <c r="G182" i="9" s="1"/>
  <c r="G181" i="9"/>
  <c r="G180" i="9"/>
  <c r="G179" i="9"/>
  <c r="G178" i="9"/>
  <c r="G177" i="9"/>
  <c r="G176" i="9"/>
  <c r="G175" i="9"/>
  <c r="G174" i="9"/>
  <c r="G173" i="9"/>
  <c r="G172" i="9"/>
  <c r="G171" i="9"/>
  <c r="G170" i="9"/>
  <c r="G169" i="9"/>
  <c r="G168" i="9"/>
  <c r="G167" i="9"/>
  <c r="G166" i="9"/>
  <c r="G165" i="9"/>
  <c r="G164" i="9"/>
  <c r="G161" i="9"/>
  <c r="G160" i="9"/>
  <c r="E159" i="9"/>
  <c r="D159" i="9"/>
  <c r="G158" i="9"/>
  <c r="G157" i="9"/>
  <c r="D156" i="9"/>
  <c r="G156" i="9" s="1"/>
  <c r="G155" i="9"/>
  <c r="G154" i="9"/>
  <c r="G153" i="9"/>
  <c r="D152" i="9"/>
  <c r="G152" i="9" s="1"/>
  <c r="G151" i="9"/>
  <c r="D150" i="9"/>
  <c r="G150" i="9" s="1"/>
  <c r="F149" i="9"/>
  <c r="G149" i="9" s="1"/>
  <c r="G148" i="9"/>
  <c r="G147" i="9"/>
  <c r="G146" i="9"/>
  <c r="G145" i="9"/>
  <c r="G144" i="9"/>
  <c r="G143" i="9"/>
  <c r="G142" i="9"/>
  <c r="G141" i="9"/>
  <c r="G140" i="9"/>
  <c r="G139" i="9"/>
  <c r="G138" i="9"/>
  <c r="G137" i="9"/>
  <c r="G136" i="9"/>
  <c r="G135" i="9"/>
  <c r="G134" i="9"/>
  <c r="D133" i="9"/>
  <c r="G133" i="9" s="1"/>
  <c r="G132" i="9"/>
  <c r="G131" i="9"/>
  <c r="G127" i="9"/>
  <c r="G126" i="9"/>
  <c r="G125" i="9"/>
  <c r="G124" i="9"/>
  <c r="G123" i="9"/>
  <c r="G122" i="9"/>
  <c r="G121" i="9"/>
  <c r="G120" i="9"/>
  <c r="G119" i="9"/>
  <c r="G118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2" i="9"/>
  <c r="G40" i="9"/>
  <c r="G39" i="9"/>
  <c r="G35" i="9"/>
  <c r="G34" i="9"/>
  <c r="G33" i="9"/>
  <c r="G32" i="9"/>
  <c r="G1133" i="8"/>
  <c r="G1132" i="8"/>
  <c r="G1130" i="8"/>
  <c r="L1131" i="8"/>
  <c r="N1131" i="8" s="1"/>
  <c r="M1131" i="8"/>
  <c r="P1131" i="8"/>
  <c r="Q1131" i="8"/>
  <c r="R1131" i="8"/>
  <c r="L1136" i="8"/>
  <c r="N1136" i="8"/>
  <c r="O1136" i="8"/>
  <c r="P1136" i="8"/>
  <c r="L1135" i="8"/>
  <c r="L1133" i="8"/>
  <c r="O1133" i="8" s="1"/>
  <c r="M1133" i="8"/>
  <c r="R1151" i="8"/>
  <c r="Q1151" i="8"/>
  <c r="P1151" i="8"/>
  <c r="O1151" i="8"/>
  <c r="N1151" i="8"/>
  <c r="M1151" i="8"/>
  <c r="R1146" i="8"/>
  <c r="Q1146" i="8"/>
  <c r="P1146" i="8"/>
  <c r="O1146" i="8"/>
  <c r="N1146" i="8"/>
  <c r="M1146" i="8"/>
  <c r="L1146" i="8"/>
  <c r="L1145" i="8"/>
  <c r="R1136" i="8"/>
  <c r="Q1136" i="8"/>
  <c r="R1135" i="8"/>
  <c r="Q1135" i="8"/>
  <c r="P1135" i="8"/>
  <c r="O1135" i="8"/>
  <c r="N1135" i="8"/>
  <c r="R1134" i="8"/>
  <c r="Q1134" i="8"/>
  <c r="P1134" i="8"/>
  <c r="O1134" i="8"/>
  <c r="L1134" i="8"/>
  <c r="N1134" i="8" s="1"/>
  <c r="R1133" i="8"/>
  <c r="Q1133" i="8"/>
  <c r="P1133" i="8"/>
  <c r="R1132" i="8"/>
  <c r="Q1132" i="8"/>
  <c r="P1132" i="8"/>
  <c r="O1132" i="8"/>
  <c r="M1132" i="8"/>
  <c r="L1132" i="8"/>
  <c r="R1130" i="8"/>
  <c r="Q1130" i="8"/>
  <c r="P1130" i="8"/>
  <c r="N1130" i="8"/>
  <c r="M1130" i="8"/>
  <c r="L1130" i="8"/>
  <c r="G1127" i="8"/>
  <c r="I1126" i="8"/>
  <c r="L1126" i="8" s="1"/>
  <c r="P1126" i="8" s="1"/>
  <c r="I1125" i="8"/>
  <c r="L1125" i="8" s="1"/>
  <c r="R1127" i="8"/>
  <c r="Q1127" i="8"/>
  <c r="P1127" i="8"/>
  <c r="O1127" i="8"/>
  <c r="L1127" i="8"/>
  <c r="M1127" i="8" s="1"/>
  <c r="R1126" i="8"/>
  <c r="O1126" i="8"/>
  <c r="N1126" i="8"/>
  <c r="M1126" i="8"/>
  <c r="R1125" i="8"/>
  <c r="O1125" i="8"/>
  <c r="N1125" i="8"/>
  <c r="M1125" i="8"/>
  <c r="R1124" i="8"/>
  <c r="Q1124" i="8"/>
  <c r="P1124" i="8"/>
  <c r="O1124" i="8"/>
  <c r="N1124" i="8"/>
  <c r="M1124" i="8"/>
  <c r="L1124" i="8"/>
  <c r="G240" i="9" l="1"/>
  <c r="M1134" i="8"/>
  <c r="N1133" i="8"/>
  <c r="M1136" i="8"/>
  <c r="R1145" i="8"/>
  <c r="G159" i="9"/>
  <c r="G162" i="9" s="1"/>
  <c r="G30" i="9"/>
  <c r="C7" i="12" s="1"/>
  <c r="G36" i="9"/>
  <c r="G37" i="9"/>
  <c r="G41" i="9"/>
  <c r="G43" i="9"/>
  <c r="G190" i="9"/>
  <c r="D212" i="9"/>
  <c r="G212" i="9" s="1"/>
  <c r="G214" i="9"/>
  <c r="M1135" i="8"/>
  <c r="N1132" i="8"/>
  <c r="O1131" i="8"/>
  <c r="O1130" i="8"/>
  <c r="Q1126" i="8"/>
  <c r="N1127" i="8"/>
  <c r="P1125" i="8"/>
  <c r="P1145" i="8" s="1"/>
  <c r="Q1125" i="8"/>
  <c r="G1109" i="8"/>
  <c r="G1108" i="8"/>
  <c r="R1110" i="8"/>
  <c r="Q1110" i="8"/>
  <c r="P1110" i="8"/>
  <c r="O1110" i="8"/>
  <c r="N1110" i="8"/>
  <c r="L1110" i="8"/>
  <c r="R1109" i="8"/>
  <c r="Q1109" i="8"/>
  <c r="P1109" i="8"/>
  <c r="O1109" i="8"/>
  <c r="N1109" i="8"/>
  <c r="L1109" i="8"/>
  <c r="R1108" i="8"/>
  <c r="Q1108" i="8"/>
  <c r="P1108" i="8"/>
  <c r="O1108" i="8"/>
  <c r="N1108" i="8"/>
  <c r="L1108" i="8"/>
  <c r="R1107" i="8"/>
  <c r="Q1107" i="8"/>
  <c r="P1107" i="8"/>
  <c r="O1107" i="8"/>
  <c r="N1107" i="8"/>
  <c r="M1107" i="8"/>
  <c r="L1107" i="8"/>
  <c r="L1099" i="8"/>
  <c r="N1099" i="8"/>
  <c r="O1099" i="8"/>
  <c r="P1099" i="8"/>
  <c r="Q1099" i="8"/>
  <c r="R1099" i="8"/>
  <c r="L1097" i="8"/>
  <c r="N1097" i="8"/>
  <c r="O1097" i="8"/>
  <c r="P1097" i="8"/>
  <c r="Q1097" i="8"/>
  <c r="R1097" i="8"/>
  <c r="L1096" i="8"/>
  <c r="G1094" i="8"/>
  <c r="G1093" i="8"/>
  <c r="G1092" i="8"/>
  <c r="R1096" i="8"/>
  <c r="Q1096" i="8"/>
  <c r="P1096" i="8"/>
  <c r="O1096" i="8"/>
  <c r="N1096" i="8"/>
  <c r="R1094" i="8"/>
  <c r="Q1094" i="8"/>
  <c r="P1094" i="8"/>
  <c r="O1094" i="8"/>
  <c r="N1094" i="8"/>
  <c r="L1094" i="8"/>
  <c r="R1093" i="8"/>
  <c r="Q1093" i="8"/>
  <c r="P1093" i="8"/>
  <c r="O1093" i="8"/>
  <c r="N1093" i="8"/>
  <c r="L1093" i="8"/>
  <c r="R1092" i="8"/>
  <c r="Q1092" i="8"/>
  <c r="P1092" i="8"/>
  <c r="O1092" i="8"/>
  <c r="N1092" i="8"/>
  <c r="L1092" i="8"/>
  <c r="R1091" i="8"/>
  <c r="Q1091" i="8"/>
  <c r="P1091" i="8"/>
  <c r="O1091" i="8"/>
  <c r="N1091" i="8"/>
  <c r="M1091" i="8"/>
  <c r="L1091" i="8"/>
  <c r="G1082" i="8"/>
  <c r="L1082" i="8"/>
  <c r="N1082" i="8"/>
  <c r="O1082" i="8"/>
  <c r="P1082" i="8"/>
  <c r="Q1082" i="8"/>
  <c r="R1082" i="8"/>
  <c r="L1081" i="8"/>
  <c r="G1080" i="8"/>
  <c r="G1079" i="8"/>
  <c r="R1081" i="8"/>
  <c r="Q1081" i="8"/>
  <c r="P1081" i="8"/>
  <c r="O1081" i="8"/>
  <c r="N1081" i="8"/>
  <c r="R1080" i="8"/>
  <c r="Q1080" i="8"/>
  <c r="P1080" i="8"/>
  <c r="O1080" i="8"/>
  <c r="N1080" i="8"/>
  <c r="L1080" i="8"/>
  <c r="R1079" i="8"/>
  <c r="Q1079" i="8"/>
  <c r="P1079" i="8"/>
  <c r="O1079" i="8"/>
  <c r="N1079" i="8"/>
  <c r="L1079" i="8"/>
  <c r="R1078" i="8"/>
  <c r="Q1078" i="8"/>
  <c r="P1078" i="8"/>
  <c r="O1078" i="8"/>
  <c r="N1078" i="8"/>
  <c r="M1078" i="8"/>
  <c r="L1078" i="8"/>
  <c r="L1065" i="8"/>
  <c r="R1065" i="8"/>
  <c r="Q1065" i="8"/>
  <c r="P1065" i="8"/>
  <c r="O1065" i="8"/>
  <c r="N1065" i="8"/>
  <c r="G1064" i="8"/>
  <c r="L1064" i="8"/>
  <c r="R1063" i="8"/>
  <c r="Q1063" i="8"/>
  <c r="P1063" i="8"/>
  <c r="O1063" i="8"/>
  <c r="N1063" i="8"/>
  <c r="L1063" i="8"/>
  <c r="G1063" i="8"/>
  <c r="G1062" i="8"/>
  <c r="L1062" i="8"/>
  <c r="G1061" i="8"/>
  <c r="N1061" i="8"/>
  <c r="L1061" i="8"/>
  <c r="L1032" i="8"/>
  <c r="L1031" i="8"/>
  <c r="R1033" i="8"/>
  <c r="Q1033" i="8"/>
  <c r="P1033" i="8"/>
  <c r="O1033" i="8"/>
  <c r="N1033" i="8"/>
  <c r="L1033" i="8"/>
  <c r="R1032" i="8"/>
  <c r="Q1032" i="8"/>
  <c r="P1032" i="8"/>
  <c r="O1032" i="8"/>
  <c r="N1032" i="8"/>
  <c r="R1031" i="8"/>
  <c r="Q1031" i="8"/>
  <c r="P1031" i="8"/>
  <c r="O1031" i="8"/>
  <c r="N1031" i="8"/>
  <c r="R1029" i="8"/>
  <c r="Q1029" i="8"/>
  <c r="P1029" i="8"/>
  <c r="O1029" i="8"/>
  <c r="N1029" i="8"/>
  <c r="L1029" i="8"/>
  <c r="R1028" i="8"/>
  <c r="Q1028" i="8"/>
  <c r="P1028" i="8"/>
  <c r="O1028" i="8"/>
  <c r="N1028" i="8"/>
  <c r="R1016" i="8"/>
  <c r="Q1016" i="8"/>
  <c r="P1016" i="8"/>
  <c r="O1016" i="8"/>
  <c r="N1016" i="8"/>
  <c r="L1016" i="8"/>
  <c r="R1015" i="8"/>
  <c r="Q1015" i="8"/>
  <c r="P1015" i="8"/>
  <c r="O1015" i="8"/>
  <c r="N1015" i="8"/>
  <c r="L1015" i="8"/>
  <c r="R1014" i="8"/>
  <c r="Q1014" i="8"/>
  <c r="P1014" i="8"/>
  <c r="O1014" i="8"/>
  <c r="N1014" i="8"/>
  <c r="L1014" i="8"/>
  <c r="R1013" i="8"/>
  <c r="Q1013" i="8"/>
  <c r="P1013" i="8"/>
  <c r="O1013" i="8"/>
  <c r="N1013" i="8"/>
  <c r="L1013" i="8"/>
  <c r="L1012" i="8"/>
  <c r="N1012" i="8"/>
  <c r="O1012" i="8"/>
  <c r="P1012" i="8"/>
  <c r="Q1012" i="8"/>
  <c r="R1012" i="8"/>
  <c r="G1010" i="8"/>
  <c r="L1010" i="8"/>
  <c r="G1009" i="8"/>
  <c r="L1006" i="8"/>
  <c r="N1006" i="8"/>
  <c r="O1006" i="8"/>
  <c r="P1006" i="8"/>
  <c r="Q1006" i="8"/>
  <c r="R1006" i="8"/>
  <c r="L1004" i="8"/>
  <c r="N1004" i="8"/>
  <c r="O1004" i="8"/>
  <c r="P1004" i="8"/>
  <c r="Q1004" i="8"/>
  <c r="R1004" i="8"/>
  <c r="L1002" i="8"/>
  <c r="N1002" i="8"/>
  <c r="O1002" i="8"/>
  <c r="P1002" i="8"/>
  <c r="Q1002" i="8"/>
  <c r="R1002" i="8"/>
  <c r="L1003" i="8"/>
  <c r="N1003" i="8"/>
  <c r="O1003" i="8"/>
  <c r="P1003" i="8"/>
  <c r="Q1003" i="8"/>
  <c r="R1003" i="8"/>
  <c r="R1011" i="8"/>
  <c r="Q1011" i="8"/>
  <c r="P1011" i="8"/>
  <c r="O1011" i="8"/>
  <c r="N1011" i="8"/>
  <c r="L1011" i="8"/>
  <c r="R1010" i="8"/>
  <c r="Q1010" i="8"/>
  <c r="P1010" i="8"/>
  <c r="O1010" i="8"/>
  <c r="N1010" i="8"/>
  <c r="R1009" i="8"/>
  <c r="Q1009" i="8"/>
  <c r="P1009" i="8"/>
  <c r="O1009" i="8"/>
  <c r="N1009" i="8"/>
  <c r="L1009" i="8"/>
  <c r="R1005" i="8"/>
  <c r="Q1005" i="8"/>
  <c r="P1005" i="8"/>
  <c r="O1005" i="8"/>
  <c r="N1005" i="8"/>
  <c r="L1005" i="8"/>
  <c r="R1000" i="8"/>
  <c r="Q1000" i="8"/>
  <c r="P1000" i="8"/>
  <c r="O1000" i="8"/>
  <c r="N1000" i="8"/>
  <c r="L991" i="8"/>
  <c r="R991" i="8"/>
  <c r="Q991" i="8"/>
  <c r="P991" i="8"/>
  <c r="O991" i="8"/>
  <c r="N991" i="8"/>
  <c r="R990" i="8"/>
  <c r="Q990" i="8"/>
  <c r="P990" i="8"/>
  <c r="O990" i="8"/>
  <c r="N990" i="8"/>
  <c r="L990" i="8"/>
  <c r="R989" i="8"/>
  <c r="Q989" i="8"/>
  <c r="P989" i="8"/>
  <c r="O989" i="8"/>
  <c r="N989" i="8"/>
  <c r="L989" i="8"/>
  <c r="R987" i="8"/>
  <c r="Q987" i="8"/>
  <c r="P987" i="8"/>
  <c r="O987" i="8"/>
  <c r="N987" i="8"/>
  <c r="L987" i="8"/>
  <c r="R986" i="8"/>
  <c r="Q986" i="8"/>
  <c r="P986" i="8"/>
  <c r="O986" i="8"/>
  <c r="N986" i="8"/>
  <c r="R971" i="8"/>
  <c r="Q971" i="8"/>
  <c r="P971" i="8"/>
  <c r="O971" i="8"/>
  <c r="N971" i="8"/>
  <c r="R956" i="8"/>
  <c r="Q956" i="8"/>
  <c r="P956" i="8"/>
  <c r="O956" i="8"/>
  <c r="N956" i="8"/>
  <c r="R808" i="8"/>
  <c r="Q808" i="8"/>
  <c r="P808" i="8"/>
  <c r="O808" i="8"/>
  <c r="N808" i="8"/>
  <c r="M808" i="8"/>
  <c r="L808" i="8"/>
  <c r="R764" i="8"/>
  <c r="Q764" i="8"/>
  <c r="P764" i="8"/>
  <c r="O764" i="8"/>
  <c r="N764" i="8"/>
  <c r="M764" i="8"/>
  <c r="L764" i="8"/>
  <c r="R757" i="8"/>
  <c r="Q757" i="8"/>
  <c r="P757" i="8"/>
  <c r="O757" i="8"/>
  <c r="N757" i="8"/>
  <c r="M757" i="8"/>
  <c r="L757" i="8"/>
  <c r="R950" i="8"/>
  <c r="Q950" i="8"/>
  <c r="P950" i="8"/>
  <c r="O950" i="8"/>
  <c r="N950" i="8"/>
  <c r="L950" i="8"/>
  <c r="R949" i="8"/>
  <c r="Q949" i="8"/>
  <c r="P949" i="8"/>
  <c r="O949" i="8"/>
  <c r="N949" i="8"/>
  <c r="L949" i="8"/>
  <c r="L947" i="8"/>
  <c r="N947" i="8"/>
  <c r="O947" i="8"/>
  <c r="P947" i="8"/>
  <c r="Q947" i="8"/>
  <c r="R947" i="8"/>
  <c r="L946" i="8"/>
  <c r="R946" i="8"/>
  <c r="Q946" i="8"/>
  <c r="P946" i="8"/>
  <c r="O946" i="8"/>
  <c r="N946" i="8"/>
  <c r="R945" i="8"/>
  <c r="Q945" i="8"/>
  <c r="P945" i="8"/>
  <c r="O945" i="8"/>
  <c r="N945" i="8"/>
  <c r="L945" i="8"/>
  <c r="R943" i="8"/>
  <c r="Q943" i="8"/>
  <c r="P943" i="8"/>
  <c r="O943" i="8"/>
  <c r="N943" i="8"/>
  <c r="R942" i="8"/>
  <c r="Q942" i="8"/>
  <c r="P942" i="8"/>
  <c r="O942" i="8"/>
  <c r="N942" i="8"/>
  <c r="R941" i="8"/>
  <c r="Q941" i="8"/>
  <c r="P941" i="8"/>
  <c r="O941" i="8"/>
  <c r="N941" i="8"/>
  <c r="M941" i="8"/>
  <c r="L941" i="8"/>
  <c r="L788" i="8"/>
  <c r="L787" i="8"/>
  <c r="R789" i="8"/>
  <c r="Q789" i="8"/>
  <c r="P789" i="8"/>
  <c r="O789" i="8"/>
  <c r="N789" i="8"/>
  <c r="L789" i="8"/>
  <c r="M789" i="8" s="1"/>
  <c r="R788" i="8"/>
  <c r="Q788" i="8"/>
  <c r="P788" i="8"/>
  <c r="O788" i="8"/>
  <c r="N788" i="8"/>
  <c r="R787" i="8"/>
  <c r="Q787" i="8"/>
  <c r="P787" i="8"/>
  <c r="O787" i="8"/>
  <c r="N787" i="8"/>
  <c r="R785" i="8"/>
  <c r="Q785" i="8"/>
  <c r="P785" i="8"/>
  <c r="O785" i="8"/>
  <c r="N785" i="8"/>
  <c r="L785" i="8"/>
  <c r="R784" i="8"/>
  <c r="Q784" i="8"/>
  <c r="P784" i="8"/>
  <c r="O784" i="8"/>
  <c r="N784" i="8"/>
  <c r="L774" i="8"/>
  <c r="R776" i="8"/>
  <c r="Q776" i="8"/>
  <c r="P776" i="8"/>
  <c r="O776" i="8"/>
  <c r="N776" i="8"/>
  <c r="L776" i="8"/>
  <c r="R775" i="8"/>
  <c r="Q775" i="8"/>
  <c r="P775" i="8"/>
  <c r="O775" i="8"/>
  <c r="N775" i="8"/>
  <c r="L775" i="8"/>
  <c r="R774" i="8"/>
  <c r="Q774" i="8"/>
  <c r="P774" i="8"/>
  <c r="O774" i="8"/>
  <c r="N774" i="8"/>
  <c r="R772" i="8"/>
  <c r="Q772" i="8"/>
  <c r="P772" i="8"/>
  <c r="O772" i="8"/>
  <c r="N772" i="8"/>
  <c r="R771" i="8"/>
  <c r="Q771" i="8"/>
  <c r="P771" i="8"/>
  <c r="O771" i="8"/>
  <c r="N771" i="8"/>
  <c r="R735" i="8"/>
  <c r="Q735" i="8"/>
  <c r="P735" i="8"/>
  <c r="O735" i="8"/>
  <c r="N735" i="8"/>
  <c r="L735" i="8"/>
  <c r="R734" i="8"/>
  <c r="Q734" i="8"/>
  <c r="P734" i="8"/>
  <c r="O734" i="8"/>
  <c r="N734" i="8"/>
  <c r="L734" i="8"/>
  <c r="G733" i="8"/>
  <c r="R733" i="8"/>
  <c r="Q733" i="8"/>
  <c r="P733" i="8"/>
  <c r="O733" i="8"/>
  <c r="N733" i="8"/>
  <c r="L733" i="8"/>
  <c r="R731" i="8"/>
  <c r="Q731" i="8"/>
  <c r="P731" i="8"/>
  <c r="O731" i="8"/>
  <c r="N731" i="8"/>
  <c r="L731" i="8"/>
  <c r="R730" i="8"/>
  <c r="Q730" i="8"/>
  <c r="P730" i="8"/>
  <c r="O730" i="8"/>
  <c r="N730" i="8"/>
  <c r="R715" i="8"/>
  <c r="Q715" i="8"/>
  <c r="P715" i="8"/>
  <c r="O715" i="8"/>
  <c r="N715" i="8"/>
  <c r="R710" i="8"/>
  <c r="Q710" i="8"/>
  <c r="P710" i="8"/>
  <c r="O710" i="8"/>
  <c r="N710" i="8"/>
  <c r="L710" i="8"/>
  <c r="R709" i="8"/>
  <c r="Q709" i="8"/>
  <c r="P709" i="8"/>
  <c r="O709" i="8"/>
  <c r="N709" i="8"/>
  <c r="L709" i="8"/>
  <c r="L705" i="8"/>
  <c r="G705" i="8"/>
  <c r="R706" i="8"/>
  <c r="Q706" i="8"/>
  <c r="P706" i="8"/>
  <c r="O706" i="8"/>
  <c r="N706" i="8"/>
  <c r="L706" i="8"/>
  <c r="R705" i="8"/>
  <c r="Q705" i="8"/>
  <c r="P705" i="8"/>
  <c r="O705" i="8"/>
  <c r="N705" i="8"/>
  <c r="R703" i="8"/>
  <c r="Q703" i="8"/>
  <c r="P703" i="8"/>
  <c r="O703" i="8"/>
  <c r="N703" i="8"/>
  <c r="L703" i="8"/>
  <c r="R702" i="8"/>
  <c r="Q702" i="8"/>
  <c r="P702" i="8"/>
  <c r="O702" i="8"/>
  <c r="N702" i="8"/>
  <c r="R673" i="8"/>
  <c r="Q673" i="8"/>
  <c r="P673" i="8"/>
  <c r="O673" i="8"/>
  <c r="N673" i="8"/>
  <c r="R661" i="8"/>
  <c r="Q661" i="8"/>
  <c r="P661" i="8"/>
  <c r="O661" i="8"/>
  <c r="N661" i="8"/>
  <c r="R646" i="8"/>
  <c r="Q646" i="8"/>
  <c r="P646" i="8"/>
  <c r="O646" i="8"/>
  <c r="N646" i="8"/>
  <c r="R645" i="8"/>
  <c r="Q645" i="8"/>
  <c r="P645" i="8"/>
  <c r="O645" i="8"/>
  <c r="N645" i="8"/>
  <c r="M645" i="8"/>
  <c r="L645" i="8"/>
  <c r="R635" i="8"/>
  <c r="Q635" i="8"/>
  <c r="P635" i="8"/>
  <c r="O635" i="8"/>
  <c r="N635" i="8"/>
  <c r="M635" i="8"/>
  <c r="L635" i="8"/>
  <c r="R628" i="8"/>
  <c r="Q628" i="8"/>
  <c r="P628" i="8"/>
  <c r="O628" i="8"/>
  <c r="N628" i="8"/>
  <c r="M628" i="8"/>
  <c r="L628" i="8"/>
  <c r="L626" i="8"/>
  <c r="R625" i="8"/>
  <c r="Q625" i="8"/>
  <c r="P625" i="8"/>
  <c r="O625" i="8"/>
  <c r="L625" i="8"/>
  <c r="L624" i="8"/>
  <c r="L622" i="8"/>
  <c r="G622" i="8"/>
  <c r="G617" i="8"/>
  <c r="R617" i="8"/>
  <c r="Q617" i="8"/>
  <c r="P617" i="8"/>
  <c r="O617" i="8"/>
  <c r="N617" i="8"/>
  <c r="L617" i="8"/>
  <c r="R607" i="8"/>
  <c r="Q607" i="8"/>
  <c r="P607" i="8"/>
  <c r="O607" i="8"/>
  <c r="N607" i="8"/>
  <c r="L607" i="8"/>
  <c r="G606" i="8"/>
  <c r="L606" i="8"/>
  <c r="N606" i="8"/>
  <c r="O606" i="8"/>
  <c r="P606" i="8"/>
  <c r="Q606" i="8"/>
  <c r="R606" i="8"/>
  <c r="L605" i="8"/>
  <c r="R605" i="8"/>
  <c r="Q605" i="8"/>
  <c r="P605" i="8"/>
  <c r="O605" i="8"/>
  <c r="N605" i="8"/>
  <c r="R604" i="8"/>
  <c r="Q604" i="8"/>
  <c r="P604" i="8"/>
  <c r="O604" i="8"/>
  <c r="N604" i="8"/>
  <c r="L604" i="8"/>
  <c r="R602" i="8"/>
  <c r="Q602" i="8"/>
  <c r="P602" i="8"/>
  <c r="O602" i="8"/>
  <c r="N602" i="8"/>
  <c r="L598" i="8"/>
  <c r="R598" i="8"/>
  <c r="Q598" i="8"/>
  <c r="P598" i="8"/>
  <c r="O598" i="8"/>
  <c r="N598" i="8"/>
  <c r="R597" i="8"/>
  <c r="Q597" i="8"/>
  <c r="P597" i="8"/>
  <c r="O597" i="8"/>
  <c r="N597" i="8"/>
  <c r="L597" i="8"/>
  <c r="R596" i="8"/>
  <c r="Q596" i="8"/>
  <c r="P596" i="8"/>
  <c r="O596" i="8"/>
  <c r="N596" i="8"/>
  <c r="L596" i="8"/>
  <c r="R595" i="8"/>
  <c r="Q595" i="8"/>
  <c r="P595" i="8"/>
  <c r="O595" i="8"/>
  <c r="N595" i="8"/>
  <c r="L595" i="8"/>
  <c r="R594" i="8"/>
  <c r="Q594" i="8"/>
  <c r="P594" i="8"/>
  <c r="O594" i="8"/>
  <c r="N594" i="8"/>
  <c r="L594" i="8"/>
  <c r="L593" i="8"/>
  <c r="L591" i="8"/>
  <c r="L588" i="8"/>
  <c r="N588" i="8"/>
  <c r="O588" i="8"/>
  <c r="P588" i="8"/>
  <c r="Q588" i="8"/>
  <c r="R588" i="8"/>
  <c r="L586" i="8"/>
  <c r="G586" i="8"/>
  <c r="L585" i="8"/>
  <c r="N585" i="8"/>
  <c r="O585" i="8"/>
  <c r="P585" i="8"/>
  <c r="Q585" i="8"/>
  <c r="R585" i="8"/>
  <c r="L584" i="8"/>
  <c r="N584" i="8"/>
  <c r="O584" i="8"/>
  <c r="P584" i="8"/>
  <c r="Q584" i="8"/>
  <c r="R584" i="8"/>
  <c r="R592" i="8"/>
  <c r="Q592" i="8"/>
  <c r="P592" i="8"/>
  <c r="O592" i="8"/>
  <c r="N592" i="8"/>
  <c r="L592" i="8"/>
  <c r="R591" i="8"/>
  <c r="Q591" i="8"/>
  <c r="P591" i="8"/>
  <c r="O591" i="8"/>
  <c r="N591" i="8"/>
  <c r="R587" i="8"/>
  <c r="Q587" i="8"/>
  <c r="P587" i="8"/>
  <c r="O587" i="8"/>
  <c r="N587" i="8"/>
  <c r="L587" i="8"/>
  <c r="R586" i="8"/>
  <c r="Q586" i="8"/>
  <c r="P586" i="8"/>
  <c r="O586" i="8"/>
  <c r="N586" i="8"/>
  <c r="R582" i="8"/>
  <c r="Q582" i="8"/>
  <c r="P582" i="8"/>
  <c r="O582" i="8"/>
  <c r="N582" i="8"/>
  <c r="L582" i="8"/>
  <c r="R581" i="8"/>
  <c r="Q581" i="8"/>
  <c r="P581" i="8"/>
  <c r="O581" i="8"/>
  <c r="N581" i="8"/>
  <c r="G128" i="9" l="1"/>
  <c r="N622" i="8"/>
  <c r="O1145" i="8"/>
  <c r="M1145" i="8"/>
  <c r="N1145" i="8"/>
  <c r="E8" i="10"/>
  <c r="E14" i="10"/>
  <c r="E11" i="10"/>
  <c r="G221" i="9"/>
  <c r="G243" i="9" s="1"/>
  <c r="C8" i="12"/>
  <c r="M1079" i="8"/>
  <c r="Q1145" i="8"/>
  <c r="I128" i="9"/>
  <c r="J128" i="9" s="1"/>
  <c r="M1093" i="8"/>
  <c r="M1009" i="8"/>
  <c r="M1099" i="8"/>
  <c r="M1109" i="8"/>
  <c r="M1065" i="8"/>
  <c r="M1063" i="8"/>
  <c r="M1061" i="8"/>
  <c r="M1096" i="8"/>
  <c r="M1081" i="8"/>
  <c r="M1005" i="8"/>
  <c r="M1108" i="8"/>
  <c r="M1011" i="8"/>
  <c r="M1094" i="8"/>
  <c r="M1014" i="8"/>
  <c r="M1029" i="8"/>
  <c r="M1080" i="8"/>
  <c r="M1110" i="8"/>
  <c r="M1097" i="8"/>
  <c r="M1092" i="8"/>
  <c r="M1082" i="8"/>
  <c r="M1002" i="8"/>
  <c r="M1004" i="8"/>
  <c r="M1016" i="8"/>
  <c r="M1064" i="8"/>
  <c r="M1028" i="8"/>
  <c r="M991" i="8"/>
  <c r="M1031" i="8"/>
  <c r="M1012" i="8"/>
  <c r="M1062" i="8"/>
  <c r="M1033" i="8"/>
  <c r="M1032" i="8"/>
  <c r="M1015" i="8"/>
  <c r="M1013" i="8"/>
  <c r="M1006" i="8"/>
  <c r="M1003" i="8"/>
  <c r="M1000" i="8"/>
  <c r="M1010" i="8"/>
  <c r="M715" i="8"/>
  <c r="M971" i="8"/>
  <c r="M950" i="8"/>
  <c r="M989" i="8"/>
  <c r="M706" i="8"/>
  <c r="M990" i="8"/>
  <c r="M956" i="8"/>
  <c r="M987" i="8"/>
  <c r="M986" i="8"/>
  <c r="M775" i="8"/>
  <c r="M596" i="8"/>
  <c r="M947" i="8"/>
  <c r="M735" i="8"/>
  <c r="M785" i="8"/>
  <c r="M772" i="8"/>
  <c r="M949" i="8"/>
  <c r="M582" i="8"/>
  <c r="M703" i="8"/>
  <c r="M943" i="8"/>
  <c r="M774" i="8"/>
  <c r="M733" i="8"/>
  <c r="M771" i="8"/>
  <c r="M776" i="8"/>
  <c r="M942" i="8"/>
  <c r="M946" i="8"/>
  <c r="M945" i="8"/>
  <c r="M734" i="8"/>
  <c r="M661" i="8"/>
  <c r="M710" i="8"/>
  <c r="M787" i="8"/>
  <c r="M784" i="8"/>
  <c r="M788" i="8"/>
  <c r="M731" i="8"/>
  <c r="M730" i="8"/>
  <c r="M709" i="8"/>
  <c r="M702" i="8"/>
  <c r="M705" i="8"/>
  <c r="M581" i="8"/>
  <c r="M602" i="8"/>
  <c r="M617" i="8"/>
  <c r="M673" i="8"/>
  <c r="M646" i="8"/>
  <c r="M593" i="8"/>
  <c r="M588" i="8"/>
  <c r="N625" i="8"/>
  <c r="M625" i="8"/>
  <c r="M622" i="8"/>
  <c r="M605" i="8"/>
  <c r="M592" i="8"/>
  <c r="M595" i="8"/>
  <c r="M607" i="8"/>
  <c r="M606" i="8"/>
  <c r="M584" i="8"/>
  <c r="M586" i="8"/>
  <c r="M585" i="8"/>
  <c r="M604" i="8"/>
  <c r="M598" i="8"/>
  <c r="M597" i="8"/>
  <c r="M594" i="8"/>
  <c r="M591" i="8"/>
  <c r="M587" i="8"/>
  <c r="R518" i="8"/>
  <c r="Q518" i="8"/>
  <c r="P518" i="8"/>
  <c r="O518" i="8"/>
  <c r="N518" i="8"/>
  <c r="L518" i="8"/>
  <c r="G514" i="8"/>
  <c r="G433" i="8"/>
  <c r="L432" i="8"/>
  <c r="P432" i="8" s="1"/>
  <c r="L430" i="8"/>
  <c r="P430" i="8" s="1"/>
  <c r="R435" i="8"/>
  <c r="Q435" i="8"/>
  <c r="P435" i="8"/>
  <c r="O435" i="8"/>
  <c r="N435" i="8"/>
  <c r="L435" i="8"/>
  <c r="R434" i="8"/>
  <c r="Q434" i="8"/>
  <c r="P434" i="8"/>
  <c r="O434" i="8"/>
  <c r="N434" i="8"/>
  <c r="L434" i="8"/>
  <c r="R433" i="8"/>
  <c r="Q433" i="8"/>
  <c r="P433" i="8"/>
  <c r="O433" i="8"/>
  <c r="N433" i="8"/>
  <c r="L433" i="8"/>
  <c r="R432" i="8"/>
  <c r="Q432" i="8"/>
  <c r="O432" i="8"/>
  <c r="N432" i="8"/>
  <c r="M432" i="8"/>
  <c r="R430" i="8"/>
  <c r="Q430" i="8"/>
  <c r="O430" i="8"/>
  <c r="N430" i="8"/>
  <c r="M430" i="8"/>
  <c r="R429" i="8"/>
  <c r="Q429" i="8"/>
  <c r="P429" i="8"/>
  <c r="O429" i="8"/>
  <c r="N429" i="8"/>
  <c r="M429" i="8"/>
  <c r="L429" i="8"/>
  <c r="G428" i="8"/>
  <c r="L426" i="8"/>
  <c r="P426" i="8" s="1"/>
  <c r="L425" i="8"/>
  <c r="P425" i="8" s="1"/>
  <c r="R428" i="8"/>
  <c r="Q428" i="8"/>
  <c r="P428" i="8"/>
  <c r="O428" i="8"/>
  <c r="N428" i="8"/>
  <c r="L428" i="8"/>
  <c r="R427" i="8"/>
  <c r="Q427" i="8"/>
  <c r="P427" i="8"/>
  <c r="O427" i="8"/>
  <c r="N427" i="8"/>
  <c r="L427" i="8"/>
  <c r="R426" i="8"/>
  <c r="Q426" i="8"/>
  <c r="O426" i="8"/>
  <c r="N426" i="8"/>
  <c r="M426" i="8"/>
  <c r="R425" i="8"/>
  <c r="Q425" i="8"/>
  <c r="O425" i="8"/>
  <c r="N425" i="8"/>
  <c r="M425" i="8"/>
  <c r="R424" i="8"/>
  <c r="Q424" i="8"/>
  <c r="P424" i="8"/>
  <c r="O424" i="8"/>
  <c r="N424" i="8"/>
  <c r="M424" i="8"/>
  <c r="L424" i="8"/>
  <c r="L423" i="8"/>
  <c r="L422" i="8"/>
  <c r="N422" i="8"/>
  <c r="O422" i="8"/>
  <c r="P422" i="8"/>
  <c r="Q422" i="8"/>
  <c r="R422" i="8"/>
  <c r="L420" i="8"/>
  <c r="O420" i="8" s="1"/>
  <c r="M420" i="8"/>
  <c r="N420" i="8"/>
  <c r="P420" i="8"/>
  <c r="Q420" i="8"/>
  <c r="R420" i="8"/>
  <c r="L419" i="8"/>
  <c r="P419" i="8" s="1"/>
  <c r="L418" i="8"/>
  <c r="P418" i="8" s="1"/>
  <c r="R421" i="8"/>
  <c r="Q421" i="8"/>
  <c r="P421" i="8"/>
  <c r="O421" i="8"/>
  <c r="N421" i="8"/>
  <c r="L421" i="8"/>
  <c r="R419" i="8"/>
  <c r="Q419" i="8"/>
  <c r="O419" i="8"/>
  <c r="N419" i="8"/>
  <c r="M419" i="8"/>
  <c r="R418" i="8"/>
  <c r="Q418" i="8"/>
  <c r="O418" i="8"/>
  <c r="N418" i="8"/>
  <c r="M418" i="8"/>
  <c r="R417" i="8"/>
  <c r="Q417" i="8"/>
  <c r="P417" i="8"/>
  <c r="O417" i="8"/>
  <c r="N417" i="8"/>
  <c r="M417" i="8"/>
  <c r="L417" i="8"/>
  <c r="L412" i="8"/>
  <c r="P412" i="8" s="1"/>
  <c r="R415" i="8"/>
  <c r="Q415" i="8"/>
  <c r="P415" i="8"/>
  <c r="O415" i="8"/>
  <c r="N415" i="8"/>
  <c r="L415" i="8"/>
  <c r="R414" i="8"/>
  <c r="Q414" i="8"/>
  <c r="P414" i="8"/>
  <c r="O414" i="8"/>
  <c r="N414" i="8"/>
  <c r="L414" i="8"/>
  <c r="G414" i="8"/>
  <c r="R413" i="8"/>
  <c r="Q413" i="8"/>
  <c r="O413" i="8"/>
  <c r="N413" i="8"/>
  <c r="M413" i="8"/>
  <c r="R412" i="8"/>
  <c r="Q412" i="8"/>
  <c r="O412" i="8"/>
  <c r="N412" i="8"/>
  <c r="M412" i="8"/>
  <c r="R411" i="8"/>
  <c r="Q411" i="8"/>
  <c r="P411" i="8"/>
  <c r="O411" i="8"/>
  <c r="N411" i="8"/>
  <c r="M411" i="8"/>
  <c r="L411" i="8"/>
  <c r="L408" i="8"/>
  <c r="L407" i="8"/>
  <c r="L406" i="8"/>
  <c r="P406" i="8" s="1"/>
  <c r="L405" i="8"/>
  <c r="P405" i="8" s="1"/>
  <c r="R408" i="8"/>
  <c r="Q408" i="8"/>
  <c r="P408" i="8"/>
  <c r="O408" i="8"/>
  <c r="N408" i="8"/>
  <c r="R407" i="8"/>
  <c r="Q407" i="8"/>
  <c r="P407" i="8"/>
  <c r="O407" i="8"/>
  <c r="N407" i="8"/>
  <c r="R406" i="8"/>
  <c r="Q406" i="8"/>
  <c r="O406" i="8"/>
  <c r="N406" i="8"/>
  <c r="M406" i="8"/>
  <c r="R405" i="8"/>
  <c r="Q405" i="8"/>
  <c r="O405" i="8"/>
  <c r="N405" i="8"/>
  <c r="M405" i="8"/>
  <c r="R404" i="8"/>
  <c r="Q404" i="8"/>
  <c r="P404" i="8"/>
  <c r="O404" i="8"/>
  <c r="N404" i="8"/>
  <c r="M404" i="8"/>
  <c r="L404" i="8"/>
  <c r="L400" i="8"/>
  <c r="P400" i="8" s="1"/>
  <c r="L399" i="8"/>
  <c r="P399" i="8" s="1"/>
  <c r="R402" i="8"/>
  <c r="Q402" i="8"/>
  <c r="P402" i="8"/>
  <c r="O402" i="8"/>
  <c r="N402" i="8"/>
  <c r="L402" i="8"/>
  <c r="R401" i="8"/>
  <c r="Q401" i="8"/>
  <c r="P401" i="8"/>
  <c r="O401" i="8"/>
  <c r="N401" i="8"/>
  <c r="L401" i="8"/>
  <c r="G401" i="8"/>
  <c r="R400" i="8"/>
  <c r="Q400" i="8"/>
  <c r="O400" i="8"/>
  <c r="N400" i="8"/>
  <c r="M400" i="8"/>
  <c r="R399" i="8"/>
  <c r="Q399" i="8"/>
  <c r="O399" i="8"/>
  <c r="N399" i="8"/>
  <c r="M399" i="8"/>
  <c r="R398" i="8"/>
  <c r="Q398" i="8"/>
  <c r="P398" i="8"/>
  <c r="O398" i="8"/>
  <c r="N398" i="8"/>
  <c r="M398" i="8"/>
  <c r="L398" i="8"/>
  <c r="L396" i="8"/>
  <c r="L394" i="8"/>
  <c r="P394" i="8" s="1"/>
  <c r="R396" i="8"/>
  <c r="Q396" i="8"/>
  <c r="P396" i="8"/>
  <c r="O396" i="8"/>
  <c r="N396" i="8"/>
  <c r="R395" i="8"/>
  <c r="Q395" i="8"/>
  <c r="O395" i="8"/>
  <c r="N395" i="8"/>
  <c r="M395" i="8"/>
  <c r="L395" i="8"/>
  <c r="P395" i="8" s="1"/>
  <c r="R394" i="8"/>
  <c r="Q394" i="8"/>
  <c r="O394" i="8"/>
  <c r="N394" i="8"/>
  <c r="M394" i="8"/>
  <c r="R393" i="8"/>
  <c r="Q393" i="8"/>
  <c r="P393" i="8"/>
  <c r="O393" i="8"/>
  <c r="N393" i="8"/>
  <c r="M393" i="8"/>
  <c r="L393" i="8"/>
  <c r="L387" i="8"/>
  <c r="P387" i="8" s="1"/>
  <c r="L386" i="8"/>
  <c r="P386" i="8" s="1"/>
  <c r="R388" i="8"/>
  <c r="Q388" i="8"/>
  <c r="P388" i="8"/>
  <c r="O388" i="8"/>
  <c r="N388" i="8"/>
  <c r="L388" i="8"/>
  <c r="R387" i="8"/>
  <c r="Q387" i="8"/>
  <c r="O387" i="8"/>
  <c r="N387" i="8"/>
  <c r="M387" i="8"/>
  <c r="R386" i="8"/>
  <c r="Q386" i="8"/>
  <c r="O386" i="8"/>
  <c r="N386" i="8"/>
  <c r="M386" i="8"/>
  <c r="R385" i="8"/>
  <c r="Q385" i="8"/>
  <c r="P385" i="8"/>
  <c r="O385" i="8"/>
  <c r="N385" i="8"/>
  <c r="M385" i="8"/>
  <c r="L385" i="8"/>
  <c r="L381" i="8"/>
  <c r="L380" i="8"/>
  <c r="G380" i="8"/>
  <c r="L379" i="8"/>
  <c r="O379" i="8" s="1"/>
  <c r="L378" i="8"/>
  <c r="P378" i="8" s="1"/>
  <c r="L377" i="8"/>
  <c r="P377" i="8" s="1"/>
  <c r="R382" i="8"/>
  <c r="Q382" i="8"/>
  <c r="P382" i="8"/>
  <c r="O382" i="8"/>
  <c r="N382" i="8"/>
  <c r="L382" i="8"/>
  <c r="R381" i="8"/>
  <c r="Q381" i="8"/>
  <c r="P381" i="8"/>
  <c r="O381" i="8"/>
  <c r="N381" i="8"/>
  <c r="R380" i="8"/>
  <c r="Q380" i="8"/>
  <c r="P380" i="8"/>
  <c r="O380" i="8"/>
  <c r="N380" i="8"/>
  <c r="R379" i="8"/>
  <c r="Q379" i="8"/>
  <c r="P379" i="8"/>
  <c r="N379" i="8"/>
  <c r="M379" i="8"/>
  <c r="R378" i="8"/>
  <c r="Q378" i="8"/>
  <c r="O378" i="8"/>
  <c r="N378" i="8"/>
  <c r="M378" i="8"/>
  <c r="R377" i="8"/>
  <c r="Q377" i="8"/>
  <c r="O377" i="8"/>
  <c r="N377" i="8"/>
  <c r="M377" i="8"/>
  <c r="R376" i="8"/>
  <c r="Q376" i="8"/>
  <c r="P376" i="8"/>
  <c r="O376" i="8"/>
  <c r="N376" i="8"/>
  <c r="M376" i="8"/>
  <c r="L376" i="8"/>
  <c r="L373" i="8"/>
  <c r="L371" i="8"/>
  <c r="P371" i="8" s="1"/>
  <c r="L370" i="8"/>
  <c r="P370" i="8" s="1"/>
  <c r="R374" i="8"/>
  <c r="Q374" i="8"/>
  <c r="P374" i="8"/>
  <c r="O374" i="8"/>
  <c r="L374" i="8"/>
  <c r="N374" i="8"/>
  <c r="R373" i="8"/>
  <c r="Q373" i="8"/>
  <c r="P373" i="8"/>
  <c r="O373" i="8"/>
  <c r="R372" i="8"/>
  <c r="Q372" i="8"/>
  <c r="N372" i="8"/>
  <c r="M372" i="8"/>
  <c r="L372" i="8"/>
  <c r="P372" i="8" s="1"/>
  <c r="R371" i="8"/>
  <c r="Q371" i="8"/>
  <c r="O371" i="8"/>
  <c r="N371" i="8"/>
  <c r="M371" i="8"/>
  <c r="R370" i="8"/>
  <c r="Q370" i="8"/>
  <c r="O370" i="8"/>
  <c r="N370" i="8"/>
  <c r="M370" i="8"/>
  <c r="R369" i="8"/>
  <c r="Q369" i="8"/>
  <c r="P369" i="8"/>
  <c r="O369" i="8"/>
  <c r="N369" i="8"/>
  <c r="M369" i="8"/>
  <c r="L369" i="8"/>
  <c r="L363" i="8"/>
  <c r="M363" i="8"/>
  <c r="O363" i="8"/>
  <c r="P363" i="8"/>
  <c r="Q363" i="8"/>
  <c r="R363" i="8"/>
  <c r="G362" i="8"/>
  <c r="L360" i="8"/>
  <c r="P360" i="8" s="1"/>
  <c r="R362" i="8"/>
  <c r="Q362" i="8"/>
  <c r="P362" i="8"/>
  <c r="O362" i="8"/>
  <c r="L362" i="8"/>
  <c r="R361" i="8"/>
  <c r="Q361" i="8"/>
  <c r="O361" i="8"/>
  <c r="N361" i="8"/>
  <c r="M361" i="8"/>
  <c r="L361" i="8"/>
  <c r="P361" i="8" s="1"/>
  <c r="R360" i="8"/>
  <c r="Q360" i="8"/>
  <c r="O360" i="8"/>
  <c r="N360" i="8"/>
  <c r="M360" i="8"/>
  <c r="R359" i="8"/>
  <c r="Q359" i="8"/>
  <c r="P359" i="8"/>
  <c r="O359" i="8"/>
  <c r="N359" i="8"/>
  <c r="M359" i="8"/>
  <c r="L359" i="8"/>
  <c r="L357" i="8"/>
  <c r="L351" i="8"/>
  <c r="R357" i="8"/>
  <c r="Q357" i="8"/>
  <c r="P357" i="8"/>
  <c r="O357" i="8"/>
  <c r="R356" i="8"/>
  <c r="Q356" i="8"/>
  <c r="N356" i="8"/>
  <c r="M356" i="8"/>
  <c r="R355" i="8"/>
  <c r="Q355" i="8"/>
  <c r="N355" i="8"/>
  <c r="M355" i="8"/>
  <c r="R354" i="8"/>
  <c r="Q354" i="8"/>
  <c r="P354" i="8"/>
  <c r="O354" i="8"/>
  <c r="N354" i="8"/>
  <c r="M354" i="8"/>
  <c r="L354" i="8"/>
  <c r="L349" i="8"/>
  <c r="R351" i="8"/>
  <c r="Q351" i="8"/>
  <c r="P351" i="8"/>
  <c r="O351" i="8"/>
  <c r="N351" i="8"/>
  <c r="R350" i="8"/>
  <c r="Q350" i="8"/>
  <c r="O350" i="8"/>
  <c r="N350" i="8"/>
  <c r="M350" i="8"/>
  <c r="L350" i="8"/>
  <c r="P350" i="8" s="1"/>
  <c r="R349" i="8"/>
  <c r="Q349" i="8"/>
  <c r="N349" i="8"/>
  <c r="M349" i="8"/>
  <c r="R348" i="8"/>
  <c r="Q348" i="8"/>
  <c r="P348" i="8"/>
  <c r="O348" i="8"/>
  <c r="N348" i="8"/>
  <c r="M348" i="8"/>
  <c r="L348" i="8"/>
  <c r="L346" i="8"/>
  <c r="L345" i="8"/>
  <c r="O345" i="8" s="1"/>
  <c r="L344" i="8"/>
  <c r="O344" i="8" s="1"/>
  <c r="R346" i="8"/>
  <c r="Q346" i="8"/>
  <c r="P346" i="8"/>
  <c r="O346" i="8"/>
  <c r="N346" i="8"/>
  <c r="R345" i="8"/>
  <c r="Q345" i="8"/>
  <c r="N345" i="8"/>
  <c r="M345" i="8"/>
  <c r="R344" i="8"/>
  <c r="Q344" i="8"/>
  <c r="N344" i="8"/>
  <c r="M344" i="8"/>
  <c r="R343" i="8"/>
  <c r="Q343" i="8"/>
  <c r="P343" i="8"/>
  <c r="O343" i="8"/>
  <c r="N343" i="8"/>
  <c r="M343" i="8"/>
  <c r="L343" i="8"/>
  <c r="L339" i="8"/>
  <c r="L338" i="8"/>
  <c r="P338" i="8" s="1"/>
  <c r="R341" i="8"/>
  <c r="Q341" i="8"/>
  <c r="P341" i="8"/>
  <c r="O341" i="8"/>
  <c r="N341" i="8"/>
  <c r="L341" i="8"/>
  <c r="R339" i="8"/>
  <c r="Q339" i="8"/>
  <c r="N339" i="8"/>
  <c r="M339" i="8"/>
  <c r="R338" i="8"/>
  <c r="Q338" i="8"/>
  <c r="N338" i="8"/>
  <c r="M338" i="8"/>
  <c r="R337" i="8"/>
  <c r="Q337" i="8"/>
  <c r="P337" i="8"/>
  <c r="O337" i="8"/>
  <c r="N337" i="8"/>
  <c r="M337" i="8"/>
  <c r="L337" i="8"/>
  <c r="L336" i="8"/>
  <c r="L335" i="8"/>
  <c r="L334" i="8"/>
  <c r="P334" i="8" s="1"/>
  <c r="L333" i="8"/>
  <c r="P333" i="8" s="1"/>
  <c r="R336" i="8"/>
  <c r="Q336" i="8"/>
  <c r="P336" i="8"/>
  <c r="O336" i="8"/>
  <c r="N336" i="8"/>
  <c r="R335" i="8"/>
  <c r="Q335" i="8"/>
  <c r="P335" i="8"/>
  <c r="O335" i="8"/>
  <c r="N335" i="8"/>
  <c r="R334" i="8"/>
  <c r="Q334" i="8"/>
  <c r="O334" i="8"/>
  <c r="N334" i="8"/>
  <c r="M334" i="8"/>
  <c r="R333" i="8"/>
  <c r="Q333" i="8"/>
  <c r="O333" i="8"/>
  <c r="N333" i="8"/>
  <c r="M333" i="8"/>
  <c r="R332" i="8"/>
  <c r="Q332" i="8"/>
  <c r="P332" i="8"/>
  <c r="O332" i="8"/>
  <c r="N332" i="8"/>
  <c r="M332" i="8"/>
  <c r="L332" i="8"/>
  <c r="L331" i="8"/>
  <c r="L330" i="8"/>
  <c r="L329" i="8"/>
  <c r="P329" i="8" s="1"/>
  <c r="L328" i="8"/>
  <c r="P328" i="8" s="1"/>
  <c r="R331" i="8"/>
  <c r="Q331" i="8"/>
  <c r="P331" i="8"/>
  <c r="O331" i="8"/>
  <c r="N331" i="8"/>
  <c r="R330" i="8"/>
  <c r="Q330" i="8"/>
  <c r="P330" i="8"/>
  <c r="O330" i="8"/>
  <c r="N330" i="8"/>
  <c r="R329" i="8"/>
  <c r="Q329" i="8"/>
  <c r="O329" i="8"/>
  <c r="N329" i="8"/>
  <c r="M329" i="8"/>
  <c r="R328" i="8"/>
  <c r="Q328" i="8"/>
  <c r="O328" i="8"/>
  <c r="N328" i="8"/>
  <c r="M328" i="8"/>
  <c r="R327" i="8"/>
  <c r="Q327" i="8"/>
  <c r="P327" i="8"/>
  <c r="O327" i="8"/>
  <c r="N327" i="8"/>
  <c r="M327" i="8"/>
  <c r="L327" i="8"/>
  <c r="L324" i="8"/>
  <c r="P324" i="8" s="1"/>
  <c r="L323" i="8"/>
  <c r="P323" i="8" s="1"/>
  <c r="R326" i="8"/>
  <c r="Q326" i="8"/>
  <c r="P326" i="8"/>
  <c r="O326" i="8"/>
  <c r="N326" i="8"/>
  <c r="L326" i="8"/>
  <c r="R325" i="8"/>
  <c r="Q325" i="8"/>
  <c r="P325" i="8"/>
  <c r="O325" i="8"/>
  <c r="N325" i="8"/>
  <c r="L325" i="8"/>
  <c r="R324" i="8"/>
  <c r="Q324" i="8"/>
  <c r="O324" i="8"/>
  <c r="N324" i="8"/>
  <c r="M324" i="8"/>
  <c r="R323" i="8"/>
  <c r="Q323" i="8"/>
  <c r="O323" i="8"/>
  <c r="N323" i="8"/>
  <c r="M323" i="8"/>
  <c r="R322" i="8"/>
  <c r="Q322" i="8"/>
  <c r="P322" i="8"/>
  <c r="O322" i="8"/>
  <c r="N322" i="8"/>
  <c r="M322" i="8"/>
  <c r="L322" i="8"/>
  <c r="L321" i="8"/>
  <c r="L320" i="8"/>
  <c r="L317" i="8"/>
  <c r="P317" i="8" s="1"/>
  <c r="L316" i="8"/>
  <c r="P316" i="8" s="1"/>
  <c r="R321" i="8"/>
  <c r="Q321" i="8"/>
  <c r="P321" i="8"/>
  <c r="O321" i="8"/>
  <c r="N321" i="8"/>
  <c r="R320" i="8"/>
  <c r="Q320" i="8"/>
  <c r="P320" i="8"/>
  <c r="O320" i="8"/>
  <c r="N320" i="8"/>
  <c r="R317" i="8"/>
  <c r="Q317" i="8"/>
  <c r="O317" i="8"/>
  <c r="N317" i="8"/>
  <c r="M317" i="8"/>
  <c r="R316" i="8"/>
  <c r="Q316" i="8"/>
  <c r="O316" i="8"/>
  <c r="N316" i="8"/>
  <c r="M316" i="8"/>
  <c r="R315" i="8"/>
  <c r="Q315" i="8"/>
  <c r="P315" i="8"/>
  <c r="O315" i="8"/>
  <c r="N315" i="8"/>
  <c r="M315" i="8"/>
  <c r="L315" i="8"/>
  <c r="L313" i="8"/>
  <c r="L312" i="8"/>
  <c r="P312" i="8" s="1"/>
  <c r="L311" i="8"/>
  <c r="P311" i="8" s="1"/>
  <c r="R313" i="8"/>
  <c r="Q313" i="8"/>
  <c r="P313" i="8"/>
  <c r="O313" i="8"/>
  <c r="N313" i="8"/>
  <c r="R312" i="8"/>
  <c r="Q312" i="8"/>
  <c r="O312" i="8"/>
  <c r="N312" i="8"/>
  <c r="M312" i="8"/>
  <c r="R311" i="8"/>
  <c r="Q311" i="8"/>
  <c r="O311" i="8"/>
  <c r="N311" i="8"/>
  <c r="M311" i="8"/>
  <c r="R310" i="8"/>
  <c r="Q310" i="8"/>
  <c r="P310" i="8"/>
  <c r="O310" i="8"/>
  <c r="N310" i="8"/>
  <c r="M310" i="8"/>
  <c r="L310" i="8"/>
  <c r="L306" i="8"/>
  <c r="P306" i="8" s="1"/>
  <c r="L304" i="8"/>
  <c r="P304" i="8" s="1"/>
  <c r="R308" i="8"/>
  <c r="Q308" i="8"/>
  <c r="P308" i="8"/>
  <c r="O308" i="8"/>
  <c r="N308" i="8"/>
  <c r="L308" i="8"/>
  <c r="R307" i="8"/>
  <c r="Q307" i="8"/>
  <c r="P307" i="8"/>
  <c r="O307" i="8"/>
  <c r="N307" i="8"/>
  <c r="L307" i="8"/>
  <c r="R306" i="8"/>
  <c r="Q306" i="8"/>
  <c r="O306" i="8"/>
  <c r="N306" i="8"/>
  <c r="M306" i="8"/>
  <c r="R304" i="8"/>
  <c r="Q304" i="8"/>
  <c r="O304" i="8"/>
  <c r="N304" i="8"/>
  <c r="M304" i="8"/>
  <c r="R303" i="8"/>
  <c r="Q303" i="8"/>
  <c r="P303" i="8"/>
  <c r="O303" i="8"/>
  <c r="N303" i="8"/>
  <c r="M303" i="8"/>
  <c r="L303" i="8"/>
  <c r="L300" i="8"/>
  <c r="G302" i="8"/>
  <c r="L298" i="8"/>
  <c r="O298" i="8" s="1"/>
  <c r="R297" i="8"/>
  <c r="Q297" i="8"/>
  <c r="P297" i="8"/>
  <c r="N297" i="8"/>
  <c r="M297" i="8"/>
  <c r="L297" i="8"/>
  <c r="O297" i="8" s="1"/>
  <c r="L296" i="8"/>
  <c r="P296" i="8" s="1"/>
  <c r="L295" i="8"/>
  <c r="P295" i="8" s="1"/>
  <c r="R300" i="8"/>
  <c r="Q300" i="8"/>
  <c r="P300" i="8"/>
  <c r="O300" i="8"/>
  <c r="N300" i="8"/>
  <c r="R298" i="8"/>
  <c r="Q298" i="8"/>
  <c r="P298" i="8"/>
  <c r="N298" i="8"/>
  <c r="M298" i="8"/>
  <c r="R296" i="8"/>
  <c r="Q296" i="8"/>
  <c r="O296" i="8"/>
  <c r="N296" i="8"/>
  <c r="M296" i="8"/>
  <c r="R295" i="8"/>
  <c r="Q295" i="8"/>
  <c r="O295" i="8"/>
  <c r="N295" i="8"/>
  <c r="M295" i="8"/>
  <c r="R294" i="8"/>
  <c r="Q294" i="8"/>
  <c r="P294" i="8"/>
  <c r="O294" i="8"/>
  <c r="N294" i="8"/>
  <c r="M294" i="8"/>
  <c r="L294" i="8"/>
  <c r="L291" i="8"/>
  <c r="P291" i="8" s="1"/>
  <c r="L290" i="8"/>
  <c r="P290" i="8" s="1"/>
  <c r="R292" i="8"/>
  <c r="Q292" i="8"/>
  <c r="P292" i="8"/>
  <c r="O292" i="8"/>
  <c r="N292" i="8"/>
  <c r="L292" i="8"/>
  <c r="R291" i="8"/>
  <c r="Q291" i="8"/>
  <c r="O291" i="8"/>
  <c r="N291" i="8"/>
  <c r="M291" i="8"/>
  <c r="R290" i="8"/>
  <c r="Q290" i="8"/>
  <c r="O290" i="8"/>
  <c r="N290" i="8"/>
  <c r="M290" i="8"/>
  <c r="R289" i="8"/>
  <c r="Q289" i="8"/>
  <c r="P289" i="8"/>
  <c r="O289" i="8"/>
  <c r="N289" i="8"/>
  <c r="M289" i="8"/>
  <c r="L289" i="8"/>
  <c r="L286" i="8"/>
  <c r="L285" i="8"/>
  <c r="P285" i="8" s="1"/>
  <c r="L284" i="8"/>
  <c r="P284" i="8" s="1"/>
  <c r="R286" i="8"/>
  <c r="Q286" i="8"/>
  <c r="P286" i="8"/>
  <c r="O286" i="8"/>
  <c r="N286" i="8"/>
  <c r="R285" i="8"/>
  <c r="Q285" i="8"/>
  <c r="O285" i="8"/>
  <c r="N285" i="8"/>
  <c r="M285" i="8"/>
  <c r="R284" i="8"/>
  <c r="Q284" i="8"/>
  <c r="O284" i="8"/>
  <c r="N284" i="8"/>
  <c r="M284" i="8"/>
  <c r="R283" i="8"/>
  <c r="Q283" i="8"/>
  <c r="P283" i="8"/>
  <c r="O283" i="8"/>
  <c r="N283" i="8"/>
  <c r="M283" i="8"/>
  <c r="L283" i="8"/>
  <c r="L280" i="8"/>
  <c r="L279" i="8"/>
  <c r="L276" i="8"/>
  <c r="P276" i="8" s="1"/>
  <c r="L274" i="8"/>
  <c r="P274" i="8" s="1"/>
  <c r="R280" i="8"/>
  <c r="Q280" i="8"/>
  <c r="P280" i="8"/>
  <c r="O280" i="8"/>
  <c r="N280" i="8"/>
  <c r="R279" i="8"/>
  <c r="Q279" i="8"/>
  <c r="P279" i="8"/>
  <c r="O279" i="8"/>
  <c r="N279" i="8"/>
  <c r="R276" i="8"/>
  <c r="Q276" i="8"/>
  <c r="O276" i="8"/>
  <c r="N276" i="8"/>
  <c r="M276" i="8"/>
  <c r="R274" i="8"/>
  <c r="Q274" i="8"/>
  <c r="O274" i="8"/>
  <c r="N274" i="8"/>
  <c r="M274" i="8"/>
  <c r="R273" i="8"/>
  <c r="Q273" i="8"/>
  <c r="P273" i="8"/>
  <c r="O273" i="8"/>
  <c r="N273" i="8"/>
  <c r="M273" i="8"/>
  <c r="L273" i="8"/>
  <c r="L266" i="8"/>
  <c r="P266" i="8" s="1"/>
  <c r="R270" i="8"/>
  <c r="Q270" i="8"/>
  <c r="P270" i="8"/>
  <c r="O270" i="8"/>
  <c r="N270" i="8"/>
  <c r="L270" i="8"/>
  <c r="R269" i="8"/>
  <c r="Q269" i="8"/>
  <c r="P269" i="8"/>
  <c r="O269" i="8"/>
  <c r="N269" i="8"/>
  <c r="L269" i="8"/>
  <c r="G269" i="8"/>
  <c r="R268" i="8"/>
  <c r="Q268" i="8"/>
  <c r="O268" i="8"/>
  <c r="N268" i="8"/>
  <c r="M268" i="8"/>
  <c r="R266" i="8"/>
  <c r="Q266" i="8"/>
  <c r="O266" i="8"/>
  <c r="N266" i="8"/>
  <c r="M266" i="8"/>
  <c r="R265" i="8"/>
  <c r="Q265" i="8"/>
  <c r="P265" i="8"/>
  <c r="O265" i="8"/>
  <c r="N265" i="8"/>
  <c r="M265" i="8"/>
  <c r="L265" i="8"/>
  <c r="L258" i="8"/>
  <c r="G258" i="8"/>
  <c r="R258" i="8"/>
  <c r="Q258" i="8"/>
  <c r="P258" i="8"/>
  <c r="O258" i="8"/>
  <c r="N258" i="8"/>
  <c r="L255" i="8"/>
  <c r="P255" i="8" s="1"/>
  <c r="M254" i="8"/>
  <c r="N254" i="8"/>
  <c r="O254" i="8"/>
  <c r="Q254" i="8"/>
  <c r="R254" i="8"/>
  <c r="R256" i="8"/>
  <c r="Q256" i="8"/>
  <c r="P256" i="8"/>
  <c r="O256" i="8"/>
  <c r="N256" i="8"/>
  <c r="L256" i="8"/>
  <c r="R255" i="8"/>
  <c r="Q255" i="8"/>
  <c r="O255" i="8"/>
  <c r="N255" i="8"/>
  <c r="M255" i="8"/>
  <c r="R253" i="8"/>
  <c r="Q253" i="8"/>
  <c r="O253" i="8"/>
  <c r="N253" i="8"/>
  <c r="M253" i="8"/>
  <c r="L253" i="8"/>
  <c r="P253" i="8" s="1"/>
  <c r="R252" i="8"/>
  <c r="Q252" i="8"/>
  <c r="P252" i="8"/>
  <c r="O252" i="8"/>
  <c r="N252" i="8"/>
  <c r="M252" i="8"/>
  <c r="L252" i="8"/>
  <c r="L246" i="8"/>
  <c r="O246" i="8" s="1"/>
  <c r="L245" i="8"/>
  <c r="P245" i="8" s="1"/>
  <c r="R251" i="8"/>
  <c r="Q251" i="8"/>
  <c r="P251" i="8"/>
  <c r="O251" i="8"/>
  <c r="N251" i="8"/>
  <c r="L251" i="8"/>
  <c r="R248" i="8"/>
  <c r="Q248" i="8"/>
  <c r="P248" i="8"/>
  <c r="O248" i="8"/>
  <c r="N248" i="8"/>
  <c r="L248" i="8"/>
  <c r="R246" i="8"/>
  <c r="Q246" i="8"/>
  <c r="N246" i="8"/>
  <c r="M246" i="8"/>
  <c r="R245" i="8"/>
  <c r="Q245" i="8"/>
  <c r="O245" i="8"/>
  <c r="N245" i="8"/>
  <c r="M245" i="8"/>
  <c r="R244" i="8"/>
  <c r="Q244" i="8"/>
  <c r="P244" i="8"/>
  <c r="O244" i="8"/>
  <c r="N244" i="8"/>
  <c r="M244" i="8"/>
  <c r="L244" i="8"/>
  <c r="L242" i="8"/>
  <c r="L241" i="8"/>
  <c r="M239" i="8"/>
  <c r="N239" i="8"/>
  <c r="Q239" i="8"/>
  <c r="R239" i="8"/>
  <c r="L240" i="8"/>
  <c r="P240" i="8" s="1"/>
  <c r="M240" i="8"/>
  <c r="N240" i="8"/>
  <c r="Q240" i="8"/>
  <c r="R240" i="8"/>
  <c r="R242" i="8"/>
  <c r="Q242" i="8"/>
  <c r="P242" i="8"/>
  <c r="O242" i="8"/>
  <c r="N242" i="8"/>
  <c r="R241" i="8"/>
  <c r="Q241" i="8"/>
  <c r="P241" i="8"/>
  <c r="O241" i="8"/>
  <c r="N241" i="8"/>
  <c r="R238" i="8"/>
  <c r="Q238" i="8"/>
  <c r="O238" i="8"/>
  <c r="N238" i="8"/>
  <c r="M238" i="8"/>
  <c r="L238" i="8"/>
  <c r="P238" i="8" s="1"/>
  <c r="R237" i="8"/>
  <c r="Q237" i="8"/>
  <c r="P237" i="8"/>
  <c r="O237" i="8"/>
  <c r="N237" i="8"/>
  <c r="M237" i="8"/>
  <c r="L237" i="8"/>
  <c r="L233" i="8"/>
  <c r="O233" i="8" s="1"/>
  <c r="L230" i="8"/>
  <c r="P230" i="8" s="1"/>
  <c r="L229" i="8"/>
  <c r="P229" i="8" s="1"/>
  <c r="R235" i="8"/>
  <c r="Q235" i="8"/>
  <c r="P235" i="8"/>
  <c r="O235" i="8"/>
  <c r="N235" i="8"/>
  <c r="L235" i="8"/>
  <c r="R234" i="8"/>
  <c r="Q234" i="8"/>
  <c r="P234" i="8"/>
  <c r="O234" i="8"/>
  <c r="N234" i="8"/>
  <c r="L234" i="8"/>
  <c r="R233" i="8"/>
  <c r="Q233" i="8"/>
  <c r="P233" i="8"/>
  <c r="N233" i="8"/>
  <c r="M233" i="8"/>
  <c r="R230" i="8"/>
  <c r="Q230" i="8"/>
  <c r="O230" i="8"/>
  <c r="N230" i="8"/>
  <c r="M230" i="8"/>
  <c r="R229" i="8"/>
  <c r="Q229" i="8"/>
  <c r="O229" i="8"/>
  <c r="N229" i="8"/>
  <c r="M229" i="8"/>
  <c r="R228" i="8"/>
  <c r="Q228" i="8"/>
  <c r="P228" i="8"/>
  <c r="O228" i="8"/>
  <c r="N228" i="8"/>
  <c r="M228" i="8"/>
  <c r="L228" i="8"/>
  <c r="L225" i="8"/>
  <c r="L227" i="8"/>
  <c r="L224" i="8"/>
  <c r="P224" i="8" s="1"/>
  <c r="L223" i="8"/>
  <c r="P223" i="8" s="1"/>
  <c r="R227" i="8"/>
  <c r="Q227" i="8"/>
  <c r="P227" i="8"/>
  <c r="O227" i="8"/>
  <c r="N227" i="8"/>
  <c r="R225" i="8"/>
  <c r="Q225" i="8"/>
  <c r="P225" i="8"/>
  <c r="O225" i="8"/>
  <c r="N225" i="8"/>
  <c r="R224" i="8"/>
  <c r="Q224" i="8"/>
  <c r="O224" i="8"/>
  <c r="N224" i="8"/>
  <c r="M224" i="8"/>
  <c r="R223" i="8"/>
  <c r="Q223" i="8"/>
  <c r="O223" i="8"/>
  <c r="N223" i="8"/>
  <c r="M223" i="8"/>
  <c r="R222" i="8"/>
  <c r="Q222" i="8"/>
  <c r="P222" i="8"/>
  <c r="O222" i="8"/>
  <c r="N222" i="8"/>
  <c r="M222" i="8"/>
  <c r="L222" i="8"/>
  <c r="L221" i="8"/>
  <c r="L218" i="8"/>
  <c r="P218" i="8" s="1"/>
  <c r="R221" i="8"/>
  <c r="Q221" i="8"/>
  <c r="P221" i="8"/>
  <c r="O221" i="8"/>
  <c r="N221" i="8"/>
  <c r="R220" i="8"/>
  <c r="Q220" i="8"/>
  <c r="P220" i="8"/>
  <c r="O220" i="8"/>
  <c r="N220" i="8"/>
  <c r="L220" i="8"/>
  <c r="R219" i="8"/>
  <c r="Q219" i="8"/>
  <c r="O219" i="8"/>
  <c r="N219" i="8"/>
  <c r="M219" i="8"/>
  <c r="L219" i="8"/>
  <c r="P219" i="8" s="1"/>
  <c r="R218" i="8"/>
  <c r="Q218" i="8"/>
  <c r="O218" i="8"/>
  <c r="N218" i="8"/>
  <c r="M218" i="8"/>
  <c r="R217" i="8"/>
  <c r="Q217" i="8"/>
  <c r="P217" i="8"/>
  <c r="O217" i="8"/>
  <c r="N217" i="8"/>
  <c r="M217" i="8"/>
  <c r="L217" i="8"/>
  <c r="L210" i="8"/>
  <c r="O210" i="8" s="1"/>
  <c r="M210" i="8"/>
  <c r="N210" i="8"/>
  <c r="P210" i="8"/>
  <c r="Q210" i="8"/>
  <c r="R210" i="8"/>
  <c r="L209" i="8"/>
  <c r="P209" i="8" s="1"/>
  <c r="L208" i="8"/>
  <c r="P208" i="8" s="1"/>
  <c r="R213" i="8"/>
  <c r="Q213" i="8"/>
  <c r="P213" i="8"/>
  <c r="O213" i="8"/>
  <c r="N213" i="8"/>
  <c r="L213" i="8"/>
  <c r="R209" i="8"/>
  <c r="Q209" i="8"/>
  <c r="O209" i="8"/>
  <c r="N209" i="8"/>
  <c r="M209" i="8"/>
  <c r="R208" i="8"/>
  <c r="Q208" i="8"/>
  <c r="O208" i="8"/>
  <c r="N208" i="8"/>
  <c r="M208" i="8"/>
  <c r="R207" i="8"/>
  <c r="Q207" i="8"/>
  <c r="P207" i="8"/>
  <c r="O207" i="8"/>
  <c r="N207" i="8"/>
  <c r="M207" i="8"/>
  <c r="L207" i="8"/>
  <c r="L198" i="8"/>
  <c r="L197" i="8"/>
  <c r="N198" i="8"/>
  <c r="O198" i="8"/>
  <c r="P198" i="8"/>
  <c r="Q198" i="8"/>
  <c r="R198" i="8"/>
  <c r="N197" i="8"/>
  <c r="O197" i="8"/>
  <c r="P197" i="8"/>
  <c r="Q197" i="8"/>
  <c r="R197" i="8"/>
  <c r="L195" i="8"/>
  <c r="P195" i="8" s="1"/>
  <c r="L194" i="8"/>
  <c r="P194" i="8" s="1"/>
  <c r="R196" i="8"/>
  <c r="Q196" i="8"/>
  <c r="P196" i="8"/>
  <c r="O196" i="8"/>
  <c r="N196" i="8"/>
  <c r="L196" i="8"/>
  <c r="R195" i="8"/>
  <c r="Q195" i="8"/>
  <c r="O195" i="8"/>
  <c r="N195" i="8"/>
  <c r="M195" i="8"/>
  <c r="R194" i="8"/>
  <c r="Q194" i="8"/>
  <c r="O194" i="8"/>
  <c r="N194" i="8"/>
  <c r="M194" i="8"/>
  <c r="R193" i="8"/>
  <c r="Q193" i="8"/>
  <c r="P193" i="8"/>
  <c r="O193" i="8"/>
  <c r="N193" i="8"/>
  <c r="M193" i="8"/>
  <c r="L193" i="8"/>
  <c r="L187" i="8"/>
  <c r="L186" i="8"/>
  <c r="P186" i="8" s="1"/>
  <c r="R190" i="8"/>
  <c r="Q190" i="8"/>
  <c r="P190" i="8"/>
  <c r="O190" i="8"/>
  <c r="N190" i="8"/>
  <c r="L190" i="8"/>
  <c r="R187" i="8"/>
  <c r="O187" i="8"/>
  <c r="N187" i="8"/>
  <c r="M187" i="8"/>
  <c r="R186" i="8"/>
  <c r="O186" i="8"/>
  <c r="N186" i="8"/>
  <c r="M186" i="8"/>
  <c r="R185" i="8"/>
  <c r="Q185" i="8"/>
  <c r="P185" i="8"/>
  <c r="O185" i="8"/>
  <c r="N185" i="8"/>
  <c r="M185" i="8"/>
  <c r="L185" i="8"/>
  <c r="L179" i="8"/>
  <c r="P179" i="8" s="1"/>
  <c r="L177" i="8"/>
  <c r="P177" i="8" s="1"/>
  <c r="L175" i="8"/>
  <c r="P175" i="8" s="1"/>
  <c r="R182" i="8"/>
  <c r="Q182" i="8"/>
  <c r="P182" i="8"/>
  <c r="O182" i="8"/>
  <c r="N182" i="8"/>
  <c r="L182" i="8"/>
  <c r="R181" i="8"/>
  <c r="Q181" i="8"/>
  <c r="P181" i="8"/>
  <c r="O181" i="8"/>
  <c r="N181" i="8"/>
  <c r="L181" i="8"/>
  <c r="R179" i="8"/>
  <c r="Q179" i="8"/>
  <c r="N179" i="8"/>
  <c r="M179" i="8"/>
  <c r="R178" i="8"/>
  <c r="Q178" i="8"/>
  <c r="P178" i="8"/>
  <c r="N178" i="8"/>
  <c r="M178" i="8"/>
  <c r="L178" i="8"/>
  <c r="O178" i="8" s="1"/>
  <c r="R177" i="8"/>
  <c r="Q177" i="8"/>
  <c r="O177" i="8"/>
  <c r="N177" i="8"/>
  <c r="M177" i="8"/>
  <c r="R175" i="8"/>
  <c r="Q175" i="8"/>
  <c r="O175" i="8"/>
  <c r="N175" i="8"/>
  <c r="M175" i="8"/>
  <c r="R174" i="8"/>
  <c r="Q174" i="8"/>
  <c r="P174" i="8"/>
  <c r="O174" i="8"/>
  <c r="N174" i="8"/>
  <c r="M174" i="8"/>
  <c r="L174" i="8"/>
  <c r="L173" i="8"/>
  <c r="L172" i="8"/>
  <c r="G172" i="8"/>
  <c r="L171" i="8"/>
  <c r="L170" i="8"/>
  <c r="L167" i="8"/>
  <c r="P167" i="8" s="1"/>
  <c r="M166" i="8"/>
  <c r="N166" i="8"/>
  <c r="O166" i="8"/>
  <c r="Q166" i="8"/>
  <c r="R166" i="8"/>
  <c r="L165" i="8"/>
  <c r="P165" i="8" s="1"/>
  <c r="R173" i="8"/>
  <c r="Q173" i="8"/>
  <c r="P173" i="8"/>
  <c r="O173" i="8"/>
  <c r="N173" i="8"/>
  <c r="R172" i="8"/>
  <c r="Q172" i="8"/>
  <c r="P172" i="8"/>
  <c r="O172" i="8"/>
  <c r="N172" i="8"/>
  <c r="R171" i="8"/>
  <c r="Q171" i="8"/>
  <c r="P171" i="8"/>
  <c r="O171" i="8"/>
  <c r="N171" i="8"/>
  <c r="R170" i="8"/>
  <c r="Q170" i="8"/>
  <c r="P170" i="8"/>
  <c r="O170" i="8"/>
  <c r="N170" i="8"/>
  <c r="R167" i="8"/>
  <c r="O167" i="8"/>
  <c r="N167" i="8"/>
  <c r="M167" i="8"/>
  <c r="R165" i="8"/>
  <c r="Q165" i="8"/>
  <c r="O165" i="8"/>
  <c r="N165" i="8"/>
  <c r="M165" i="8"/>
  <c r="R164" i="8"/>
  <c r="Q164" i="8"/>
  <c r="P164" i="8"/>
  <c r="O164" i="8"/>
  <c r="N164" i="8"/>
  <c r="M164" i="8"/>
  <c r="L164" i="8"/>
  <c r="I159" i="8"/>
  <c r="L159" i="8" s="1"/>
  <c r="O159" i="8" s="1"/>
  <c r="M159" i="8"/>
  <c r="N159" i="8"/>
  <c r="P159" i="8"/>
  <c r="Q159" i="8"/>
  <c r="R159" i="8"/>
  <c r="L158" i="8"/>
  <c r="L155" i="8"/>
  <c r="P155" i="8" s="1"/>
  <c r="R160" i="8"/>
  <c r="Q160" i="8"/>
  <c r="P160" i="8"/>
  <c r="O160" i="8"/>
  <c r="N160" i="8"/>
  <c r="L160" i="8"/>
  <c r="R162" i="8"/>
  <c r="Q162" i="8"/>
  <c r="P162" i="8"/>
  <c r="O162" i="8"/>
  <c r="N162" i="8"/>
  <c r="L162" i="8"/>
  <c r="R161" i="8"/>
  <c r="Q161" i="8"/>
  <c r="P161" i="8"/>
  <c r="O161" i="8"/>
  <c r="N161" i="8"/>
  <c r="L161" i="8"/>
  <c r="R158" i="8"/>
  <c r="Q158" i="8"/>
  <c r="N158" i="8"/>
  <c r="M158" i="8"/>
  <c r="R157" i="8"/>
  <c r="Q157" i="8"/>
  <c r="N157" i="8"/>
  <c r="M157" i="8"/>
  <c r="L157" i="8"/>
  <c r="O157" i="8" s="1"/>
  <c r="R156" i="8"/>
  <c r="Q156" i="8"/>
  <c r="P156" i="8"/>
  <c r="N156" i="8"/>
  <c r="M156" i="8"/>
  <c r="L156" i="8"/>
  <c r="O156" i="8" s="1"/>
  <c r="R155" i="8"/>
  <c r="Q155" i="8"/>
  <c r="O155" i="8"/>
  <c r="N155" i="8"/>
  <c r="M155" i="8"/>
  <c r="R154" i="8"/>
  <c r="Q154" i="8"/>
  <c r="O154" i="8"/>
  <c r="N154" i="8"/>
  <c r="M154" i="8"/>
  <c r="L154" i="8"/>
  <c r="P154" i="8" s="1"/>
  <c r="R153" i="8"/>
  <c r="Q153" i="8"/>
  <c r="P153" i="8"/>
  <c r="O153" i="8"/>
  <c r="N153" i="8"/>
  <c r="M153" i="8"/>
  <c r="L153" i="8"/>
  <c r="M415" i="8" l="1"/>
  <c r="O240" i="8"/>
  <c r="O179" i="8"/>
  <c r="E15" i="10"/>
  <c r="E12" i="10"/>
  <c r="E9" i="10"/>
  <c r="M428" i="8"/>
  <c r="M433" i="8"/>
  <c r="N363" i="8"/>
  <c r="M518" i="8"/>
  <c r="M434" i="8"/>
  <c r="L413" i="8"/>
  <c r="P413" i="8" s="1"/>
  <c r="M435" i="8"/>
  <c r="M427" i="8"/>
  <c r="M423" i="8"/>
  <c r="M422" i="8"/>
  <c r="M421" i="8"/>
  <c r="M401" i="8"/>
  <c r="M380" i="8"/>
  <c r="M396" i="8"/>
  <c r="M408" i="8"/>
  <c r="M402" i="8"/>
  <c r="M414" i="8"/>
  <c r="M407" i="8"/>
  <c r="L356" i="8"/>
  <c r="M373" i="8"/>
  <c r="M388" i="8"/>
  <c r="M336" i="8"/>
  <c r="M331" i="8"/>
  <c r="N357" i="8"/>
  <c r="M381" i="8"/>
  <c r="M382" i="8"/>
  <c r="M374" i="8"/>
  <c r="M346" i="8"/>
  <c r="L355" i="8"/>
  <c r="O355" i="8" s="1"/>
  <c r="N373" i="8"/>
  <c r="O372" i="8"/>
  <c r="N362" i="8"/>
  <c r="M351" i="8"/>
  <c r="M320" i="8"/>
  <c r="M362" i="8"/>
  <c r="M357" i="8"/>
  <c r="P349" i="8"/>
  <c r="O349" i="8"/>
  <c r="P345" i="8"/>
  <c r="P344" i="8"/>
  <c r="M326" i="8"/>
  <c r="P339" i="8"/>
  <c r="O339" i="8"/>
  <c r="O338" i="8"/>
  <c r="M341" i="8"/>
  <c r="M335" i="8"/>
  <c r="M330" i="8"/>
  <c r="M325" i="8"/>
  <c r="M321" i="8"/>
  <c r="M313" i="8"/>
  <c r="M308" i="8"/>
  <c r="M307" i="8"/>
  <c r="M300" i="8"/>
  <c r="M279" i="8"/>
  <c r="M292" i="8"/>
  <c r="M269" i="8"/>
  <c r="M286" i="8"/>
  <c r="M227" i="8"/>
  <c r="L254" i="8"/>
  <c r="P254" i="8" s="1"/>
  <c r="M256" i="8"/>
  <c r="M258" i="8"/>
  <c r="M270" i="8"/>
  <c r="M280" i="8"/>
  <c r="L268" i="8"/>
  <c r="P268" i="8" s="1"/>
  <c r="P246" i="8"/>
  <c r="M235" i="8"/>
  <c r="M242" i="8"/>
  <c r="M248" i="8"/>
  <c r="M251" i="8"/>
  <c r="M213" i="8"/>
  <c r="L239" i="8"/>
  <c r="M241" i="8"/>
  <c r="M234" i="8"/>
  <c r="M220" i="8"/>
  <c r="M225" i="8"/>
  <c r="M181" i="8"/>
  <c r="M221" i="8"/>
  <c r="M198" i="8"/>
  <c r="M197" i="8"/>
  <c r="M196" i="8"/>
  <c r="M190" i="8"/>
  <c r="P187" i="8"/>
  <c r="Q187" i="8"/>
  <c r="Q186" i="8"/>
  <c r="M161" i="8"/>
  <c r="M171" i="8"/>
  <c r="M173" i="8"/>
  <c r="M182" i="8"/>
  <c r="M170" i="8"/>
  <c r="Q167" i="8"/>
  <c r="L166" i="8"/>
  <c r="P166" i="8" s="1"/>
  <c r="M172" i="8"/>
  <c r="M160" i="8"/>
  <c r="O158" i="8"/>
  <c r="P158" i="8"/>
  <c r="P157" i="8"/>
  <c r="M162" i="8"/>
  <c r="L152" i="8"/>
  <c r="N152" i="8"/>
  <c r="O152" i="8"/>
  <c r="P152" i="8"/>
  <c r="Q152" i="8"/>
  <c r="R152" i="8"/>
  <c r="P356" i="8" l="1"/>
  <c r="O356" i="8"/>
  <c r="O239" i="8"/>
  <c r="P239" i="8"/>
  <c r="P355" i="8"/>
  <c r="M152" i="8"/>
  <c r="R151" i="8"/>
  <c r="Q151" i="8"/>
  <c r="P151" i="8"/>
  <c r="O151" i="8"/>
  <c r="N151" i="8"/>
  <c r="L151" i="8"/>
  <c r="M151" i="8" s="1"/>
  <c r="R150" i="8"/>
  <c r="Q150" i="8"/>
  <c r="P150" i="8"/>
  <c r="N150" i="8"/>
  <c r="M150" i="8"/>
  <c r="L150" i="8"/>
  <c r="O150" i="8" s="1"/>
  <c r="R149" i="8"/>
  <c r="Q149" i="8"/>
  <c r="P149" i="8"/>
  <c r="N149" i="8"/>
  <c r="M149" i="8"/>
  <c r="L149" i="8"/>
  <c r="O149" i="8" s="1"/>
  <c r="R148" i="8"/>
  <c r="Q148" i="8"/>
  <c r="O148" i="8"/>
  <c r="N148" i="8"/>
  <c r="M148" i="8"/>
  <c r="L148" i="8"/>
  <c r="P148" i="8" s="1"/>
  <c r="R147" i="8"/>
  <c r="Q147" i="8"/>
  <c r="O147" i="8"/>
  <c r="N147" i="8"/>
  <c r="M147" i="8"/>
  <c r="L147" i="8"/>
  <c r="P147" i="8" s="1"/>
  <c r="R146" i="8"/>
  <c r="Q146" i="8"/>
  <c r="P146" i="8"/>
  <c r="O146" i="8"/>
  <c r="N146" i="8"/>
  <c r="M146" i="8"/>
  <c r="L146" i="8"/>
  <c r="L133" i="8"/>
  <c r="L145" i="8"/>
  <c r="L143" i="8"/>
  <c r="P143" i="8" s="1"/>
  <c r="R145" i="8"/>
  <c r="Q145" i="8"/>
  <c r="P145" i="8"/>
  <c r="O145" i="8"/>
  <c r="N145" i="8"/>
  <c r="R143" i="8"/>
  <c r="Q143" i="8"/>
  <c r="O143" i="8"/>
  <c r="N143" i="8"/>
  <c r="M143" i="8"/>
  <c r="R142" i="8"/>
  <c r="Q142" i="8"/>
  <c r="P142" i="8"/>
  <c r="O142" i="8"/>
  <c r="N142" i="8"/>
  <c r="M142" i="8"/>
  <c r="L142" i="8"/>
  <c r="G133" i="8"/>
  <c r="L132" i="8"/>
  <c r="R132" i="8" s="1"/>
  <c r="L131" i="8"/>
  <c r="P131" i="8" s="1"/>
  <c r="R133" i="8"/>
  <c r="Q133" i="8"/>
  <c r="P133" i="8"/>
  <c r="O133" i="8"/>
  <c r="P132" i="8"/>
  <c r="O132" i="8"/>
  <c r="N132" i="8"/>
  <c r="M132" i="8"/>
  <c r="R131" i="8"/>
  <c r="Q131" i="8"/>
  <c r="O131" i="8"/>
  <c r="N131" i="8"/>
  <c r="M131" i="8"/>
  <c r="R130" i="8"/>
  <c r="Q130" i="8"/>
  <c r="P130" i="8"/>
  <c r="O130" i="8"/>
  <c r="N130" i="8"/>
  <c r="M130" i="8"/>
  <c r="L130" i="8"/>
  <c r="L129" i="8"/>
  <c r="L128" i="8"/>
  <c r="G129" i="8"/>
  <c r="G128" i="8"/>
  <c r="L127" i="8"/>
  <c r="O127" i="8" s="1"/>
  <c r="M127" i="8"/>
  <c r="N127" i="8"/>
  <c r="Q127" i="8"/>
  <c r="R127" i="8"/>
  <c r="R126" i="8"/>
  <c r="Q126" i="8"/>
  <c r="P126" i="8"/>
  <c r="N126" i="8"/>
  <c r="M126" i="8"/>
  <c r="L126" i="8"/>
  <c r="O126" i="8" s="1"/>
  <c r="L125" i="8"/>
  <c r="R125" i="8" s="1"/>
  <c r="L124" i="8"/>
  <c r="P124" i="8" s="1"/>
  <c r="L122" i="8"/>
  <c r="L121" i="8"/>
  <c r="R129" i="8"/>
  <c r="Q129" i="8"/>
  <c r="P129" i="8"/>
  <c r="O129" i="8"/>
  <c r="N129" i="8"/>
  <c r="R128" i="8"/>
  <c r="Q128" i="8"/>
  <c r="P128" i="8"/>
  <c r="O128" i="8"/>
  <c r="Q125" i="8"/>
  <c r="O125" i="8"/>
  <c r="N125" i="8"/>
  <c r="M125" i="8"/>
  <c r="R124" i="8"/>
  <c r="Q124" i="8"/>
  <c r="O124" i="8"/>
  <c r="N124" i="8"/>
  <c r="M124" i="8"/>
  <c r="R123" i="8"/>
  <c r="Q123" i="8"/>
  <c r="P123" i="8"/>
  <c r="O123" i="8"/>
  <c r="N123" i="8"/>
  <c r="M123" i="8"/>
  <c r="L123" i="8"/>
  <c r="G122" i="8"/>
  <c r="L119" i="8"/>
  <c r="R119" i="8" s="1"/>
  <c r="M119" i="8"/>
  <c r="N119" i="8"/>
  <c r="O119" i="8"/>
  <c r="P119" i="8"/>
  <c r="R122" i="8"/>
  <c r="Q122" i="8"/>
  <c r="P122" i="8"/>
  <c r="O122" i="8"/>
  <c r="R121" i="8"/>
  <c r="Q121" i="8"/>
  <c r="P121" i="8"/>
  <c r="O121" i="8"/>
  <c r="G121" i="8"/>
  <c r="Q120" i="8"/>
  <c r="N120" i="8"/>
  <c r="M120" i="8"/>
  <c r="L120" i="8"/>
  <c r="P120" i="8" s="1"/>
  <c r="Q118" i="8"/>
  <c r="O118" i="8"/>
  <c r="N118" i="8"/>
  <c r="M118" i="8"/>
  <c r="L118" i="8"/>
  <c r="P118" i="8" s="1"/>
  <c r="R117" i="8"/>
  <c r="Q117" i="8"/>
  <c r="P117" i="8"/>
  <c r="O117" i="8"/>
  <c r="N117" i="8"/>
  <c r="M117" i="8"/>
  <c r="L117" i="8"/>
  <c r="G115" i="8"/>
  <c r="L114" i="8"/>
  <c r="O114" i="8" s="1"/>
  <c r="L113" i="8"/>
  <c r="R113" i="8" s="1"/>
  <c r="L112" i="8"/>
  <c r="R116" i="8"/>
  <c r="Q116" i="8"/>
  <c r="P116" i="8"/>
  <c r="O116" i="8"/>
  <c r="N116" i="8"/>
  <c r="L116" i="8"/>
  <c r="R115" i="8"/>
  <c r="Q115" i="8"/>
  <c r="P115" i="8"/>
  <c r="O115" i="8"/>
  <c r="N115" i="8"/>
  <c r="L115" i="8"/>
  <c r="R114" i="8"/>
  <c r="Q114" i="8"/>
  <c r="P114" i="8"/>
  <c r="N114" i="8"/>
  <c r="M114" i="8"/>
  <c r="Q113" i="8"/>
  <c r="O113" i="8"/>
  <c r="N113" i="8"/>
  <c r="M113" i="8"/>
  <c r="R112" i="8"/>
  <c r="O112" i="8"/>
  <c r="N112" i="8"/>
  <c r="M112" i="8"/>
  <c r="R111" i="8"/>
  <c r="Q111" i="8"/>
  <c r="P111" i="8"/>
  <c r="O111" i="8"/>
  <c r="N111" i="8"/>
  <c r="M111" i="8"/>
  <c r="L111" i="8"/>
  <c r="G109" i="8"/>
  <c r="R110" i="8"/>
  <c r="Q110" i="8"/>
  <c r="P110" i="8"/>
  <c r="O110" i="8"/>
  <c r="N110" i="8"/>
  <c r="L110" i="8"/>
  <c r="R109" i="8"/>
  <c r="Q109" i="8"/>
  <c r="P109" i="8"/>
  <c r="O109" i="8"/>
  <c r="N109" i="8"/>
  <c r="L109" i="8"/>
  <c r="L108" i="8"/>
  <c r="G108" i="8"/>
  <c r="L107" i="8"/>
  <c r="N107" i="8"/>
  <c r="O107" i="8"/>
  <c r="P107" i="8"/>
  <c r="Q107" i="8"/>
  <c r="R107" i="8"/>
  <c r="L106" i="8"/>
  <c r="L105" i="8"/>
  <c r="O105" i="8" s="1"/>
  <c r="M105" i="8"/>
  <c r="N105" i="8"/>
  <c r="Q105" i="8"/>
  <c r="R105" i="8"/>
  <c r="R103" i="8"/>
  <c r="Q103" i="8"/>
  <c r="N103" i="8"/>
  <c r="M103" i="8"/>
  <c r="L103" i="8"/>
  <c r="P103" i="8" s="1"/>
  <c r="L101" i="8"/>
  <c r="Q101" i="8" s="1"/>
  <c r="L100" i="8"/>
  <c r="P100" i="8" s="1"/>
  <c r="M100" i="8"/>
  <c r="N100" i="8"/>
  <c r="Q100" i="8"/>
  <c r="R100" i="8"/>
  <c r="R108" i="8"/>
  <c r="Q108" i="8"/>
  <c r="P108" i="8"/>
  <c r="O108" i="8"/>
  <c r="R106" i="8"/>
  <c r="Q106" i="8"/>
  <c r="P106" i="8"/>
  <c r="O106" i="8"/>
  <c r="N106" i="8"/>
  <c r="R104" i="8"/>
  <c r="Q104" i="8"/>
  <c r="N104" i="8"/>
  <c r="M104" i="8"/>
  <c r="L104" i="8"/>
  <c r="P104" i="8" s="1"/>
  <c r="R101" i="8"/>
  <c r="O101" i="8"/>
  <c r="N101" i="8"/>
  <c r="M101" i="8"/>
  <c r="R99" i="8"/>
  <c r="O99" i="8"/>
  <c r="N99" i="8"/>
  <c r="M99" i="8"/>
  <c r="L99" i="8"/>
  <c r="Q99" i="8" s="1"/>
  <c r="R98" i="8"/>
  <c r="Q98" i="8"/>
  <c r="P98" i="8"/>
  <c r="O98" i="8"/>
  <c r="N98" i="8"/>
  <c r="M98" i="8"/>
  <c r="L98" i="8"/>
  <c r="R97" i="8"/>
  <c r="Q97" i="8"/>
  <c r="P97" i="8"/>
  <c r="O97" i="8"/>
  <c r="N97" i="8"/>
  <c r="L97" i="8"/>
  <c r="O96" i="8"/>
  <c r="N96" i="8"/>
  <c r="M96" i="8"/>
  <c r="L96" i="8"/>
  <c r="R96" i="8" s="1"/>
  <c r="R95" i="8"/>
  <c r="O95" i="8"/>
  <c r="N95" i="8"/>
  <c r="M95" i="8"/>
  <c r="L95" i="8"/>
  <c r="Q95" i="8" s="1"/>
  <c r="R94" i="8"/>
  <c r="Q94" i="8"/>
  <c r="P94" i="8"/>
  <c r="O94" i="8"/>
  <c r="N94" i="8"/>
  <c r="M94" i="8"/>
  <c r="L94" i="8"/>
  <c r="L93" i="8"/>
  <c r="G93" i="8"/>
  <c r="G92" i="8"/>
  <c r="R91" i="8"/>
  <c r="Q91" i="8"/>
  <c r="O91" i="8"/>
  <c r="N91" i="8"/>
  <c r="M91" i="8"/>
  <c r="L91" i="8"/>
  <c r="P91" i="8" s="1"/>
  <c r="L90" i="8"/>
  <c r="P90" i="8" s="1"/>
  <c r="L89" i="8"/>
  <c r="P89" i="8" s="1"/>
  <c r="R93" i="8"/>
  <c r="Q93" i="8"/>
  <c r="P93" i="8"/>
  <c r="O93" i="8"/>
  <c r="R92" i="8"/>
  <c r="Q92" i="8"/>
  <c r="P92" i="8"/>
  <c r="O92" i="8"/>
  <c r="N92" i="8"/>
  <c r="L92" i="8"/>
  <c r="R90" i="8"/>
  <c r="O90" i="8"/>
  <c r="N90" i="8"/>
  <c r="M90" i="8"/>
  <c r="R89" i="8"/>
  <c r="O89" i="8"/>
  <c r="N89" i="8"/>
  <c r="M89" i="8"/>
  <c r="R88" i="8"/>
  <c r="Q88" i="8"/>
  <c r="P88" i="8"/>
  <c r="O88" i="8"/>
  <c r="N88" i="8"/>
  <c r="M88" i="8"/>
  <c r="L88" i="8"/>
  <c r="G86" i="8"/>
  <c r="L86" i="8"/>
  <c r="L85" i="8"/>
  <c r="G85" i="8"/>
  <c r="L84" i="8"/>
  <c r="P84" i="8" s="1"/>
  <c r="L82" i="8"/>
  <c r="P82" i="8" s="1"/>
  <c r="R87" i="8"/>
  <c r="Q87" i="8"/>
  <c r="P87" i="8"/>
  <c r="O87" i="8"/>
  <c r="N87" i="8"/>
  <c r="L87" i="8"/>
  <c r="R86" i="8"/>
  <c r="Q86" i="8"/>
  <c r="P86" i="8"/>
  <c r="O86" i="8"/>
  <c r="N86" i="8"/>
  <c r="R85" i="8"/>
  <c r="Q85" i="8"/>
  <c r="P85" i="8"/>
  <c r="O85" i="8"/>
  <c r="N85" i="8"/>
  <c r="R84" i="8"/>
  <c r="Q84" i="8"/>
  <c r="O84" i="8"/>
  <c r="N84" i="8"/>
  <c r="M84" i="8"/>
  <c r="R83" i="8"/>
  <c r="Q83" i="8"/>
  <c r="O83" i="8"/>
  <c r="N83" i="8"/>
  <c r="M83" i="8"/>
  <c r="R82" i="8"/>
  <c r="Q82" i="8"/>
  <c r="O82" i="8"/>
  <c r="N82" i="8"/>
  <c r="M82" i="8"/>
  <c r="R81" i="8"/>
  <c r="Q81" i="8"/>
  <c r="P81" i="8"/>
  <c r="O81" i="8"/>
  <c r="N81" i="8"/>
  <c r="M81" i="8"/>
  <c r="L81" i="8"/>
  <c r="L78" i="8"/>
  <c r="O78" i="8" s="1"/>
  <c r="M78" i="8"/>
  <c r="N78" i="8"/>
  <c r="P78" i="8"/>
  <c r="Q78" i="8"/>
  <c r="R78" i="8"/>
  <c r="R80" i="8"/>
  <c r="Q80" i="8"/>
  <c r="P80" i="8"/>
  <c r="O80" i="8"/>
  <c r="N80" i="8"/>
  <c r="L80" i="8"/>
  <c r="R79" i="8"/>
  <c r="Q79" i="8"/>
  <c r="P79" i="8"/>
  <c r="O79" i="8"/>
  <c r="N79" i="8"/>
  <c r="L79" i="8"/>
  <c r="R77" i="8"/>
  <c r="Q77" i="8"/>
  <c r="P77" i="8"/>
  <c r="N77" i="8"/>
  <c r="M77" i="8"/>
  <c r="L77" i="8"/>
  <c r="O77" i="8" s="1"/>
  <c r="R76" i="8"/>
  <c r="Q76" i="8"/>
  <c r="P76" i="8"/>
  <c r="N76" i="8"/>
  <c r="M76" i="8"/>
  <c r="L76" i="8"/>
  <c r="O76" i="8" s="1"/>
  <c r="R75" i="8"/>
  <c r="Q75" i="8"/>
  <c r="O75" i="8"/>
  <c r="N75" i="8"/>
  <c r="M75" i="8"/>
  <c r="R74" i="8"/>
  <c r="Q74" i="8"/>
  <c r="O74" i="8"/>
  <c r="N74" i="8"/>
  <c r="M74" i="8"/>
  <c r="R73" i="8"/>
  <c r="Q73" i="8"/>
  <c r="P73" i="8"/>
  <c r="O73" i="8"/>
  <c r="N73" i="8"/>
  <c r="M73" i="8"/>
  <c r="L73" i="8"/>
  <c r="G72" i="8"/>
  <c r="G71" i="8"/>
  <c r="R70" i="8"/>
  <c r="Q70" i="8"/>
  <c r="N70" i="8"/>
  <c r="M70" i="8"/>
  <c r="L70" i="8"/>
  <c r="R69" i="8"/>
  <c r="Q69" i="8"/>
  <c r="P69" i="8"/>
  <c r="N69" i="8"/>
  <c r="M69" i="8"/>
  <c r="L69" i="8"/>
  <c r="O69" i="8" s="1"/>
  <c r="L68" i="8"/>
  <c r="P68" i="8" s="1"/>
  <c r="L67" i="8"/>
  <c r="P67" i="8" s="1"/>
  <c r="R72" i="8"/>
  <c r="Q72" i="8"/>
  <c r="P72" i="8"/>
  <c r="O72" i="8"/>
  <c r="N72" i="8"/>
  <c r="L72" i="8"/>
  <c r="R71" i="8"/>
  <c r="Q71" i="8"/>
  <c r="P71" i="8"/>
  <c r="O71" i="8"/>
  <c r="N71" i="8"/>
  <c r="L71" i="8"/>
  <c r="R68" i="8"/>
  <c r="Q68" i="8"/>
  <c r="O68" i="8"/>
  <c r="N68" i="8"/>
  <c r="M68" i="8"/>
  <c r="R67" i="8"/>
  <c r="Q67" i="8"/>
  <c r="O67" i="8"/>
  <c r="N67" i="8"/>
  <c r="M67" i="8"/>
  <c r="R66" i="8"/>
  <c r="Q66" i="8"/>
  <c r="P66" i="8"/>
  <c r="O66" i="8"/>
  <c r="N66" i="8"/>
  <c r="M66" i="8"/>
  <c r="L66" i="8"/>
  <c r="P101" i="8" l="1"/>
  <c r="P105" i="8"/>
  <c r="O120" i="8"/>
  <c r="O100" i="8"/>
  <c r="P96" i="8"/>
  <c r="M145" i="8"/>
  <c r="M116" i="8"/>
  <c r="N122" i="8"/>
  <c r="M133" i="8"/>
  <c r="Q119" i="8"/>
  <c r="Q132" i="8"/>
  <c r="P127" i="8"/>
  <c r="N133" i="8"/>
  <c r="M129" i="8"/>
  <c r="P125" i="8"/>
  <c r="N121" i="8"/>
  <c r="M109" i="8"/>
  <c r="M128" i="8"/>
  <c r="N128" i="8"/>
  <c r="M122" i="8"/>
  <c r="M110" i="8"/>
  <c r="R120" i="8"/>
  <c r="R118" i="8"/>
  <c r="M121" i="8"/>
  <c r="M115" i="8"/>
  <c r="P113" i="8"/>
  <c r="Q112" i="8"/>
  <c r="P112" i="8"/>
  <c r="M108" i="8"/>
  <c r="M106" i="8"/>
  <c r="O103" i="8"/>
  <c r="M107" i="8"/>
  <c r="O104" i="8"/>
  <c r="P99" i="8"/>
  <c r="N108" i="8"/>
  <c r="N93" i="8"/>
  <c r="Q96" i="8"/>
  <c r="M97" i="8"/>
  <c r="M85" i="8"/>
  <c r="P95" i="8"/>
  <c r="L75" i="8"/>
  <c r="P75" i="8" s="1"/>
  <c r="Q90" i="8"/>
  <c r="M93" i="8"/>
  <c r="L83" i="8"/>
  <c r="P83" i="8" s="1"/>
  <c r="M80" i="8"/>
  <c r="P70" i="8"/>
  <c r="O70" i="8"/>
  <c r="M72" i="8"/>
  <c r="M92" i="8"/>
  <c r="M71" i="8"/>
  <c r="Q89" i="8"/>
  <c r="M87" i="8"/>
  <c r="M86" i="8"/>
  <c r="L74" i="8"/>
  <c r="P74" i="8" s="1"/>
  <c r="M79" i="8"/>
  <c r="G65" i="8"/>
  <c r="G64" i="8"/>
  <c r="R63" i="8"/>
  <c r="Q63" i="8"/>
  <c r="P63" i="8"/>
  <c r="N63" i="8"/>
  <c r="M63" i="8"/>
  <c r="L63" i="8"/>
  <c r="O63" i="8" s="1"/>
  <c r="L62" i="8"/>
  <c r="P62" i="8" s="1"/>
  <c r="L61" i="8"/>
  <c r="P61" i="8" s="1"/>
  <c r="R65" i="8"/>
  <c r="Q65" i="8"/>
  <c r="P65" i="8"/>
  <c r="O65" i="8"/>
  <c r="N65" i="8"/>
  <c r="L65" i="8"/>
  <c r="R64" i="8"/>
  <c r="Q64" i="8"/>
  <c r="P64" i="8"/>
  <c r="O64" i="8"/>
  <c r="N64" i="8"/>
  <c r="L64" i="8"/>
  <c r="Q62" i="8"/>
  <c r="O62" i="8"/>
  <c r="N62" i="8"/>
  <c r="M62" i="8"/>
  <c r="R61" i="8"/>
  <c r="O61" i="8"/>
  <c r="N61" i="8"/>
  <c r="M61" i="8"/>
  <c r="R60" i="8"/>
  <c r="Q60" i="8"/>
  <c r="P60" i="8"/>
  <c r="O60" i="8"/>
  <c r="N60" i="8"/>
  <c r="M60" i="8"/>
  <c r="L60" i="8"/>
  <c r="L59" i="8"/>
  <c r="L58" i="8"/>
  <c r="L57" i="8"/>
  <c r="P57" i="8" s="1"/>
  <c r="M57" i="8"/>
  <c r="N57" i="8"/>
  <c r="O57" i="8"/>
  <c r="Q57" i="8"/>
  <c r="R57" i="8"/>
  <c r="L56" i="8"/>
  <c r="O56" i="8" s="1"/>
  <c r="M56" i="8"/>
  <c r="N56" i="8"/>
  <c r="P56" i="8"/>
  <c r="Q56" i="8"/>
  <c r="R56" i="8"/>
  <c r="L55" i="8"/>
  <c r="P55" i="8" s="1"/>
  <c r="L54" i="8"/>
  <c r="P54" i="8" s="1"/>
  <c r="R59" i="8"/>
  <c r="Q59" i="8"/>
  <c r="P59" i="8"/>
  <c r="O59" i="8"/>
  <c r="N59" i="8"/>
  <c r="R58" i="8"/>
  <c r="Q58" i="8"/>
  <c r="P58" i="8"/>
  <c r="O58" i="8"/>
  <c r="N58" i="8"/>
  <c r="R55" i="8"/>
  <c r="Q55" i="8"/>
  <c r="O55" i="8"/>
  <c r="N55" i="8"/>
  <c r="M55" i="8"/>
  <c r="R54" i="8"/>
  <c r="Q54" i="8"/>
  <c r="O54" i="8"/>
  <c r="N54" i="8"/>
  <c r="M54" i="8"/>
  <c r="R53" i="8"/>
  <c r="Q53" i="8"/>
  <c r="P53" i="8"/>
  <c r="O53" i="8"/>
  <c r="N53" i="8"/>
  <c r="M53" i="8"/>
  <c r="L53" i="8"/>
  <c r="L52" i="8"/>
  <c r="L51" i="8"/>
  <c r="G52" i="8"/>
  <c r="R52" i="8"/>
  <c r="Q52" i="8"/>
  <c r="P52" i="8"/>
  <c r="O52" i="8"/>
  <c r="N52" i="8"/>
  <c r="R51" i="8"/>
  <c r="Q51" i="8"/>
  <c r="P51" i="8"/>
  <c r="O51" i="8"/>
  <c r="N51" i="8"/>
  <c r="G51" i="8"/>
  <c r="G50" i="8"/>
  <c r="L50" i="8"/>
  <c r="L49" i="8"/>
  <c r="G49" i="8"/>
  <c r="L48" i="8"/>
  <c r="P48" i="8" s="1"/>
  <c r="M47" i="8"/>
  <c r="N47" i="8"/>
  <c r="O47" i="8"/>
  <c r="Q47" i="8"/>
  <c r="R47" i="8"/>
  <c r="L46" i="8"/>
  <c r="P46" i="8" s="1"/>
  <c r="R50" i="8"/>
  <c r="Q50" i="8"/>
  <c r="P50" i="8"/>
  <c r="O50" i="8"/>
  <c r="N50" i="8"/>
  <c r="R49" i="8"/>
  <c r="Q49" i="8"/>
  <c r="P49" i="8"/>
  <c r="O49" i="8"/>
  <c r="N49" i="8"/>
  <c r="R48" i="8"/>
  <c r="Q48" i="8"/>
  <c r="O48" i="8"/>
  <c r="N48" i="8"/>
  <c r="M48" i="8"/>
  <c r="R46" i="8"/>
  <c r="Q46" i="8"/>
  <c r="O46" i="8"/>
  <c r="N46" i="8"/>
  <c r="M46" i="8"/>
  <c r="R45" i="8"/>
  <c r="Q45" i="8"/>
  <c r="P45" i="8"/>
  <c r="O45" i="8"/>
  <c r="N45" i="8"/>
  <c r="M45" i="8"/>
  <c r="L45" i="8"/>
  <c r="L44" i="8"/>
  <c r="L43" i="8"/>
  <c r="G44" i="8"/>
  <c r="G43" i="8"/>
  <c r="L42" i="8"/>
  <c r="Q42" i="8" s="1"/>
  <c r="R44" i="8"/>
  <c r="Q44" i="8"/>
  <c r="P44" i="8"/>
  <c r="O44" i="8"/>
  <c r="N44" i="8"/>
  <c r="R43" i="8"/>
  <c r="Q43" i="8"/>
  <c r="P43" i="8"/>
  <c r="O43" i="8"/>
  <c r="N43" i="8"/>
  <c r="R42" i="8"/>
  <c r="O42" i="8"/>
  <c r="N42" i="8"/>
  <c r="M42" i="8"/>
  <c r="R41" i="8"/>
  <c r="Q41" i="8"/>
  <c r="O41" i="8"/>
  <c r="N41" i="8"/>
  <c r="M41" i="8"/>
  <c r="L41" i="8"/>
  <c r="P41" i="8" s="1"/>
  <c r="R40" i="8"/>
  <c r="Q40" i="8"/>
  <c r="P40" i="8"/>
  <c r="O40" i="8"/>
  <c r="N40" i="8"/>
  <c r="M40" i="8"/>
  <c r="L40" i="8"/>
  <c r="L38" i="8"/>
  <c r="G39" i="8"/>
  <c r="G38" i="8"/>
  <c r="L35" i="8"/>
  <c r="Q35" i="8" s="1"/>
  <c r="R38" i="8"/>
  <c r="Q38" i="8"/>
  <c r="P38" i="8"/>
  <c r="O38" i="8"/>
  <c r="N38" i="8"/>
  <c r="R36" i="8"/>
  <c r="O36" i="8"/>
  <c r="N36" i="8"/>
  <c r="M36" i="8"/>
  <c r="L36" i="8"/>
  <c r="Q36" i="8" s="1"/>
  <c r="R35" i="8"/>
  <c r="O35" i="8"/>
  <c r="N35" i="8"/>
  <c r="M35" i="8"/>
  <c r="R34" i="8"/>
  <c r="Q34" i="8"/>
  <c r="P34" i="8"/>
  <c r="O34" i="8"/>
  <c r="N34" i="8"/>
  <c r="M34" i="8"/>
  <c r="L34" i="8"/>
  <c r="G33" i="8"/>
  <c r="G31" i="8"/>
  <c r="L31" i="8"/>
  <c r="L32" i="8"/>
  <c r="L33" i="8"/>
  <c r="L30" i="8"/>
  <c r="R33" i="8"/>
  <c r="Q33" i="8"/>
  <c r="P33" i="8"/>
  <c r="O33" i="8"/>
  <c r="N33" i="8"/>
  <c r="R32" i="8"/>
  <c r="Q32" i="8"/>
  <c r="P32" i="8"/>
  <c r="O32" i="8"/>
  <c r="N32" i="8"/>
  <c r="R31" i="8"/>
  <c r="Q31" i="8"/>
  <c r="P31" i="8"/>
  <c r="O31" i="8"/>
  <c r="N31" i="8"/>
  <c r="R30" i="8"/>
  <c r="Q30" i="8"/>
  <c r="P30" i="8"/>
  <c r="O30" i="8"/>
  <c r="N30" i="8"/>
  <c r="L29" i="8"/>
  <c r="L28" i="8"/>
  <c r="R29" i="8"/>
  <c r="O29" i="8"/>
  <c r="N29" i="8"/>
  <c r="M29" i="8"/>
  <c r="R28" i="8"/>
  <c r="O28" i="8"/>
  <c r="N28" i="8"/>
  <c r="M28" i="8"/>
  <c r="R27" i="8"/>
  <c r="Q27" i="8"/>
  <c r="P27" i="8"/>
  <c r="O27" i="8"/>
  <c r="N27" i="8"/>
  <c r="M27" i="8"/>
  <c r="L27" i="8"/>
  <c r="L26" i="8"/>
  <c r="R26" i="8"/>
  <c r="Q26" i="8"/>
  <c r="P26" i="8"/>
  <c r="O26" i="8"/>
  <c r="N26" i="8"/>
  <c r="R25" i="8"/>
  <c r="O25" i="8"/>
  <c r="M25" i="8"/>
  <c r="L25" i="8"/>
  <c r="N25" i="8" s="1"/>
  <c r="R24" i="8"/>
  <c r="O24" i="8"/>
  <c r="M24" i="8"/>
  <c r="L24" i="8"/>
  <c r="N24" i="8" s="1"/>
  <c r="R23" i="8"/>
  <c r="Q23" i="8"/>
  <c r="P23" i="8"/>
  <c r="O23" i="8"/>
  <c r="N23" i="8"/>
  <c r="M23" i="8"/>
  <c r="L23" i="8"/>
  <c r="L21" i="8"/>
  <c r="L20" i="8"/>
  <c r="Q20" i="8" s="1"/>
  <c r="L19" i="8"/>
  <c r="O19" i="8" s="1"/>
  <c r="R21" i="8"/>
  <c r="Q21" i="8"/>
  <c r="P21" i="8"/>
  <c r="O21" i="8"/>
  <c r="N21" i="8"/>
  <c r="R20" i="8"/>
  <c r="P20" i="8"/>
  <c r="M20" i="8"/>
  <c r="R19" i="8"/>
  <c r="Q19" i="8"/>
  <c r="M19" i="8"/>
  <c r="R18" i="8"/>
  <c r="Q18" i="8"/>
  <c r="P18" i="8"/>
  <c r="O18" i="8"/>
  <c r="N18" i="8"/>
  <c r="M18" i="8"/>
  <c r="L18" i="8"/>
  <c r="L15" i="8"/>
  <c r="Q15" i="8" s="1"/>
  <c r="L14" i="8"/>
  <c r="P14" i="8" s="1"/>
  <c r="R16" i="8"/>
  <c r="Q16" i="8"/>
  <c r="P16" i="8"/>
  <c r="O16" i="8"/>
  <c r="N16" i="8"/>
  <c r="L16" i="8"/>
  <c r="R15" i="8"/>
  <c r="P15" i="8"/>
  <c r="O15" i="8"/>
  <c r="N15" i="8"/>
  <c r="M15" i="8"/>
  <c r="R14" i="8"/>
  <c r="Q14" i="8"/>
  <c r="O14" i="8"/>
  <c r="N14" i="8"/>
  <c r="M14" i="8"/>
  <c r="G12" i="8"/>
  <c r="G10" i="8"/>
  <c r="G11" i="8"/>
  <c r="O20" i="8" l="1"/>
  <c r="P36" i="8"/>
  <c r="P25" i="8"/>
  <c r="P24" i="8"/>
  <c r="Q61" i="8"/>
  <c r="M38" i="8"/>
  <c r="M26" i="8"/>
  <c r="L47" i="8"/>
  <c r="P47" i="8" s="1"/>
  <c r="M30" i="8"/>
  <c r="M44" i="8"/>
  <c r="M52" i="8"/>
  <c r="R62" i="8"/>
  <c r="M31" i="8"/>
  <c r="Q25" i="8"/>
  <c r="M50" i="8"/>
  <c r="M65" i="8"/>
  <c r="Q24" i="8"/>
  <c r="M64" i="8"/>
  <c r="M59" i="8"/>
  <c r="M58" i="8"/>
  <c r="M51" i="8"/>
  <c r="M49" i="8"/>
  <c r="P42" i="8"/>
  <c r="M43" i="8"/>
  <c r="P35" i="8"/>
  <c r="M33" i="8"/>
  <c r="M32" i="8"/>
  <c r="Q28" i="8"/>
  <c r="P28" i="8"/>
  <c r="Q29" i="8"/>
  <c r="P29" i="8"/>
  <c r="M21" i="8"/>
  <c r="P19" i="8"/>
  <c r="N19" i="8"/>
  <c r="N20" i="8"/>
  <c r="M16" i="8"/>
  <c r="R1154" i="8"/>
  <c r="Q1154" i="8"/>
  <c r="P1154" i="8"/>
  <c r="O1154" i="8"/>
  <c r="N1154" i="8"/>
  <c r="M1154" i="8"/>
  <c r="L1154" i="8"/>
  <c r="R1122" i="8"/>
  <c r="Q1122" i="8"/>
  <c r="P1122" i="8"/>
  <c r="O1122" i="8"/>
  <c r="N1122" i="8"/>
  <c r="M1122" i="8"/>
  <c r="L1122" i="8"/>
  <c r="R1064" i="8"/>
  <c r="Q1064" i="8"/>
  <c r="P1064" i="8"/>
  <c r="O1064" i="8"/>
  <c r="N1064" i="8"/>
  <c r="R1062" i="8"/>
  <c r="Q1062" i="8"/>
  <c r="P1062" i="8"/>
  <c r="O1062" i="8"/>
  <c r="N1062" i="8"/>
  <c r="R1061" i="8"/>
  <c r="Q1061" i="8"/>
  <c r="P1061" i="8"/>
  <c r="O1061" i="8"/>
  <c r="R1060" i="8"/>
  <c r="Q1060" i="8"/>
  <c r="P1060" i="8"/>
  <c r="O1060" i="8"/>
  <c r="N1060" i="8"/>
  <c r="M1060" i="8"/>
  <c r="L1060" i="8"/>
  <c r="R948" i="8"/>
  <c r="Q948" i="8"/>
  <c r="P948" i="8"/>
  <c r="O948" i="8"/>
  <c r="N948" i="8"/>
  <c r="L948" i="8"/>
  <c r="M948" i="8" s="1"/>
  <c r="R626" i="8"/>
  <c r="Q626" i="8"/>
  <c r="P626" i="8"/>
  <c r="O626" i="8"/>
  <c r="N626" i="8"/>
  <c r="M626" i="8"/>
  <c r="R624" i="8"/>
  <c r="Q624" i="8"/>
  <c r="O624" i="8"/>
  <c r="N624" i="8"/>
  <c r="M624" i="8"/>
  <c r="P624" i="8"/>
  <c r="R622" i="8"/>
  <c r="Q622" i="8"/>
  <c r="P622" i="8"/>
  <c r="O622" i="8"/>
  <c r="R621" i="8"/>
  <c r="Q621" i="8"/>
  <c r="P621" i="8"/>
  <c r="O621" i="8"/>
  <c r="N621" i="8"/>
  <c r="L621" i="8"/>
  <c r="M621" i="8" s="1"/>
  <c r="R593" i="8"/>
  <c r="Q593" i="8"/>
  <c r="P593" i="8"/>
  <c r="O593" i="8"/>
  <c r="N593" i="8"/>
  <c r="R517" i="8"/>
  <c r="Q517" i="8"/>
  <c r="P517" i="8"/>
  <c r="O517" i="8"/>
  <c r="N517" i="8"/>
  <c r="L517" i="8"/>
  <c r="M517" i="8" s="1"/>
  <c r="R516" i="8"/>
  <c r="Q516" i="8"/>
  <c r="O516" i="8"/>
  <c r="N516" i="8"/>
  <c r="L516" i="8"/>
  <c r="P516" i="8" s="1"/>
  <c r="R515" i="8"/>
  <c r="Q515" i="8"/>
  <c r="P515" i="8"/>
  <c r="O515" i="8"/>
  <c r="N515" i="8"/>
  <c r="L515" i="8"/>
  <c r="M515" i="8" s="1"/>
  <c r="R514" i="8"/>
  <c r="Q514" i="8"/>
  <c r="P514" i="8"/>
  <c r="O514" i="8"/>
  <c r="N514" i="8"/>
  <c r="L514" i="8"/>
  <c r="M514" i="8" s="1"/>
  <c r="R513" i="8"/>
  <c r="Q513" i="8"/>
  <c r="O513" i="8"/>
  <c r="N513" i="8"/>
  <c r="L513" i="8"/>
  <c r="P513" i="8" s="1"/>
  <c r="R511" i="8"/>
  <c r="Q511" i="8"/>
  <c r="P511" i="8"/>
  <c r="O511" i="8"/>
  <c r="N511" i="8"/>
  <c r="M511" i="8"/>
  <c r="R491" i="8"/>
  <c r="Q491" i="8"/>
  <c r="P491" i="8"/>
  <c r="O491" i="8"/>
  <c r="N491" i="8"/>
  <c r="L491" i="8"/>
  <c r="M491" i="8"/>
  <c r="R487" i="8"/>
  <c r="Q487" i="8"/>
  <c r="P487" i="8"/>
  <c r="O487" i="8"/>
  <c r="N487" i="8"/>
  <c r="L487" i="8"/>
  <c r="M487" i="8" s="1"/>
  <c r="R423" i="8"/>
  <c r="Q423" i="8"/>
  <c r="O423" i="8"/>
  <c r="N423" i="8"/>
  <c r="P423" i="8"/>
  <c r="R302" i="8"/>
  <c r="Q302" i="8"/>
  <c r="P302" i="8"/>
  <c r="O302" i="8"/>
  <c r="N302" i="8"/>
  <c r="L302" i="8"/>
  <c r="M302" i="8" s="1"/>
  <c r="R214" i="8"/>
  <c r="Q214" i="8"/>
  <c r="P214" i="8"/>
  <c r="N214" i="8"/>
  <c r="L214" i="8"/>
  <c r="O214" i="8" s="1"/>
  <c r="R163" i="8"/>
  <c r="Q163" i="8"/>
  <c r="P163" i="8"/>
  <c r="O163" i="8"/>
  <c r="N163" i="8"/>
  <c r="L163" i="8"/>
  <c r="M163" i="8" s="1"/>
  <c r="R39" i="8"/>
  <c r="Q39" i="8"/>
  <c r="P39" i="8"/>
  <c r="O39" i="8"/>
  <c r="N39" i="8"/>
  <c r="L39" i="8"/>
  <c r="M39" i="8" s="1"/>
  <c r="R13" i="8"/>
  <c r="Q13" i="8"/>
  <c r="P13" i="8"/>
  <c r="O13" i="8"/>
  <c r="N13" i="8"/>
  <c r="M13" i="8"/>
  <c r="L13" i="8"/>
  <c r="R12" i="8"/>
  <c r="Q12" i="8"/>
  <c r="P12" i="8"/>
  <c r="O12" i="8"/>
  <c r="L12" i="8"/>
  <c r="N12" i="8" s="1"/>
  <c r="R11" i="8"/>
  <c r="Q11" i="8"/>
  <c r="P11" i="8"/>
  <c r="O11" i="8"/>
  <c r="N11" i="8"/>
  <c r="L11" i="8"/>
  <c r="M11" i="8" s="1"/>
  <c r="R10" i="8"/>
  <c r="Q10" i="8"/>
  <c r="P10" i="8"/>
  <c r="O10" i="8"/>
  <c r="N10" i="8"/>
  <c r="L10" i="8"/>
  <c r="R9" i="8"/>
  <c r="Q9" i="8"/>
  <c r="O9" i="8"/>
  <c r="N9" i="8"/>
  <c r="L9" i="8"/>
  <c r="P9" i="8" s="1"/>
  <c r="R8" i="8"/>
  <c r="Q8" i="8"/>
  <c r="P8" i="8"/>
  <c r="N8" i="8"/>
  <c r="L8" i="8"/>
  <c r="O8" i="8" s="1"/>
  <c r="M8" i="8"/>
  <c r="R7" i="8"/>
  <c r="P7" i="8"/>
  <c r="O7" i="8"/>
  <c r="N7" i="8"/>
  <c r="L7" i="8"/>
  <c r="M7" i="8" s="1"/>
  <c r="R6" i="8"/>
  <c r="Q6" i="8"/>
  <c r="O6" i="8"/>
  <c r="N6" i="8"/>
  <c r="M6" i="8"/>
  <c r="L6" i="8"/>
  <c r="P6" i="8" s="1"/>
  <c r="R5" i="8"/>
  <c r="Q5" i="8"/>
  <c r="O5" i="8"/>
  <c r="N5" i="8"/>
  <c r="M5" i="8"/>
  <c r="L5" i="8"/>
  <c r="P5" i="8" s="1"/>
  <c r="N488" i="8" l="1"/>
  <c r="N490" i="8" s="1"/>
  <c r="R488" i="8"/>
  <c r="R490" i="8" s="1"/>
  <c r="P488" i="8"/>
  <c r="P490" i="8" s="1"/>
  <c r="O488" i="8"/>
  <c r="O490" i="8" s="1"/>
  <c r="M516" i="8"/>
  <c r="M513" i="8"/>
  <c r="M214" i="8"/>
  <c r="M12" i="8"/>
  <c r="M9" i="8"/>
  <c r="Q7" i="8"/>
  <c r="Q488" i="8" s="1"/>
  <c r="Q490" i="8" s="1"/>
  <c r="M10" i="8"/>
  <c r="O1155" i="8" l="1"/>
  <c r="O1157" i="8" s="1"/>
  <c r="O1167" i="8" s="1"/>
  <c r="O1168" i="8" s="1"/>
  <c r="P1155" i="8"/>
  <c r="P1157" i="8" s="1"/>
  <c r="P1167" i="8" s="1"/>
  <c r="P1168" i="8" s="1"/>
  <c r="R1155" i="8"/>
  <c r="R1157" i="8" s="1"/>
  <c r="R1167" i="8" s="1"/>
  <c r="R1168" i="8" s="1"/>
  <c r="Q1155" i="8"/>
  <c r="Q1157" i="8" s="1"/>
  <c r="Q1167" i="8" s="1"/>
  <c r="Q1168" i="8" s="1"/>
  <c r="N1155" i="8"/>
  <c r="N1157" i="8" s="1"/>
  <c r="N1167" i="8" s="1"/>
  <c r="N1168" i="8" s="1"/>
  <c r="M488" i="8"/>
  <c r="M490" i="8" s="1"/>
  <c r="I801" i="2"/>
  <c r="K801" i="2"/>
  <c r="M801" i="2"/>
  <c r="N801" i="2"/>
  <c r="Q801" i="2"/>
  <c r="R801" i="2"/>
  <c r="R925" i="2"/>
  <c r="Q925" i="2"/>
  <c r="P925" i="2"/>
  <c r="O925" i="2"/>
  <c r="N925" i="2"/>
  <c r="M925" i="2"/>
  <c r="L925" i="2"/>
  <c r="R924" i="2"/>
  <c r="Q924" i="2"/>
  <c r="P924" i="2"/>
  <c r="O924" i="2"/>
  <c r="N924" i="2"/>
  <c r="I924" i="2"/>
  <c r="L924" i="2" s="1"/>
  <c r="G924" i="2"/>
  <c r="R923" i="2"/>
  <c r="Q923" i="2"/>
  <c r="P923" i="2"/>
  <c r="O923" i="2"/>
  <c r="N923" i="2"/>
  <c r="I923" i="2"/>
  <c r="L923" i="2" s="1"/>
  <c r="G923" i="2"/>
  <c r="R922" i="2"/>
  <c r="Q922" i="2"/>
  <c r="P922" i="2"/>
  <c r="O922" i="2"/>
  <c r="N922" i="2"/>
  <c r="I922" i="2"/>
  <c r="L922" i="2" s="1"/>
  <c r="G922" i="2"/>
  <c r="R921" i="2"/>
  <c r="Q921" i="2"/>
  <c r="P921" i="2"/>
  <c r="O921" i="2"/>
  <c r="N921" i="2"/>
  <c r="I921" i="2"/>
  <c r="L921" i="2" s="1"/>
  <c r="G921" i="2"/>
  <c r="R920" i="2"/>
  <c r="Q920" i="2"/>
  <c r="P920" i="2"/>
  <c r="O920" i="2"/>
  <c r="N920" i="2"/>
  <c r="M920" i="2"/>
  <c r="L920" i="2"/>
  <c r="R919" i="2"/>
  <c r="Q919" i="2"/>
  <c r="P919" i="2"/>
  <c r="O919" i="2"/>
  <c r="M919" i="2"/>
  <c r="K919" i="2"/>
  <c r="I919" i="2"/>
  <c r="R918" i="2"/>
  <c r="Q918" i="2"/>
  <c r="P918" i="2"/>
  <c r="N918" i="2"/>
  <c r="M918" i="2"/>
  <c r="K918" i="2"/>
  <c r="I918" i="2"/>
  <c r="R917" i="2"/>
  <c r="Q917" i="2"/>
  <c r="O917" i="2"/>
  <c r="N917" i="2"/>
  <c r="M917" i="2"/>
  <c r="K917" i="2"/>
  <c r="L917" i="2" s="1"/>
  <c r="P917" i="2" s="1"/>
  <c r="I917" i="2"/>
  <c r="R916" i="2"/>
  <c r="Q916" i="2"/>
  <c r="P916" i="2"/>
  <c r="O916" i="2"/>
  <c r="N916" i="2"/>
  <c r="I916" i="2"/>
  <c r="L916" i="2" s="1"/>
  <c r="G916" i="2"/>
  <c r="R915" i="2"/>
  <c r="Q915" i="2"/>
  <c r="P915" i="2"/>
  <c r="O915" i="2"/>
  <c r="N915" i="2"/>
  <c r="I915" i="2"/>
  <c r="L915" i="2" s="1"/>
  <c r="G915" i="2"/>
  <c r="R914" i="2"/>
  <c r="Q914" i="2"/>
  <c r="P914" i="2"/>
  <c r="O914" i="2"/>
  <c r="N914" i="2"/>
  <c r="I914" i="2"/>
  <c r="L914" i="2" s="1"/>
  <c r="G914" i="2"/>
  <c r="R913" i="2"/>
  <c r="Q913" i="2"/>
  <c r="P913" i="2"/>
  <c r="O913" i="2"/>
  <c r="N913" i="2"/>
  <c r="L913" i="2"/>
  <c r="I913" i="2"/>
  <c r="G913" i="2"/>
  <c r="R912" i="2"/>
  <c r="Q912" i="2"/>
  <c r="P912" i="2"/>
  <c r="O912" i="2"/>
  <c r="N912" i="2"/>
  <c r="I912" i="2"/>
  <c r="L912" i="2" s="1"/>
  <c r="M912" i="2" s="1"/>
  <c r="G912" i="2"/>
  <c r="R911" i="2"/>
  <c r="Q911" i="2"/>
  <c r="P911" i="2"/>
  <c r="O911" i="2"/>
  <c r="N911" i="2"/>
  <c r="I911" i="2"/>
  <c r="L911" i="2" s="1"/>
  <c r="G911" i="2"/>
  <c r="R910" i="2"/>
  <c r="Q910" i="2"/>
  <c r="P910" i="2"/>
  <c r="O910" i="2"/>
  <c r="N910" i="2"/>
  <c r="I910" i="2"/>
  <c r="L910" i="2" s="1"/>
  <c r="G910" i="2"/>
  <c r="R909" i="2"/>
  <c r="Q909" i="2"/>
  <c r="P909" i="2"/>
  <c r="O909" i="2"/>
  <c r="N909" i="2"/>
  <c r="I909" i="2"/>
  <c r="L909" i="2" s="1"/>
  <c r="G909" i="2"/>
  <c r="R908" i="2"/>
  <c r="Q908" i="2"/>
  <c r="P908" i="2"/>
  <c r="O908" i="2"/>
  <c r="N908" i="2"/>
  <c r="M908" i="2"/>
  <c r="L908" i="2"/>
  <c r="R907" i="2"/>
  <c r="Q907" i="2"/>
  <c r="P907" i="2"/>
  <c r="O907" i="2"/>
  <c r="M907" i="2"/>
  <c r="K907" i="2"/>
  <c r="I907" i="2"/>
  <c r="L907" i="2" s="1"/>
  <c r="N907" i="2" s="1"/>
  <c r="R906" i="2"/>
  <c r="Q906" i="2"/>
  <c r="P906" i="2"/>
  <c r="N906" i="2"/>
  <c r="M906" i="2"/>
  <c r="K906" i="2"/>
  <c r="I906" i="2"/>
  <c r="R905" i="2"/>
  <c r="Q905" i="2"/>
  <c r="O905" i="2"/>
  <c r="N905" i="2"/>
  <c r="M905" i="2"/>
  <c r="K905" i="2"/>
  <c r="I905" i="2"/>
  <c r="R904" i="2"/>
  <c r="Q904" i="2"/>
  <c r="P904" i="2"/>
  <c r="O904" i="2"/>
  <c r="N904" i="2"/>
  <c r="I904" i="2"/>
  <c r="L904" i="2" s="1"/>
  <c r="G904" i="2"/>
  <c r="R903" i="2"/>
  <c r="Q903" i="2"/>
  <c r="P903" i="2"/>
  <c r="O903" i="2"/>
  <c r="N903" i="2"/>
  <c r="I903" i="2"/>
  <c r="L903" i="2" s="1"/>
  <c r="G903" i="2"/>
  <c r="R902" i="2"/>
  <c r="Q902" i="2"/>
  <c r="P902" i="2"/>
  <c r="O902" i="2"/>
  <c r="N902" i="2"/>
  <c r="I902" i="2"/>
  <c r="L902" i="2" s="1"/>
  <c r="G902" i="2"/>
  <c r="R901" i="2"/>
  <c r="Q901" i="2"/>
  <c r="P901" i="2"/>
  <c r="O901" i="2"/>
  <c r="N901" i="2"/>
  <c r="L901" i="2"/>
  <c r="I901" i="2"/>
  <c r="G901" i="2"/>
  <c r="F901" i="2"/>
  <c r="M901" i="2" s="1"/>
  <c r="R900" i="2"/>
  <c r="Q900" i="2"/>
  <c r="P900" i="2"/>
  <c r="O900" i="2"/>
  <c r="N900" i="2"/>
  <c r="I900" i="2"/>
  <c r="L900" i="2" s="1"/>
  <c r="G900" i="2"/>
  <c r="R899" i="2"/>
  <c r="Q899" i="2"/>
  <c r="P899" i="2"/>
  <c r="O899" i="2"/>
  <c r="N899" i="2"/>
  <c r="M899" i="2"/>
  <c r="L899" i="2"/>
  <c r="R898" i="2"/>
  <c r="Q898" i="2"/>
  <c r="P898" i="2"/>
  <c r="O898" i="2"/>
  <c r="M898" i="2"/>
  <c r="K898" i="2"/>
  <c r="I898" i="2"/>
  <c r="R897" i="2"/>
  <c r="Q897" i="2"/>
  <c r="P897" i="2"/>
  <c r="N897" i="2"/>
  <c r="M897" i="2"/>
  <c r="K897" i="2"/>
  <c r="I897" i="2"/>
  <c r="R896" i="2"/>
  <c r="Q896" i="2"/>
  <c r="O896" i="2"/>
  <c r="N896" i="2"/>
  <c r="M896" i="2"/>
  <c r="K896" i="2"/>
  <c r="I896" i="2"/>
  <c r="R895" i="2"/>
  <c r="Q895" i="2"/>
  <c r="P895" i="2"/>
  <c r="O895" i="2"/>
  <c r="N895" i="2"/>
  <c r="I895" i="2"/>
  <c r="L895" i="2" s="1"/>
  <c r="G895" i="2"/>
  <c r="R894" i="2"/>
  <c r="Q894" i="2"/>
  <c r="P894" i="2"/>
  <c r="O894" i="2"/>
  <c r="N894" i="2"/>
  <c r="I894" i="2"/>
  <c r="L894" i="2" s="1"/>
  <c r="G894" i="2"/>
  <c r="R893" i="2"/>
  <c r="Q893" i="2"/>
  <c r="P893" i="2"/>
  <c r="O893" i="2"/>
  <c r="N893" i="2"/>
  <c r="I893" i="2"/>
  <c r="L893" i="2" s="1"/>
  <c r="G893" i="2"/>
  <c r="R892" i="2"/>
  <c r="Q892" i="2"/>
  <c r="P892" i="2"/>
  <c r="O892" i="2"/>
  <c r="N892" i="2"/>
  <c r="I892" i="2"/>
  <c r="L892" i="2" s="1"/>
  <c r="G892" i="2"/>
  <c r="R891" i="2"/>
  <c r="Q891" i="2"/>
  <c r="P891" i="2"/>
  <c r="O891" i="2"/>
  <c r="N891" i="2"/>
  <c r="I891" i="2"/>
  <c r="L891" i="2" s="1"/>
  <c r="G891" i="2"/>
  <c r="R890" i="2"/>
  <c r="Q890" i="2"/>
  <c r="P890" i="2"/>
  <c r="O890" i="2"/>
  <c r="N890" i="2"/>
  <c r="M890" i="2"/>
  <c r="L890" i="2"/>
  <c r="R889" i="2"/>
  <c r="Q889" i="2"/>
  <c r="P889" i="2"/>
  <c r="O889" i="2"/>
  <c r="M889" i="2"/>
  <c r="K889" i="2"/>
  <c r="I889" i="2"/>
  <c r="R888" i="2"/>
  <c r="Q888" i="2"/>
  <c r="P888" i="2"/>
  <c r="N888" i="2"/>
  <c r="M888" i="2"/>
  <c r="K888" i="2"/>
  <c r="I888" i="2"/>
  <c r="L888" i="2" s="1"/>
  <c r="O888" i="2" s="1"/>
  <c r="R887" i="2"/>
  <c r="Q887" i="2"/>
  <c r="O887" i="2"/>
  <c r="N887" i="2"/>
  <c r="M887" i="2"/>
  <c r="K887" i="2"/>
  <c r="I887" i="2"/>
  <c r="R886" i="2"/>
  <c r="Q886" i="2"/>
  <c r="P886" i="2"/>
  <c r="O886" i="2"/>
  <c r="N886" i="2"/>
  <c r="I886" i="2"/>
  <c r="L886" i="2" s="1"/>
  <c r="G886" i="2"/>
  <c r="R885" i="2"/>
  <c r="Q885" i="2"/>
  <c r="P885" i="2"/>
  <c r="O885" i="2"/>
  <c r="N885" i="2"/>
  <c r="I885" i="2"/>
  <c r="L885" i="2" s="1"/>
  <c r="M885" i="2" s="1"/>
  <c r="G885" i="2"/>
  <c r="R884" i="2"/>
  <c r="Q884" i="2"/>
  <c r="P884" i="2"/>
  <c r="O884" i="2"/>
  <c r="N884" i="2"/>
  <c r="I884" i="2"/>
  <c r="L884" i="2" s="1"/>
  <c r="G884" i="2"/>
  <c r="R883" i="2"/>
  <c r="Q883" i="2"/>
  <c r="P883" i="2"/>
  <c r="O883" i="2"/>
  <c r="N883" i="2"/>
  <c r="I883" i="2"/>
  <c r="L883" i="2" s="1"/>
  <c r="G883" i="2"/>
  <c r="R882" i="2"/>
  <c r="Q882" i="2"/>
  <c r="P882" i="2"/>
  <c r="O882" i="2"/>
  <c r="N882" i="2"/>
  <c r="I882" i="2"/>
  <c r="L882" i="2" s="1"/>
  <c r="G882" i="2"/>
  <c r="R881" i="2"/>
  <c r="Q881" i="2"/>
  <c r="P881" i="2"/>
  <c r="O881" i="2"/>
  <c r="N881" i="2"/>
  <c r="I881" i="2"/>
  <c r="L881" i="2" s="1"/>
  <c r="G881" i="2"/>
  <c r="R880" i="2"/>
  <c r="Q880" i="2"/>
  <c r="P880" i="2"/>
  <c r="O880" i="2"/>
  <c r="N880" i="2"/>
  <c r="I880" i="2"/>
  <c r="L880" i="2" s="1"/>
  <c r="G880" i="2"/>
  <c r="R879" i="2"/>
  <c r="Q879" i="2"/>
  <c r="P879" i="2"/>
  <c r="O879" i="2"/>
  <c r="N879" i="2"/>
  <c r="I879" i="2"/>
  <c r="L879" i="2" s="1"/>
  <c r="G879" i="2"/>
  <c r="R878" i="2"/>
  <c r="Q878" i="2"/>
  <c r="P878" i="2"/>
  <c r="O878" i="2"/>
  <c r="N878" i="2"/>
  <c r="M878" i="2"/>
  <c r="L878" i="2"/>
  <c r="R877" i="2"/>
  <c r="Q877" i="2"/>
  <c r="P877" i="2"/>
  <c r="O877" i="2"/>
  <c r="M877" i="2"/>
  <c r="K877" i="2"/>
  <c r="I877" i="2"/>
  <c r="R876" i="2"/>
  <c r="Q876" i="2"/>
  <c r="P876" i="2"/>
  <c r="N876" i="2"/>
  <c r="M876" i="2"/>
  <c r="K876" i="2"/>
  <c r="I876" i="2"/>
  <c r="R875" i="2"/>
  <c r="Q875" i="2"/>
  <c r="O875" i="2"/>
  <c r="N875" i="2"/>
  <c r="M875" i="2"/>
  <c r="K875" i="2"/>
  <c r="I875" i="2"/>
  <c r="R874" i="2"/>
  <c r="Q874" i="2"/>
  <c r="P874" i="2"/>
  <c r="O874" i="2"/>
  <c r="N874" i="2"/>
  <c r="I874" i="2"/>
  <c r="L874" i="2" s="1"/>
  <c r="G874" i="2"/>
  <c r="R873" i="2"/>
  <c r="Q873" i="2"/>
  <c r="P873" i="2"/>
  <c r="O873" i="2"/>
  <c r="N873" i="2"/>
  <c r="L873" i="2"/>
  <c r="G873" i="2"/>
  <c r="R871" i="2"/>
  <c r="Q871" i="2"/>
  <c r="P871" i="2"/>
  <c r="O871" i="2"/>
  <c r="N871" i="2"/>
  <c r="L871" i="2"/>
  <c r="I871" i="2"/>
  <c r="G871" i="2"/>
  <c r="R870" i="2"/>
  <c r="Q870" i="2"/>
  <c r="P870" i="2"/>
  <c r="O870" i="2"/>
  <c r="N870" i="2"/>
  <c r="L870" i="2"/>
  <c r="G870" i="2"/>
  <c r="R869" i="2"/>
  <c r="Q869" i="2"/>
  <c r="P869" i="2"/>
  <c r="O869" i="2"/>
  <c r="N869" i="2"/>
  <c r="M869" i="2"/>
  <c r="L869" i="2"/>
  <c r="R868" i="2"/>
  <c r="Q868" i="2"/>
  <c r="P868" i="2"/>
  <c r="O868" i="2"/>
  <c r="M868" i="2"/>
  <c r="K868" i="2"/>
  <c r="I868" i="2"/>
  <c r="R867" i="2"/>
  <c r="Q867" i="2"/>
  <c r="P867" i="2"/>
  <c r="N867" i="2"/>
  <c r="M867" i="2"/>
  <c r="K867" i="2"/>
  <c r="I867" i="2"/>
  <c r="R866" i="2"/>
  <c r="Q866" i="2"/>
  <c r="O866" i="2"/>
  <c r="N866" i="2"/>
  <c r="M866" i="2"/>
  <c r="K866" i="2"/>
  <c r="L866" i="2" s="1"/>
  <c r="P866" i="2" s="1"/>
  <c r="I866" i="2"/>
  <c r="R865" i="2"/>
  <c r="Q865" i="2"/>
  <c r="P865" i="2"/>
  <c r="O865" i="2"/>
  <c r="N865" i="2"/>
  <c r="I865" i="2"/>
  <c r="L865" i="2" s="1"/>
  <c r="G865" i="2"/>
  <c r="R864" i="2"/>
  <c r="Q864" i="2"/>
  <c r="P864" i="2"/>
  <c r="O864" i="2"/>
  <c r="N864" i="2"/>
  <c r="I864" i="2"/>
  <c r="L864" i="2" s="1"/>
  <c r="G864" i="2"/>
  <c r="R863" i="2"/>
  <c r="Q863" i="2"/>
  <c r="P863" i="2"/>
  <c r="O863" i="2"/>
  <c r="N863" i="2"/>
  <c r="I863" i="2"/>
  <c r="L863" i="2" s="1"/>
  <c r="G863" i="2"/>
  <c r="R862" i="2"/>
  <c r="Q862" i="2"/>
  <c r="P862" i="2"/>
  <c r="O862" i="2"/>
  <c r="N862" i="2"/>
  <c r="I862" i="2"/>
  <c r="L862" i="2" s="1"/>
  <c r="G862" i="2"/>
  <c r="R861" i="2"/>
  <c r="Q861" i="2"/>
  <c r="P861" i="2"/>
  <c r="O861" i="2"/>
  <c r="N861" i="2"/>
  <c r="M861" i="2"/>
  <c r="L861" i="2"/>
  <c r="R860" i="2"/>
  <c r="Q860" i="2"/>
  <c r="P860" i="2"/>
  <c r="O860" i="2"/>
  <c r="M860" i="2"/>
  <c r="K860" i="2"/>
  <c r="I860" i="2"/>
  <c r="R859" i="2"/>
  <c r="Q859" i="2"/>
  <c r="P859" i="2"/>
  <c r="N859" i="2"/>
  <c r="M859" i="2"/>
  <c r="K859" i="2"/>
  <c r="I859" i="2"/>
  <c r="R858" i="2"/>
  <c r="Q858" i="2"/>
  <c r="O858" i="2"/>
  <c r="N858" i="2"/>
  <c r="M858" i="2"/>
  <c r="K858" i="2"/>
  <c r="L858" i="2" s="1"/>
  <c r="P858" i="2" s="1"/>
  <c r="I858" i="2"/>
  <c r="R857" i="2"/>
  <c r="Q857" i="2"/>
  <c r="P857" i="2"/>
  <c r="O857" i="2"/>
  <c r="N857" i="2"/>
  <c r="I857" i="2"/>
  <c r="L857" i="2" s="1"/>
  <c r="G857" i="2"/>
  <c r="M857" i="2" s="1"/>
  <c r="R856" i="2"/>
  <c r="Q856" i="2"/>
  <c r="P856" i="2"/>
  <c r="O856" i="2"/>
  <c r="N856" i="2"/>
  <c r="I856" i="2"/>
  <c r="L856" i="2" s="1"/>
  <c r="G856" i="2"/>
  <c r="R855" i="2"/>
  <c r="Q855" i="2"/>
  <c r="P855" i="2"/>
  <c r="O855" i="2"/>
  <c r="N855" i="2"/>
  <c r="M855" i="2"/>
  <c r="L855" i="2"/>
  <c r="R853" i="2"/>
  <c r="Q853" i="2"/>
  <c r="P853" i="2"/>
  <c r="N853" i="2"/>
  <c r="M853" i="2"/>
  <c r="K853" i="2"/>
  <c r="L853" i="2" s="1"/>
  <c r="I853" i="2"/>
  <c r="E853" i="2"/>
  <c r="E854" i="2" s="1"/>
  <c r="R852" i="2"/>
  <c r="Q852" i="2"/>
  <c r="O852" i="2"/>
  <c r="N852" i="2"/>
  <c r="M852" i="2"/>
  <c r="K852" i="2"/>
  <c r="I852" i="2"/>
  <c r="R851" i="2"/>
  <c r="Q851" i="2"/>
  <c r="P851" i="2"/>
  <c r="O851" i="2"/>
  <c r="N851" i="2"/>
  <c r="I851" i="2"/>
  <c r="L851" i="2" s="1"/>
  <c r="G851" i="2"/>
  <c r="M851" i="2" s="1"/>
  <c r="R850" i="2"/>
  <c r="Q850" i="2"/>
  <c r="P850" i="2"/>
  <c r="O850" i="2"/>
  <c r="N850" i="2"/>
  <c r="I850" i="2"/>
  <c r="L850" i="2" s="1"/>
  <c r="G850" i="2"/>
  <c r="R849" i="2"/>
  <c r="Q849" i="2"/>
  <c r="P849" i="2"/>
  <c r="O849" i="2"/>
  <c r="N849" i="2"/>
  <c r="I849" i="2"/>
  <c r="L849" i="2" s="1"/>
  <c r="G849" i="2"/>
  <c r="R848" i="2"/>
  <c r="Q848" i="2"/>
  <c r="P848" i="2"/>
  <c r="O848" i="2"/>
  <c r="N848" i="2"/>
  <c r="L848" i="2"/>
  <c r="I848" i="2"/>
  <c r="G848" i="2"/>
  <c r="R847" i="2"/>
  <c r="Q847" i="2"/>
  <c r="P847" i="2"/>
  <c r="O847" i="2"/>
  <c r="N847" i="2"/>
  <c r="M847" i="2"/>
  <c r="L847" i="2"/>
  <c r="R846" i="2"/>
  <c r="Q846" i="2"/>
  <c r="P846" i="2"/>
  <c r="O846" i="2"/>
  <c r="M846" i="2"/>
  <c r="K846" i="2"/>
  <c r="I846" i="2"/>
  <c r="R845" i="2"/>
  <c r="Q845" i="2"/>
  <c r="P845" i="2"/>
  <c r="N845" i="2"/>
  <c r="M845" i="2"/>
  <c r="K845" i="2"/>
  <c r="I845" i="2"/>
  <c r="E845" i="2"/>
  <c r="E846" i="2" s="1"/>
  <c r="R844" i="2"/>
  <c r="Q844" i="2"/>
  <c r="O844" i="2"/>
  <c r="N844" i="2"/>
  <c r="M844" i="2"/>
  <c r="K844" i="2"/>
  <c r="I844" i="2"/>
  <c r="R843" i="2"/>
  <c r="Q843" i="2"/>
  <c r="P843" i="2"/>
  <c r="O843" i="2"/>
  <c r="N843" i="2"/>
  <c r="I843" i="2"/>
  <c r="L843" i="2" s="1"/>
  <c r="G843" i="2"/>
  <c r="R842" i="2"/>
  <c r="Q842" i="2"/>
  <c r="P842" i="2"/>
  <c r="O842" i="2"/>
  <c r="N842" i="2"/>
  <c r="I842" i="2"/>
  <c r="L842" i="2" s="1"/>
  <c r="G842" i="2"/>
  <c r="R841" i="2"/>
  <c r="Q841" i="2"/>
  <c r="P841" i="2"/>
  <c r="O841" i="2"/>
  <c r="N841" i="2"/>
  <c r="I841" i="2"/>
  <c r="L841" i="2" s="1"/>
  <c r="G841" i="2"/>
  <c r="R840" i="2"/>
  <c r="Q840" i="2"/>
  <c r="P840" i="2"/>
  <c r="O840" i="2"/>
  <c r="N840" i="2"/>
  <c r="M840" i="2"/>
  <c r="L840" i="2"/>
  <c r="R839" i="2"/>
  <c r="Q839" i="2"/>
  <c r="P839" i="2"/>
  <c r="N839" i="2"/>
  <c r="M839" i="2"/>
  <c r="K839" i="2"/>
  <c r="L839" i="2" s="1"/>
  <c r="O839" i="2" s="1"/>
  <c r="I839" i="2"/>
  <c r="R838" i="2"/>
  <c r="Q838" i="2"/>
  <c r="O838" i="2"/>
  <c r="N838" i="2"/>
  <c r="M838" i="2"/>
  <c r="K838" i="2"/>
  <c r="L838" i="2" s="1"/>
  <c r="P838" i="2" s="1"/>
  <c r="I838" i="2"/>
  <c r="R837" i="2"/>
  <c r="Q837" i="2"/>
  <c r="P837" i="2"/>
  <c r="O837" i="2"/>
  <c r="N837" i="2"/>
  <c r="I837" i="2"/>
  <c r="L837" i="2" s="1"/>
  <c r="G837" i="2"/>
  <c r="R836" i="2"/>
  <c r="Q836" i="2"/>
  <c r="P836" i="2"/>
  <c r="O836" i="2"/>
  <c r="N836" i="2"/>
  <c r="I836" i="2"/>
  <c r="L836" i="2" s="1"/>
  <c r="G836" i="2"/>
  <c r="R835" i="2"/>
  <c r="Q835" i="2"/>
  <c r="P835" i="2"/>
  <c r="O835" i="2"/>
  <c r="N835" i="2"/>
  <c r="M835" i="2"/>
  <c r="L835" i="2"/>
  <c r="R834" i="2"/>
  <c r="Q834" i="2"/>
  <c r="P834" i="2"/>
  <c r="N834" i="2"/>
  <c r="M834" i="2"/>
  <c r="K834" i="2"/>
  <c r="I834" i="2"/>
  <c r="R833" i="2"/>
  <c r="Q833" i="2"/>
  <c r="O833" i="2"/>
  <c r="N833" i="2"/>
  <c r="M833" i="2"/>
  <c r="K833" i="2"/>
  <c r="I833" i="2"/>
  <c r="R832" i="2"/>
  <c r="Q832" i="2"/>
  <c r="P832" i="2"/>
  <c r="O832" i="2"/>
  <c r="N832" i="2"/>
  <c r="I832" i="2"/>
  <c r="L832" i="2" s="1"/>
  <c r="G832" i="2"/>
  <c r="R831" i="2"/>
  <c r="Q831" i="2"/>
  <c r="P831" i="2"/>
  <c r="O831" i="2"/>
  <c r="N831" i="2"/>
  <c r="I831" i="2"/>
  <c r="L831" i="2" s="1"/>
  <c r="G831" i="2"/>
  <c r="R830" i="2"/>
  <c r="Q830" i="2"/>
  <c r="P830" i="2"/>
  <c r="O830" i="2"/>
  <c r="N830" i="2"/>
  <c r="I830" i="2"/>
  <c r="L830" i="2" s="1"/>
  <c r="G830" i="2"/>
  <c r="R829" i="2"/>
  <c r="Q829" i="2"/>
  <c r="P829" i="2"/>
  <c r="O829" i="2"/>
  <c r="N829" i="2"/>
  <c r="I829" i="2"/>
  <c r="L829" i="2" s="1"/>
  <c r="G829" i="2"/>
  <c r="R828" i="2"/>
  <c r="Q828" i="2"/>
  <c r="P828" i="2"/>
  <c r="O828" i="2"/>
  <c r="N828" i="2"/>
  <c r="I828" i="2"/>
  <c r="L828" i="2" s="1"/>
  <c r="G828" i="2"/>
  <c r="R827" i="2"/>
  <c r="Q827" i="2"/>
  <c r="P827" i="2"/>
  <c r="O827" i="2"/>
  <c r="N827" i="2"/>
  <c r="I827" i="2"/>
  <c r="L827" i="2" s="1"/>
  <c r="G827" i="2"/>
  <c r="R826" i="2"/>
  <c r="Q826" i="2"/>
  <c r="P826" i="2"/>
  <c r="O826" i="2"/>
  <c r="N826" i="2"/>
  <c r="I826" i="2"/>
  <c r="L826" i="2" s="1"/>
  <c r="G826" i="2"/>
  <c r="R825" i="2"/>
  <c r="Q825" i="2"/>
  <c r="P825" i="2"/>
  <c r="O825" i="2"/>
  <c r="N825" i="2"/>
  <c r="I825" i="2"/>
  <c r="L825" i="2" s="1"/>
  <c r="G825" i="2"/>
  <c r="R824" i="2"/>
  <c r="Q824" i="2"/>
  <c r="P824" i="2"/>
  <c r="O824" i="2"/>
  <c r="N824" i="2"/>
  <c r="M824" i="2"/>
  <c r="L824" i="2"/>
  <c r="R823" i="2"/>
  <c r="Q823" i="2"/>
  <c r="P823" i="2"/>
  <c r="O823" i="2"/>
  <c r="M823" i="2"/>
  <c r="K823" i="2"/>
  <c r="I823" i="2"/>
  <c r="R822" i="2"/>
  <c r="Q822" i="2"/>
  <c r="P822" i="2"/>
  <c r="N822" i="2"/>
  <c r="M822" i="2"/>
  <c r="K822" i="2"/>
  <c r="L822" i="2" s="1"/>
  <c r="O822" i="2" s="1"/>
  <c r="I822" i="2"/>
  <c r="R821" i="2"/>
  <c r="Q821" i="2"/>
  <c r="O821" i="2"/>
  <c r="N821" i="2"/>
  <c r="M821" i="2"/>
  <c r="K821" i="2"/>
  <c r="I821" i="2"/>
  <c r="R820" i="2"/>
  <c r="Q820" i="2"/>
  <c r="P820" i="2"/>
  <c r="O820" i="2"/>
  <c r="N820" i="2"/>
  <c r="I820" i="2"/>
  <c r="L820" i="2" s="1"/>
  <c r="G820" i="2"/>
  <c r="R819" i="2"/>
  <c r="Q819" i="2"/>
  <c r="P819" i="2"/>
  <c r="O819" i="2"/>
  <c r="N819" i="2"/>
  <c r="I819" i="2"/>
  <c r="L819" i="2" s="1"/>
  <c r="G819" i="2"/>
  <c r="R818" i="2"/>
  <c r="Q818" i="2"/>
  <c r="P818" i="2"/>
  <c r="O818" i="2"/>
  <c r="N818" i="2"/>
  <c r="I818" i="2"/>
  <c r="L818" i="2" s="1"/>
  <c r="G818" i="2"/>
  <c r="R817" i="2"/>
  <c r="Q817" i="2"/>
  <c r="P817" i="2"/>
  <c r="O817" i="2"/>
  <c r="N817" i="2"/>
  <c r="I817" i="2"/>
  <c r="L817" i="2" s="1"/>
  <c r="G817" i="2"/>
  <c r="R816" i="2"/>
  <c r="Q816" i="2"/>
  <c r="P816" i="2"/>
  <c r="O816" i="2"/>
  <c r="N816" i="2"/>
  <c r="I816" i="2"/>
  <c r="L816" i="2" s="1"/>
  <c r="G816" i="2"/>
  <c r="R815" i="2"/>
  <c r="Q815" i="2"/>
  <c r="P815" i="2"/>
  <c r="O815" i="2"/>
  <c r="N815" i="2"/>
  <c r="I815" i="2"/>
  <c r="L815" i="2" s="1"/>
  <c r="G815" i="2"/>
  <c r="R814" i="2"/>
  <c r="Q814" i="2"/>
  <c r="P814" i="2"/>
  <c r="O814" i="2"/>
  <c r="N814" i="2"/>
  <c r="I814" i="2"/>
  <c r="L814" i="2" s="1"/>
  <c r="G814" i="2"/>
  <c r="R813" i="2"/>
  <c r="Q813" i="2"/>
  <c r="P813" i="2"/>
  <c r="O813" i="2"/>
  <c r="N813" i="2"/>
  <c r="I813" i="2"/>
  <c r="L813" i="2" s="1"/>
  <c r="G813" i="2"/>
  <c r="R812" i="2"/>
  <c r="Q812" i="2"/>
  <c r="P812" i="2"/>
  <c r="O812" i="2"/>
  <c r="N812" i="2"/>
  <c r="M812" i="2"/>
  <c r="L812" i="2"/>
  <c r="R811" i="2"/>
  <c r="Q811" i="2"/>
  <c r="P811" i="2"/>
  <c r="O811" i="2"/>
  <c r="M811" i="2"/>
  <c r="K811" i="2"/>
  <c r="I811" i="2"/>
  <c r="R810" i="2"/>
  <c r="Q810" i="2"/>
  <c r="P810" i="2"/>
  <c r="N810" i="2"/>
  <c r="M810" i="2"/>
  <c r="K810" i="2"/>
  <c r="I810" i="2"/>
  <c r="R809" i="2"/>
  <c r="Q809" i="2"/>
  <c r="O809" i="2"/>
  <c r="N809" i="2"/>
  <c r="M809" i="2"/>
  <c r="K809" i="2"/>
  <c r="I809" i="2"/>
  <c r="R808" i="2"/>
  <c r="Q808" i="2"/>
  <c r="P808" i="2"/>
  <c r="O808" i="2"/>
  <c r="N808" i="2"/>
  <c r="M808" i="2"/>
  <c r="L808" i="2"/>
  <c r="R807" i="2"/>
  <c r="Q807" i="2"/>
  <c r="P807" i="2"/>
  <c r="O807" i="2"/>
  <c r="N807" i="2"/>
  <c r="I807" i="2"/>
  <c r="L807" i="2" s="1"/>
  <c r="G807" i="2"/>
  <c r="R806" i="2"/>
  <c r="Q806" i="2"/>
  <c r="P806" i="2"/>
  <c r="O806" i="2"/>
  <c r="N806" i="2"/>
  <c r="I806" i="2"/>
  <c r="L806" i="2" s="1"/>
  <c r="G806" i="2"/>
  <c r="R805" i="2"/>
  <c r="Q805" i="2"/>
  <c r="P805" i="2"/>
  <c r="O805" i="2"/>
  <c r="N805" i="2"/>
  <c r="I805" i="2"/>
  <c r="L805" i="2" s="1"/>
  <c r="G805" i="2"/>
  <c r="R804" i="2"/>
  <c r="Q804" i="2"/>
  <c r="P804" i="2"/>
  <c r="O804" i="2"/>
  <c r="M804" i="2"/>
  <c r="I804" i="2"/>
  <c r="L804" i="2" s="1"/>
  <c r="G804" i="2"/>
  <c r="F804" i="2"/>
  <c r="R803" i="2"/>
  <c r="Q803" i="2"/>
  <c r="P803" i="2"/>
  <c r="O803" i="2"/>
  <c r="M803" i="2"/>
  <c r="L803" i="2"/>
  <c r="I803" i="2"/>
  <c r="G803" i="2"/>
  <c r="R802" i="2"/>
  <c r="Q802" i="2"/>
  <c r="P802" i="2"/>
  <c r="O802" i="2"/>
  <c r="M802" i="2"/>
  <c r="L802" i="2"/>
  <c r="I802" i="2"/>
  <c r="G802" i="2"/>
  <c r="E802" i="2"/>
  <c r="E803" i="2" s="1"/>
  <c r="R800" i="2"/>
  <c r="Q800" i="2"/>
  <c r="O800" i="2"/>
  <c r="N800" i="2"/>
  <c r="M800" i="2"/>
  <c r="K800" i="2"/>
  <c r="I800" i="2"/>
  <c r="L800" i="2" s="1"/>
  <c r="P800" i="2" s="1"/>
  <c r="R799" i="2"/>
  <c r="Q799" i="2"/>
  <c r="P799" i="2"/>
  <c r="O799" i="2"/>
  <c r="N799" i="2"/>
  <c r="I799" i="2"/>
  <c r="L799" i="2" s="1"/>
  <c r="G799" i="2"/>
  <c r="R798" i="2"/>
  <c r="Q798" i="2"/>
  <c r="P798" i="2"/>
  <c r="O798" i="2"/>
  <c r="N798" i="2"/>
  <c r="I798" i="2"/>
  <c r="L798" i="2" s="1"/>
  <c r="G798" i="2"/>
  <c r="R797" i="2"/>
  <c r="Q797" i="2"/>
  <c r="P797" i="2"/>
  <c r="O797" i="2"/>
  <c r="N797" i="2"/>
  <c r="I797" i="2"/>
  <c r="L797" i="2" s="1"/>
  <c r="G797" i="2"/>
  <c r="R796" i="2"/>
  <c r="Q796" i="2"/>
  <c r="P796" i="2"/>
  <c r="O796" i="2"/>
  <c r="M796" i="2"/>
  <c r="I796" i="2"/>
  <c r="L796" i="2" s="1"/>
  <c r="G796" i="2"/>
  <c r="F796" i="2"/>
  <c r="R795" i="2"/>
  <c r="Q795" i="2"/>
  <c r="P795" i="2"/>
  <c r="O795" i="2"/>
  <c r="M795" i="2"/>
  <c r="I795" i="2"/>
  <c r="L795" i="2" s="1"/>
  <c r="G795" i="2"/>
  <c r="F795" i="2"/>
  <c r="R794" i="2"/>
  <c r="Q794" i="2"/>
  <c r="P794" i="2"/>
  <c r="O794" i="2"/>
  <c r="M794" i="2"/>
  <c r="I794" i="2"/>
  <c r="L794" i="2" s="1"/>
  <c r="G794" i="2"/>
  <c r="R793" i="2"/>
  <c r="Q793" i="2"/>
  <c r="P793" i="2"/>
  <c r="N793" i="2"/>
  <c r="M793" i="2"/>
  <c r="K793" i="2"/>
  <c r="I793" i="2"/>
  <c r="E793" i="2"/>
  <c r="E794" i="2" s="1"/>
  <c r="R792" i="2"/>
  <c r="Q792" i="2"/>
  <c r="O792" i="2"/>
  <c r="N792" i="2"/>
  <c r="M792" i="2"/>
  <c r="K792" i="2"/>
  <c r="I792" i="2"/>
  <c r="R791" i="2"/>
  <c r="Q791" i="2"/>
  <c r="P791" i="2"/>
  <c r="O791" i="2"/>
  <c r="N791" i="2"/>
  <c r="I791" i="2"/>
  <c r="L791" i="2" s="1"/>
  <c r="G791" i="2"/>
  <c r="R790" i="2"/>
  <c r="Q790" i="2"/>
  <c r="P790" i="2"/>
  <c r="O790" i="2"/>
  <c r="N790" i="2"/>
  <c r="I790" i="2"/>
  <c r="L790" i="2" s="1"/>
  <c r="G790" i="2"/>
  <c r="R789" i="2"/>
  <c r="Q789" i="2"/>
  <c r="P789" i="2"/>
  <c r="O789" i="2"/>
  <c r="N789" i="2"/>
  <c r="I789" i="2"/>
  <c r="L789" i="2" s="1"/>
  <c r="G789" i="2"/>
  <c r="R788" i="2"/>
  <c r="Q788" i="2"/>
  <c r="P788" i="2"/>
  <c r="O788" i="2"/>
  <c r="N788" i="2"/>
  <c r="I788" i="2"/>
  <c r="L788" i="2" s="1"/>
  <c r="G788" i="2"/>
  <c r="R787" i="2"/>
  <c r="Q787" i="2"/>
  <c r="P787" i="2"/>
  <c r="O787" i="2"/>
  <c r="M787" i="2"/>
  <c r="I787" i="2"/>
  <c r="L787" i="2" s="1"/>
  <c r="G787" i="2"/>
  <c r="R786" i="2"/>
  <c r="Q786" i="2"/>
  <c r="P786" i="2"/>
  <c r="O786" i="2"/>
  <c r="M786" i="2"/>
  <c r="I786" i="2"/>
  <c r="L786" i="2" s="1"/>
  <c r="G786" i="2"/>
  <c r="F786" i="2"/>
  <c r="R785" i="2"/>
  <c r="Q785" i="2"/>
  <c r="P785" i="2"/>
  <c r="O785" i="2"/>
  <c r="M785" i="2"/>
  <c r="I785" i="2"/>
  <c r="L785" i="2" s="1"/>
  <c r="G785" i="2"/>
  <c r="R784" i="2"/>
  <c r="Q784" i="2"/>
  <c r="P784" i="2"/>
  <c r="O784" i="2"/>
  <c r="M784" i="2"/>
  <c r="I784" i="2"/>
  <c r="L784" i="2" s="1"/>
  <c r="G784" i="2"/>
  <c r="R783" i="2"/>
  <c r="Q783" i="2"/>
  <c r="P783" i="2"/>
  <c r="N783" i="2"/>
  <c r="M783" i="2"/>
  <c r="K783" i="2"/>
  <c r="L783" i="2" s="1"/>
  <c r="I783" i="2"/>
  <c r="E783" i="2"/>
  <c r="E784" i="2" s="1"/>
  <c r="R782" i="2"/>
  <c r="Q782" i="2"/>
  <c r="O782" i="2"/>
  <c r="N782" i="2"/>
  <c r="M782" i="2"/>
  <c r="K782" i="2"/>
  <c r="L782" i="2" s="1"/>
  <c r="P782" i="2" s="1"/>
  <c r="I782" i="2"/>
  <c r="R781" i="2"/>
  <c r="Q781" i="2"/>
  <c r="P781" i="2"/>
  <c r="O781" i="2"/>
  <c r="N781" i="2"/>
  <c r="I781" i="2"/>
  <c r="L781" i="2" s="1"/>
  <c r="G781" i="2"/>
  <c r="R780" i="2"/>
  <c r="Q780" i="2"/>
  <c r="P780" i="2"/>
  <c r="O780" i="2"/>
  <c r="N780" i="2"/>
  <c r="I780" i="2"/>
  <c r="L780" i="2" s="1"/>
  <c r="G780" i="2"/>
  <c r="R779" i="2"/>
  <c r="Q779" i="2"/>
  <c r="P779" i="2"/>
  <c r="O779" i="2"/>
  <c r="N779" i="2"/>
  <c r="I779" i="2"/>
  <c r="L779" i="2" s="1"/>
  <c r="G779" i="2"/>
  <c r="R778" i="2"/>
  <c r="Q778" i="2"/>
  <c r="P778" i="2"/>
  <c r="O778" i="2"/>
  <c r="N778" i="2"/>
  <c r="I778" i="2"/>
  <c r="L778" i="2" s="1"/>
  <c r="G778" i="2"/>
  <c r="R777" i="2"/>
  <c r="Q777" i="2"/>
  <c r="P777" i="2"/>
  <c r="O777" i="2"/>
  <c r="M777" i="2"/>
  <c r="I777" i="2"/>
  <c r="L777" i="2" s="1"/>
  <c r="G777" i="2"/>
  <c r="R776" i="2"/>
  <c r="Q776" i="2"/>
  <c r="P776" i="2"/>
  <c r="O776" i="2"/>
  <c r="M776" i="2"/>
  <c r="I776" i="2"/>
  <c r="L776" i="2" s="1"/>
  <c r="G776" i="2"/>
  <c r="F776" i="2"/>
  <c r="R775" i="2"/>
  <c r="Q775" i="2"/>
  <c r="P775" i="2"/>
  <c r="O775" i="2"/>
  <c r="M775" i="2"/>
  <c r="I775" i="2"/>
  <c r="L775" i="2" s="1"/>
  <c r="G775" i="2"/>
  <c r="R774" i="2"/>
  <c r="Q774" i="2"/>
  <c r="P774" i="2"/>
  <c r="O774" i="2"/>
  <c r="M774" i="2"/>
  <c r="I774" i="2"/>
  <c r="L774" i="2" s="1"/>
  <c r="G774" i="2"/>
  <c r="R773" i="2"/>
  <c r="Q773" i="2"/>
  <c r="P773" i="2"/>
  <c r="N773" i="2"/>
  <c r="M773" i="2"/>
  <c r="K773" i="2"/>
  <c r="I773" i="2"/>
  <c r="E773" i="2"/>
  <c r="E774" i="2" s="1"/>
  <c r="R772" i="2"/>
  <c r="Q772" i="2"/>
  <c r="O772" i="2"/>
  <c r="N772" i="2"/>
  <c r="M772" i="2"/>
  <c r="K772" i="2"/>
  <c r="I772" i="2"/>
  <c r="R771" i="2"/>
  <c r="Q771" i="2"/>
  <c r="P771" i="2"/>
  <c r="O771" i="2"/>
  <c r="N771" i="2"/>
  <c r="I771" i="2"/>
  <c r="L771" i="2" s="1"/>
  <c r="G771" i="2"/>
  <c r="R770" i="2"/>
  <c r="Q770" i="2"/>
  <c r="P770" i="2"/>
  <c r="O770" i="2"/>
  <c r="N770" i="2"/>
  <c r="I770" i="2"/>
  <c r="L770" i="2" s="1"/>
  <c r="G770" i="2"/>
  <c r="R769" i="2"/>
  <c r="Q769" i="2"/>
  <c r="P769" i="2"/>
  <c r="O769" i="2"/>
  <c r="N769" i="2"/>
  <c r="I769" i="2"/>
  <c r="L769" i="2" s="1"/>
  <c r="G769" i="2"/>
  <c r="R768" i="2"/>
  <c r="Q768" i="2"/>
  <c r="P768" i="2"/>
  <c r="O768" i="2"/>
  <c r="N768" i="2"/>
  <c r="I768" i="2"/>
  <c r="L768" i="2" s="1"/>
  <c r="G768" i="2"/>
  <c r="R767" i="2"/>
  <c r="Q767" i="2"/>
  <c r="P767" i="2"/>
  <c r="O767" i="2"/>
  <c r="M767" i="2"/>
  <c r="I767" i="2"/>
  <c r="L767" i="2" s="1"/>
  <c r="G767" i="2"/>
  <c r="R766" i="2"/>
  <c r="Q766" i="2"/>
  <c r="P766" i="2"/>
  <c r="O766" i="2"/>
  <c r="M766" i="2"/>
  <c r="I766" i="2"/>
  <c r="L766" i="2" s="1"/>
  <c r="G766" i="2"/>
  <c r="F766" i="2"/>
  <c r="R765" i="2"/>
  <c r="Q765" i="2"/>
  <c r="P765" i="2"/>
  <c r="O765" i="2"/>
  <c r="M765" i="2"/>
  <c r="I765" i="2"/>
  <c r="L765" i="2" s="1"/>
  <c r="G765" i="2"/>
  <c r="R764" i="2"/>
  <c r="Q764" i="2"/>
  <c r="P764" i="2"/>
  <c r="O764" i="2"/>
  <c r="M764" i="2"/>
  <c r="I764" i="2"/>
  <c r="L764" i="2" s="1"/>
  <c r="G764" i="2"/>
  <c r="E764" i="2"/>
  <c r="E765" i="2" s="1"/>
  <c r="E766" i="2" s="1"/>
  <c r="R763" i="2"/>
  <c r="Q763" i="2"/>
  <c r="N763" i="2"/>
  <c r="M763" i="2"/>
  <c r="K763" i="2"/>
  <c r="L763" i="2" s="1"/>
  <c r="P763" i="2" s="1"/>
  <c r="I763" i="2"/>
  <c r="R762" i="2"/>
  <c r="O762" i="2"/>
  <c r="N762" i="2"/>
  <c r="M762" i="2"/>
  <c r="K762" i="2"/>
  <c r="I762" i="2"/>
  <c r="R761" i="2"/>
  <c r="Q761" i="2"/>
  <c r="P761" i="2"/>
  <c r="O761" i="2"/>
  <c r="N761" i="2"/>
  <c r="I761" i="2"/>
  <c r="L761" i="2" s="1"/>
  <c r="G761" i="2"/>
  <c r="R760" i="2"/>
  <c r="Q760" i="2"/>
  <c r="P760" i="2"/>
  <c r="O760" i="2"/>
  <c r="N760" i="2"/>
  <c r="I760" i="2"/>
  <c r="L760" i="2" s="1"/>
  <c r="G760" i="2"/>
  <c r="R759" i="2"/>
  <c r="Q759" i="2"/>
  <c r="P759" i="2"/>
  <c r="O759" i="2"/>
  <c r="N759" i="2"/>
  <c r="I759" i="2"/>
  <c r="L759" i="2" s="1"/>
  <c r="G759" i="2"/>
  <c r="R758" i="2"/>
  <c r="Q758" i="2"/>
  <c r="P758" i="2"/>
  <c r="O758" i="2"/>
  <c r="M758" i="2"/>
  <c r="I758" i="2"/>
  <c r="L758" i="2" s="1"/>
  <c r="G758" i="2"/>
  <c r="F758" i="2"/>
  <c r="R757" i="2"/>
  <c r="Q757" i="2"/>
  <c r="P757" i="2"/>
  <c r="O757" i="2"/>
  <c r="M757" i="2"/>
  <c r="I757" i="2"/>
  <c r="L757" i="2" s="1"/>
  <c r="G757" i="2"/>
  <c r="R756" i="2"/>
  <c r="Q756" i="2"/>
  <c r="P756" i="2"/>
  <c r="O756" i="2"/>
  <c r="M756" i="2"/>
  <c r="I756" i="2"/>
  <c r="L756" i="2" s="1"/>
  <c r="G756" i="2"/>
  <c r="R755" i="2"/>
  <c r="P755" i="2"/>
  <c r="O755" i="2"/>
  <c r="N755" i="2"/>
  <c r="M755" i="2"/>
  <c r="K755" i="2"/>
  <c r="L755" i="2" s="1"/>
  <c r="I755" i="2"/>
  <c r="E755" i="2"/>
  <c r="R754" i="2"/>
  <c r="Q754" i="2"/>
  <c r="O754" i="2"/>
  <c r="N754" i="2"/>
  <c r="M754" i="2"/>
  <c r="K754" i="2"/>
  <c r="I754" i="2"/>
  <c r="R753" i="2"/>
  <c r="Q753" i="2"/>
  <c r="P753" i="2"/>
  <c r="O753" i="2"/>
  <c r="N753" i="2"/>
  <c r="I753" i="2"/>
  <c r="L753" i="2" s="1"/>
  <c r="G753" i="2"/>
  <c r="R752" i="2"/>
  <c r="Q752" i="2"/>
  <c r="P752" i="2"/>
  <c r="O752" i="2"/>
  <c r="N752" i="2"/>
  <c r="I752" i="2"/>
  <c r="L752" i="2" s="1"/>
  <c r="G752" i="2"/>
  <c r="R751" i="2"/>
  <c r="Q751" i="2"/>
  <c r="P751" i="2"/>
  <c r="O751" i="2"/>
  <c r="N751" i="2"/>
  <c r="I751" i="2"/>
  <c r="L751" i="2" s="1"/>
  <c r="G751" i="2"/>
  <c r="R750" i="2"/>
  <c r="Q750" i="2"/>
  <c r="P750" i="2"/>
  <c r="O750" i="2"/>
  <c r="M750" i="2"/>
  <c r="I750" i="2"/>
  <c r="L750" i="2" s="1"/>
  <c r="G750" i="2"/>
  <c r="F750" i="2"/>
  <c r="R749" i="2"/>
  <c r="Q749" i="2"/>
  <c r="P749" i="2"/>
  <c r="O749" i="2"/>
  <c r="M749" i="2"/>
  <c r="I749" i="2"/>
  <c r="L749" i="2" s="1"/>
  <c r="G749" i="2"/>
  <c r="R748" i="2"/>
  <c r="Q748" i="2"/>
  <c r="P748" i="2"/>
  <c r="O748" i="2"/>
  <c r="M748" i="2"/>
  <c r="I748" i="2"/>
  <c r="L748" i="2" s="1"/>
  <c r="G748" i="2"/>
  <c r="R747" i="2"/>
  <c r="Q747" i="2"/>
  <c r="P747" i="2"/>
  <c r="N747" i="2"/>
  <c r="M747" i="2"/>
  <c r="K747" i="2"/>
  <c r="I747" i="2"/>
  <c r="R746" i="2"/>
  <c r="Q746" i="2"/>
  <c r="O746" i="2"/>
  <c r="N746" i="2"/>
  <c r="M746" i="2"/>
  <c r="K746" i="2"/>
  <c r="I746" i="2"/>
  <c r="R745" i="2"/>
  <c r="Q745" i="2"/>
  <c r="P745" i="2"/>
  <c r="O745" i="2"/>
  <c r="N745" i="2"/>
  <c r="I745" i="2"/>
  <c r="L745" i="2" s="1"/>
  <c r="G745" i="2"/>
  <c r="R744" i="2"/>
  <c r="Q744" i="2"/>
  <c r="P744" i="2"/>
  <c r="O744" i="2"/>
  <c r="N744" i="2"/>
  <c r="I744" i="2"/>
  <c r="L744" i="2" s="1"/>
  <c r="G744" i="2"/>
  <c r="R743" i="2"/>
  <c r="Q743" i="2"/>
  <c r="P743" i="2"/>
  <c r="O743" i="2"/>
  <c r="N743" i="2"/>
  <c r="I743" i="2"/>
  <c r="L743" i="2" s="1"/>
  <c r="G743" i="2"/>
  <c r="R742" i="2"/>
  <c r="Q742" i="2"/>
  <c r="P742" i="2"/>
  <c r="O742" i="2"/>
  <c r="M742" i="2"/>
  <c r="I742" i="2"/>
  <c r="L742" i="2" s="1"/>
  <c r="G742" i="2"/>
  <c r="F742" i="2"/>
  <c r="R741" i="2"/>
  <c r="Q741" i="2"/>
  <c r="P741" i="2"/>
  <c r="O741" i="2"/>
  <c r="M741" i="2"/>
  <c r="I741" i="2"/>
  <c r="L741" i="2" s="1"/>
  <c r="G741" i="2"/>
  <c r="R740" i="2"/>
  <c r="Q740" i="2"/>
  <c r="P740" i="2"/>
  <c r="O740" i="2"/>
  <c r="M740" i="2"/>
  <c r="I740" i="2"/>
  <c r="L740" i="2" s="1"/>
  <c r="G740" i="2"/>
  <c r="R739" i="2"/>
  <c r="Q739" i="2"/>
  <c r="P739" i="2"/>
  <c r="N739" i="2"/>
  <c r="M739" i="2"/>
  <c r="K739" i="2"/>
  <c r="I739" i="2"/>
  <c r="E739" i="2"/>
  <c r="R738" i="2"/>
  <c r="Q738" i="2"/>
  <c r="O738" i="2"/>
  <c r="N738" i="2"/>
  <c r="M738" i="2"/>
  <c r="K738" i="2"/>
  <c r="I738" i="2"/>
  <c r="L738" i="2" s="1"/>
  <c r="P738" i="2" s="1"/>
  <c r="M831" i="2" l="1"/>
  <c r="L844" i="2"/>
  <c r="P844" i="2" s="1"/>
  <c r="L860" i="2"/>
  <c r="N860" i="2" s="1"/>
  <c r="L887" i="2"/>
  <c r="P887" i="2" s="1"/>
  <c r="M891" i="2"/>
  <c r="L739" i="2"/>
  <c r="M843" i="2"/>
  <c r="M892" i="2"/>
  <c r="M819" i="2"/>
  <c r="M879" i="2"/>
  <c r="P1163" i="8"/>
  <c r="I6" i="3"/>
  <c r="G6" i="3"/>
  <c r="N1163" i="8"/>
  <c r="F6" i="3"/>
  <c r="O1163" i="8"/>
  <c r="M1155" i="8"/>
  <c r="M1157" i="8" s="1"/>
  <c r="S1157" i="8" s="1"/>
  <c r="H6" i="3"/>
  <c r="E6" i="3"/>
  <c r="R1163" i="8"/>
  <c r="Q1163" i="8"/>
  <c r="S490" i="8"/>
  <c r="V490" i="8" s="1"/>
  <c r="M817" i="2"/>
  <c r="L833" i="2"/>
  <c r="P833" i="2" s="1"/>
  <c r="M837" i="2"/>
  <c r="L852" i="2"/>
  <c r="P852" i="2" s="1"/>
  <c r="M862" i="2"/>
  <c r="L897" i="2"/>
  <c r="O897" i="2" s="1"/>
  <c r="M848" i="2"/>
  <c r="M880" i="2"/>
  <c r="L896" i="2"/>
  <c r="P896" i="2" s="1"/>
  <c r="L906" i="2"/>
  <c r="O906" i="2" s="1"/>
  <c r="L810" i="2"/>
  <c r="O810" i="2" s="1"/>
  <c r="L811" i="2"/>
  <c r="N811" i="2" s="1"/>
  <c r="M825" i="2"/>
  <c r="L834" i="2"/>
  <c r="O834" i="2" s="1"/>
  <c r="L846" i="2"/>
  <c r="N846" i="2" s="1"/>
  <c r="M850" i="2"/>
  <c r="M874" i="2"/>
  <c r="L876" i="2"/>
  <c r="O876" i="2" s="1"/>
  <c r="L747" i="2"/>
  <c r="O747" i="2" s="1"/>
  <c r="L772" i="2"/>
  <c r="P772" i="2" s="1"/>
  <c r="L773" i="2"/>
  <c r="O773" i="2" s="1"/>
  <c r="L792" i="2"/>
  <c r="P792" i="2" s="1"/>
  <c r="L793" i="2"/>
  <c r="O793" i="2" s="1"/>
  <c r="L809" i="2"/>
  <c r="P809" i="2" s="1"/>
  <c r="M813" i="2"/>
  <c r="L821" i="2"/>
  <c r="P821" i="2" s="1"/>
  <c r="M827" i="2"/>
  <c r="M832" i="2"/>
  <c r="L867" i="2"/>
  <c r="O867" i="2" s="1"/>
  <c r="L868" i="2"/>
  <c r="N868" i="2" s="1"/>
  <c r="M871" i="2"/>
  <c r="L875" i="2"/>
  <c r="P875" i="2" s="1"/>
  <c r="M881" i="2"/>
  <c r="M886" i="2"/>
  <c r="M893" i="2"/>
  <c r="L898" i="2"/>
  <c r="N898" i="2" s="1"/>
  <c r="M902" i="2"/>
  <c r="M913" i="2"/>
  <c r="M916" i="2"/>
  <c r="M922" i="2"/>
  <c r="L754" i="2"/>
  <c r="P754" i="2" s="1"/>
  <c r="M816" i="2"/>
  <c r="M830" i="2"/>
  <c r="M836" i="2"/>
  <c r="M842" i="2"/>
  <c r="O853" i="2"/>
  <c r="M865" i="2"/>
  <c r="M884" i="2"/>
  <c r="L905" i="2"/>
  <c r="P905" i="2" s="1"/>
  <c r="M911" i="2"/>
  <c r="M914" i="2"/>
  <c r="L919" i="2"/>
  <c r="N919" i="2" s="1"/>
  <c r="L801" i="2"/>
  <c r="M752" i="2"/>
  <c r="M863" i="2"/>
  <c r="M882" i="2"/>
  <c r="M894" i="2"/>
  <c r="M900" i="2"/>
  <c r="M903" i="2"/>
  <c r="M909" i="2"/>
  <c r="M923" i="2"/>
  <c r="M815" i="2"/>
  <c r="L823" i="2"/>
  <c r="N823" i="2" s="1"/>
  <c r="M829" i="2"/>
  <c r="L845" i="2"/>
  <c r="O854" i="2"/>
  <c r="N854" i="2"/>
  <c r="L859" i="2"/>
  <c r="O859" i="2" s="1"/>
  <c r="M864" i="2"/>
  <c r="L877" i="2"/>
  <c r="N877" i="2" s="1"/>
  <c r="M883" i="2"/>
  <c r="L889" i="2"/>
  <c r="N889" i="2" s="1"/>
  <c r="M895" i="2"/>
  <c r="M904" i="2"/>
  <c r="M910" i="2"/>
  <c r="M915" i="2"/>
  <c r="L918" i="2"/>
  <c r="O918" i="2" s="1"/>
  <c r="M921" i="2"/>
  <c r="M924" i="2"/>
  <c r="M873" i="2"/>
  <c r="M870" i="2"/>
  <c r="M828" i="2"/>
  <c r="N764" i="2"/>
  <c r="M814" i="2"/>
  <c r="M751" i="2"/>
  <c r="O763" i="2"/>
  <c r="N748" i="2"/>
  <c r="M818" i="2"/>
  <c r="Q755" i="2"/>
  <c r="N802" i="2"/>
  <c r="M820" i="2"/>
  <c r="M826" i="2"/>
  <c r="L762" i="2"/>
  <c r="R926" i="2"/>
  <c r="I12" i="3" s="1"/>
  <c r="N749" i="2"/>
  <c r="E740" i="2"/>
  <c r="O739" i="2"/>
  <c r="N750" i="2"/>
  <c r="M753" i="2"/>
  <c r="E785" i="2"/>
  <c r="N784" i="2"/>
  <c r="M849" i="2"/>
  <c r="E767" i="2"/>
  <c r="N766" i="2"/>
  <c r="E775" i="2"/>
  <c r="N774" i="2"/>
  <c r="E795" i="2"/>
  <c r="N794" i="2"/>
  <c r="E804" i="2"/>
  <c r="N803" i="2"/>
  <c r="M841" i="2"/>
  <c r="M856" i="2"/>
  <c r="L746" i="2"/>
  <c r="P746" i="2" s="1"/>
  <c r="E756" i="2"/>
  <c r="O845" i="2"/>
  <c r="N765" i="2"/>
  <c r="O783" i="2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04" i="6"/>
  <c r="G405" i="6"/>
  <c r="G406" i="6"/>
  <c r="G407" i="6"/>
  <c r="G408" i="6"/>
  <c r="D402" i="6"/>
  <c r="G402" i="6" s="1"/>
  <c r="D401" i="6"/>
  <c r="D399" i="6"/>
  <c r="D400" i="6" s="1"/>
  <c r="G400" i="6" s="1"/>
  <c r="D398" i="6"/>
  <c r="G398" i="6" s="1"/>
  <c r="G392" i="6"/>
  <c r="G388" i="6"/>
  <c r="G384" i="6"/>
  <c r="G375" i="6"/>
  <c r="G376" i="6"/>
  <c r="G377" i="6"/>
  <c r="G380" i="6"/>
  <c r="G381" i="6"/>
  <c r="G382" i="6"/>
  <c r="G383" i="6"/>
  <c r="G385" i="6"/>
  <c r="G386" i="6"/>
  <c r="G387" i="6"/>
  <c r="G389" i="6"/>
  <c r="G390" i="6"/>
  <c r="G391" i="6"/>
  <c r="G393" i="6"/>
  <c r="G394" i="6"/>
  <c r="G395" i="6"/>
  <c r="G396" i="6"/>
  <c r="G397" i="6"/>
  <c r="G401" i="6"/>
  <c r="D372" i="6"/>
  <c r="G372" i="6" s="1"/>
  <c r="D370" i="6"/>
  <c r="G370" i="6" s="1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1" i="6"/>
  <c r="G373" i="6"/>
  <c r="G374" i="6"/>
  <c r="G349" i="6"/>
  <c r="E347" i="6"/>
  <c r="D347" i="6"/>
  <c r="D344" i="6"/>
  <c r="F337" i="6"/>
  <c r="G337" i="6" s="1"/>
  <c r="D340" i="6"/>
  <c r="G340" i="6" s="1"/>
  <c r="D338" i="6"/>
  <c r="G338" i="6" s="1"/>
  <c r="G334" i="6"/>
  <c r="G330" i="6"/>
  <c r="G327" i="6"/>
  <c r="D321" i="6"/>
  <c r="G321" i="6" s="1"/>
  <c r="G323" i="6"/>
  <c r="G320" i="6"/>
  <c r="G322" i="6"/>
  <c r="G324" i="6"/>
  <c r="G325" i="6"/>
  <c r="G326" i="6"/>
  <c r="G328" i="6"/>
  <c r="G329" i="6"/>
  <c r="G331" i="6"/>
  <c r="G332" i="6"/>
  <c r="G333" i="6"/>
  <c r="G335" i="6"/>
  <c r="G336" i="6"/>
  <c r="G339" i="6"/>
  <c r="G341" i="6"/>
  <c r="S1159" i="8" l="1"/>
  <c r="D6" i="3"/>
  <c r="J6" i="3" s="1"/>
  <c r="M1163" i="8"/>
  <c r="S1163" i="8" s="1"/>
  <c r="M1167" i="8"/>
  <c r="M1168" i="8" s="1"/>
  <c r="P801" i="2"/>
  <c r="O801" i="2"/>
  <c r="O926" i="2" s="1"/>
  <c r="F12" i="3" s="1"/>
  <c r="Q762" i="2"/>
  <c r="Q926" i="2" s="1"/>
  <c r="H12" i="3" s="1"/>
  <c r="P762" i="2"/>
  <c r="E805" i="2"/>
  <c r="N804" i="2"/>
  <c r="E757" i="2"/>
  <c r="N756" i="2"/>
  <c r="N795" i="2"/>
  <c r="E796" i="2"/>
  <c r="N767" i="2"/>
  <c r="E768" i="2"/>
  <c r="E786" i="2"/>
  <c r="N785" i="2"/>
  <c r="E741" i="2"/>
  <c r="N740" i="2"/>
  <c r="E776" i="2"/>
  <c r="N775" i="2"/>
  <c r="G399" i="6"/>
  <c r="G378" i="6"/>
  <c r="D403" i="6"/>
  <c r="G403" i="6" s="1"/>
  <c r="G315" i="6"/>
  <c r="G313" i="6"/>
  <c r="G310" i="6"/>
  <c r="G308" i="6"/>
  <c r="G304" i="6"/>
  <c r="G301" i="6"/>
  <c r="G299" i="6"/>
  <c r="G296" i="6"/>
  <c r="G292" i="6"/>
  <c r="G289" i="6"/>
  <c r="G286" i="6"/>
  <c r="G282" i="6"/>
  <c r="G280" i="6"/>
  <c r="G276" i="6"/>
  <c r="G274" i="6"/>
  <c r="G272" i="6"/>
  <c r="G269" i="6"/>
  <c r="G267" i="6"/>
  <c r="G264" i="6"/>
  <c r="G262" i="6"/>
  <c r="G258" i="6"/>
  <c r="G255" i="6"/>
  <c r="G251" i="6"/>
  <c r="G249" i="6"/>
  <c r="G247" i="6"/>
  <c r="G243" i="6"/>
  <c r="G240" i="6"/>
  <c r="G236" i="6"/>
  <c r="G234" i="6"/>
  <c r="G230" i="6"/>
  <c r="G227" i="6"/>
  <c r="G225" i="6"/>
  <c r="G222" i="6"/>
  <c r="G218" i="6"/>
  <c r="G215" i="6"/>
  <c r="G212" i="6"/>
  <c r="G210" i="6"/>
  <c r="G208" i="6"/>
  <c r="G206" i="6"/>
  <c r="G203" i="6"/>
  <c r="G201" i="6"/>
  <c r="G198" i="6"/>
  <c r="G195" i="6"/>
  <c r="G192" i="6"/>
  <c r="G189" i="6"/>
  <c r="D186" i="6"/>
  <c r="G186" i="6" s="1"/>
  <c r="G183" i="6"/>
  <c r="G180" i="6"/>
  <c r="G176" i="6"/>
  <c r="G172" i="6"/>
  <c r="G169" i="6"/>
  <c r="G165" i="6"/>
  <c r="G162" i="6"/>
  <c r="G159" i="6"/>
  <c r="G155" i="6"/>
  <c r="G151" i="6"/>
  <c r="G149" i="6"/>
  <c r="G147" i="6"/>
  <c r="G145" i="6"/>
  <c r="G143" i="6"/>
  <c r="G139" i="6"/>
  <c r="G136" i="6"/>
  <c r="G132" i="6"/>
  <c r="G130" i="6"/>
  <c r="G128" i="6"/>
  <c r="G124" i="6"/>
  <c r="G121" i="6"/>
  <c r="G117" i="6"/>
  <c r="G114" i="6"/>
  <c r="G111" i="6"/>
  <c r="G108" i="6"/>
  <c r="G105" i="6"/>
  <c r="G103" i="6"/>
  <c r="G100" i="6"/>
  <c r="G96" i="6"/>
  <c r="G92" i="6"/>
  <c r="G90" i="6"/>
  <c r="G87" i="6"/>
  <c r="G84" i="6"/>
  <c r="G81" i="6"/>
  <c r="G77" i="6"/>
  <c r="G75" i="6"/>
  <c r="G71" i="6"/>
  <c r="G70" i="6"/>
  <c r="D67" i="6"/>
  <c r="C67" i="6"/>
  <c r="D63" i="6"/>
  <c r="C63" i="6"/>
  <c r="D60" i="6"/>
  <c r="C60" i="6"/>
  <c r="D57" i="6"/>
  <c r="C57" i="6"/>
  <c r="D54" i="6"/>
  <c r="C54" i="6"/>
  <c r="D51" i="6"/>
  <c r="C51" i="6"/>
  <c r="D48" i="6"/>
  <c r="C48" i="6"/>
  <c r="D45" i="6"/>
  <c r="C45" i="6"/>
  <c r="C42" i="6"/>
  <c r="G42" i="6" s="1"/>
  <c r="G40" i="6"/>
  <c r="G37" i="6"/>
  <c r="G36" i="6"/>
  <c r="G348" i="6"/>
  <c r="G347" i="6"/>
  <c r="G346" i="6"/>
  <c r="G345" i="6"/>
  <c r="G344" i="6"/>
  <c r="G343" i="6"/>
  <c r="G342" i="6"/>
  <c r="G319" i="6"/>
  <c r="F314" i="6"/>
  <c r="G314" i="6" s="1"/>
  <c r="F312" i="6"/>
  <c r="G312" i="6" s="1"/>
  <c r="G311" i="6"/>
  <c r="F309" i="6"/>
  <c r="G309" i="6" s="1"/>
  <c r="F307" i="6"/>
  <c r="G307" i="6" s="1"/>
  <c r="F306" i="6"/>
  <c r="G306" i="6" s="1"/>
  <c r="F305" i="6"/>
  <c r="G305" i="6" s="1"/>
  <c r="F303" i="6"/>
  <c r="G303" i="6" s="1"/>
  <c r="F300" i="6"/>
  <c r="D300" i="6"/>
  <c r="F298" i="6"/>
  <c r="G298" i="6" s="1"/>
  <c r="F297" i="6"/>
  <c r="G297" i="6" s="1"/>
  <c r="F295" i="6"/>
  <c r="G295" i="6" s="1"/>
  <c r="F293" i="6"/>
  <c r="G293" i="6" s="1"/>
  <c r="F291" i="6"/>
  <c r="G291" i="6" s="1"/>
  <c r="F290" i="6"/>
  <c r="G290" i="6" s="1"/>
  <c r="F288" i="6"/>
  <c r="G288" i="6" s="1"/>
  <c r="F287" i="6"/>
  <c r="G287" i="6" s="1"/>
  <c r="D285" i="6"/>
  <c r="G285" i="6" s="1"/>
  <c r="F284" i="6"/>
  <c r="G284" i="6" s="1"/>
  <c r="F283" i="6"/>
  <c r="G283" i="6" s="1"/>
  <c r="F281" i="6"/>
  <c r="G281" i="6" s="1"/>
  <c r="F279" i="6"/>
  <c r="D279" i="6"/>
  <c r="F278" i="6"/>
  <c r="G278" i="6" s="1"/>
  <c r="F277" i="6"/>
  <c r="G277" i="6" s="1"/>
  <c r="F275" i="6"/>
  <c r="G275" i="6" s="1"/>
  <c r="G294" i="6"/>
  <c r="G302" i="6"/>
  <c r="F273" i="6"/>
  <c r="G273" i="6" s="1"/>
  <c r="F271" i="6"/>
  <c r="G271" i="6" s="1"/>
  <c r="G270" i="6"/>
  <c r="F268" i="6"/>
  <c r="G268" i="6" s="1"/>
  <c r="F266" i="6"/>
  <c r="G266" i="6" s="1"/>
  <c r="F260" i="6"/>
  <c r="G260" i="6" s="1"/>
  <c r="F259" i="6"/>
  <c r="G259" i="6" s="1"/>
  <c r="F257" i="6"/>
  <c r="G257" i="6" s="1"/>
  <c r="F256" i="6"/>
  <c r="G256" i="6" s="1"/>
  <c r="F254" i="6"/>
  <c r="G254" i="6" s="1"/>
  <c r="F253" i="6"/>
  <c r="G253" i="6" s="1"/>
  <c r="F252" i="6"/>
  <c r="G252" i="6" s="1"/>
  <c r="F250" i="6"/>
  <c r="G250" i="6" s="1"/>
  <c r="F248" i="6"/>
  <c r="G248" i="6" s="1"/>
  <c r="F244" i="6"/>
  <c r="G244" i="6" s="1"/>
  <c r="G158" i="6"/>
  <c r="F242" i="6"/>
  <c r="G242" i="6" s="1"/>
  <c r="F239" i="6"/>
  <c r="G239" i="6" s="1"/>
  <c r="F237" i="6"/>
  <c r="G237" i="6" s="1"/>
  <c r="F235" i="6"/>
  <c r="G235" i="6" s="1"/>
  <c r="G238" i="6"/>
  <c r="G241" i="6"/>
  <c r="G245" i="6"/>
  <c r="G246" i="6"/>
  <c r="G261" i="6"/>
  <c r="G263" i="6"/>
  <c r="G265" i="6"/>
  <c r="G233" i="6"/>
  <c r="F232" i="6"/>
  <c r="G232" i="6" s="1"/>
  <c r="F231" i="6"/>
  <c r="G231" i="6" s="1"/>
  <c r="F229" i="6"/>
  <c r="G229" i="6" s="1"/>
  <c r="F228" i="6"/>
  <c r="G228" i="6" s="1"/>
  <c r="F226" i="6"/>
  <c r="G226" i="6" s="1"/>
  <c r="F224" i="6"/>
  <c r="G224" i="6" s="1"/>
  <c r="F223" i="6"/>
  <c r="G223" i="6" s="1"/>
  <c r="F221" i="6"/>
  <c r="G221" i="6" s="1"/>
  <c r="F220" i="6"/>
  <c r="G220" i="6" s="1"/>
  <c r="F219" i="6"/>
  <c r="G219" i="6" s="1"/>
  <c r="F217" i="6"/>
  <c r="G217" i="6" s="1"/>
  <c r="F216" i="6"/>
  <c r="G216" i="6" s="1"/>
  <c r="F214" i="6"/>
  <c r="G214" i="6" s="1"/>
  <c r="F213" i="6"/>
  <c r="G213" i="6" s="1"/>
  <c r="F211" i="6"/>
  <c r="G211" i="6" s="1"/>
  <c r="F209" i="6"/>
  <c r="G209" i="6" s="1"/>
  <c r="F207" i="6"/>
  <c r="G207" i="6" s="1"/>
  <c r="F205" i="6"/>
  <c r="G205" i="6" s="1"/>
  <c r="F202" i="6"/>
  <c r="G202" i="6" s="1"/>
  <c r="F199" i="6"/>
  <c r="F196" i="6"/>
  <c r="G196" i="6" s="1"/>
  <c r="G194" i="6"/>
  <c r="G197" i="6"/>
  <c r="G199" i="6"/>
  <c r="G200" i="6"/>
  <c r="G204" i="6"/>
  <c r="F61" i="6"/>
  <c r="G61" i="6" s="1"/>
  <c r="G62" i="6"/>
  <c r="G59" i="6"/>
  <c r="G58" i="6"/>
  <c r="F56" i="6"/>
  <c r="G56" i="6" s="1"/>
  <c r="G55" i="6"/>
  <c r="F53" i="6"/>
  <c r="G53" i="6" s="1"/>
  <c r="G52" i="6"/>
  <c r="G50" i="6"/>
  <c r="G49" i="6"/>
  <c r="G43" i="6"/>
  <c r="G46" i="6"/>
  <c r="G47" i="6"/>
  <c r="F44" i="6"/>
  <c r="G44" i="6" s="1"/>
  <c r="F154" i="6"/>
  <c r="D154" i="6"/>
  <c r="G153" i="6"/>
  <c r="G152" i="6"/>
  <c r="F146" i="6"/>
  <c r="G146" i="6" s="1"/>
  <c r="F191" i="6"/>
  <c r="G191" i="6" s="1"/>
  <c r="F190" i="6"/>
  <c r="G190" i="6" s="1"/>
  <c r="C150" i="6"/>
  <c r="C148" i="6"/>
  <c r="F188" i="6"/>
  <c r="G188" i="6" s="1"/>
  <c r="F187" i="6"/>
  <c r="G187" i="6" s="1"/>
  <c r="C161" i="6"/>
  <c r="G161" i="6" s="1"/>
  <c r="C160" i="6"/>
  <c r="F185" i="6"/>
  <c r="G185" i="6" s="1"/>
  <c r="F184" i="6"/>
  <c r="G184" i="6" s="1"/>
  <c r="F181" i="6"/>
  <c r="G181" i="6" s="1"/>
  <c r="F178" i="6"/>
  <c r="G178" i="6" s="1"/>
  <c r="F177" i="6"/>
  <c r="G177" i="6" s="1"/>
  <c r="F175" i="6"/>
  <c r="G175" i="6" s="1"/>
  <c r="F174" i="6"/>
  <c r="G174" i="6" s="1"/>
  <c r="G179" i="6"/>
  <c r="G182" i="6"/>
  <c r="G193" i="6"/>
  <c r="F173" i="6"/>
  <c r="G173" i="6" s="1"/>
  <c r="F170" i="6"/>
  <c r="G170" i="6" s="1"/>
  <c r="F167" i="6"/>
  <c r="G167" i="6" s="1"/>
  <c r="D166" i="6"/>
  <c r="F166" i="6"/>
  <c r="F164" i="6"/>
  <c r="G164" i="6" s="1"/>
  <c r="F163" i="6"/>
  <c r="G163" i="6" s="1"/>
  <c r="F160" i="6"/>
  <c r="F156" i="6"/>
  <c r="G156" i="6" s="1"/>
  <c r="F150" i="6"/>
  <c r="F148" i="6"/>
  <c r="F144" i="6"/>
  <c r="G144" i="6" s="1"/>
  <c r="F142" i="6"/>
  <c r="D142" i="6"/>
  <c r="F138" i="6"/>
  <c r="G138" i="6" s="1"/>
  <c r="F137" i="6"/>
  <c r="G137" i="6" s="1"/>
  <c r="F135" i="6"/>
  <c r="G135" i="6" s="1"/>
  <c r="F133" i="6"/>
  <c r="G133" i="6" s="1"/>
  <c r="G140" i="6"/>
  <c r="G141" i="6"/>
  <c r="G157" i="6"/>
  <c r="G168" i="6"/>
  <c r="G171" i="6"/>
  <c r="F131" i="6"/>
  <c r="G127" i="6"/>
  <c r="F126" i="6"/>
  <c r="G126" i="6" s="1"/>
  <c r="F123" i="6"/>
  <c r="G123" i="6" s="1"/>
  <c r="F122" i="6"/>
  <c r="G122" i="6" s="1"/>
  <c r="G120" i="6"/>
  <c r="G125" i="6"/>
  <c r="G129" i="6"/>
  <c r="G131" i="6"/>
  <c r="G134" i="6"/>
  <c r="F119" i="6"/>
  <c r="G119" i="6" s="1"/>
  <c r="F118" i="6"/>
  <c r="G118" i="6" s="1"/>
  <c r="F116" i="6"/>
  <c r="G116" i="6" s="1"/>
  <c r="F115" i="6"/>
  <c r="G115" i="6" s="1"/>
  <c r="F112" i="6"/>
  <c r="G112" i="6" s="1"/>
  <c r="G110" i="6"/>
  <c r="F109" i="6"/>
  <c r="G109" i="6" s="1"/>
  <c r="F107" i="6"/>
  <c r="G107" i="6" s="1"/>
  <c r="F106" i="6"/>
  <c r="G106" i="6" s="1"/>
  <c r="F104" i="6"/>
  <c r="G104" i="6" s="1"/>
  <c r="F102" i="6"/>
  <c r="G102" i="6" s="1"/>
  <c r="F101" i="6"/>
  <c r="G101" i="6" s="1"/>
  <c r="G113" i="6"/>
  <c r="F99" i="6"/>
  <c r="D99" i="6"/>
  <c r="F97" i="6"/>
  <c r="G97" i="6" s="1"/>
  <c r="F95" i="6"/>
  <c r="G95" i="6" s="1"/>
  <c r="F93" i="6"/>
  <c r="G93" i="6" s="1"/>
  <c r="F91" i="6"/>
  <c r="G91" i="6" s="1"/>
  <c r="F89" i="6"/>
  <c r="G89" i="6" s="1"/>
  <c r="F88" i="6"/>
  <c r="G88" i="6" s="1"/>
  <c r="F86" i="6"/>
  <c r="G86" i="6" s="1"/>
  <c r="F85" i="6"/>
  <c r="G85" i="6" s="1"/>
  <c r="F83" i="6"/>
  <c r="G83" i="6" s="1"/>
  <c r="F82" i="6"/>
  <c r="G82" i="6" s="1"/>
  <c r="F80" i="6"/>
  <c r="G80" i="6" s="1"/>
  <c r="F79" i="6"/>
  <c r="G79" i="6" s="1"/>
  <c r="F78" i="6"/>
  <c r="G78" i="6" s="1"/>
  <c r="F76" i="6"/>
  <c r="G76" i="6" s="1"/>
  <c r="F73" i="6"/>
  <c r="G73" i="6" s="1"/>
  <c r="F72" i="6"/>
  <c r="G72" i="6" s="1"/>
  <c r="F69" i="6"/>
  <c r="G69" i="6" s="1"/>
  <c r="F68" i="6"/>
  <c r="G68" i="6" s="1"/>
  <c r="G66" i="6"/>
  <c r="F39" i="6"/>
  <c r="G39" i="6" s="1"/>
  <c r="F38" i="6"/>
  <c r="G38" i="6" s="1"/>
  <c r="F35" i="6"/>
  <c r="G35" i="6" s="1"/>
  <c r="F34" i="6"/>
  <c r="G34" i="6" s="1"/>
  <c r="G41" i="6"/>
  <c r="G74" i="6"/>
  <c r="G94" i="6"/>
  <c r="G98" i="6"/>
  <c r="F33" i="6"/>
  <c r="G33" i="6" s="1"/>
  <c r="F32" i="6"/>
  <c r="G32" i="6" s="1"/>
  <c r="P926" i="2" l="1"/>
  <c r="G12" i="3" s="1"/>
  <c r="E742" i="2"/>
  <c r="N741" i="2"/>
  <c r="N757" i="2"/>
  <c r="E758" i="2"/>
  <c r="E797" i="2"/>
  <c r="N796" i="2"/>
  <c r="E777" i="2"/>
  <c r="N776" i="2"/>
  <c r="E787" i="2"/>
  <c r="N786" i="2"/>
  <c r="E806" i="2"/>
  <c r="M805" i="2"/>
  <c r="E769" i="2"/>
  <c r="M768" i="2"/>
  <c r="G350" i="6"/>
  <c r="G409" i="6"/>
  <c r="G51" i="6"/>
  <c r="G57" i="6"/>
  <c r="G63" i="6"/>
  <c r="G300" i="6"/>
  <c r="G54" i="6"/>
  <c r="G166" i="6"/>
  <c r="G99" i="6"/>
  <c r="G279" i="6"/>
  <c r="G48" i="6"/>
  <c r="G60" i="6"/>
  <c r="G67" i="6"/>
  <c r="G45" i="6"/>
  <c r="H316" i="6" s="1"/>
  <c r="G148" i="6"/>
  <c r="G160" i="6"/>
  <c r="G154" i="6"/>
  <c r="G150" i="6"/>
  <c r="G142" i="6"/>
  <c r="F6" i="6"/>
  <c r="G6" i="6" s="1"/>
  <c r="F7" i="6"/>
  <c r="G7" i="6" s="1"/>
  <c r="F8" i="6"/>
  <c r="G8" i="6" s="1"/>
  <c r="F9" i="6"/>
  <c r="G9" i="6" s="1"/>
  <c r="F10" i="6"/>
  <c r="G10" i="6" s="1"/>
  <c r="F11" i="6"/>
  <c r="G11" i="6" s="1"/>
  <c r="F12" i="6"/>
  <c r="G12" i="6" s="1"/>
  <c r="F13" i="6"/>
  <c r="G13" i="6" s="1"/>
  <c r="F14" i="6"/>
  <c r="G14" i="6" s="1"/>
  <c r="F15" i="6"/>
  <c r="G15" i="6" s="1"/>
  <c r="F16" i="6"/>
  <c r="G16" i="6" s="1"/>
  <c r="F17" i="6"/>
  <c r="G17" i="6" s="1"/>
  <c r="F18" i="6"/>
  <c r="G18" i="6" s="1"/>
  <c r="F19" i="6"/>
  <c r="G19" i="6" s="1"/>
  <c r="F20" i="6"/>
  <c r="G20" i="6" s="1"/>
  <c r="F21" i="6"/>
  <c r="G21" i="6" s="1"/>
  <c r="F22" i="6"/>
  <c r="G22" i="6" s="1"/>
  <c r="F23" i="6"/>
  <c r="G23" i="6" s="1"/>
  <c r="F24" i="6"/>
  <c r="G24" i="6" s="1"/>
  <c r="F25" i="6"/>
  <c r="G25" i="6" s="1"/>
  <c r="F26" i="6"/>
  <c r="G26" i="6" s="1"/>
  <c r="F27" i="6"/>
  <c r="G27" i="6" s="1"/>
  <c r="F28" i="6"/>
  <c r="G28" i="6" s="1"/>
  <c r="F29" i="6"/>
  <c r="G29" i="6" s="1"/>
  <c r="F5" i="6"/>
  <c r="G5" i="6" s="1"/>
  <c r="I316" i="6" l="1"/>
  <c r="J316" i="6" s="1"/>
  <c r="G428" i="6"/>
  <c r="C8" i="7" s="1"/>
  <c r="M806" i="2"/>
  <c r="E807" i="2"/>
  <c r="M807" i="2" s="1"/>
  <c r="N777" i="2"/>
  <c r="E778" i="2"/>
  <c r="M769" i="2"/>
  <c r="E770" i="2"/>
  <c r="N787" i="2"/>
  <c r="E788" i="2"/>
  <c r="M797" i="2"/>
  <c r="E798" i="2"/>
  <c r="E743" i="2"/>
  <c r="N742" i="2"/>
  <c r="E759" i="2"/>
  <c r="N758" i="2"/>
  <c r="G30" i="6"/>
  <c r="C7" i="7" s="1"/>
  <c r="I734" i="2"/>
  <c r="I733" i="2"/>
  <c r="I732" i="2"/>
  <c r="I731" i="2"/>
  <c r="I547" i="2"/>
  <c r="I546" i="2"/>
  <c r="I545" i="2"/>
  <c r="I544" i="2"/>
  <c r="I178" i="2"/>
  <c r="I177" i="2"/>
  <c r="I176" i="2"/>
  <c r="I179" i="2"/>
  <c r="D9" i="10" l="1"/>
  <c r="D12" i="10"/>
  <c r="D15" i="10"/>
  <c r="D14" i="10"/>
  <c r="D11" i="10"/>
  <c r="D8" i="10"/>
  <c r="N926" i="2"/>
  <c r="E799" i="2"/>
  <c r="M799" i="2" s="1"/>
  <c r="M798" i="2"/>
  <c r="E771" i="2"/>
  <c r="M771" i="2" s="1"/>
  <c r="M770" i="2"/>
  <c r="E789" i="2"/>
  <c r="M788" i="2"/>
  <c r="E779" i="2"/>
  <c r="M778" i="2"/>
  <c r="M743" i="2"/>
  <c r="E744" i="2"/>
  <c r="M759" i="2"/>
  <c r="E760" i="2"/>
  <c r="F29" i="4"/>
  <c r="G29" i="4" s="1"/>
  <c r="F28" i="4"/>
  <c r="D28" i="4"/>
  <c r="F27" i="4"/>
  <c r="G27" i="4" s="1"/>
  <c r="F17" i="4"/>
  <c r="G17" i="4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F25" i="4"/>
  <c r="G25" i="4" s="1"/>
  <c r="F26" i="4"/>
  <c r="G26" i="4" s="1"/>
  <c r="D24" i="4"/>
  <c r="D16" i="4"/>
  <c r="D14" i="4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F15" i="4"/>
  <c r="F16" i="4"/>
  <c r="F7" i="4"/>
  <c r="G7" i="4" s="1"/>
  <c r="F6" i="4"/>
  <c r="G15" i="4"/>
  <c r="G6" i="4"/>
  <c r="F5" i="4"/>
  <c r="G5" i="4" s="1"/>
  <c r="G3" i="4"/>
  <c r="C4" i="12" s="1"/>
  <c r="E4" i="10" s="1"/>
  <c r="G28" i="4" l="1"/>
  <c r="E12" i="3"/>
  <c r="G24" i="4"/>
  <c r="M789" i="2"/>
  <c r="E790" i="2"/>
  <c r="E761" i="2"/>
  <c r="M761" i="2" s="1"/>
  <c r="M760" i="2"/>
  <c r="M779" i="2"/>
  <c r="E780" i="2"/>
  <c r="E745" i="2"/>
  <c r="M745" i="2" s="1"/>
  <c r="M744" i="2"/>
  <c r="G16" i="4"/>
  <c r="G14" i="4"/>
  <c r="I713" i="2"/>
  <c r="R712" i="2"/>
  <c r="Q712" i="2"/>
  <c r="P712" i="2"/>
  <c r="O712" i="2"/>
  <c r="N712" i="2"/>
  <c r="I712" i="2"/>
  <c r="L712" i="2" s="1"/>
  <c r="G712" i="2"/>
  <c r="F157" i="2"/>
  <c r="F525" i="2"/>
  <c r="I710" i="2"/>
  <c r="M712" i="2" l="1"/>
  <c r="G30" i="4"/>
  <c r="C5" i="12" s="1"/>
  <c r="E5" i="10" s="1"/>
  <c r="E781" i="2"/>
  <c r="M781" i="2" s="1"/>
  <c r="M780" i="2"/>
  <c r="E791" i="2"/>
  <c r="M791" i="2" s="1"/>
  <c r="M790" i="2"/>
  <c r="I704" i="2"/>
  <c r="I702" i="2"/>
  <c r="I701" i="2"/>
  <c r="L701" i="2" s="1"/>
  <c r="I679" i="2"/>
  <c r="K679" i="2"/>
  <c r="M679" i="2"/>
  <c r="P679" i="2"/>
  <c r="Q679" i="2"/>
  <c r="R679" i="2"/>
  <c r="I675" i="2"/>
  <c r="I673" i="2"/>
  <c r="I671" i="2"/>
  <c r="K671" i="2"/>
  <c r="M671" i="2"/>
  <c r="P671" i="2"/>
  <c r="Q671" i="2"/>
  <c r="R671" i="2"/>
  <c r="I662" i="2"/>
  <c r="I660" i="2"/>
  <c r="I658" i="2"/>
  <c r="K658" i="2"/>
  <c r="M658" i="2"/>
  <c r="P658" i="2"/>
  <c r="Q658" i="2"/>
  <c r="R658" i="2"/>
  <c r="I560" i="2"/>
  <c r="K560" i="2"/>
  <c r="L560" i="2" s="1"/>
  <c r="O560" i="2" s="1"/>
  <c r="M560" i="2"/>
  <c r="N560" i="2"/>
  <c r="P560" i="2"/>
  <c r="Q560" i="2"/>
  <c r="R560" i="2"/>
  <c r="R735" i="2"/>
  <c r="Q735" i="2"/>
  <c r="P735" i="2"/>
  <c r="O735" i="2"/>
  <c r="N735" i="2"/>
  <c r="M735" i="2"/>
  <c r="L735" i="2"/>
  <c r="R734" i="2"/>
  <c r="Q734" i="2"/>
  <c r="P734" i="2"/>
  <c r="O734" i="2"/>
  <c r="N734" i="2"/>
  <c r="L734" i="2"/>
  <c r="G734" i="2"/>
  <c r="R733" i="2"/>
  <c r="Q733" i="2"/>
  <c r="P733" i="2"/>
  <c r="O733" i="2"/>
  <c r="N733" i="2"/>
  <c r="L733" i="2"/>
  <c r="G733" i="2"/>
  <c r="R732" i="2"/>
  <c r="Q732" i="2"/>
  <c r="P732" i="2"/>
  <c r="O732" i="2"/>
  <c r="N732" i="2"/>
  <c r="L732" i="2"/>
  <c r="G732" i="2"/>
  <c r="R731" i="2"/>
  <c r="Q731" i="2"/>
  <c r="P731" i="2"/>
  <c r="O731" i="2"/>
  <c r="N731" i="2"/>
  <c r="L731" i="2"/>
  <c r="G731" i="2"/>
  <c r="R730" i="2"/>
  <c r="Q730" i="2"/>
  <c r="P730" i="2"/>
  <c r="O730" i="2"/>
  <c r="N730" i="2"/>
  <c r="M730" i="2"/>
  <c r="L730" i="2"/>
  <c r="R729" i="2"/>
  <c r="Q729" i="2"/>
  <c r="P729" i="2"/>
  <c r="O729" i="2"/>
  <c r="M729" i="2"/>
  <c r="K729" i="2"/>
  <c r="I729" i="2"/>
  <c r="R728" i="2"/>
  <c r="Q728" i="2"/>
  <c r="P728" i="2"/>
  <c r="N728" i="2"/>
  <c r="M728" i="2"/>
  <c r="K728" i="2"/>
  <c r="I728" i="2"/>
  <c r="R727" i="2"/>
  <c r="Q727" i="2"/>
  <c r="O727" i="2"/>
  <c r="N727" i="2"/>
  <c r="M727" i="2"/>
  <c r="K727" i="2"/>
  <c r="I727" i="2"/>
  <c r="R726" i="2"/>
  <c r="Q726" i="2"/>
  <c r="P726" i="2"/>
  <c r="O726" i="2"/>
  <c r="N726" i="2"/>
  <c r="I726" i="2"/>
  <c r="L726" i="2" s="1"/>
  <c r="G726" i="2"/>
  <c r="R725" i="2"/>
  <c r="Q725" i="2"/>
  <c r="P725" i="2"/>
  <c r="O725" i="2"/>
  <c r="N725" i="2"/>
  <c r="I725" i="2"/>
  <c r="L725" i="2" s="1"/>
  <c r="G725" i="2"/>
  <c r="R724" i="2"/>
  <c r="Q724" i="2"/>
  <c r="P724" i="2"/>
  <c r="O724" i="2"/>
  <c r="N724" i="2"/>
  <c r="I724" i="2"/>
  <c r="L724" i="2" s="1"/>
  <c r="G724" i="2"/>
  <c r="R723" i="2"/>
  <c r="Q723" i="2"/>
  <c r="P723" i="2"/>
  <c r="O723" i="2"/>
  <c r="N723" i="2"/>
  <c r="I723" i="2"/>
  <c r="L723" i="2" s="1"/>
  <c r="G723" i="2"/>
  <c r="R722" i="2"/>
  <c r="Q722" i="2"/>
  <c r="P722" i="2"/>
  <c r="O722" i="2"/>
  <c r="N722" i="2"/>
  <c r="I722" i="2"/>
  <c r="L722" i="2" s="1"/>
  <c r="G722" i="2"/>
  <c r="R721" i="2"/>
  <c r="Q721" i="2"/>
  <c r="P721" i="2"/>
  <c r="O721" i="2"/>
  <c r="N721" i="2"/>
  <c r="I721" i="2"/>
  <c r="L721" i="2" s="1"/>
  <c r="G721" i="2"/>
  <c r="R720" i="2"/>
  <c r="Q720" i="2"/>
  <c r="P720" i="2"/>
  <c r="O720" i="2"/>
  <c r="N720" i="2"/>
  <c r="I720" i="2"/>
  <c r="L720" i="2" s="1"/>
  <c r="G720" i="2"/>
  <c r="R719" i="2"/>
  <c r="Q719" i="2"/>
  <c r="P719" i="2"/>
  <c r="O719" i="2"/>
  <c r="N719" i="2"/>
  <c r="I719" i="2"/>
  <c r="L719" i="2" s="1"/>
  <c r="G719" i="2"/>
  <c r="R718" i="2"/>
  <c r="Q718" i="2"/>
  <c r="P718" i="2"/>
  <c r="O718" i="2"/>
  <c r="N718" i="2"/>
  <c r="M718" i="2"/>
  <c r="L718" i="2"/>
  <c r="R717" i="2"/>
  <c r="Q717" i="2"/>
  <c r="P717" i="2"/>
  <c r="O717" i="2"/>
  <c r="M717" i="2"/>
  <c r="K717" i="2"/>
  <c r="I717" i="2"/>
  <c r="R716" i="2"/>
  <c r="Q716" i="2"/>
  <c r="P716" i="2"/>
  <c r="N716" i="2"/>
  <c r="M716" i="2"/>
  <c r="K716" i="2"/>
  <c r="I716" i="2"/>
  <c r="R715" i="2"/>
  <c r="Q715" i="2"/>
  <c r="O715" i="2"/>
  <c r="N715" i="2"/>
  <c r="M715" i="2"/>
  <c r="K715" i="2"/>
  <c r="I715" i="2"/>
  <c r="R714" i="2"/>
  <c r="Q714" i="2"/>
  <c r="P714" i="2"/>
  <c r="O714" i="2"/>
  <c r="N714" i="2"/>
  <c r="I714" i="2"/>
  <c r="L714" i="2" s="1"/>
  <c r="G714" i="2"/>
  <c r="R713" i="2"/>
  <c r="Q713" i="2"/>
  <c r="P713" i="2"/>
  <c r="O713" i="2"/>
  <c r="N713" i="2"/>
  <c r="L713" i="2"/>
  <c r="G713" i="2"/>
  <c r="R711" i="2"/>
  <c r="Q711" i="2"/>
  <c r="P711" i="2"/>
  <c r="O711" i="2"/>
  <c r="N711" i="2"/>
  <c r="I711" i="2"/>
  <c r="L711" i="2" s="1"/>
  <c r="G711" i="2"/>
  <c r="F711" i="2"/>
  <c r="R710" i="2"/>
  <c r="Q710" i="2"/>
  <c r="P710" i="2"/>
  <c r="O710" i="2"/>
  <c r="N710" i="2"/>
  <c r="L710" i="2"/>
  <c r="G710" i="2"/>
  <c r="R709" i="2"/>
  <c r="Q709" i="2"/>
  <c r="P709" i="2"/>
  <c r="O709" i="2"/>
  <c r="N709" i="2"/>
  <c r="M709" i="2"/>
  <c r="L709" i="2"/>
  <c r="R708" i="2"/>
  <c r="Q708" i="2"/>
  <c r="P708" i="2"/>
  <c r="O708" i="2"/>
  <c r="M708" i="2"/>
  <c r="K708" i="2"/>
  <c r="I708" i="2"/>
  <c r="R707" i="2"/>
  <c r="Q707" i="2"/>
  <c r="P707" i="2"/>
  <c r="N707" i="2"/>
  <c r="M707" i="2"/>
  <c r="K707" i="2"/>
  <c r="I707" i="2"/>
  <c r="R706" i="2"/>
  <c r="Q706" i="2"/>
  <c r="O706" i="2"/>
  <c r="N706" i="2"/>
  <c r="M706" i="2"/>
  <c r="K706" i="2"/>
  <c r="I706" i="2"/>
  <c r="R705" i="2"/>
  <c r="Q705" i="2"/>
  <c r="P705" i="2"/>
  <c r="O705" i="2"/>
  <c r="N705" i="2"/>
  <c r="I705" i="2"/>
  <c r="L705" i="2" s="1"/>
  <c r="G705" i="2"/>
  <c r="R704" i="2"/>
  <c r="Q704" i="2"/>
  <c r="P704" i="2"/>
  <c r="O704" i="2"/>
  <c r="N704" i="2"/>
  <c r="L704" i="2"/>
  <c r="G704" i="2"/>
  <c r="R703" i="2"/>
  <c r="Q703" i="2"/>
  <c r="P703" i="2"/>
  <c r="O703" i="2"/>
  <c r="N703" i="2"/>
  <c r="I703" i="2"/>
  <c r="L703" i="2" s="1"/>
  <c r="G703" i="2"/>
  <c r="R702" i="2"/>
  <c r="Q702" i="2"/>
  <c r="P702" i="2"/>
  <c r="O702" i="2"/>
  <c r="N702" i="2"/>
  <c r="L702" i="2"/>
  <c r="G702" i="2"/>
  <c r="R701" i="2"/>
  <c r="Q701" i="2"/>
  <c r="P701" i="2"/>
  <c r="O701" i="2"/>
  <c r="N701" i="2"/>
  <c r="G701" i="2"/>
  <c r="R700" i="2"/>
  <c r="Q700" i="2"/>
  <c r="P700" i="2"/>
  <c r="O700" i="2"/>
  <c r="N700" i="2"/>
  <c r="M700" i="2"/>
  <c r="L700" i="2"/>
  <c r="R699" i="2"/>
  <c r="Q699" i="2"/>
  <c r="P699" i="2"/>
  <c r="O699" i="2"/>
  <c r="M699" i="2"/>
  <c r="K699" i="2"/>
  <c r="I699" i="2"/>
  <c r="R698" i="2"/>
  <c r="Q698" i="2"/>
  <c r="P698" i="2"/>
  <c r="N698" i="2"/>
  <c r="M698" i="2"/>
  <c r="K698" i="2"/>
  <c r="I698" i="2"/>
  <c r="R697" i="2"/>
  <c r="Q697" i="2"/>
  <c r="O697" i="2"/>
  <c r="N697" i="2"/>
  <c r="M697" i="2"/>
  <c r="K697" i="2"/>
  <c r="I697" i="2"/>
  <c r="R696" i="2"/>
  <c r="Q696" i="2"/>
  <c r="P696" i="2"/>
  <c r="O696" i="2"/>
  <c r="N696" i="2"/>
  <c r="I696" i="2"/>
  <c r="L696" i="2" s="1"/>
  <c r="G696" i="2"/>
  <c r="R695" i="2"/>
  <c r="Q695" i="2"/>
  <c r="P695" i="2"/>
  <c r="O695" i="2"/>
  <c r="N695" i="2"/>
  <c r="I695" i="2"/>
  <c r="L695" i="2" s="1"/>
  <c r="G695" i="2"/>
  <c r="R694" i="2"/>
  <c r="Q694" i="2"/>
  <c r="P694" i="2"/>
  <c r="O694" i="2"/>
  <c r="N694" i="2"/>
  <c r="I694" i="2"/>
  <c r="L694" i="2" s="1"/>
  <c r="G694" i="2"/>
  <c r="R693" i="2"/>
  <c r="Q693" i="2"/>
  <c r="P693" i="2"/>
  <c r="O693" i="2"/>
  <c r="N693" i="2"/>
  <c r="I693" i="2"/>
  <c r="L693" i="2" s="1"/>
  <c r="G693" i="2"/>
  <c r="R692" i="2"/>
  <c r="Q692" i="2"/>
  <c r="P692" i="2"/>
  <c r="O692" i="2"/>
  <c r="N692" i="2"/>
  <c r="I692" i="2"/>
  <c r="L692" i="2" s="1"/>
  <c r="G692" i="2"/>
  <c r="R691" i="2"/>
  <c r="Q691" i="2"/>
  <c r="P691" i="2"/>
  <c r="O691" i="2"/>
  <c r="N691" i="2"/>
  <c r="I691" i="2"/>
  <c r="L691" i="2" s="1"/>
  <c r="G691" i="2"/>
  <c r="R690" i="2"/>
  <c r="Q690" i="2"/>
  <c r="P690" i="2"/>
  <c r="O690" i="2"/>
  <c r="N690" i="2"/>
  <c r="I690" i="2"/>
  <c r="L690" i="2" s="1"/>
  <c r="G690" i="2"/>
  <c r="R689" i="2"/>
  <c r="Q689" i="2"/>
  <c r="P689" i="2"/>
  <c r="O689" i="2"/>
  <c r="N689" i="2"/>
  <c r="I689" i="2"/>
  <c r="L689" i="2" s="1"/>
  <c r="G689" i="2"/>
  <c r="R688" i="2"/>
  <c r="Q688" i="2"/>
  <c r="P688" i="2"/>
  <c r="O688" i="2"/>
  <c r="N688" i="2"/>
  <c r="M688" i="2"/>
  <c r="L688" i="2"/>
  <c r="R687" i="2"/>
  <c r="Q687" i="2"/>
  <c r="P687" i="2"/>
  <c r="O687" i="2"/>
  <c r="M687" i="2"/>
  <c r="K687" i="2"/>
  <c r="I687" i="2"/>
  <c r="R686" i="2"/>
  <c r="Q686" i="2"/>
  <c r="P686" i="2"/>
  <c r="N686" i="2"/>
  <c r="M686" i="2"/>
  <c r="K686" i="2"/>
  <c r="L686" i="2" s="1"/>
  <c r="O686" i="2" s="1"/>
  <c r="I686" i="2"/>
  <c r="R685" i="2"/>
  <c r="Q685" i="2"/>
  <c r="O685" i="2"/>
  <c r="N685" i="2"/>
  <c r="M685" i="2"/>
  <c r="K685" i="2"/>
  <c r="I685" i="2"/>
  <c r="R684" i="2"/>
  <c r="Q684" i="2"/>
  <c r="P684" i="2"/>
  <c r="O684" i="2"/>
  <c r="N684" i="2"/>
  <c r="I684" i="2"/>
  <c r="L684" i="2" s="1"/>
  <c r="G684" i="2"/>
  <c r="R683" i="2"/>
  <c r="Q683" i="2"/>
  <c r="P683" i="2"/>
  <c r="O683" i="2"/>
  <c r="N683" i="2"/>
  <c r="I683" i="2"/>
  <c r="L683" i="2" s="1"/>
  <c r="G683" i="2"/>
  <c r="R682" i="2"/>
  <c r="Q682" i="2"/>
  <c r="P682" i="2"/>
  <c r="O682" i="2"/>
  <c r="N682" i="2"/>
  <c r="I682" i="2"/>
  <c r="L682" i="2" s="1"/>
  <c r="G682" i="2"/>
  <c r="R681" i="2"/>
  <c r="Q681" i="2"/>
  <c r="P681" i="2"/>
  <c r="O681" i="2"/>
  <c r="N681" i="2"/>
  <c r="I681" i="2"/>
  <c r="L681" i="2" s="1"/>
  <c r="G681" i="2"/>
  <c r="R680" i="2"/>
  <c r="Q680" i="2"/>
  <c r="P680" i="2"/>
  <c r="O680" i="2"/>
  <c r="N680" i="2"/>
  <c r="M680" i="2"/>
  <c r="L680" i="2"/>
  <c r="R678" i="2"/>
  <c r="Q678" i="2"/>
  <c r="P678" i="2"/>
  <c r="N678" i="2"/>
  <c r="M678" i="2"/>
  <c r="K678" i="2"/>
  <c r="I678" i="2"/>
  <c r="R677" i="2"/>
  <c r="Q677" i="2"/>
  <c r="O677" i="2"/>
  <c r="N677" i="2"/>
  <c r="M677" i="2"/>
  <c r="K677" i="2"/>
  <c r="L677" i="2" s="1"/>
  <c r="P677" i="2" s="1"/>
  <c r="I677" i="2"/>
  <c r="R676" i="2"/>
  <c r="Q676" i="2"/>
  <c r="P676" i="2"/>
  <c r="O676" i="2"/>
  <c r="N676" i="2"/>
  <c r="I676" i="2"/>
  <c r="L676" i="2" s="1"/>
  <c r="G676" i="2"/>
  <c r="R675" i="2"/>
  <c r="Q675" i="2"/>
  <c r="P675" i="2"/>
  <c r="O675" i="2"/>
  <c r="N675" i="2"/>
  <c r="L675" i="2"/>
  <c r="G675" i="2"/>
  <c r="R674" i="2"/>
  <c r="Q674" i="2"/>
  <c r="P674" i="2"/>
  <c r="O674" i="2"/>
  <c r="N674" i="2"/>
  <c r="I674" i="2"/>
  <c r="L674" i="2" s="1"/>
  <c r="G674" i="2"/>
  <c r="R673" i="2"/>
  <c r="Q673" i="2"/>
  <c r="P673" i="2"/>
  <c r="O673" i="2"/>
  <c r="N673" i="2"/>
  <c r="L673" i="2"/>
  <c r="G673" i="2"/>
  <c r="R672" i="2"/>
  <c r="Q672" i="2"/>
  <c r="P672" i="2"/>
  <c r="O672" i="2"/>
  <c r="N672" i="2"/>
  <c r="M672" i="2"/>
  <c r="L672" i="2"/>
  <c r="R670" i="2"/>
  <c r="Q670" i="2"/>
  <c r="P670" i="2"/>
  <c r="N670" i="2"/>
  <c r="M670" i="2"/>
  <c r="K670" i="2"/>
  <c r="I670" i="2"/>
  <c r="L670" i="2" s="1"/>
  <c r="O670" i="2" s="1"/>
  <c r="R669" i="2"/>
  <c r="Q669" i="2"/>
  <c r="O669" i="2"/>
  <c r="N669" i="2"/>
  <c r="M669" i="2"/>
  <c r="K669" i="2"/>
  <c r="I669" i="2"/>
  <c r="R668" i="2"/>
  <c r="Q668" i="2"/>
  <c r="P668" i="2"/>
  <c r="O668" i="2"/>
  <c r="N668" i="2"/>
  <c r="I668" i="2"/>
  <c r="L668" i="2" s="1"/>
  <c r="G668" i="2"/>
  <c r="R667" i="2"/>
  <c r="Q667" i="2"/>
  <c r="P667" i="2"/>
  <c r="O667" i="2"/>
  <c r="N667" i="2"/>
  <c r="I667" i="2"/>
  <c r="L667" i="2" s="1"/>
  <c r="G667" i="2"/>
  <c r="R666" i="2"/>
  <c r="Q666" i="2"/>
  <c r="P666" i="2"/>
  <c r="O666" i="2"/>
  <c r="N666" i="2"/>
  <c r="M666" i="2"/>
  <c r="L666" i="2"/>
  <c r="R665" i="2"/>
  <c r="Q665" i="2"/>
  <c r="P665" i="2"/>
  <c r="N665" i="2"/>
  <c r="M665" i="2"/>
  <c r="K665" i="2"/>
  <c r="L665" i="2" s="1"/>
  <c r="I665" i="2"/>
  <c r="E665" i="2"/>
  <c r="R664" i="2"/>
  <c r="Q664" i="2"/>
  <c r="O664" i="2"/>
  <c r="N664" i="2"/>
  <c r="M664" i="2"/>
  <c r="K664" i="2"/>
  <c r="L664" i="2" s="1"/>
  <c r="P664" i="2" s="1"/>
  <c r="I664" i="2"/>
  <c r="R663" i="2"/>
  <c r="Q663" i="2"/>
  <c r="P663" i="2"/>
  <c r="O663" i="2"/>
  <c r="N663" i="2"/>
  <c r="I663" i="2"/>
  <c r="L663" i="2" s="1"/>
  <c r="G663" i="2"/>
  <c r="R662" i="2"/>
  <c r="Q662" i="2"/>
  <c r="P662" i="2"/>
  <c r="O662" i="2"/>
  <c r="N662" i="2"/>
  <c r="L662" i="2"/>
  <c r="G662" i="2"/>
  <c r="R661" i="2"/>
  <c r="Q661" i="2"/>
  <c r="P661" i="2"/>
  <c r="O661" i="2"/>
  <c r="N661" i="2"/>
  <c r="I661" i="2"/>
  <c r="L661" i="2" s="1"/>
  <c r="G661" i="2"/>
  <c r="R660" i="2"/>
  <c r="Q660" i="2"/>
  <c r="P660" i="2"/>
  <c r="O660" i="2"/>
  <c r="N660" i="2"/>
  <c r="L660" i="2"/>
  <c r="G660" i="2"/>
  <c r="R659" i="2"/>
  <c r="Q659" i="2"/>
  <c r="P659" i="2"/>
  <c r="O659" i="2"/>
  <c r="N659" i="2"/>
  <c r="M659" i="2"/>
  <c r="L659" i="2"/>
  <c r="R657" i="2"/>
  <c r="Q657" i="2"/>
  <c r="P657" i="2"/>
  <c r="N657" i="2"/>
  <c r="M657" i="2"/>
  <c r="K657" i="2"/>
  <c r="I657" i="2"/>
  <c r="E657" i="2"/>
  <c r="E658" i="2" s="1"/>
  <c r="R656" i="2"/>
  <c r="Q656" i="2"/>
  <c r="O656" i="2"/>
  <c r="N656" i="2"/>
  <c r="M656" i="2"/>
  <c r="K656" i="2"/>
  <c r="I656" i="2"/>
  <c r="R655" i="2"/>
  <c r="Q655" i="2"/>
  <c r="P655" i="2"/>
  <c r="O655" i="2"/>
  <c r="N655" i="2"/>
  <c r="I655" i="2"/>
  <c r="L655" i="2" s="1"/>
  <c r="G655" i="2"/>
  <c r="R654" i="2"/>
  <c r="Q654" i="2"/>
  <c r="P654" i="2"/>
  <c r="O654" i="2"/>
  <c r="N654" i="2"/>
  <c r="I654" i="2"/>
  <c r="L654" i="2" s="1"/>
  <c r="G654" i="2"/>
  <c r="R653" i="2"/>
  <c r="Q653" i="2"/>
  <c r="P653" i="2"/>
  <c r="O653" i="2"/>
  <c r="N653" i="2"/>
  <c r="I653" i="2"/>
  <c r="L653" i="2" s="1"/>
  <c r="G653" i="2"/>
  <c r="R652" i="2"/>
  <c r="Q652" i="2"/>
  <c r="P652" i="2"/>
  <c r="O652" i="2"/>
  <c r="N652" i="2"/>
  <c r="M652" i="2"/>
  <c r="L652" i="2"/>
  <c r="R651" i="2"/>
  <c r="Q651" i="2"/>
  <c r="P651" i="2"/>
  <c r="N651" i="2"/>
  <c r="M651" i="2"/>
  <c r="K651" i="2"/>
  <c r="I651" i="2"/>
  <c r="R650" i="2"/>
  <c r="Q650" i="2"/>
  <c r="O650" i="2"/>
  <c r="N650" i="2"/>
  <c r="M650" i="2"/>
  <c r="K650" i="2"/>
  <c r="L650" i="2" s="1"/>
  <c r="P650" i="2" s="1"/>
  <c r="I650" i="2"/>
  <c r="R649" i="2"/>
  <c r="Q649" i="2"/>
  <c r="P649" i="2"/>
  <c r="O649" i="2"/>
  <c r="N649" i="2"/>
  <c r="I649" i="2"/>
  <c r="L649" i="2" s="1"/>
  <c r="G649" i="2"/>
  <c r="R648" i="2"/>
  <c r="Q648" i="2"/>
  <c r="P648" i="2"/>
  <c r="O648" i="2"/>
  <c r="N648" i="2"/>
  <c r="I648" i="2"/>
  <c r="L648" i="2" s="1"/>
  <c r="G648" i="2"/>
  <c r="R647" i="2"/>
  <c r="Q647" i="2"/>
  <c r="P647" i="2"/>
  <c r="O647" i="2"/>
  <c r="N647" i="2"/>
  <c r="M647" i="2"/>
  <c r="L647" i="2"/>
  <c r="R646" i="2"/>
  <c r="Q646" i="2"/>
  <c r="P646" i="2"/>
  <c r="N646" i="2"/>
  <c r="M646" i="2"/>
  <c r="K646" i="2"/>
  <c r="I646" i="2"/>
  <c r="R645" i="2"/>
  <c r="Q645" i="2"/>
  <c r="O645" i="2"/>
  <c r="N645" i="2"/>
  <c r="M645" i="2"/>
  <c r="K645" i="2"/>
  <c r="I645" i="2"/>
  <c r="R644" i="2"/>
  <c r="Q644" i="2"/>
  <c r="P644" i="2"/>
  <c r="O644" i="2"/>
  <c r="N644" i="2"/>
  <c r="I644" i="2"/>
  <c r="L644" i="2" s="1"/>
  <c r="G644" i="2"/>
  <c r="R643" i="2"/>
  <c r="Q643" i="2"/>
  <c r="P643" i="2"/>
  <c r="O643" i="2"/>
  <c r="N643" i="2"/>
  <c r="I643" i="2"/>
  <c r="L643" i="2" s="1"/>
  <c r="G643" i="2"/>
  <c r="R642" i="2"/>
  <c r="Q642" i="2"/>
  <c r="P642" i="2"/>
  <c r="O642" i="2"/>
  <c r="N642" i="2"/>
  <c r="I642" i="2"/>
  <c r="L642" i="2" s="1"/>
  <c r="G642" i="2"/>
  <c r="R641" i="2"/>
  <c r="Q641" i="2"/>
  <c r="P641" i="2"/>
  <c r="O641" i="2"/>
  <c r="N641" i="2"/>
  <c r="I641" i="2"/>
  <c r="L641" i="2" s="1"/>
  <c r="G641" i="2"/>
  <c r="R640" i="2"/>
  <c r="Q640" i="2"/>
  <c r="P640" i="2"/>
  <c r="O640" i="2"/>
  <c r="N640" i="2"/>
  <c r="I640" i="2"/>
  <c r="L640" i="2" s="1"/>
  <c r="G640" i="2"/>
  <c r="R639" i="2"/>
  <c r="Q639" i="2"/>
  <c r="P639" i="2"/>
  <c r="O639" i="2"/>
  <c r="N639" i="2"/>
  <c r="I639" i="2"/>
  <c r="L639" i="2" s="1"/>
  <c r="G639" i="2"/>
  <c r="R638" i="2"/>
  <c r="Q638" i="2"/>
  <c r="P638" i="2"/>
  <c r="O638" i="2"/>
  <c r="N638" i="2"/>
  <c r="I638" i="2"/>
  <c r="L638" i="2" s="1"/>
  <c r="G638" i="2"/>
  <c r="R637" i="2"/>
  <c r="Q637" i="2"/>
  <c r="P637" i="2"/>
  <c r="O637" i="2"/>
  <c r="N637" i="2"/>
  <c r="I637" i="2"/>
  <c r="L637" i="2" s="1"/>
  <c r="G637" i="2"/>
  <c r="R636" i="2"/>
  <c r="Q636" i="2"/>
  <c r="P636" i="2"/>
  <c r="O636" i="2"/>
  <c r="N636" i="2"/>
  <c r="M636" i="2"/>
  <c r="L636" i="2"/>
  <c r="R635" i="2"/>
  <c r="Q635" i="2"/>
  <c r="P635" i="2"/>
  <c r="O635" i="2"/>
  <c r="M635" i="2"/>
  <c r="K635" i="2"/>
  <c r="I635" i="2"/>
  <c r="R634" i="2"/>
  <c r="Q634" i="2"/>
  <c r="P634" i="2"/>
  <c r="N634" i="2"/>
  <c r="M634" i="2"/>
  <c r="K634" i="2"/>
  <c r="I634" i="2"/>
  <c r="R633" i="2"/>
  <c r="Q633" i="2"/>
  <c r="O633" i="2"/>
  <c r="N633" i="2"/>
  <c r="M633" i="2"/>
  <c r="K633" i="2"/>
  <c r="I633" i="2"/>
  <c r="R632" i="2"/>
  <c r="Q632" i="2"/>
  <c r="P632" i="2"/>
  <c r="O632" i="2"/>
  <c r="N632" i="2"/>
  <c r="I632" i="2"/>
  <c r="L632" i="2" s="1"/>
  <c r="G632" i="2"/>
  <c r="R631" i="2"/>
  <c r="Q631" i="2"/>
  <c r="P631" i="2"/>
  <c r="O631" i="2"/>
  <c r="N631" i="2"/>
  <c r="I631" i="2"/>
  <c r="L631" i="2" s="1"/>
  <c r="G631" i="2"/>
  <c r="R630" i="2"/>
  <c r="Q630" i="2"/>
  <c r="P630" i="2"/>
  <c r="O630" i="2"/>
  <c r="N630" i="2"/>
  <c r="I630" i="2"/>
  <c r="L630" i="2" s="1"/>
  <c r="G630" i="2"/>
  <c r="R629" i="2"/>
  <c r="Q629" i="2"/>
  <c r="P629" i="2"/>
  <c r="O629" i="2"/>
  <c r="N629" i="2"/>
  <c r="I629" i="2"/>
  <c r="L629" i="2" s="1"/>
  <c r="G629" i="2"/>
  <c r="R628" i="2"/>
  <c r="Q628" i="2"/>
  <c r="P628" i="2"/>
  <c r="O628" i="2"/>
  <c r="N628" i="2"/>
  <c r="I628" i="2"/>
  <c r="L628" i="2" s="1"/>
  <c r="G628" i="2"/>
  <c r="R627" i="2"/>
  <c r="Q627" i="2"/>
  <c r="P627" i="2"/>
  <c r="O627" i="2"/>
  <c r="N627" i="2"/>
  <c r="I627" i="2"/>
  <c r="L627" i="2" s="1"/>
  <c r="G627" i="2"/>
  <c r="R626" i="2"/>
  <c r="Q626" i="2"/>
  <c r="P626" i="2"/>
  <c r="O626" i="2"/>
  <c r="N626" i="2"/>
  <c r="I626" i="2"/>
  <c r="L626" i="2" s="1"/>
  <c r="G626" i="2"/>
  <c r="R625" i="2"/>
  <c r="Q625" i="2"/>
  <c r="P625" i="2"/>
  <c r="O625" i="2"/>
  <c r="N625" i="2"/>
  <c r="I625" i="2"/>
  <c r="L625" i="2" s="1"/>
  <c r="G625" i="2"/>
  <c r="R624" i="2"/>
  <c r="Q624" i="2"/>
  <c r="P624" i="2"/>
  <c r="O624" i="2"/>
  <c r="N624" i="2"/>
  <c r="M624" i="2"/>
  <c r="L624" i="2"/>
  <c r="R623" i="2"/>
  <c r="Q623" i="2"/>
  <c r="P623" i="2"/>
  <c r="O623" i="2"/>
  <c r="M623" i="2"/>
  <c r="K623" i="2"/>
  <c r="I623" i="2"/>
  <c r="R622" i="2"/>
  <c r="Q622" i="2"/>
  <c r="P622" i="2"/>
  <c r="N622" i="2"/>
  <c r="M622" i="2"/>
  <c r="K622" i="2"/>
  <c r="I622" i="2"/>
  <c r="R621" i="2"/>
  <c r="Q621" i="2"/>
  <c r="O621" i="2"/>
  <c r="N621" i="2"/>
  <c r="M621" i="2"/>
  <c r="K621" i="2"/>
  <c r="I621" i="2"/>
  <c r="R620" i="2"/>
  <c r="Q620" i="2"/>
  <c r="P620" i="2"/>
  <c r="O620" i="2"/>
  <c r="N620" i="2"/>
  <c r="M620" i="2"/>
  <c r="L620" i="2"/>
  <c r="R619" i="2"/>
  <c r="Q619" i="2"/>
  <c r="P619" i="2"/>
  <c r="O619" i="2"/>
  <c r="N619" i="2"/>
  <c r="I619" i="2"/>
  <c r="L619" i="2" s="1"/>
  <c r="G619" i="2"/>
  <c r="R618" i="2"/>
  <c r="Q618" i="2"/>
  <c r="P618" i="2"/>
  <c r="O618" i="2"/>
  <c r="N618" i="2"/>
  <c r="I618" i="2"/>
  <c r="L618" i="2" s="1"/>
  <c r="G618" i="2"/>
  <c r="R617" i="2"/>
  <c r="Q617" i="2"/>
  <c r="P617" i="2"/>
  <c r="O617" i="2"/>
  <c r="N617" i="2"/>
  <c r="I617" i="2"/>
  <c r="L617" i="2" s="1"/>
  <c r="G617" i="2"/>
  <c r="R616" i="2"/>
  <c r="Q616" i="2"/>
  <c r="P616" i="2"/>
  <c r="O616" i="2"/>
  <c r="M616" i="2"/>
  <c r="I616" i="2"/>
  <c r="L616" i="2" s="1"/>
  <c r="G616" i="2"/>
  <c r="F616" i="2"/>
  <c r="R615" i="2"/>
  <c r="Q615" i="2"/>
  <c r="P615" i="2"/>
  <c r="O615" i="2"/>
  <c r="M615" i="2"/>
  <c r="I615" i="2"/>
  <c r="L615" i="2" s="1"/>
  <c r="G615" i="2"/>
  <c r="R614" i="2"/>
  <c r="Q614" i="2"/>
  <c r="P614" i="2"/>
  <c r="O614" i="2"/>
  <c r="M614" i="2"/>
  <c r="I614" i="2"/>
  <c r="L614" i="2" s="1"/>
  <c r="G614" i="2"/>
  <c r="E614" i="2"/>
  <c r="E615" i="2" s="1"/>
  <c r="E616" i="2" s="1"/>
  <c r="R613" i="2"/>
  <c r="O613" i="2"/>
  <c r="N613" i="2"/>
  <c r="M613" i="2"/>
  <c r="K613" i="2"/>
  <c r="I613" i="2"/>
  <c r="R612" i="2"/>
  <c r="Q612" i="2"/>
  <c r="P612" i="2"/>
  <c r="O612" i="2"/>
  <c r="N612" i="2"/>
  <c r="I612" i="2"/>
  <c r="L612" i="2" s="1"/>
  <c r="G612" i="2"/>
  <c r="R611" i="2"/>
  <c r="Q611" i="2"/>
  <c r="P611" i="2"/>
  <c r="O611" i="2"/>
  <c r="N611" i="2"/>
  <c r="I611" i="2"/>
  <c r="L611" i="2" s="1"/>
  <c r="G611" i="2"/>
  <c r="R610" i="2"/>
  <c r="Q610" i="2"/>
  <c r="P610" i="2"/>
  <c r="O610" i="2"/>
  <c r="N610" i="2"/>
  <c r="I610" i="2"/>
  <c r="L610" i="2" s="1"/>
  <c r="G610" i="2"/>
  <c r="R609" i="2"/>
  <c r="Q609" i="2"/>
  <c r="P609" i="2"/>
  <c r="O609" i="2"/>
  <c r="M609" i="2"/>
  <c r="I609" i="2"/>
  <c r="L609" i="2" s="1"/>
  <c r="G609" i="2"/>
  <c r="F609" i="2"/>
  <c r="R608" i="2"/>
  <c r="Q608" i="2"/>
  <c r="P608" i="2"/>
  <c r="O608" i="2"/>
  <c r="M608" i="2"/>
  <c r="I608" i="2"/>
  <c r="L608" i="2" s="1"/>
  <c r="G608" i="2"/>
  <c r="F608" i="2"/>
  <c r="R607" i="2"/>
  <c r="Q607" i="2"/>
  <c r="P607" i="2"/>
  <c r="O607" i="2"/>
  <c r="M607" i="2"/>
  <c r="I607" i="2"/>
  <c r="L607" i="2" s="1"/>
  <c r="G607" i="2"/>
  <c r="R606" i="2"/>
  <c r="Q606" i="2"/>
  <c r="P606" i="2"/>
  <c r="N606" i="2"/>
  <c r="M606" i="2"/>
  <c r="K606" i="2"/>
  <c r="I606" i="2"/>
  <c r="E606" i="2"/>
  <c r="E607" i="2" s="1"/>
  <c r="R605" i="2"/>
  <c r="Q605" i="2"/>
  <c r="O605" i="2"/>
  <c r="N605" i="2"/>
  <c r="M605" i="2"/>
  <c r="K605" i="2"/>
  <c r="I605" i="2"/>
  <c r="R604" i="2"/>
  <c r="Q604" i="2"/>
  <c r="P604" i="2"/>
  <c r="O604" i="2"/>
  <c r="N604" i="2"/>
  <c r="I604" i="2"/>
  <c r="L604" i="2" s="1"/>
  <c r="G604" i="2"/>
  <c r="R603" i="2"/>
  <c r="Q603" i="2"/>
  <c r="P603" i="2"/>
  <c r="O603" i="2"/>
  <c r="N603" i="2"/>
  <c r="I603" i="2"/>
  <c r="L603" i="2" s="1"/>
  <c r="G603" i="2"/>
  <c r="R602" i="2"/>
  <c r="Q602" i="2"/>
  <c r="P602" i="2"/>
  <c r="O602" i="2"/>
  <c r="N602" i="2"/>
  <c r="I602" i="2"/>
  <c r="L602" i="2" s="1"/>
  <c r="G602" i="2"/>
  <c r="R601" i="2"/>
  <c r="Q601" i="2"/>
  <c r="P601" i="2"/>
  <c r="O601" i="2"/>
  <c r="N601" i="2"/>
  <c r="I601" i="2"/>
  <c r="L601" i="2" s="1"/>
  <c r="G601" i="2"/>
  <c r="R600" i="2"/>
  <c r="Q600" i="2"/>
  <c r="P600" i="2"/>
  <c r="O600" i="2"/>
  <c r="M600" i="2"/>
  <c r="I600" i="2"/>
  <c r="L600" i="2" s="1"/>
  <c r="G600" i="2"/>
  <c r="R599" i="2"/>
  <c r="Q599" i="2"/>
  <c r="P599" i="2"/>
  <c r="O599" i="2"/>
  <c r="M599" i="2"/>
  <c r="I599" i="2"/>
  <c r="L599" i="2" s="1"/>
  <c r="G599" i="2"/>
  <c r="F599" i="2"/>
  <c r="R598" i="2"/>
  <c r="Q598" i="2"/>
  <c r="P598" i="2"/>
  <c r="O598" i="2"/>
  <c r="M598" i="2"/>
  <c r="I598" i="2"/>
  <c r="L598" i="2" s="1"/>
  <c r="G598" i="2"/>
  <c r="R597" i="2"/>
  <c r="Q597" i="2"/>
  <c r="P597" i="2"/>
  <c r="O597" i="2"/>
  <c r="M597" i="2"/>
  <c r="I597" i="2"/>
  <c r="L597" i="2" s="1"/>
  <c r="G597" i="2"/>
  <c r="R596" i="2"/>
  <c r="Q596" i="2"/>
  <c r="P596" i="2"/>
  <c r="N596" i="2"/>
  <c r="M596" i="2"/>
  <c r="K596" i="2"/>
  <c r="L596" i="2" s="1"/>
  <c r="O596" i="2" s="1"/>
  <c r="I596" i="2"/>
  <c r="E596" i="2"/>
  <c r="E597" i="2" s="1"/>
  <c r="E598" i="2" s="1"/>
  <c r="R595" i="2"/>
  <c r="Q595" i="2"/>
  <c r="O595" i="2"/>
  <c r="N595" i="2"/>
  <c r="M595" i="2"/>
  <c r="K595" i="2"/>
  <c r="I595" i="2"/>
  <c r="R594" i="2"/>
  <c r="Q594" i="2"/>
  <c r="P594" i="2"/>
  <c r="O594" i="2"/>
  <c r="N594" i="2"/>
  <c r="I594" i="2"/>
  <c r="L594" i="2" s="1"/>
  <c r="G594" i="2"/>
  <c r="R593" i="2"/>
  <c r="Q593" i="2"/>
  <c r="P593" i="2"/>
  <c r="O593" i="2"/>
  <c r="N593" i="2"/>
  <c r="I593" i="2"/>
  <c r="L593" i="2" s="1"/>
  <c r="G593" i="2"/>
  <c r="R592" i="2"/>
  <c r="Q592" i="2"/>
  <c r="P592" i="2"/>
  <c r="O592" i="2"/>
  <c r="N592" i="2"/>
  <c r="I592" i="2"/>
  <c r="L592" i="2" s="1"/>
  <c r="G592" i="2"/>
  <c r="R591" i="2"/>
  <c r="Q591" i="2"/>
  <c r="P591" i="2"/>
  <c r="O591" i="2"/>
  <c r="N591" i="2"/>
  <c r="L591" i="2"/>
  <c r="I591" i="2"/>
  <c r="G591" i="2"/>
  <c r="R590" i="2"/>
  <c r="Q590" i="2"/>
  <c r="P590" i="2"/>
  <c r="O590" i="2"/>
  <c r="M590" i="2"/>
  <c r="L590" i="2"/>
  <c r="I590" i="2"/>
  <c r="G590" i="2"/>
  <c r="R589" i="2"/>
  <c r="Q589" i="2"/>
  <c r="P589" i="2"/>
  <c r="O589" i="2"/>
  <c r="M589" i="2"/>
  <c r="L589" i="2"/>
  <c r="I589" i="2"/>
  <c r="G589" i="2"/>
  <c r="F589" i="2"/>
  <c r="R588" i="2"/>
  <c r="Q588" i="2"/>
  <c r="P588" i="2"/>
  <c r="O588" i="2"/>
  <c r="M588" i="2"/>
  <c r="I588" i="2"/>
  <c r="L588" i="2" s="1"/>
  <c r="G588" i="2"/>
  <c r="R587" i="2"/>
  <c r="Q587" i="2"/>
  <c r="P587" i="2"/>
  <c r="O587" i="2"/>
  <c r="M587" i="2"/>
  <c r="I587" i="2"/>
  <c r="L587" i="2" s="1"/>
  <c r="G587" i="2"/>
  <c r="R586" i="2"/>
  <c r="Q586" i="2"/>
  <c r="P586" i="2"/>
  <c r="N586" i="2"/>
  <c r="M586" i="2"/>
  <c r="K586" i="2"/>
  <c r="I586" i="2"/>
  <c r="E586" i="2"/>
  <c r="E587" i="2" s="1"/>
  <c r="R585" i="2"/>
  <c r="Q585" i="2"/>
  <c r="O585" i="2"/>
  <c r="N585" i="2"/>
  <c r="M585" i="2"/>
  <c r="K585" i="2"/>
  <c r="I585" i="2"/>
  <c r="R584" i="2"/>
  <c r="Q584" i="2"/>
  <c r="P584" i="2"/>
  <c r="O584" i="2"/>
  <c r="N584" i="2"/>
  <c r="I584" i="2"/>
  <c r="L584" i="2" s="1"/>
  <c r="G584" i="2"/>
  <c r="R583" i="2"/>
  <c r="Q583" i="2"/>
  <c r="P583" i="2"/>
  <c r="O583" i="2"/>
  <c r="N583" i="2"/>
  <c r="I583" i="2"/>
  <c r="L583" i="2" s="1"/>
  <c r="G583" i="2"/>
  <c r="R582" i="2"/>
  <c r="Q582" i="2"/>
  <c r="P582" i="2"/>
  <c r="O582" i="2"/>
  <c r="N582" i="2"/>
  <c r="I582" i="2"/>
  <c r="L582" i="2" s="1"/>
  <c r="G582" i="2"/>
  <c r="R581" i="2"/>
  <c r="Q581" i="2"/>
  <c r="P581" i="2"/>
  <c r="O581" i="2"/>
  <c r="N581" i="2"/>
  <c r="I581" i="2"/>
  <c r="L581" i="2" s="1"/>
  <c r="G581" i="2"/>
  <c r="R580" i="2"/>
  <c r="Q580" i="2"/>
  <c r="P580" i="2"/>
  <c r="O580" i="2"/>
  <c r="M580" i="2"/>
  <c r="I580" i="2"/>
  <c r="L580" i="2" s="1"/>
  <c r="G580" i="2"/>
  <c r="R579" i="2"/>
  <c r="Q579" i="2"/>
  <c r="P579" i="2"/>
  <c r="O579" i="2"/>
  <c r="M579" i="2"/>
  <c r="I579" i="2"/>
  <c r="L579" i="2" s="1"/>
  <c r="G579" i="2"/>
  <c r="F579" i="2"/>
  <c r="R578" i="2"/>
  <c r="Q578" i="2"/>
  <c r="P578" i="2"/>
  <c r="O578" i="2"/>
  <c r="M578" i="2"/>
  <c r="I578" i="2"/>
  <c r="L578" i="2" s="1"/>
  <c r="G578" i="2"/>
  <c r="R577" i="2"/>
  <c r="Q577" i="2"/>
  <c r="P577" i="2"/>
  <c r="O577" i="2"/>
  <c r="M577" i="2"/>
  <c r="I577" i="2"/>
  <c r="L577" i="2" s="1"/>
  <c r="G577" i="2"/>
  <c r="E577" i="2"/>
  <c r="E578" i="2" s="1"/>
  <c r="R576" i="2"/>
  <c r="Q576" i="2"/>
  <c r="O576" i="2"/>
  <c r="N576" i="2"/>
  <c r="M576" i="2"/>
  <c r="K576" i="2"/>
  <c r="I576" i="2"/>
  <c r="R575" i="2"/>
  <c r="P575" i="2"/>
  <c r="O575" i="2"/>
  <c r="N575" i="2"/>
  <c r="M575" i="2"/>
  <c r="K575" i="2"/>
  <c r="I575" i="2"/>
  <c r="R574" i="2"/>
  <c r="Q574" i="2"/>
  <c r="P574" i="2"/>
  <c r="O574" i="2"/>
  <c r="N574" i="2"/>
  <c r="I574" i="2"/>
  <c r="L574" i="2" s="1"/>
  <c r="G574" i="2"/>
  <c r="R573" i="2"/>
  <c r="Q573" i="2"/>
  <c r="P573" i="2"/>
  <c r="O573" i="2"/>
  <c r="N573" i="2"/>
  <c r="I573" i="2"/>
  <c r="L573" i="2" s="1"/>
  <c r="G573" i="2"/>
  <c r="R572" i="2"/>
  <c r="Q572" i="2"/>
  <c r="P572" i="2"/>
  <c r="O572" i="2"/>
  <c r="N572" i="2"/>
  <c r="I572" i="2"/>
  <c r="L572" i="2" s="1"/>
  <c r="G572" i="2"/>
  <c r="R571" i="2"/>
  <c r="Q571" i="2"/>
  <c r="P571" i="2"/>
  <c r="O571" i="2"/>
  <c r="M571" i="2"/>
  <c r="I571" i="2"/>
  <c r="L571" i="2" s="1"/>
  <c r="G571" i="2"/>
  <c r="F571" i="2"/>
  <c r="R570" i="2"/>
  <c r="Q570" i="2"/>
  <c r="P570" i="2"/>
  <c r="O570" i="2"/>
  <c r="M570" i="2"/>
  <c r="I570" i="2"/>
  <c r="L570" i="2" s="1"/>
  <c r="G570" i="2"/>
  <c r="R569" i="2"/>
  <c r="Q569" i="2"/>
  <c r="P569" i="2"/>
  <c r="O569" i="2"/>
  <c r="M569" i="2"/>
  <c r="I569" i="2"/>
  <c r="L569" i="2" s="1"/>
  <c r="G569" i="2"/>
  <c r="R568" i="2"/>
  <c r="P568" i="2"/>
  <c r="O568" i="2"/>
  <c r="N568" i="2"/>
  <c r="M568" i="2"/>
  <c r="K568" i="2"/>
  <c r="I568" i="2"/>
  <c r="E568" i="2"/>
  <c r="E569" i="2" s="1"/>
  <c r="Q567" i="2"/>
  <c r="O567" i="2"/>
  <c r="N567" i="2"/>
  <c r="M567" i="2"/>
  <c r="K567" i="2"/>
  <c r="I567" i="2"/>
  <c r="R566" i="2"/>
  <c r="Q566" i="2"/>
  <c r="P566" i="2"/>
  <c r="O566" i="2"/>
  <c r="N566" i="2"/>
  <c r="I566" i="2"/>
  <c r="L566" i="2" s="1"/>
  <c r="G566" i="2"/>
  <c r="R565" i="2"/>
  <c r="Q565" i="2"/>
  <c r="P565" i="2"/>
  <c r="O565" i="2"/>
  <c r="N565" i="2"/>
  <c r="I565" i="2"/>
  <c r="L565" i="2" s="1"/>
  <c r="G565" i="2"/>
  <c r="R564" i="2"/>
  <c r="Q564" i="2"/>
  <c r="P564" i="2"/>
  <c r="O564" i="2"/>
  <c r="N564" i="2"/>
  <c r="I564" i="2"/>
  <c r="L564" i="2" s="1"/>
  <c r="G564" i="2"/>
  <c r="R563" i="2"/>
  <c r="Q563" i="2"/>
  <c r="P563" i="2"/>
  <c r="O563" i="2"/>
  <c r="M563" i="2"/>
  <c r="I563" i="2"/>
  <c r="L563" i="2" s="1"/>
  <c r="G563" i="2"/>
  <c r="F563" i="2"/>
  <c r="R562" i="2"/>
  <c r="Q562" i="2"/>
  <c r="P562" i="2"/>
  <c r="O562" i="2"/>
  <c r="M562" i="2"/>
  <c r="I562" i="2"/>
  <c r="L562" i="2" s="1"/>
  <c r="G562" i="2"/>
  <c r="R561" i="2"/>
  <c r="Q561" i="2"/>
  <c r="P561" i="2"/>
  <c r="O561" i="2"/>
  <c r="M561" i="2"/>
  <c r="I561" i="2"/>
  <c r="L561" i="2" s="1"/>
  <c r="G561" i="2"/>
  <c r="R559" i="2"/>
  <c r="Q559" i="2"/>
  <c r="O559" i="2"/>
  <c r="N559" i="2"/>
  <c r="M559" i="2"/>
  <c r="K559" i="2"/>
  <c r="I559" i="2"/>
  <c r="R558" i="2"/>
  <c r="Q558" i="2"/>
  <c r="P558" i="2"/>
  <c r="O558" i="2"/>
  <c r="N558" i="2"/>
  <c r="I558" i="2"/>
  <c r="L558" i="2" s="1"/>
  <c r="G558" i="2"/>
  <c r="R557" i="2"/>
  <c r="Q557" i="2"/>
  <c r="P557" i="2"/>
  <c r="O557" i="2"/>
  <c r="N557" i="2"/>
  <c r="I557" i="2"/>
  <c r="L557" i="2" s="1"/>
  <c r="G557" i="2"/>
  <c r="R556" i="2"/>
  <c r="Q556" i="2"/>
  <c r="P556" i="2"/>
  <c r="O556" i="2"/>
  <c r="N556" i="2"/>
  <c r="I556" i="2"/>
  <c r="L556" i="2" s="1"/>
  <c r="G556" i="2"/>
  <c r="R555" i="2"/>
  <c r="Q555" i="2"/>
  <c r="P555" i="2"/>
  <c r="O555" i="2"/>
  <c r="M555" i="2"/>
  <c r="I555" i="2"/>
  <c r="L555" i="2" s="1"/>
  <c r="G555" i="2"/>
  <c r="F555" i="2"/>
  <c r="R554" i="2"/>
  <c r="Q554" i="2"/>
  <c r="P554" i="2"/>
  <c r="O554" i="2"/>
  <c r="M554" i="2"/>
  <c r="I554" i="2"/>
  <c r="L554" i="2" s="1"/>
  <c r="G554" i="2"/>
  <c r="R553" i="2"/>
  <c r="Q553" i="2"/>
  <c r="P553" i="2"/>
  <c r="O553" i="2"/>
  <c r="M553" i="2"/>
  <c r="I553" i="2"/>
  <c r="L553" i="2" s="1"/>
  <c r="G553" i="2"/>
  <c r="R552" i="2"/>
  <c r="Q552" i="2"/>
  <c r="P552" i="2"/>
  <c r="N552" i="2"/>
  <c r="M552" i="2"/>
  <c r="K552" i="2"/>
  <c r="I552" i="2"/>
  <c r="E552" i="2"/>
  <c r="E553" i="2" s="1"/>
  <c r="R551" i="2"/>
  <c r="Q551" i="2"/>
  <c r="O551" i="2"/>
  <c r="N551" i="2"/>
  <c r="M551" i="2"/>
  <c r="K551" i="2"/>
  <c r="I551" i="2"/>
  <c r="L715" i="2" l="1"/>
  <c r="P715" i="2" s="1"/>
  <c r="L697" i="2"/>
  <c r="P697" i="2" s="1"/>
  <c r="L552" i="2"/>
  <c r="L669" i="2"/>
  <c r="P669" i="2" s="1"/>
  <c r="L621" i="2"/>
  <c r="P621" i="2" s="1"/>
  <c r="L671" i="2"/>
  <c r="N671" i="2" s="1"/>
  <c r="M926" i="2"/>
  <c r="S926" i="2" s="1"/>
  <c r="L559" i="2"/>
  <c r="P559" i="2" s="1"/>
  <c r="M676" i="2"/>
  <c r="O671" i="2"/>
  <c r="L551" i="2"/>
  <c r="P551" i="2" s="1"/>
  <c r="L586" i="2"/>
  <c r="L622" i="2"/>
  <c r="O622" i="2" s="1"/>
  <c r="L678" i="2"/>
  <c r="O678" i="2" s="1"/>
  <c r="L708" i="2"/>
  <c r="N708" i="2" s="1"/>
  <c r="L568" i="2"/>
  <c r="L613" i="2"/>
  <c r="Q613" i="2" s="1"/>
  <c r="L634" i="2"/>
  <c r="O634" i="2" s="1"/>
  <c r="L651" i="2"/>
  <c r="O651" i="2" s="1"/>
  <c r="L658" i="2"/>
  <c r="O658" i="2" s="1"/>
  <c r="L679" i="2"/>
  <c r="M628" i="2"/>
  <c r="M642" i="2"/>
  <c r="M643" i="2"/>
  <c r="M648" i="2"/>
  <c r="M681" i="2"/>
  <c r="M702" i="2"/>
  <c r="L729" i="2"/>
  <c r="N729" i="2" s="1"/>
  <c r="M703" i="2"/>
  <c r="M720" i="2"/>
  <c r="M626" i="2"/>
  <c r="M649" i="2"/>
  <c r="L657" i="2"/>
  <c r="O657" i="2" s="1"/>
  <c r="M673" i="2"/>
  <c r="M695" i="2"/>
  <c r="M714" i="2"/>
  <c r="L717" i="2"/>
  <c r="N717" i="2" s="1"/>
  <c r="M701" i="2"/>
  <c r="L623" i="2"/>
  <c r="N623" i="2" s="1"/>
  <c r="M638" i="2"/>
  <c r="M655" i="2"/>
  <c r="M661" i="2"/>
  <c r="M641" i="2"/>
  <c r="M565" i="2"/>
  <c r="L605" i="2"/>
  <c r="P605" i="2" s="1"/>
  <c r="M566" i="2"/>
  <c r="M629" i="2"/>
  <c r="M654" i="2"/>
  <c r="M660" i="2"/>
  <c r="N561" i="2"/>
  <c r="N563" i="2"/>
  <c r="L575" i="2"/>
  <c r="Q575" i="2" s="1"/>
  <c r="M627" i="2"/>
  <c r="M630" i="2"/>
  <c r="L635" i="2"/>
  <c r="N635" i="2" s="1"/>
  <c r="M639" i="2"/>
  <c r="M640" i="2"/>
  <c r="M644" i="2"/>
  <c r="L645" i="2"/>
  <c r="P645" i="2" s="1"/>
  <c r="L687" i="2"/>
  <c r="N687" i="2" s="1"/>
  <c r="M690" i="2"/>
  <c r="M691" i="2"/>
  <c r="M696" i="2"/>
  <c r="L698" i="2"/>
  <c r="O698" i="2" s="1"/>
  <c r="M704" i="2"/>
  <c r="M721" i="2"/>
  <c r="M724" i="2"/>
  <c r="M733" i="2"/>
  <c r="L585" i="2"/>
  <c r="P585" i="2" s="1"/>
  <c r="L595" i="2"/>
  <c r="P595" i="2" s="1"/>
  <c r="M625" i="2"/>
  <c r="L633" i="2"/>
  <c r="P633" i="2" s="1"/>
  <c r="M637" i="2"/>
  <c r="O665" i="2"/>
  <c r="M683" i="2"/>
  <c r="M684" i="2"/>
  <c r="L685" i="2"/>
  <c r="P685" i="2" s="1"/>
  <c r="M694" i="2"/>
  <c r="L707" i="2"/>
  <c r="O707" i="2" s="1"/>
  <c r="M713" i="2"/>
  <c r="L716" i="2"/>
  <c r="O716" i="2" s="1"/>
  <c r="M719" i="2"/>
  <c r="M722" i="2"/>
  <c r="L727" i="2"/>
  <c r="P727" i="2" s="1"/>
  <c r="L728" i="2"/>
  <c r="O728" i="2" s="1"/>
  <c r="M631" i="2"/>
  <c r="M692" i="2"/>
  <c r="M705" i="2"/>
  <c r="M725" i="2"/>
  <c r="M731" i="2"/>
  <c r="M732" i="2"/>
  <c r="M734" i="2"/>
  <c r="L567" i="2"/>
  <c r="R567" i="2" s="1"/>
  <c r="R736" i="2" s="1"/>
  <c r="I11" i="3" s="1"/>
  <c r="L576" i="2"/>
  <c r="P576" i="2" s="1"/>
  <c r="L606" i="2"/>
  <c r="O606" i="2" s="1"/>
  <c r="M632" i="2"/>
  <c r="L646" i="2"/>
  <c r="O646" i="2" s="1"/>
  <c r="L656" i="2"/>
  <c r="P656" i="2" s="1"/>
  <c r="M667" i="2"/>
  <c r="M693" i="2"/>
  <c r="L699" i="2"/>
  <c r="N699" i="2" s="1"/>
  <c r="L706" i="2"/>
  <c r="P706" i="2" s="1"/>
  <c r="M710" i="2"/>
  <c r="M723" i="2"/>
  <c r="M726" i="2"/>
  <c r="P613" i="2"/>
  <c r="N562" i="2"/>
  <c r="E554" i="2"/>
  <c r="N553" i="2"/>
  <c r="M564" i="2"/>
  <c r="E570" i="2"/>
  <c r="N569" i="2"/>
  <c r="Q568" i="2"/>
  <c r="O552" i="2"/>
  <c r="E579" i="2"/>
  <c r="N578" i="2"/>
  <c r="E608" i="2"/>
  <c r="N607" i="2"/>
  <c r="N614" i="2"/>
  <c r="N616" i="2"/>
  <c r="E617" i="2"/>
  <c r="M663" i="2"/>
  <c r="M668" i="2"/>
  <c r="M675" i="2"/>
  <c r="M689" i="2"/>
  <c r="M711" i="2"/>
  <c r="M653" i="2"/>
  <c r="M662" i="2"/>
  <c r="M674" i="2"/>
  <c r="M682" i="2"/>
  <c r="E588" i="2"/>
  <c r="N587" i="2"/>
  <c r="E599" i="2"/>
  <c r="N598" i="2"/>
  <c r="N615" i="2"/>
  <c r="O586" i="2"/>
  <c r="N577" i="2"/>
  <c r="N597" i="2"/>
  <c r="I497" i="2"/>
  <c r="I495" i="2"/>
  <c r="I392" i="2"/>
  <c r="K392" i="2"/>
  <c r="M392" i="2"/>
  <c r="N392" i="2"/>
  <c r="O392" i="2"/>
  <c r="R392" i="2"/>
  <c r="G547" i="2"/>
  <c r="G546" i="2"/>
  <c r="G545" i="2"/>
  <c r="G544" i="2"/>
  <c r="G539" i="2"/>
  <c r="G538" i="2"/>
  <c r="G537" i="2"/>
  <c r="G536" i="2"/>
  <c r="G535" i="2"/>
  <c r="G534" i="2"/>
  <c r="G533" i="2"/>
  <c r="G532" i="2"/>
  <c r="G527" i="2"/>
  <c r="G526" i="2"/>
  <c r="G525" i="2"/>
  <c r="G524" i="2"/>
  <c r="G519" i="2"/>
  <c r="G518" i="2"/>
  <c r="G517" i="2"/>
  <c r="G516" i="2"/>
  <c r="G515" i="2"/>
  <c r="G510" i="2"/>
  <c r="G509" i="2"/>
  <c r="G508" i="2"/>
  <c r="G507" i="2"/>
  <c r="G506" i="2"/>
  <c r="G505" i="2"/>
  <c r="G504" i="2"/>
  <c r="G503" i="2"/>
  <c r="G498" i="2"/>
  <c r="G497" i="2"/>
  <c r="G496" i="2"/>
  <c r="G495" i="2"/>
  <c r="G491" i="2"/>
  <c r="G490" i="2"/>
  <c r="G489" i="2"/>
  <c r="G488" i="2"/>
  <c r="G484" i="2"/>
  <c r="G483" i="2"/>
  <c r="G479" i="2"/>
  <c r="G478" i="2"/>
  <c r="G477" i="2"/>
  <c r="G476" i="2"/>
  <c r="G472" i="2"/>
  <c r="G471" i="2"/>
  <c r="G470" i="2"/>
  <c r="G466" i="2"/>
  <c r="G465" i="2"/>
  <c r="G461" i="2"/>
  <c r="G460" i="2"/>
  <c r="G459" i="2"/>
  <c r="G458" i="2"/>
  <c r="G457" i="2"/>
  <c r="G456" i="2"/>
  <c r="G455" i="2"/>
  <c r="G454" i="2"/>
  <c r="G443" i="2"/>
  <c r="G444" i="2"/>
  <c r="G445" i="2"/>
  <c r="G446" i="2"/>
  <c r="G447" i="2"/>
  <c r="G448" i="2"/>
  <c r="G449" i="2"/>
  <c r="G442" i="2"/>
  <c r="G435" i="2"/>
  <c r="G436" i="2"/>
  <c r="G434" i="2"/>
  <c r="G427" i="2"/>
  <c r="G428" i="2"/>
  <c r="G426" i="2"/>
  <c r="G419" i="2"/>
  <c r="G420" i="2"/>
  <c r="G418" i="2"/>
  <c r="G417" i="2"/>
  <c r="G410" i="2"/>
  <c r="G409" i="2"/>
  <c r="G408" i="2"/>
  <c r="G407" i="2"/>
  <c r="G398" i="2"/>
  <c r="G399" i="2"/>
  <c r="G400" i="2"/>
  <c r="G397" i="2"/>
  <c r="G390" i="2"/>
  <c r="G389" i="2"/>
  <c r="G388" i="2"/>
  <c r="G382" i="2"/>
  <c r="G381" i="2"/>
  <c r="G380" i="2"/>
  <c r="G374" i="2"/>
  <c r="G375" i="2"/>
  <c r="G373" i="2"/>
  <c r="I542" i="2"/>
  <c r="I541" i="2"/>
  <c r="I540" i="2"/>
  <c r="I530" i="2"/>
  <c r="I529" i="2"/>
  <c r="I528" i="2"/>
  <c r="I522" i="2"/>
  <c r="I521" i="2"/>
  <c r="I520" i="2"/>
  <c r="I513" i="2"/>
  <c r="I512" i="2"/>
  <c r="I511" i="2"/>
  <c r="I501" i="2"/>
  <c r="I500" i="2"/>
  <c r="I499" i="2"/>
  <c r="I493" i="2"/>
  <c r="I492" i="2"/>
  <c r="I486" i="2"/>
  <c r="I485" i="2"/>
  <c r="I481" i="2"/>
  <c r="I480" i="2"/>
  <c r="I474" i="2"/>
  <c r="I473" i="2"/>
  <c r="I468" i="2"/>
  <c r="I467" i="2"/>
  <c r="I463" i="2"/>
  <c r="I462" i="2"/>
  <c r="I452" i="2"/>
  <c r="I451" i="2"/>
  <c r="I450" i="2"/>
  <c r="I440" i="2"/>
  <c r="I439" i="2"/>
  <c r="I438" i="2"/>
  <c r="I430" i="2"/>
  <c r="I429" i="2"/>
  <c r="I422" i="2"/>
  <c r="I421" i="2"/>
  <c r="I412" i="2"/>
  <c r="I411" i="2"/>
  <c r="I402" i="2"/>
  <c r="I401" i="2"/>
  <c r="I391" i="2"/>
  <c r="I384" i="2"/>
  <c r="I383" i="2"/>
  <c r="I376" i="2"/>
  <c r="I369" i="2"/>
  <c r="I368" i="2"/>
  <c r="R548" i="2"/>
  <c r="Q548" i="2"/>
  <c r="P548" i="2"/>
  <c r="O548" i="2"/>
  <c r="N548" i="2"/>
  <c r="M548" i="2"/>
  <c r="L548" i="2"/>
  <c r="R547" i="2"/>
  <c r="Q547" i="2"/>
  <c r="P547" i="2"/>
  <c r="O547" i="2"/>
  <c r="N547" i="2"/>
  <c r="L547" i="2"/>
  <c r="R546" i="2"/>
  <c r="Q546" i="2"/>
  <c r="P546" i="2"/>
  <c r="O546" i="2"/>
  <c r="N546" i="2"/>
  <c r="L546" i="2"/>
  <c r="R545" i="2"/>
  <c r="Q545" i="2"/>
  <c r="P545" i="2"/>
  <c r="O545" i="2"/>
  <c r="N545" i="2"/>
  <c r="L545" i="2"/>
  <c r="F545" i="2"/>
  <c r="R544" i="2"/>
  <c r="Q544" i="2"/>
  <c r="P544" i="2"/>
  <c r="O544" i="2"/>
  <c r="N544" i="2"/>
  <c r="L544" i="2"/>
  <c r="M544" i="2" s="1"/>
  <c r="R543" i="2"/>
  <c r="Q543" i="2"/>
  <c r="P543" i="2"/>
  <c r="O543" i="2"/>
  <c r="N543" i="2"/>
  <c r="M543" i="2"/>
  <c r="L543" i="2"/>
  <c r="R542" i="2"/>
  <c r="Q542" i="2"/>
  <c r="P542" i="2"/>
  <c r="O542" i="2"/>
  <c r="M542" i="2"/>
  <c r="K542" i="2"/>
  <c r="R541" i="2"/>
  <c r="Q541" i="2"/>
  <c r="P541" i="2"/>
  <c r="N541" i="2"/>
  <c r="M541" i="2"/>
  <c r="K541" i="2"/>
  <c r="R540" i="2"/>
  <c r="Q540" i="2"/>
  <c r="O540" i="2"/>
  <c r="N540" i="2"/>
  <c r="M540" i="2"/>
  <c r="K540" i="2"/>
  <c r="R539" i="2"/>
  <c r="Q539" i="2"/>
  <c r="P539" i="2"/>
  <c r="O539" i="2"/>
  <c r="N539" i="2"/>
  <c r="I539" i="2"/>
  <c r="L539" i="2" s="1"/>
  <c r="R538" i="2"/>
  <c r="Q538" i="2"/>
  <c r="P538" i="2"/>
  <c r="O538" i="2"/>
  <c r="N538" i="2"/>
  <c r="I538" i="2"/>
  <c r="L538" i="2" s="1"/>
  <c r="R537" i="2"/>
  <c r="Q537" i="2"/>
  <c r="P537" i="2"/>
  <c r="O537" i="2"/>
  <c r="N537" i="2"/>
  <c r="I537" i="2"/>
  <c r="L537" i="2" s="1"/>
  <c r="M537" i="2" s="1"/>
  <c r="R536" i="2"/>
  <c r="Q536" i="2"/>
  <c r="P536" i="2"/>
  <c r="O536" i="2"/>
  <c r="N536" i="2"/>
  <c r="I536" i="2"/>
  <c r="L536" i="2" s="1"/>
  <c r="M536" i="2" s="1"/>
  <c r="R535" i="2"/>
  <c r="Q535" i="2"/>
  <c r="P535" i="2"/>
  <c r="O535" i="2"/>
  <c r="N535" i="2"/>
  <c r="I535" i="2"/>
  <c r="L535" i="2" s="1"/>
  <c r="M535" i="2" s="1"/>
  <c r="R534" i="2"/>
  <c r="Q534" i="2"/>
  <c r="P534" i="2"/>
  <c r="O534" i="2"/>
  <c r="N534" i="2"/>
  <c r="I534" i="2"/>
  <c r="L534" i="2" s="1"/>
  <c r="M534" i="2" s="1"/>
  <c r="R533" i="2"/>
  <c r="Q533" i="2"/>
  <c r="P533" i="2"/>
  <c r="O533" i="2"/>
  <c r="N533" i="2"/>
  <c r="I533" i="2"/>
  <c r="L533" i="2" s="1"/>
  <c r="M533" i="2" s="1"/>
  <c r="R532" i="2"/>
  <c r="Q532" i="2"/>
  <c r="P532" i="2"/>
  <c r="O532" i="2"/>
  <c r="N532" i="2"/>
  <c r="I532" i="2"/>
  <c r="L532" i="2" s="1"/>
  <c r="M532" i="2" s="1"/>
  <c r="R531" i="2"/>
  <c r="Q531" i="2"/>
  <c r="P531" i="2"/>
  <c r="O531" i="2"/>
  <c r="N531" i="2"/>
  <c r="M531" i="2"/>
  <c r="L531" i="2"/>
  <c r="R530" i="2"/>
  <c r="Q530" i="2"/>
  <c r="P530" i="2"/>
  <c r="O530" i="2"/>
  <c r="M530" i="2"/>
  <c r="K530" i="2"/>
  <c r="L530" i="2" s="1"/>
  <c r="N530" i="2" s="1"/>
  <c r="R529" i="2"/>
  <c r="Q529" i="2"/>
  <c r="P529" i="2"/>
  <c r="N529" i="2"/>
  <c r="M529" i="2"/>
  <c r="K529" i="2"/>
  <c r="L529" i="2" s="1"/>
  <c r="O529" i="2" s="1"/>
  <c r="R528" i="2"/>
  <c r="Q528" i="2"/>
  <c r="O528" i="2"/>
  <c r="N528" i="2"/>
  <c r="M528" i="2"/>
  <c r="K528" i="2"/>
  <c r="R527" i="2"/>
  <c r="Q527" i="2"/>
  <c r="P527" i="2"/>
  <c r="O527" i="2"/>
  <c r="N527" i="2"/>
  <c r="I527" i="2"/>
  <c r="L527" i="2" s="1"/>
  <c r="R526" i="2"/>
  <c r="Q526" i="2"/>
  <c r="P526" i="2"/>
  <c r="O526" i="2"/>
  <c r="N526" i="2"/>
  <c r="I526" i="2"/>
  <c r="L526" i="2" s="1"/>
  <c r="R525" i="2"/>
  <c r="Q525" i="2"/>
  <c r="P525" i="2"/>
  <c r="O525" i="2"/>
  <c r="N525" i="2"/>
  <c r="I525" i="2"/>
  <c r="L525" i="2" s="1"/>
  <c r="R524" i="2"/>
  <c r="Q524" i="2"/>
  <c r="P524" i="2"/>
  <c r="O524" i="2"/>
  <c r="N524" i="2"/>
  <c r="I524" i="2"/>
  <c r="L524" i="2" s="1"/>
  <c r="M524" i="2" s="1"/>
  <c r="R523" i="2"/>
  <c r="Q523" i="2"/>
  <c r="P523" i="2"/>
  <c r="O523" i="2"/>
  <c r="N523" i="2"/>
  <c r="M523" i="2"/>
  <c r="L523" i="2"/>
  <c r="R522" i="2"/>
  <c r="Q522" i="2"/>
  <c r="P522" i="2"/>
  <c r="O522" i="2"/>
  <c r="M522" i="2"/>
  <c r="K522" i="2"/>
  <c r="L522" i="2" s="1"/>
  <c r="N522" i="2" s="1"/>
  <c r="R521" i="2"/>
  <c r="Q521" i="2"/>
  <c r="P521" i="2"/>
  <c r="N521" i="2"/>
  <c r="M521" i="2"/>
  <c r="K521" i="2"/>
  <c r="L521" i="2" s="1"/>
  <c r="O521" i="2" s="1"/>
  <c r="R520" i="2"/>
  <c r="Q520" i="2"/>
  <c r="O520" i="2"/>
  <c r="N520" i="2"/>
  <c r="M520" i="2"/>
  <c r="K520" i="2"/>
  <c r="R519" i="2"/>
  <c r="Q519" i="2"/>
  <c r="P519" i="2"/>
  <c r="O519" i="2"/>
  <c r="N519" i="2"/>
  <c r="I519" i="2"/>
  <c r="L519" i="2" s="1"/>
  <c r="R518" i="2"/>
  <c r="Q518" i="2"/>
  <c r="P518" i="2"/>
  <c r="O518" i="2"/>
  <c r="N518" i="2"/>
  <c r="I518" i="2"/>
  <c r="L518" i="2" s="1"/>
  <c r="R517" i="2"/>
  <c r="Q517" i="2"/>
  <c r="P517" i="2"/>
  <c r="O517" i="2"/>
  <c r="N517" i="2"/>
  <c r="I517" i="2"/>
  <c r="L517" i="2" s="1"/>
  <c r="M517" i="2" s="1"/>
  <c r="R516" i="2"/>
  <c r="Q516" i="2"/>
  <c r="P516" i="2"/>
  <c r="O516" i="2"/>
  <c r="N516" i="2"/>
  <c r="I516" i="2"/>
  <c r="L516" i="2" s="1"/>
  <c r="F516" i="2"/>
  <c r="R515" i="2"/>
  <c r="Q515" i="2"/>
  <c r="P515" i="2"/>
  <c r="O515" i="2"/>
  <c r="N515" i="2"/>
  <c r="I515" i="2"/>
  <c r="L515" i="2" s="1"/>
  <c r="R514" i="2"/>
  <c r="Q514" i="2"/>
  <c r="P514" i="2"/>
  <c r="O514" i="2"/>
  <c r="N514" i="2"/>
  <c r="M514" i="2"/>
  <c r="L514" i="2"/>
  <c r="R513" i="2"/>
  <c r="Q513" i="2"/>
  <c r="P513" i="2"/>
  <c r="O513" i="2"/>
  <c r="M513" i="2"/>
  <c r="K513" i="2"/>
  <c r="L513" i="2" s="1"/>
  <c r="N513" i="2" s="1"/>
  <c r="R512" i="2"/>
  <c r="Q512" i="2"/>
  <c r="P512" i="2"/>
  <c r="N512" i="2"/>
  <c r="M512" i="2"/>
  <c r="K512" i="2"/>
  <c r="R511" i="2"/>
  <c r="Q511" i="2"/>
  <c r="O511" i="2"/>
  <c r="N511" i="2"/>
  <c r="M511" i="2"/>
  <c r="K511" i="2"/>
  <c r="R510" i="2"/>
  <c r="Q510" i="2"/>
  <c r="P510" i="2"/>
  <c r="O510" i="2"/>
  <c r="N510" i="2"/>
  <c r="I510" i="2"/>
  <c r="L510" i="2" s="1"/>
  <c r="R509" i="2"/>
  <c r="Q509" i="2"/>
  <c r="P509" i="2"/>
  <c r="O509" i="2"/>
  <c r="N509" i="2"/>
  <c r="I509" i="2"/>
  <c r="L509" i="2" s="1"/>
  <c r="R508" i="2"/>
  <c r="Q508" i="2"/>
  <c r="P508" i="2"/>
  <c r="O508" i="2"/>
  <c r="N508" i="2"/>
  <c r="I508" i="2"/>
  <c r="L508" i="2" s="1"/>
  <c r="M508" i="2" s="1"/>
  <c r="R507" i="2"/>
  <c r="Q507" i="2"/>
  <c r="P507" i="2"/>
  <c r="O507" i="2"/>
  <c r="N507" i="2"/>
  <c r="I507" i="2"/>
  <c r="L507" i="2" s="1"/>
  <c r="R506" i="2"/>
  <c r="Q506" i="2"/>
  <c r="P506" i="2"/>
  <c r="O506" i="2"/>
  <c r="N506" i="2"/>
  <c r="I506" i="2"/>
  <c r="L506" i="2" s="1"/>
  <c r="M506" i="2" s="1"/>
  <c r="R505" i="2"/>
  <c r="Q505" i="2"/>
  <c r="P505" i="2"/>
  <c r="O505" i="2"/>
  <c r="N505" i="2"/>
  <c r="I505" i="2"/>
  <c r="L505" i="2" s="1"/>
  <c r="R504" i="2"/>
  <c r="Q504" i="2"/>
  <c r="P504" i="2"/>
  <c r="O504" i="2"/>
  <c r="N504" i="2"/>
  <c r="I504" i="2"/>
  <c r="L504" i="2" s="1"/>
  <c r="M504" i="2" s="1"/>
  <c r="R503" i="2"/>
  <c r="Q503" i="2"/>
  <c r="P503" i="2"/>
  <c r="O503" i="2"/>
  <c r="N503" i="2"/>
  <c r="I503" i="2"/>
  <c r="L503" i="2" s="1"/>
  <c r="R502" i="2"/>
  <c r="Q502" i="2"/>
  <c r="P502" i="2"/>
  <c r="O502" i="2"/>
  <c r="N502" i="2"/>
  <c r="M502" i="2"/>
  <c r="L502" i="2"/>
  <c r="R501" i="2"/>
  <c r="Q501" i="2"/>
  <c r="P501" i="2"/>
  <c r="O501" i="2"/>
  <c r="M501" i="2"/>
  <c r="K501" i="2"/>
  <c r="L501" i="2" s="1"/>
  <c r="N501" i="2" s="1"/>
  <c r="R500" i="2"/>
  <c r="Q500" i="2"/>
  <c r="P500" i="2"/>
  <c r="N500" i="2"/>
  <c r="M500" i="2"/>
  <c r="K500" i="2"/>
  <c r="L500" i="2" s="1"/>
  <c r="O500" i="2" s="1"/>
  <c r="R499" i="2"/>
  <c r="Q499" i="2"/>
  <c r="O499" i="2"/>
  <c r="N499" i="2"/>
  <c r="M499" i="2"/>
  <c r="K499" i="2"/>
  <c r="R498" i="2"/>
  <c r="Q498" i="2"/>
  <c r="P498" i="2"/>
  <c r="O498" i="2"/>
  <c r="N498" i="2"/>
  <c r="I498" i="2"/>
  <c r="L498" i="2" s="1"/>
  <c r="M498" i="2" s="1"/>
  <c r="R497" i="2"/>
  <c r="Q497" i="2"/>
  <c r="P497" i="2"/>
  <c r="O497" i="2"/>
  <c r="N497" i="2"/>
  <c r="L497" i="2"/>
  <c r="R496" i="2"/>
  <c r="Q496" i="2"/>
  <c r="P496" i="2"/>
  <c r="O496" i="2"/>
  <c r="N496" i="2"/>
  <c r="I496" i="2"/>
  <c r="L496" i="2" s="1"/>
  <c r="R495" i="2"/>
  <c r="Q495" i="2"/>
  <c r="P495" i="2"/>
  <c r="O495" i="2"/>
  <c r="N495" i="2"/>
  <c r="L495" i="2"/>
  <c r="R494" i="2"/>
  <c r="Q494" i="2"/>
  <c r="P494" i="2"/>
  <c r="O494" i="2"/>
  <c r="N494" i="2"/>
  <c r="M494" i="2"/>
  <c r="L494" i="2"/>
  <c r="R493" i="2"/>
  <c r="Q493" i="2"/>
  <c r="P493" i="2"/>
  <c r="N493" i="2"/>
  <c r="M493" i="2"/>
  <c r="K493" i="2"/>
  <c r="L493" i="2" s="1"/>
  <c r="O493" i="2" s="1"/>
  <c r="R492" i="2"/>
  <c r="Q492" i="2"/>
  <c r="O492" i="2"/>
  <c r="N492" i="2"/>
  <c r="M492" i="2"/>
  <c r="K492" i="2"/>
  <c r="L492" i="2" s="1"/>
  <c r="P492" i="2" s="1"/>
  <c r="R491" i="2"/>
  <c r="Q491" i="2"/>
  <c r="P491" i="2"/>
  <c r="O491" i="2"/>
  <c r="N491" i="2"/>
  <c r="I491" i="2"/>
  <c r="L491" i="2" s="1"/>
  <c r="R490" i="2"/>
  <c r="Q490" i="2"/>
  <c r="P490" i="2"/>
  <c r="O490" i="2"/>
  <c r="N490" i="2"/>
  <c r="I490" i="2"/>
  <c r="L490" i="2" s="1"/>
  <c r="R489" i="2"/>
  <c r="Q489" i="2"/>
  <c r="P489" i="2"/>
  <c r="O489" i="2"/>
  <c r="N489" i="2"/>
  <c r="I489" i="2"/>
  <c r="L489" i="2" s="1"/>
  <c r="M489" i="2" s="1"/>
  <c r="R488" i="2"/>
  <c r="Q488" i="2"/>
  <c r="P488" i="2"/>
  <c r="O488" i="2"/>
  <c r="N488" i="2"/>
  <c r="I488" i="2"/>
  <c r="L488" i="2" s="1"/>
  <c r="R487" i="2"/>
  <c r="Q487" i="2"/>
  <c r="P487" i="2"/>
  <c r="O487" i="2"/>
  <c r="N487" i="2"/>
  <c r="M487" i="2"/>
  <c r="L487" i="2"/>
  <c r="R486" i="2"/>
  <c r="Q486" i="2"/>
  <c r="P486" i="2"/>
  <c r="N486" i="2"/>
  <c r="M486" i="2"/>
  <c r="K486" i="2"/>
  <c r="R485" i="2"/>
  <c r="Q485" i="2"/>
  <c r="O485" i="2"/>
  <c r="N485" i="2"/>
  <c r="M485" i="2"/>
  <c r="K485" i="2"/>
  <c r="L485" i="2" s="1"/>
  <c r="P485" i="2" s="1"/>
  <c r="R484" i="2"/>
  <c r="Q484" i="2"/>
  <c r="P484" i="2"/>
  <c r="O484" i="2"/>
  <c r="N484" i="2"/>
  <c r="I484" i="2"/>
  <c r="L484" i="2" s="1"/>
  <c r="R483" i="2"/>
  <c r="Q483" i="2"/>
  <c r="P483" i="2"/>
  <c r="O483" i="2"/>
  <c r="N483" i="2"/>
  <c r="I483" i="2"/>
  <c r="L483" i="2" s="1"/>
  <c r="M483" i="2" s="1"/>
  <c r="R482" i="2"/>
  <c r="Q482" i="2"/>
  <c r="P482" i="2"/>
  <c r="O482" i="2"/>
  <c r="N482" i="2"/>
  <c r="M482" i="2"/>
  <c r="L482" i="2"/>
  <c r="R481" i="2"/>
  <c r="Q481" i="2"/>
  <c r="P481" i="2"/>
  <c r="N481" i="2"/>
  <c r="M481" i="2"/>
  <c r="K481" i="2"/>
  <c r="L481" i="2" s="1"/>
  <c r="E481" i="2"/>
  <c r="R480" i="2"/>
  <c r="Q480" i="2"/>
  <c r="O480" i="2"/>
  <c r="N480" i="2"/>
  <c r="M480" i="2"/>
  <c r="K480" i="2"/>
  <c r="R479" i="2"/>
  <c r="Q479" i="2"/>
  <c r="P479" i="2"/>
  <c r="O479" i="2"/>
  <c r="N479" i="2"/>
  <c r="I479" i="2"/>
  <c r="L479" i="2" s="1"/>
  <c r="R478" i="2"/>
  <c r="Q478" i="2"/>
  <c r="P478" i="2"/>
  <c r="O478" i="2"/>
  <c r="N478" i="2"/>
  <c r="I478" i="2"/>
  <c r="L478" i="2" s="1"/>
  <c r="R477" i="2"/>
  <c r="Q477" i="2"/>
  <c r="P477" i="2"/>
  <c r="O477" i="2"/>
  <c r="N477" i="2"/>
  <c r="I477" i="2"/>
  <c r="L477" i="2" s="1"/>
  <c r="R476" i="2"/>
  <c r="Q476" i="2"/>
  <c r="P476" i="2"/>
  <c r="O476" i="2"/>
  <c r="N476" i="2"/>
  <c r="I476" i="2"/>
  <c r="L476" i="2" s="1"/>
  <c r="R475" i="2"/>
  <c r="Q475" i="2"/>
  <c r="P475" i="2"/>
  <c r="O475" i="2"/>
  <c r="N475" i="2"/>
  <c r="M475" i="2"/>
  <c r="L475" i="2"/>
  <c r="R474" i="2"/>
  <c r="Q474" i="2"/>
  <c r="P474" i="2"/>
  <c r="N474" i="2"/>
  <c r="M474" i="2"/>
  <c r="K474" i="2"/>
  <c r="L474" i="2" s="1"/>
  <c r="E474" i="2"/>
  <c r="R473" i="2"/>
  <c r="Q473" i="2"/>
  <c r="O473" i="2"/>
  <c r="N473" i="2"/>
  <c r="M473" i="2"/>
  <c r="K473" i="2"/>
  <c r="R472" i="2"/>
  <c r="Q472" i="2"/>
  <c r="P472" i="2"/>
  <c r="O472" i="2"/>
  <c r="N472" i="2"/>
  <c r="I472" i="2"/>
  <c r="L472" i="2" s="1"/>
  <c r="R471" i="2"/>
  <c r="Q471" i="2"/>
  <c r="P471" i="2"/>
  <c r="O471" i="2"/>
  <c r="N471" i="2"/>
  <c r="I471" i="2"/>
  <c r="L471" i="2" s="1"/>
  <c r="R470" i="2"/>
  <c r="Q470" i="2"/>
  <c r="P470" i="2"/>
  <c r="O470" i="2"/>
  <c r="N470" i="2"/>
  <c r="I470" i="2"/>
  <c r="L470" i="2" s="1"/>
  <c r="R469" i="2"/>
  <c r="Q469" i="2"/>
  <c r="P469" i="2"/>
  <c r="O469" i="2"/>
  <c r="N469" i="2"/>
  <c r="M469" i="2"/>
  <c r="L469" i="2"/>
  <c r="R468" i="2"/>
  <c r="Q468" i="2"/>
  <c r="P468" i="2"/>
  <c r="N468" i="2"/>
  <c r="M468" i="2"/>
  <c r="K468" i="2"/>
  <c r="L468" i="2" s="1"/>
  <c r="O468" i="2" s="1"/>
  <c r="R467" i="2"/>
  <c r="Q467" i="2"/>
  <c r="O467" i="2"/>
  <c r="N467" i="2"/>
  <c r="M467" i="2"/>
  <c r="K467" i="2"/>
  <c r="R466" i="2"/>
  <c r="Q466" i="2"/>
  <c r="P466" i="2"/>
  <c r="O466" i="2"/>
  <c r="N466" i="2"/>
  <c r="I466" i="2"/>
  <c r="L466" i="2" s="1"/>
  <c r="R465" i="2"/>
  <c r="Q465" i="2"/>
  <c r="P465" i="2"/>
  <c r="O465" i="2"/>
  <c r="N465" i="2"/>
  <c r="I465" i="2"/>
  <c r="L465" i="2" s="1"/>
  <c r="M465" i="2" s="1"/>
  <c r="R464" i="2"/>
  <c r="Q464" i="2"/>
  <c r="P464" i="2"/>
  <c r="O464" i="2"/>
  <c r="N464" i="2"/>
  <c r="M464" i="2"/>
  <c r="L464" i="2"/>
  <c r="R463" i="2"/>
  <c r="Q463" i="2"/>
  <c r="P463" i="2"/>
  <c r="N463" i="2"/>
  <c r="M463" i="2"/>
  <c r="K463" i="2"/>
  <c r="L463" i="2" s="1"/>
  <c r="O463" i="2" s="1"/>
  <c r="R462" i="2"/>
  <c r="Q462" i="2"/>
  <c r="O462" i="2"/>
  <c r="N462" i="2"/>
  <c r="M462" i="2"/>
  <c r="K462" i="2"/>
  <c r="R461" i="2"/>
  <c r="Q461" i="2"/>
  <c r="P461" i="2"/>
  <c r="O461" i="2"/>
  <c r="N461" i="2"/>
  <c r="I461" i="2"/>
  <c r="L461" i="2" s="1"/>
  <c r="R460" i="2"/>
  <c r="Q460" i="2"/>
  <c r="P460" i="2"/>
  <c r="O460" i="2"/>
  <c r="N460" i="2"/>
  <c r="I460" i="2"/>
  <c r="L460" i="2" s="1"/>
  <c r="R459" i="2"/>
  <c r="Q459" i="2"/>
  <c r="P459" i="2"/>
  <c r="O459" i="2"/>
  <c r="N459" i="2"/>
  <c r="I459" i="2"/>
  <c r="L459" i="2" s="1"/>
  <c r="M459" i="2" s="1"/>
  <c r="R458" i="2"/>
  <c r="Q458" i="2"/>
  <c r="P458" i="2"/>
  <c r="O458" i="2"/>
  <c r="N458" i="2"/>
  <c r="I458" i="2"/>
  <c r="L458" i="2" s="1"/>
  <c r="M458" i="2" s="1"/>
  <c r="R457" i="2"/>
  <c r="Q457" i="2"/>
  <c r="P457" i="2"/>
  <c r="O457" i="2"/>
  <c r="N457" i="2"/>
  <c r="I457" i="2"/>
  <c r="L457" i="2" s="1"/>
  <c r="R456" i="2"/>
  <c r="Q456" i="2"/>
  <c r="P456" i="2"/>
  <c r="O456" i="2"/>
  <c r="N456" i="2"/>
  <c r="I456" i="2"/>
  <c r="L456" i="2" s="1"/>
  <c r="R455" i="2"/>
  <c r="Q455" i="2"/>
  <c r="P455" i="2"/>
  <c r="O455" i="2"/>
  <c r="N455" i="2"/>
  <c r="I455" i="2"/>
  <c r="L455" i="2" s="1"/>
  <c r="M455" i="2" s="1"/>
  <c r="R454" i="2"/>
  <c r="Q454" i="2"/>
  <c r="P454" i="2"/>
  <c r="O454" i="2"/>
  <c r="N454" i="2"/>
  <c r="I454" i="2"/>
  <c r="L454" i="2" s="1"/>
  <c r="M454" i="2" s="1"/>
  <c r="R453" i="2"/>
  <c r="Q453" i="2"/>
  <c r="P453" i="2"/>
  <c r="O453" i="2"/>
  <c r="N453" i="2"/>
  <c r="M453" i="2"/>
  <c r="L453" i="2"/>
  <c r="R452" i="2"/>
  <c r="Q452" i="2"/>
  <c r="P452" i="2"/>
  <c r="O452" i="2"/>
  <c r="M452" i="2"/>
  <c r="K452" i="2"/>
  <c r="L452" i="2" s="1"/>
  <c r="N452" i="2" s="1"/>
  <c r="R451" i="2"/>
  <c r="Q451" i="2"/>
  <c r="P451" i="2"/>
  <c r="N451" i="2"/>
  <c r="M451" i="2"/>
  <c r="K451" i="2"/>
  <c r="R450" i="2"/>
  <c r="Q450" i="2"/>
  <c r="O450" i="2"/>
  <c r="N450" i="2"/>
  <c r="M450" i="2"/>
  <c r="K450" i="2"/>
  <c r="L450" i="2" s="1"/>
  <c r="P450" i="2" s="1"/>
  <c r="R449" i="2"/>
  <c r="Q449" i="2"/>
  <c r="P449" i="2"/>
  <c r="O449" i="2"/>
  <c r="N449" i="2"/>
  <c r="I449" i="2"/>
  <c r="L449" i="2" s="1"/>
  <c r="R448" i="2"/>
  <c r="Q448" i="2"/>
  <c r="P448" i="2"/>
  <c r="O448" i="2"/>
  <c r="N448" i="2"/>
  <c r="I448" i="2"/>
  <c r="L448" i="2" s="1"/>
  <c r="R447" i="2"/>
  <c r="Q447" i="2"/>
  <c r="P447" i="2"/>
  <c r="O447" i="2"/>
  <c r="N447" i="2"/>
  <c r="I447" i="2"/>
  <c r="L447" i="2" s="1"/>
  <c r="M447" i="2" s="1"/>
  <c r="R446" i="2"/>
  <c r="Q446" i="2"/>
  <c r="P446" i="2"/>
  <c r="O446" i="2"/>
  <c r="N446" i="2"/>
  <c r="I446" i="2"/>
  <c r="L446" i="2" s="1"/>
  <c r="M446" i="2" s="1"/>
  <c r="R445" i="2"/>
  <c r="Q445" i="2"/>
  <c r="P445" i="2"/>
  <c r="O445" i="2"/>
  <c r="N445" i="2"/>
  <c r="I445" i="2"/>
  <c r="L445" i="2" s="1"/>
  <c r="M445" i="2" s="1"/>
  <c r="R444" i="2"/>
  <c r="Q444" i="2"/>
  <c r="P444" i="2"/>
  <c r="O444" i="2"/>
  <c r="N444" i="2"/>
  <c r="I444" i="2"/>
  <c r="L444" i="2" s="1"/>
  <c r="R443" i="2"/>
  <c r="Q443" i="2"/>
  <c r="P443" i="2"/>
  <c r="O443" i="2"/>
  <c r="N443" i="2"/>
  <c r="I443" i="2"/>
  <c r="L443" i="2" s="1"/>
  <c r="M443" i="2" s="1"/>
  <c r="R442" i="2"/>
  <c r="Q442" i="2"/>
  <c r="P442" i="2"/>
  <c r="O442" i="2"/>
  <c r="N442" i="2"/>
  <c r="I442" i="2"/>
  <c r="L442" i="2" s="1"/>
  <c r="R441" i="2"/>
  <c r="Q441" i="2"/>
  <c r="P441" i="2"/>
  <c r="O441" i="2"/>
  <c r="N441" i="2"/>
  <c r="M441" i="2"/>
  <c r="L441" i="2"/>
  <c r="R440" i="2"/>
  <c r="Q440" i="2"/>
  <c r="P440" i="2"/>
  <c r="O440" i="2"/>
  <c r="M440" i="2"/>
  <c r="K440" i="2"/>
  <c r="L440" i="2" s="1"/>
  <c r="N440" i="2" s="1"/>
  <c r="R439" i="2"/>
  <c r="Q439" i="2"/>
  <c r="P439" i="2"/>
  <c r="N439" i="2"/>
  <c r="M439" i="2"/>
  <c r="K439" i="2"/>
  <c r="L439" i="2" s="1"/>
  <c r="O439" i="2" s="1"/>
  <c r="R438" i="2"/>
  <c r="Q438" i="2"/>
  <c r="O438" i="2"/>
  <c r="N438" i="2"/>
  <c r="M438" i="2"/>
  <c r="K438" i="2"/>
  <c r="L438" i="2" s="1"/>
  <c r="P438" i="2" s="1"/>
  <c r="R437" i="2"/>
  <c r="Q437" i="2"/>
  <c r="P437" i="2"/>
  <c r="O437" i="2"/>
  <c r="N437" i="2"/>
  <c r="M437" i="2"/>
  <c r="L437" i="2"/>
  <c r="R436" i="2"/>
  <c r="Q436" i="2"/>
  <c r="P436" i="2"/>
  <c r="O436" i="2"/>
  <c r="N436" i="2"/>
  <c r="I436" i="2"/>
  <c r="L436" i="2" s="1"/>
  <c r="R435" i="2"/>
  <c r="Q435" i="2"/>
  <c r="P435" i="2"/>
  <c r="O435" i="2"/>
  <c r="N435" i="2"/>
  <c r="I435" i="2"/>
  <c r="L435" i="2" s="1"/>
  <c r="R434" i="2"/>
  <c r="Q434" i="2"/>
  <c r="P434" i="2"/>
  <c r="O434" i="2"/>
  <c r="N434" i="2"/>
  <c r="I434" i="2"/>
  <c r="L434" i="2" s="1"/>
  <c r="R433" i="2"/>
  <c r="Q433" i="2"/>
  <c r="P433" i="2"/>
  <c r="O433" i="2"/>
  <c r="M433" i="2"/>
  <c r="I433" i="2"/>
  <c r="L433" i="2" s="1"/>
  <c r="G433" i="2"/>
  <c r="F433" i="2"/>
  <c r="R432" i="2"/>
  <c r="Q432" i="2"/>
  <c r="P432" i="2"/>
  <c r="O432" i="2"/>
  <c r="M432" i="2"/>
  <c r="I432" i="2"/>
  <c r="L432" i="2" s="1"/>
  <c r="G432" i="2"/>
  <c r="R431" i="2"/>
  <c r="Q431" i="2"/>
  <c r="P431" i="2"/>
  <c r="O431" i="2"/>
  <c r="M431" i="2"/>
  <c r="I431" i="2"/>
  <c r="L431" i="2" s="1"/>
  <c r="G431" i="2"/>
  <c r="E431" i="2"/>
  <c r="E432" i="2" s="1"/>
  <c r="E433" i="2" s="1"/>
  <c r="R430" i="2"/>
  <c r="Q430" i="2"/>
  <c r="O430" i="2"/>
  <c r="N430" i="2"/>
  <c r="M430" i="2"/>
  <c r="K430" i="2"/>
  <c r="R429" i="2"/>
  <c r="P429" i="2"/>
  <c r="O429" i="2"/>
  <c r="N429" i="2"/>
  <c r="M429" i="2"/>
  <c r="K429" i="2"/>
  <c r="R428" i="2"/>
  <c r="Q428" i="2"/>
  <c r="P428" i="2"/>
  <c r="O428" i="2"/>
  <c r="N428" i="2"/>
  <c r="I428" i="2"/>
  <c r="L428" i="2" s="1"/>
  <c r="R427" i="2"/>
  <c r="Q427" i="2"/>
  <c r="P427" i="2"/>
  <c r="O427" i="2"/>
  <c r="N427" i="2"/>
  <c r="I427" i="2"/>
  <c r="L427" i="2" s="1"/>
  <c r="R426" i="2"/>
  <c r="Q426" i="2"/>
  <c r="P426" i="2"/>
  <c r="O426" i="2"/>
  <c r="N426" i="2"/>
  <c r="I426" i="2"/>
  <c r="L426" i="2" s="1"/>
  <c r="R425" i="2"/>
  <c r="Q425" i="2"/>
  <c r="P425" i="2"/>
  <c r="O425" i="2"/>
  <c r="M425" i="2"/>
  <c r="I425" i="2"/>
  <c r="L425" i="2" s="1"/>
  <c r="G425" i="2"/>
  <c r="F425" i="2"/>
  <c r="R424" i="2"/>
  <c r="Q424" i="2"/>
  <c r="P424" i="2"/>
  <c r="O424" i="2"/>
  <c r="M424" i="2"/>
  <c r="I424" i="2"/>
  <c r="L424" i="2" s="1"/>
  <c r="G424" i="2"/>
  <c r="F424" i="2"/>
  <c r="R423" i="2"/>
  <c r="Q423" i="2"/>
  <c r="P423" i="2"/>
  <c r="O423" i="2"/>
  <c r="M423" i="2"/>
  <c r="I423" i="2"/>
  <c r="L423" i="2" s="1"/>
  <c r="G423" i="2"/>
  <c r="R422" i="2"/>
  <c r="Q422" i="2"/>
  <c r="P422" i="2"/>
  <c r="N422" i="2"/>
  <c r="M422" i="2"/>
  <c r="K422" i="2"/>
  <c r="E422" i="2"/>
  <c r="E423" i="2" s="1"/>
  <c r="R421" i="2"/>
  <c r="Q421" i="2"/>
  <c r="O421" i="2"/>
  <c r="N421" i="2"/>
  <c r="M421" i="2"/>
  <c r="K421" i="2"/>
  <c r="L421" i="2" s="1"/>
  <c r="P421" i="2" s="1"/>
  <c r="R420" i="2"/>
  <c r="Q420" i="2"/>
  <c r="P420" i="2"/>
  <c r="O420" i="2"/>
  <c r="N420" i="2"/>
  <c r="I420" i="2"/>
  <c r="L420" i="2" s="1"/>
  <c r="R419" i="2"/>
  <c r="Q419" i="2"/>
  <c r="P419" i="2"/>
  <c r="O419" i="2"/>
  <c r="N419" i="2"/>
  <c r="I419" i="2"/>
  <c r="L419" i="2" s="1"/>
  <c r="R418" i="2"/>
  <c r="Q418" i="2"/>
  <c r="P418" i="2"/>
  <c r="O418" i="2"/>
  <c r="N418" i="2"/>
  <c r="I418" i="2"/>
  <c r="L418" i="2" s="1"/>
  <c r="R417" i="2"/>
  <c r="Q417" i="2"/>
  <c r="P417" i="2"/>
  <c r="O417" i="2"/>
  <c r="N417" i="2"/>
  <c r="I417" i="2"/>
  <c r="L417" i="2" s="1"/>
  <c r="R416" i="2"/>
  <c r="Q416" i="2"/>
  <c r="P416" i="2"/>
  <c r="O416" i="2"/>
  <c r="M416" i="2"/>
  <c r="I416" i="2"/>
  <c r="L416" i="2" s="1"/>
  <c r="G416" i="2"/>
  <c r="R415" i="2"/>
  <c r="Q415" i="2"/>
  <c r="P415" i="2"/>
  <c r="O415" i="2"/>
  <c r="M415" i="2"/>
  <c r="I415" i="2"/>
  <c r="L415" i="2" s="1"/>
  <c r="G415" i="2"/>
  <c r="F415" i="2"/>
  <c r="R414" i="2"/>
  <c r="Q414" i="2"/>
  <c r="P414" i="2"/>
  <c r="O414" i="2"/>
  <c r="M414" i="2"/>
  <c r="I414" i="2"/>
  <c r="L414" i="2" s="1"/>
  <c r="G414" i="2"/>
  <c r="R413" i="2"/>
  <c r="Q413" i="2"/>
  <c r="P413" i="2"/>
  <c r="O413" i="2"/>
  <c r="M413" i="2"/>
  <c r="I413" i="2"/>
  <c r="L413" i="2" s="1"/>
  <c r="G413" i="2"/>
  <c r="R412" i="2"/>
  <c r="Q412" i="2"/>
  <c r="P412" i="2"/>
  <c r="N412" i="2"/>
  <c r="M412" i="2"/>
  <c r="K412" i="2"/>
  <c r="E412" i="2"/>
  <c r="E413" i="2" s="1"/>
  <c r="R411" i="2"/>
  <c r="Q411" i="2"/>
  <c r="O411" i="2"/>
  <c r="N411" i="2"/>
  <c r="M411" i="2"/>
  <c r="K411" i="2"/>
  <c r="L411" i="2" s="1"/>
  <c r="P411" i="2" s="1"/>
  <c r="R410" i="2"/>
  <c r="Q410" i="2"/>
  <c r="P410" i="2"/>
  <c r="O410" i="2"/>
  <c r="N410" i="2"/>
  <c r="I410" i="2"/>
  <c r="L410" i="2" s="1"/>
  <c r="R409" i="2"/>
  <c r="Q409" i="2"/>
  <c r="P409" i="2"/>
  <c r="O409" i="2"/>
  <c r="N409" i="2"/>
  <c r="I409" i="2"/>
  <c r="L409" i="2" s="1"/>
  <c r="R408" i="2"/>
  <c r="Q408" i="2"/>
  <c r="P408" i="2"/>
  <c r="O408" i="2"/>
  <c r="N408" i="2"/>
  <c r="I408" i="2"/>
  <c r="L408" i="2" s="1"/>
  <c r="R407" i="2"/>
  <c r="Q407" i="2"/>
  <c r="P407" i="2"/>
  <c r="O407" i="2"/>
  <c r="N407" i="2"/>
  <c r="I407" i="2"/>
  <c r="L407" i="2" s="1"/>
  <c r="R406" i="2"/>
  <c r="Q406" i="2"/>
  <c r="P406" i="2"/>
  <c r="O406" i="2"/>
  <c r="M406" i="2"/>
  <c r="I406" i="2"/>
  <c r="L406" i="2" s="1"/>
  <c r="G406" i="2"/>
  <c r="R405" i="2"/>
  <c r="Q405" i="2"/>
  <c r="P405" i="2"/>
  <c r="O405" i="2"/>
  <c r="M405" i="2"/>
  <c r="I405" i="2"/>
  <c r="L405" i="2" s="1"/>
  <c r="G405" i="2"/>
  <c r="F405" i="2"/>
  <c r="R404" i="2"/>
  <c r="Q404" i="2"/>
  <c r="P404" i="2"/>
  <c r="O404" i="2"/>
  <c r="M404" i="2"/>
  <c r="I404" i="2"/>
  <c r="L404" i="2" s="1"/>
  <c r="G404" i="2"/>
  <c r="R403" i="2"/>
  <c r="Q403" i="2"/>
  <c r="P403" i="2"/>
  <c r="O403" i="2"/>
  <c r="M403" i="2"/>
  <c r="I403" i="2"/>
  <c r="L403" i="2" s="1"/>
  <c r="G403" i="2"/>
  <c r="R402" i="2"/>
  <c r="Q402" i="2"/>
  <c r="P402" i="2"/>
  <c r="N402" i="2"/>
  <c r="M402" i="2"/>
  <c r="K402" i="2"/>
  <c r="E402" i="2"/>
  <c r="E403" i="2" s="1"/>
  <c r="R401" i="2"/>
  <c r="Q401" i="2"/>
  <c r="O401" i="2"/>
  <c r="N401" i="2"/>
  <c r="M401" i="2"/>
  <c r="K401" i="2"/>
  <c r="L401" i="2" s="1"/>
  <c r="P401" i="2" s="1"/>
  <c r="R400" i="2"/>
  <c r="Q400" i="2"/>
  <c r="P400" i="2"/>
  <c r="O400" i="2"/>
  <c r="N400" i="2"/>
  <c r="I400" i="2"/>
  <c r="L400" i="2" s="1"/>
  <c r="R399" i="2"/>
  <c r="Q399" i="2"/>
  <c r="P399" i="2"/>
  <c r="O399" i="2"/>
  <c r="N399" i="2"/>
  <c r="I399" i="2"/>
  <c r="L399" i="2" s="1"/>
  <c r="R398" i="2"/>
  <c r="Q398" i="2"/>
  <c r="P398" i="2"/>
  <c r="O398" i="2"/>
  <c r="N398" i="2"/>
  <c r="I398" i="2"/>
  <c r="L398" i="2" s="1"/>
  <c r="R397" i="2"/>
  <c r="Q397" i="2"/>
  <c r="P397" i="2"/>
  <c r="O397" i="2"/>
  <c r="N397" i="2"/>
  <c r="I397" i="2"/>
  <c r="L397" i="2" s="1"/>
  <c r="R396" i="2"/>
  <c r="Q396" i="2"/>
  <c r="P396" i="2"/>
  <c r="O396" i="2"/>
  <c r="M396" i="2"/>
  <c r="I396" i="2"/>
  <c r="L396" i="2" s="1"/>
  <c r="G396" i="2"/>
  <c r="R395" i="2"/>
  <c r="Q395" i="2"/>
  <c r="P395" i="2"/>
  <c r="O395" i="2"/>
  <c r="M395" i="2"/>
  <c r="I395" i="2"/>
  <c r="L395" i="2" s="1"/>
  <c r="G395" i="2"/>
  <c r="F395" i="2"/>
  <c r="R394" i="2"/>
  <c r="Q394" i="2"/>
  <c r="P394" i="2"/>
  <c r="O394" i="2"/>
  <c r="M394" i="2"/>
  <c r="I394" i="2"/>
  <c r="L394" i="2" s="1"/>
  <c r="G394" i="2"/>
  <c r="R393" i="2"/>
  <c r="Q393" i="2"/>
  <c r="P393" i="2"/>
  <c r="O393" i="2"/>
  <c r="M393" i="2"/>
  <c r="I393" i="2"/>
  <c r="L393" i="2" s="1"/>
  <c r="G393" i="2"/>
  <c r="E393" i="2"/>
  <c r="E394" i="2" s="1"/>
  <c r="E395" i="2" s="1"/>
  <c r="E396" i="2" s="1"/>
  <c r="R391" i="2"/>
  <c r="P391" i="2"/>
  <c r="O391" i="2"/>
  <c r="N391" i="2"/>
  <c r="M391" i="2"/>
  <c r="K391" i="2"/>
  <c r="L391" i="2" s="1"/>
  <c r="Q391" i="2" s="1"/>
  <c r="R390" i="2"/>
  <c r="Q390" i="2"/>
  <c r="P390" i="2"/>
  <c r="O390" i="2"/>
  <c r="N390" i="2"/>
  <c r="I390" i="2"/>
  <c r="L390" i="2" s="1"/>
  <c r="R389" i="2"/>
  <c r="Q389" i="2"/>
  <c r="P389" i="2"/>
  <c r="O389" i="2"/>
  <c r="N389" i="2"/>
  <c r="I389" i="2"/>
  <c r="L389" i="2" s="1"/>
  <c r="R388" i="2"/>
  <c r="Q388" i="2"/>
  <c r="P388" i="2"/>
  <c r="O388" i="2"/>
  <c r="N388" i="2"/>
  <c r="I388" i="2"/>
  <c r="L388" i="2" s="1"/>
  <c r="R387" i="2"/>
  <c r="Q387" i="2"/>
  <c r="P387" i="2"/>
  <c r="O387" i="2"/>
  <c r="M387" i="2"/>
  <c r="I387" i="2"/>
  <c r="L387" i="2" s="1"/>
  <c r="G387" i="2"/>
  <c r="F387" i="2"/>
  <c r="R386" i="2"/>
  <c r="Q386" i="2"/>
  <c r="P386" i="2"/>
  <c r="O386" i="2"/>
  <c r="M386" i="2"/>
  <c r="I386" i="2"/>
  <c r="L386" i="2" s="1"/>
  <c r="G386" i="2"/>
  <c r="R385" i="2"/>
  <c r="Q385" i="2"/>
  <c r="P385" i="2"/>
  <c r="O385" i="2"/>
  <c r="M385" i="2"/>
  <c r="I385" i="2"/>
  <c r="L385" i="2" s="1"/>
  <c r="G385" i="2"/>
  <c r="R384" i="2"/>
  <c r="P384" i="2"/>
  <c r="O384" i="2"/>
  <c r="N384" i="2"/>
  <c r="M384" i="2"/>
  <c r="K384" i="2"/>
  <c r="E384" i="2"/>
  <c r="E385" i="2" s="1"/>
  <c r="Q383" i="2"/>
  <c r="P383" i="2"/>
  <c r="O383" i="2"/>
  <c r="N383" i="2"/>
  <c r="M383" i="2"/>
  <c r="K383" i="2"/>
  <c r="R382" i="2"/>
  <c r="Q382" i="2"/>
  <c r="P382" i="2"/>
  <c r="O382" i="2"/>
  <c r="N382" i="2"/>
  <c r="I382" i="2"/>
  <c r="L382" i="2" s="1"/>
  <c r="R381" i="2"/>
  <c r="Q381" i="2"/>
  <c r="P381" i="2"/>
  <c r="O381" i="2"/>
  <c r="N381" i="2"/>
  <c r="I381" i="2"/>
  <c r="L381" i="2" s="1"/>
  <c r="R380" i="2"/>
  <c r="Q380" i="2"/>
  <c r="P380" i="2"/>
  <c r="O380" i="2"/>
  <c r="N380" i="2"/>
  <c r="I380" i="2"/>
  <c r="L380" i="2" s="1"/>
  <c r="R379" i="2"/>
  <c r="Q379" i="2"/>
  <c r="P379" i="2"/>
  <c r="O379" i="2"/>
  <c r="M379" i="2"/>
  <c r="I379" i="2"/>
  <c r="L379" i="2" s="1"/>
  <c r="G379" i="2"/>
  <c r="F379" i="2"/>
  <c r="R378" i="2"/>
  <c r="Q378" i="2"/>
  <c r="P378" i="2"/>
  <c r="O378" i="2"/>
  <c r="M378" i="2"/>
  <c r="I378" i="2"/>
  <c r="L378" i="2" s="1"/>
  <c r="G378" i="2"/>
  <c r="R377" i="2"/>
  <c r="Q377" i="2"/>
  <c r="P377" i="2"/>
  <c r="O377" i="2"/>
  <c r="M377" i="2"/>
  <c r="I377" i="2"/>
  <c r="L377" i="2" s="1"/>
  <c r="G377" i="2"/>
  <c r="R376" i="2"/>
  <c r="O376" i="2"/>
  <c r="N376" i="2"/>
  <c r="M376" i="2"/>
  <c r="K376" i="2"/>
  <c r="L376" i="2" s="1"/>
  <c r="Q376" i="2" s="1"/>
  <c r="R375" i="2"/>
  <c r="Q375" i="2"/>
  <c r="P375" i="2"/>
  <c r="O375" i="2"/>
  <c r="N375" i="2"/>
  <c r="I375" i="2"/>
  <c r="L375" i="2" s="1"/>
  <c r="R374" i="2"/>
  <c r="Q374" i="2"/>
  <c r="P374" i="2"/>
  <c r="O374" i="2"/>
  <c r="N374" i="2"/>
  <c r="I374" i="2"/>
  <c r="L374" i="2" s="1"/>
  <c r="R373" i="2"/>
  <c r="Q373" i="2"/>
  <c r="P373" i="2"/>
  <c r="O373" i="2"/>
  <c r="N373" i="2"/>
  <c r="I373" i="2"/>
  <c r="L373" i="2" s="1"/>
  <c r="R372" i="2"/>
  <c r="Q372" i="2"/>
  <c r="P372" i="2"/>
  <c r="O372" i="2"/>
  <c r="M372" i="2"/>
  <c r="I372" i="2"/>
  <c r="L372" i="2" s="1"/>
  <c r="G372" i="2"/>
  <c r="F372" i="2"/>
  <c r="R371" i="2"/>
  <c r="Q371" i="2"/>
  <c r="P371" i="2"/>
  <c r="O371" i="2"/>
  <c r="M371" i="2"/>
  <c r="I371" i="2"/>
  <c r="L371" i="2" s="1"/>
  <c r="G371" i="2"/>
  <c r="R370" i="2"/>
  <c r="Q370" i="2"/>
  <c r="P370" i="2"/>
  <c r="O370" i="2"/>
  <c r="M370" i="2"/>
  <c r="I370" i="2"/>
  <c r="L370" i="2" s="1"/>
  <c r="G370" i="2"/>
  <c r="R369" i="2"/>
  <c r="Q369" i="2"/>
  <c r="P369" i="2"/>
  <c r="N369" i="2"/>
  <c r="M369" i="2"/>
  <c r="K369" i="2"/>
  <c r="L369" i="2" s="1"/>
  <c r="E369" i="2"/>
  <c r="E370" i="2" s="1"/>
  <c r="R368" i="2"/>
  <c r="Q368" i="2"/>
  <c r="O368" i="2"/>
  <c r="N368" i="2"/>
  <c r="M368" i="2"/>
  <c r="K368" i="2"/>
  <c r="L368" i="2" s="1"/>
  <c r="P368" i="2" s="1"/>
  <c r="D12" i="3" l="1"/>
  <c r="J12" i="3" s="1"/>
  <c r="O679" i="2"/>
  <c r="N679" i="2"/>
  <c r="N658" i="2"/>
  <c r="M457" i="2"/>
  <c r="M461" i="2"/>
  <c r="M495" i="2"/>
  <c r="M503" i="2"/>
  <c r="M547" i="2"/>
  <c r="M478" i="2"/>
  <c r="M507" i="2"/>
  <c r="Q736" i="2"/>
  <c r="H11" i="3" s="1"/>
  <c r="O736" i="2"/>
  <c r="F11" i="3" s="1"/>
  <c r="P567" i="2"/>
  <c r="P736" i="2" s="1"/>
  <c r="G11" i="3" s="1"/>
  <c r="L392" i="2"/>
  <c r="N570" i="2"/>
  <c r="E571" i="2"/>
  <c r="N599" i="2"/>
  <c r="E600" i="2"/>
  <c r="N579" i="2"/>
  <c r="E580" i="2"/>
  <c r="E589" i="2"/>
  <c r="N588" i="2"/>
  <c r="E618" i="2"/>
  <c r="M617" i="2"/>
  <c r="E609" i="2"/>
  <c r="N608" i="2"/>
  <c r="N554" i="2"/>
  <c r="E555" i="2"/>
  <c r="M538" i="2"/>
  <c r="L462" i="2"/>
  <c r="P462" i="2" s="1"/>
  <c r="L473" i="2"/>
  <c r="P473" i="2" s="1"/>
  <c r="L512" i="2"/>
  <c r="O512" i="2" s="1"/>
  <c r="L429" i="2"/>
  <c r="Q429" i="2" s="1"/>
  <c r="N433" i="2"/>
  <c r="M444" i="2"/>
  <c r="O474" i="2"/>
  <c r="L541" i="2"/>
  <c r="O541" i="2" s="1"/>
  <c r="L499" i="2"/>
  <c r="P499" i="2" s="1"/>
  <c r="M526" i="2"/>
  <c r="M470" i="2"/>
  <c r="L540" i="2"/>
  <c r="P540" i="2" s="1"/>
  <c r="L542" i="2"/>
  <c r="N542" i="2" s="1"/>
  <c r="N394" i="2"/>
  <c r="M545" i="2"/>
  <c r="L480" i="2"/>
  <c r="P480" i="2" s="1"/>
  <c r="M472" i="2"/>
  <c r="M479" i="2"/>
  <c r="N432" i="2"/>
  <c r="M496" i="2"/>
  <c r="M466" i="2"/>
  <c r="M490" i="2"/>
  <c r="M505" i="2"/>
  <c r="M509" i="2"/>
  <c r="L384" i="2"/>
  <c r="Q384" i="2" s="1"/>
  <c r="M448" i="2"/>
  <c r="M460" i="2"/>
  <c r="M477" i="2"/>
  <c r="M484" i="2"/>
  <c r="M510" i="2"/>
  <c r="M518" i="2"/>
  <c r="M546" i="2"/>
  <c r="N393" i="2"/>
  <c r="L528" i="2"/>
  <c r="P528" i="2" s="1"/>
  <c r="M471" i="2"/>
  <c r="M515" i="2"/>
  <c r="M519" i="2"/>
  <c r="M527" i="2"/>
  <c r="P376" i="2"/>
  <c r="M449" i="2"/>
  <c r="L520" i="2"/>
  <c r="P520" i="2" s="1"/>
  <c r="L511" i="2"/>
  <c r="P511" i="2" s="1"/>
  <c r="L486" i="2"/>
  <c r="O486" i="2" s="1"/>
  <c r="L422" i="2"/>
  <c r="O422" i="2" s="1"/>
  <c r="L383" i="2"/>
  <c r="R383" i="2" s="1"/>
  <c r="R549" i="2" s="1"/>
  <c r="I10" i="3" s="1"/>
  <c r="N377" i="2"/>
  <c r="E386" i="2"/>
  <c r="N385" i="2"/>
  <c r="E371" i="2"/>
  <c r="N370" i="2"/>
  <c r="E404" i="2"/>
  <c r="N403" i="2"/>
  <c r="E414" i="2"/>
  <c r="N413" i="2"/>
  <c r="E424" i="2"/>
  <c r="N423" i="2"/>
  <c r="M497" i="2"/>
  <c r="M539" i="2"/>
  <c r="E397" i="2"/>
  <c r="N396" i="2"/>
  <c r="L430" i="2"/>
  <c r="P430" i="2" s="1"/>
  <c r="E434" i="2"/>
  <c r="M442" i="2"/>
  <c r="M456" i="2"/>
  <c r="L467" i="2"/>
  <c r="P467" i="2" s="1"/>
  <c r="M476" i="2"/>
  <c r="L402" i="2"/>
  <c r="O402" i="2" s="1"/>
  <c r="L412" i="2"/>
  <c r="O412" i="2" s="1"/>
  <c r="O481" i="2"/>
  <c r="M488" i="2"/>
  <c r="M491" i="2"/>
  <c r="M525" i="2"/>
  <c r="O369" i="2"/>
  <c r="N395" i="2"/>
  <c r="N431" i="2"/>
  <c r="L451" i="2"/>
  <c r="O451" i="2" s="1"/>
  <c r="M516" i="2"/>
  <c r="R364" i="2"/>
  <c r="R365" i="2" s="1"/>
  <c r="I9" i="3" s="1"/>
  <c r="Q364" i="2"/>
  <c r="P364" i="2"/>
  <c r="O364" i="2"/>
  <c r="N364" i="2"/>
  <c r="M364" i="2"/>
  <c r="L364" i="2"/>
  <c r="R179" i="2"/>
  <c r="Q179" i="2"/>
  <c r="P179" i="2"/>
  <c r="O179" i="2"/>
  <c r="N179" i="2"/>
  <c r="L179" i="2"/>
  <c r="G179" i="2"/>
  <c r="R178" i="2"/>
  <c r="Q178" i="2"/>
  <c r="P178" i="2"/>
  <c r="O178" i="2"/>
  <c r="N178" i="2"/>
  <c r="L178" i="2"/>
  <c r="G178" i="2"/>
  <c r="R177" i="2"/>
  <c r="Q177" i="2"/>
  <c r="P177" i="2"/>
  <c r="O177" i="2"/>
  <c r="N177" i="2"/>
  <c r="L177" i="2"/>
  <c r="G177" i="2"/>
  <c r="F177" i="2"/>
  <c r="R176" i="2"/>
  <c r="Q176" i="2"/>
  <c r="P176" i="2"/>
  <c r="O176" i="2"/>
  <c r="N176" i="2"/>
  <c r="L176" i="2"/>
  <c r="G176" i="2"/>
  <c r="R175" i="2"/>
  <c r="Q175" i="2"/>
  <c r="P175" i="2"/>
  <c r="O175" i="2"/>
  <c r="N175" i="2"/>
  <c r="M175" i="2"/>
  <c r="L175" i="2"/>
  <c r="R174" i="2"/>
  <c r="Q174" i="2"/>
  <c r="P174" i="2"/>
  <c r="O174" i="2"/>
  <c r="M174" i="2"/>
  <c r="R173" i="2"/>
  <c r="Q173" i="2"/>
  <c r="P173" i="2"/>
  <c r="N173" i="2"/>
  <c r="M173" i="2"/>
  <c r="R172" i="2"/>
  <c r="Q172" i="2"/>
  <c r="O172" i="2"/>
  <c r="N172" i="2"/>
  <c r="M172" i="2"/>
  <c r="R171" i="2"/>
  <c r="Q171" i="2"/>
  <c r="P171" i="2"/>
  <c r="O171" i="2"/>
  <c r="N171" i="2"/>
  <c r="I171" i="2"/>
  <c r="L171" i="2" s="1"/>
  <c r="G171" i="2"/>
  <c r="R170" i="2"/>
  <c r="Q170" i="2"/>
  <c r="P170" i="2"/>
  <c r="O170" i="2"/>
  <c r="N170" i="2"/>
  <c r="I170" i="2"/>
  <c r="L170" i="2" s="1"/>
  <c r="G170" i="2"/>
  <c r="R169" i="2"/>
  <c r="Q169" i="2"/>
  <c r="P169" i="2"/>
  <c r="O169" i="2"/>
  <c r="N169" i="2"/>
  <c r="I169" i="2"/>
  <c r="L169" i="2" s="1"/>
  <c r="G169" i="2"/>
  <c r="R168" i="2"/>
  <c r="Q168" i="2"/>
  <c r="P168" i="2"/>
  <c r="O168" i="2"/>
  <c r="N168" i="2"/>
  <c r="I168" i="2"/>
  <c r="L168" i="2" s="1"/>
  <c r="G168" i="2"/>
  <c r="R167" i="2"/>
  <c r="Q167" i="2"/>
  <c r="P167" i="2"/>
  <c r="O167" i="2"/>
  <c r="N167" i="2"/>
  <c r="I167" i="2"/>
  <c r="L167" i="2" s="1"/>
  <c r="G167" i="2"/>
  <c r="R166" i="2"/>
  <c r="Q166" i="2"/>
  <c r="P166" i="2"/>
  <c r="O166" i="2"/>
  <c r="N166" i="2"/>
  <c r="I166" i="2"/>
  <c r="L166" i="2" s="1"/>
  <c r="G166" i="2"/>
  <c r="R165" i="2"/>
  <c r="Q165" i="2"/>
  <c r="P165" i="2"/>
  <c r="O165" i="2"/>
  <c r="N165" i="2"/>
  <c r="I165" i="2"/>
  <c r="L165" i="2" s="1"/>
  <c r="G165" i="2"/>
  <c r="R164" i="2"/>
  <c r="Q164" i="2"/>
  <c r="P164" i="2"/>
  <c r="O164" i="2"/>
  <c r="N164" i="2"/>
  <c r="I164" i="2"/>
  <c r="L164" i="2" s="1"/>
  <c r="G164" i="2"/>
  <c r="R163" i="2"/>
  <c r="Q163" i="2"/>
  <c r="P163" i="2"/>
  <c r="O163" i="2"/>
  <c r="N163" i="2"/>
  <c r="M163" i="2"/>
  <c r="L163" i="2"/>
  <c r="R162" i="2"/>
  <c r="Q162" i="2"/>
  <c r="P162" i="2"/>
  <c r="O162" i="2"/>
  <c r="M162" i="2"/>
  <c r="R161" i="2"/>
  <c r="Q161" i="2"/>
  <c r="P161" i="2"/>
  <c r="N161" i="2"/>
  <c r="M161" i="2"/>
  <c r="L161" i="2"/>
  <c r="O161" i="2" s="1"/>
  <c r="R160" i="2"/>
  <c r="Q160" i="2"/>
  <c r="O160" i="2"/>
  <c r="N160" i="2"/>
  <c r="M160" i="2"/>
  <c r="R159" i="2"/>
  <c r="Q159" i="2"/>
  <c r="P159" i="2"/>
  <c r="O159" i="2"/>
  <c r="N159" i="2"/>
  <c r="I159" i="2"/>
  <c r="L159" i="2" s="1"/>
  <c r="G159" i="2"/>
  <c r="R158" i="2"/>
  <c r="Q158" i="2"/>
  <c r="P158" i="2"/>
  <c r="O158" i="2"/>
  <c r="N158" i="2"/>
  <c r="I158" i="2"/>
  <c r="L158" i="2" s="1"/>
  <c r="G158" i="2"/>
  <c r="R157" i="2"/>
  <c r="Q157" i="2"/>
  <c r="P157" i="2"/>
  <c r="O157" i="2"/>
  <c r="N157" i="2"/>
  <c r="I157" i="2"/>
  <c r="L157" i="2" s="1"/>
  <c r="G157" i="2"/>
  <c r="R156" i="2"/>
  <c r="Q156" i="2"/>
  <c r="P156" i="2"/>
  <c r="O156" i="2"/>
  <c r="N156" i="2"/>
  <c r="I156" i="2"/>
  <c r="L156" i="2" s="1"/>
  <c r="G156" i="2"/>
  <c r="R155" i="2"/>
  <c r="Q155" i="2"/>
  <c r="P155" i="2"/>
  <c r="O155" i="2"/>
  <c r="N155" i="2"/>
  <c r="M155" i="2"/>
  <c r="L155" i="2"/>
  <c r="R154" i="2"/>
  <c r="Q154" i="2"/>
  <c r="P154" i="2"/>
  <c r="O154" i="2"/>
  <c r="M154" i="2"/>
  <c r="R153" i="2"/>
  <c r="Q153" i="2"/>
  <c r="P153" i="2"/>
  <c r="N153" i="2"/>
  <c r="M153" i="2"/>
  <c r="R152" i="2"/>
  <c r="Q152" i="2"/>
  <c r="O152" i="2"/>
  <c r="N152" i="2"/>
  <c r="M152" i="2"/>
  <c r="L152" i="2"/>
  <c r="P152" i="2" s="1"/>
  <c r="R151" i="2"/>
  <c r="Q151" i="2"/>
  <c r="P151" i="2"/>
  <c r="O151" i="2"/>
  <c r="N151" i="2"/>
  <c r="I151" i="2"/>
  <c r="L151" i="2" s="1"/>
  <c r="G151" i="2"/>
  <c r="R150" i="2"/>
  <c r="Q150" i="2"/>
  <c r="P150" i="2"/>
  <c r="O150" i="2"/>
  <c r="N150" i="2"/>
  <c r="I150" i="2"/>
  <c r="L150" i="2" s="1"/>
  <c r="G150" i="2"/>
  <c r="R149" i="2"/>
  <c r="Q149" i="2"/>
  <c r="P149" i="2"/>
  <c r="O149" i="2"/>
  <c r="N149" i="2"/>
  <c r="I149" i="2"/>
  <c r="L149" i="2" s="1"/>
  <c r="G149" i="2"/>
  <c r="R148" i="2"/>
  <c r="Q148" i="2"/>
  <c r="P148" i="2"/>
  <c r="O148" i="2"/>
  <c r="N148" i="2"/>
  <c r="I148" i="2"/>
  <c r="L148" i="2" s="1"/>
  <c r="G148" i="2"/>
  <c r="F148" i="2"/>
  <c r="R147" i="2"/>
  <c r="Q147" i="2"/>
  <c r="P147" i="2"/>
  <c r="O147" i="2"/>
  <c r="N147" i="2"/>
  <c r="I147" i="2"/>
  <c r="L147" i="2" s="1"/>
  <c r="G147" i="2"/>
  <c r="R146" i="2"/>
  <c r="Q146" i="2"/>
  <c r="P146" i="2"/>
  <c r="O146" i="2"/>
  <c r="N146" i="2"/>
  <c r="M146" i="2"/>
  <c r="L146" i="2"/>
  <c r="R145" i="2"/>
  <c r="Q145" i="2"/>
  <c r="P145" i="2"/>
  <c r="N145" i="2"/>
  <c r="M145" i="2"/>
  <c r="L145" i="2"/>
  <c r="O145" i="2" s="1"/>
  <c r="R144" i="2"/>
  <c r="Q144" i="2"/>
  <c r="O144" i="2"/>
  <c r="N144" i="2"/>
  <c r="M144" i="2"/>
  <c r="L144" i="2"/>
  <c r="P144" i="2" s="1"/>
  <c r="R143" i="2"/>
  <c r="Q143" i="2"/>
  <c r="P143" i="2"/>
  <c r="O143" i="2"/>
  <c r="N143" i="2"/>
  <c r="I143" i="2"/>
  <c r="L143" i="2" s="1"/>
  <c r="G143" i="2"/>
  <c r="R142" i="2"/>
  <c r="Q142" i="2"/>
  <c r="P142" i="2"/>
  <c r="O142" i="2"/>
  <c r="N142" i="2"/>
  <c r="I142" i="2"/>
  <c r="L142" i="2" s="1"/>
  <c r="G142" i="2"/>
  <c r="R141" i="2"/>
  <c r="Q141" i="2"/>
  <c r="P141" i="2"/>
  <c r="O141" i="2"/>
  <c r="N141" i="2"/>
  <c r="I141" i="2"/>
  <c r="L141" i="2" s="1"/>
  <c r="G141" i="2"/>
  <c r="R140" i="2"/>
  <c r="Q140" i="2"/>
  <c r="P140" i="2"/>
  <c r="O140" i="2"/>
  <c r="N140" i="2"/>
  <c r="I140" i="2"/>
  <c r="L140" i="2" s="1"/>
  <c r="G140" i="2"/>
  <c r="R139" i="2"/>
  <c r="Q139" i="2"/>
  <c r="P139" i="2"/>
  <c r="O139" i="2"/>
  <c r="N139" i="2"/>
  <c r="I139" i="2"/>
  <c r="L139" i="2" s="1"/>
  <c r="G139" i="2"/>
  <c r="R138" i="2"/>
  <c r="Q138" i="2"/>
  <c r="P138" i="2"/>
  <c r="O138" i="2"/>
  <c r="N138" i="2"/>
  <c r="I138" i="2"/>
  <c r="L138" i="2" s="1"/>
  <c r="G138" i="2"/>
  <c r="R137" i="2"/>
  <c r="Q137" i="2"/>
  <c r="P137" i="2"/>
  <c r="O137" i="2"/>
  <c r="N137" i="2"/>
  <c r="I137" i="2"/>
  <c r="L137" i="2" s="1"/>
  <c r="G137" i="2"/>
  <c r="R136" i="2"/>
  <c r="Q136" i="2"/>
  <c r="P136" i="2"/>
  <c r="O136" i="2"/>
  <c r="N136" i="2"/>
  <c r="I136" i="2"/>
  <c r="L136" i="2" s="1"/>
  <c r="G136" i="2"/>
  <c r="R135" i="2"/>
  <c r="Q135" i="2"/>
  <c r="P135" i="2"/>
  <c r="O135" i="2"/>
  <c r="N135" i="2"/>
  <c r="M135" i="2"/>
  <c r="L135" i="2"/>
  <c r="R134" i="2"/>
  <c r="Q134" i="2"/>
  <c r="P134" i="2"/>
  <c r="N134" i="2"/>
  <c r="M134" i="2"/>
  <c r="R133" i="2"/>
  <c r="Q133" i="2"/>
  <c r="O133" i="2"/>
  <c r="N133" i="2"/>
  <c r="M133" i="2"/>
  <c r="R132" i="2"/>
  <c r="Q132" i="2"/>
  <c r="P132" i="2"/>
  <c r="O132" i="2"/>
  <c r="N132" i="2"/>
  <c r="I132" i="2"/>
  <c r="L132" i="2" s="1"/>
  <c r="G132" i="2"/>
  <c r="R131" i="2"/>
  <c r="Q131" i="2"/>
  <c r="P131" i="2"/>
  <c r="O131" i="2"/>
  <c r="N131" i="2"/>
  <c r="I131" i="2"/>
  <c r="L131" i="2" s="1"/>
  <c r="G131" i="2"/>
  <c r="R130" i="2"/>
  <c r="Q130" i="2"/>
  <c r="P130" i="2"/>
  <c r="O130" i="2"/>
  <c r="N130" i="2"/>
  <c r="I130" i="2"/>
  <c r="L130" i="2" s="1"/>
  <c r="G130" i="2"/>
  <c r="F130" i="2"/>
  <c r="R129" i="2"/>
  <c r="Q129" i="2"/>
  <c r="P129" i="2"/>
  <c r="O129" i="2"/>
  <c r="N129" i="2"/>
  <c r="I129" i="2"/>
  <c r="L129" i="2" s="1"/>
  <c r="G129" i="2"/>
  <c r="R128" i="2"/>
  <c r="Q128" i="2"/>
  <c r="P128" i="2"/>
  <c r="O128" i="2"/>
  <c r="N128" i="2"/>
  <c r="M128" i="2"/>
  <c r="L128" i="2"/>
  <c r="R127" i="2"/>
  <c r="Q127" i="2"/>
  <c r="P127" i="2"/>
  <c r="N127" i="2"/>
  <c r="M127" i="2"/>
  <c r="L127" i="2"/>
  <c r="O127" i="2" s="1"/>
  <c r="R126" i="2"/>
  <c r="Q126" i="2"/>
  <c r="O126" i="2"/>
  <c r="N126" i="2"/>
  <c r="M126" i="2"/>
  <c r="L126" i="2"/>
  <c r="P126" i="2" s="1"/>
  <c r="R125" i="2"/>
  <c r="Q125" i="2"/>
  <c r="P125" i="2"/>
  <c r="O125" i="2"/>
  <c r="N125" i="2"/>
  <c r="L125" i="2"/>
  <c r="G125" i="2"/>
  <c r="R124" i="2"/>
  <c r="Q124" i="2"/>
  <c r="P124" i="2"/>
  <c r="O124" i="2"/>
  <c r="N124" i="2"/>
  <c r="L124" i="2"/>
  <c r="G124" i="2"/>
  <c r="R123" i="2"/>
  <c r="Q123" i="2"/>
  <c r="P123" i="2"/>
  <c r="O123" i="2"/>
  <c r="N123" i="2"/>
  <c r="M123" i="2"/>
  <c r="L123" i="2"/>
  <c r="R122" i="2"/>
  <c r="Q122" i="2"/>
  <c r="O122" i="2"/>
  <c r="N122" i="2"/>
  <c r="M122" i="2"/>
  <c r="R121" i="2"/>
  <c r="Q121" i="2"/>
  <c r="P121" i="2"/>
  <c r="O121" i="2"/>
  <c r="N121" i="2"/>
  <c r="L121" i="2"/>
  <c r="G121" i="2"/>
  <c r="R120" i="2"/>
  <c r="Q120" i="2"/>
  <c r="P120" i="2"/>
  <c r="O120" i="2"/>
  <c r="N120" i="2"/>
  <c r="L120" i="2"/>
  <c r="G120" i="2"/>
  <c r="R119" i="2"/>
  <c r="Q119" i="2"/>
  <c r="P119" i="2"/>
  <c r="O119" i="2"/>
  <c r="N119" i="2"/>
  <c r="M119" i="2"/>
  <c r="L119" i="2"/>
  <c r="R118" i="2"/>
  <c r="Q118" i="2"/>
  <c r="P118" i="2"/>
  <c r="N118" i="2"/>
  <c r="M118" i="2"/>
  <c r="L118" i="2"/>
  <c r="E118" i="2"/>
  <c r="R117" i="2"/>
  <c r="Q117" i="2"/>
  <c r="O117" i="2"/>
  <c r="N117" i="2"/>
  <c r="M117" i="2"/>
  <c r="L117" i="2"/>
  <c r="P117" i="2" s="1"/>
  <c r="R116" i="2"/>
  <c r="Q116" i="2"/>
  <c r="P116" i="2"/>
  <c r="O116" i="2"/>
  <c r="N116" i="2"/>
  <c r="I116" i="2"/>
  <c r="L116" i="2" s="1"/>
  <c r="G116" i="2"/>
  <c r="R115" i="2"/>
  <c r="Q115" i="2"/>
  <c r="P115" i="2"/>
  <c r="O115" i="2"/>
  <c r="N115" i="2"/>
  <c r="L115" i="2"/>
  <c r="G115" i="2"/>
  <c r="R114" i="2"/>
  <c r="Q114" i="2"/>
  <c r="P114" i="2"/>
  <c r="O114" i="2"/>
  <c r="N114" i="2"/>
  <c r="L114" i="2"/>
  <c r="G114" i="2"/>
  <c r="R113" i="2"/>
  <c r="Q113" i="2"/>
  <c r="P113" i="2"/>
  <c r="O113" i="2"/>
  <c r="N113" i="2"/>
  <c r="L113" i="2"/>
  <c r="G113" i="2"/>
  <c r="R112" i="2"/>
  <c r="Q112" i="2"/>
  <c r="P112" i="2"/>
  <c r="O112" i="2"/>
  <c r="N112" i="2"/>
  <c r="M112" i="2"/>
  <c r="L112" i="2"/>
  <c r="R111" i="2"/>
  <c r="Q111" i="2"/>
  <c r="O111" i="2"/>
  <c r="N111" i="2"/>
  <c r="M111" i="2"/>
  <c r="L111" i="2"/>
  <c r="E111" i="2"/>
  <c r="R110" i="2"/>
  <c r="P110" i="2"/>
  <c r="O110" i="2"/>
  <c r="N110" i="2"/>
  <c r="M110" i="2"/>
  <c r="L110" i="2"/>
  <c r="Q110" i="2" s="1"/>
  <c r="R109" i="2"/>
  <c r="Q109" i="2"/>
  <c r="P109" i="2"/>
  <c r="O109" i="2"/>
  <c r="N109" i="2"/>
  <c r="I109" i="2"/>
  <c r="L109" i="2" s="1"/>
  <c r="G109" i="2"/>
  <c r="R108" i="2"/>
  <c r="Q108" i="2"/>
  <c r="P108" i="2"/>
  <c r="O108" i="2"/>
  <c r="N108" i="2"/>
  <c r="L108" i="2"/>
  <c r="G108" i="2"/>
  <c r="R107" i="2"/>
  <c r="Q107" i="2"/>
  <c r="P107" i="2"/>
  <c r="O107" i="2"/>
  <c r="N107" i="2"/>
  <c r="L107" i="2"/>
  <c r="G107" i="2"/>
  <c r="R106" i="2"/>
  <c r="Q106" i="2"/>
  <c r="P106" i="2"/>
  <c r="O106" i="2"/>
  <c r="N106" i="2"/>
  <c r="M106" i="2"/>
  <c r="L106" i="2"/>
  <c r="R105" i="2"/>
  <c r="Q105" i="2"/>
  <c r="P105" i="2"/>
  <c r="N105" i="2"/>
  <c r="M105" i="2"/>
  <c r="L105" i="2"/>
  <c r="O105" i="2" s="1"/>
  <c r="R104" i="2"/>
  <c r="Q104" i="2"/>
  <c r="O104" i="2"/>
  <c r="N104" i="2"/>
  <c r="M104" i="2"/>
  <c r="L104" i="2"/>
  <c r="P104" i="2" s="1"/>
  <c r="R103" i="2"/>
  <c r="Q103" i="2"/>
  <c r="P103" i="2"/>
  <c r="O103" i="2"/>
  <c r="N103" i="2"/>
  <c r="L103" i="2"/>
  <c r="G103" i="2"/>
  <c r="R102" i="2"/>
  <c r="Q102" i="2"/>
  <c r="P102" i="2"/>
  <c r="O102" i="2"/>
  <c r="N102" i="2"/>
  <c r="L102" i="2"/>
  <c r="G102" i="2"/>
  <c r="R101" i="2"/>
  <c r="Q101" i="2"/>
  <c r="P101" i="2"/>
  <c r="O101" i="2"/>
  <c r="N101" i="2"/>
  <c r="M101" i="2"/>
  <c r="L101" i="2"/>
  <c r="R100" i="2"/>
  <c r="Q100" i="2"/>
  <c r="P100" i="2"/>
  <c r="N100" i="2"/>
  <c r="M100" i="2"/>
  <c r="L100" i="2"/>
  <c r="O100" i="2" s="1"/>
  <c r="R99" i="2"/>
  <c r="Q99" i="2"/>
  <c r="O99" i="2"/>
  <c r="N99" i="2"/>
  <c r="M99" i="2"/>
  <c r="L99" i="2"/>
  <c r="P99" i="2" s="1"/>
  <c r="R98" i="2"/>
  <c r="Q98" i="2"/>
  <c r="P98" i="2"/>
  <c r="O98" i="2"/>
  <c r="N98" i="2"/>
  <c r="I98" i="2"/>
  <c r="L98" i="2" s="1"/>
  <c r="G98" i="2"/>
  <c r="R97" i="2"/>
  <c r="Q97" i="2"/>
  <c r="P97" i="2"/>
  <c r="O97" i="2"/>
  <c r="N97" i="2"/>
  <c r="L97" i="2"/>
  <c r="G97" i="2"/>
  <c r="R96" i="2"/>
  <c r="Q96" i="2"/>
  <c r="P96" i="2"/>
  <c r="O96" i="2"/>
  <c r="N96" i="2"/>
  <c r="I96" i="2"/>
  <c r="L96" i="2" s="1"/>
  <c r="G96" i="2"/>
  <c r="R95" i="2"/>
  <c r="Q95" i="2"/>
  <c r="P95" i="2"/>
  <c r="O95" i="2"/>
  <c r="N95" i="2"/>
  <c r="L95" i="2"/>
  <c r="G95" i="2"/>
  <c r="R94" i="2"/>
  <c r="Q94" i="2"/>
  <c r="P94" i="2"/>
  <c r="O94" i="2"/>
  <c r="N94" i="2"/>
  <c r="L94" i="2"/>
  <c r="G94" i="2"/>
  <c r="R93" i="2"/>
  <c r="Q93" i="2"/>
  <c r="P93" i="2"/>
  <c r="O93" i="2"/>
  <c r="N93" i="2"/>
  <c r="I93" i="2"/>
  <c r="L93" i="2" s="1"/>
  <c r="G93" i="2"/>
  <c r="R92" i="2"/>
  <c r="Q92" i="2"/>
  <c r="P92" i="2"/>
  <c r="O92" i="2"/>
  <c r="N92" i="2"/>
  <c r="L92" i="2"/>
  <c r="G92" i="2"/>
  <c r="R91" i="2"/>
  <c r="Q91" i="2"/>
  <c r="P91" i="2"/>
  <c r="O91" i="2"/>
  <c r="N91" i="2"/>
  <c r="L91" i="2"/>
  <c r="G91" i="2"/>
  <c r="R90" i="2"/>
  <c r="Q90" i="2"/>
  <c r="P90" i="2"/>
  <c r="O90" i="2"/>
  <c r="N90" i="2"/>
  <c r="M90" i="2"/>
  <c r="L90" i="2"/>
  <c r="R89" i="2"/>
  <c r="Q89" i="2"/>
  <c r="P89" i="2"/>
  <c r="O89" i="2"/>
  <c r="M89" i="2"/>
  <c r="L89" i="2"/>
  <c r="N89" i="2" s="1"/>
  <c r="R88" i="2"/>
  <c r="Q88" i="2"/>
  <c r="P88" i="2"/>
  <c r="N88" i="2"/>
  <c r="M88" i="2"/>
  <c r="L88" i="2"/>
  <c r="O88" i="2" s="1"/>
  <c r="R87" i="2"/>
  <c r="Q87" i="2"/>
  <c r="O87" i="2"/>
  <c r="N87" i="2"/>
  <c r="M87" i="2"/>
  <c r="R86" i="2"/>
  <c r="Q86" i="2"/>
  <c r="P86" i="2"/>
  <c r="O86" i="2"/>
  <c r="N86" i="2"/>
  <c r="I86" i="2"/>
  <c r="L86" i="2" s="1"/>
  <c r="G86" i="2"/>
  <c r="R85" i="2"/>
  <c r="Q85" i="2"/>
  <c r="P85" i="2"/>
  <c r="O85" i="2"/>
  <c r="N85" i="2"/>
  <c r="L85" i="2"/>
  <c r="G85" i="2"/>
  <c r="R84" i="2"/>
  <c r="Q84" i="2"/>
  <c r="P84" i="2"/>
  <c r="O84" i="2"/>
  <c r="N84" i="2"/>
  <c r="I84" i="2"/>
  <c r="L84" i="2" s="1"/>
  <c r="G84" i="2"/>
  <c r="R83" i="2"/>
  <c r="Q83" i="2"/>
  <c r="P83" i="2"/>
  <c r="O83" i="2"/>
  <c r="N83" i="2"/>
  <c r="L83" i="2"/>
  <c r="G83" i="2"/>
  <c r="R82" i="2"/>
  <c r="Q82" i="2"/>
  <c r="P82" i="2"/>
  <c r="O82" i="2"/>
  <c r="N82" i="2"/>
  <c r="L82" i="2"/>
  <c r="G82" i="2"/>
  <c r="R81" i="2"/>
  <c r="Q81" i="2"/>
  <c r="P81" i="2"/>
  <c r="O81" i="2"/>
  <c r="N81" i="2"/>
  <c r="I81" i="2"/>
  <c r="L81" i="2" s="1"/>
  <c r="G81" i="2"/>
  <c r="R80" i="2"/>
  <c r="Q80" i="2"/>
  <c r="P80" i="2"/>
  <c r="O80" i="2"/>
  <c r="N80" i="2"/>
  <c r="L80" i="2"/>
  <c r="G80" i="2"/>
  <c r="R79" i="2"/>
  <c r="Q79" i="2"/>
  <c r="P79" i="2"/>
  <c r="O79" i="2"/>
  <c r="N79" i="2"/>
  <c r="L79" i="2"/>
  <c r="G79" i="2"/>
  <c r="R78" i="2"/>
  <c r="Q78" i="2"/>
  <c r="P78" i="2"/>
  <c r="O78" i="2"/>
  <c r="N78" i="2"/>
  <c r="M78" i="2"/>
  <c r="L78" i="2"/>
  <c r="R77" i="2"/>
  <c r="Q77" i="2"/>
  <c r="P77" i="2"/>
  <c r="O77" i="2"/>
  <c r="M77" i="2"/>
  <c r="R76" i="2"/>
  <c r="Q76" i="2"/>
  <c r="P76" i="2"/>
  <c r="N76" i="2"/>
  <c r="M76" i="2"/>
  <c r="L76" i="2"/>
  <c r="O76" i="2" s="1"/>
  <c r="R75" i="2"/>
  <c r="Q75" i="2"/>
  <c r="O75" i="2"/>
  <c r="N75" i="2"/>
  <c r="M75" i="2"/>
  <c r="L75" i="2"/>
  <c r="P75" i="2" s="1"/>
  <c r="R74" i="2"/>
  <c r="Q74" i="2"/>
  <c r="P74" i="2"/>
  <c r="O74" i="2"/>
  <c r="N74" i="2"/>
  <c r="M74" i="2"/>
  <c r="L74" i="2"/>
  <c r="R73" i="2"/>
  <c r="Q73" i="2"/>
  <c r="P73" i="2"/>
  <c r="O73" i="2"/>
  <c r="N73" i="2"/>
  <c r="L73" i="2"/>
  <c r="G73" i="2"/>
  <c r="R72" i="2"/>
  <c r="Q72" i="2"/>
  <c r="P72" i="2"/>
  <c r="O72" i="2"/>
  <c r="N72" i="2"/>
  <c r="L72" i="2"/>
  <c r="G72" i="2"/>
  <c r="R71" i="2"/>
  <c r="Q71" i="2"/>
  <c r="P71" i="2"/>
  <c r="O71" i="2"/>
  <c r="N71" i="2"/>
  <c r="L71" i="2"/>
  <c r="G71" i="2"/>
  <c r="R70" i="2"/>
  <c r="Q70" i="2"/>
  <c r="P70" i="2"/>
  <c r="O70" i="2"/>
  <c r="M70" i="2"/>
  <c r="L70" i="2"/>
  <c r="G70" i="2"/>
  <c r="F70" i="2"/>
  <c r="R69" i="2"/>
  <c r="Q69" i="2"/>
  <c r="P69" i="2"/>
  <c r="O69" i="2"/>
  <c r="M69" i="2"/>
  <c r="L69" i="2"/>
  <c r="G69" i="2"/>
  <c r="R68" i="2"/>
  <c r="Q68" i="2"/>
  <c r="P68" i="2"/>
  <c r="O68" i="2"/>
  <c r="M68" i="2"/>
  <c r="L68" i="2"/>
  <c r="G68" i="2"/>
  <c r="E68" i="2"/>
  <c r="E69" i="2" s="1"/>
  <c r="R67" i="2"/>
  <c r="P67" i="2"/>
  <c r="O67" i="2"/>
  <c r="N67" i="2"/>
  <c r="M67" i="2"/>
  <c r="L67" i="2"/>
  <c r="Q67" i="2" s="1"/>
  <c r="R66" i="2"/>
  <c r="Q66" i="2"/>
  <c r="P66" i="2"/>
  <c r="O66" i="2"/>
  <c r="N66" i="2"/>
  <c r="L66" i="2"/>
  <c r="G66" i="2"/>
  <c r="R65" i="2"/>
  <c r="Q65" i="2"/>
  <c r="P65" i="2"/>
  <c r="O65" i="2"/>
  <c r="N65" i="2"/>
  <c r="L65" i="2"/>
  <c r="G65" i="2"/>
  <c r="R64" i="2"/>
  <c r="Q64" i="2"/>
  <c r="P64" i="2"/>
  <c r="O64" i="2"/>
  <c r="N64" i="2"/>
  <c r="L64" i="2"/>
  <c r="G64" i="2"/>
  <c r="R63" i="2"/>
  <c r="Q63" i="2"/>
  <c r="P63" i="2"/>
  <c r="O63" i="2"/>
  <c r="M63" i="2"/>
  <c r="L63" i="2"/>
  <c r="G63" i="2"/>
  <c r="F63" i="2"/>
  <c r="R62" i="2"/>
  <c r="Q62" i="2"/>
  <c r="P62" i="2"/>
  <c r="O62" i="2"/>
  <c r="M62" i="2"/>
  <c r="L62" i="2"/>
  <c r="G62" i="2"/>
  <c r="F62" i="2"/>
  <c r="R61" i="2"/>
  <c r="Q61" i="2"/>
  <c r="P61" i="2"/>
  <c r="O61" i="2"/>
  <c r="M61" i="2"/>
  <c r="L61" i="2"/>
  <c r="G61" i="2"/>
  <c r="R60" i="2"/>
  <c r="Q60" i="2"/>
  <c r="P60" i="2"/>
  <c r="N60" i="2"/>
  <c r="M60" i="2"/>
  <c r="L60" i="2"/>
  <c r="E60" i="2"/>
  <c r="E61" i="2" s="1"/>
  <c r="E62" i="2" s="1"/>
  <c r="R59" i="2"/>
  <c r="Q59" i="2"/>
  <c r="O59" i="2"/>
  <c r="N59" i="2"/>
  <c r="M59" i="2"/>
  <c r="L59" i="2"/>
  <c r="P59" i="2" s="1"/>
  <c r="R58" i="2"/>
  <c r="Q58" i="2"/>
  <c r="P58" i="2"/>
  <c r="O58" i="2"/>
  <c r="N58" i="2"/>
  <c r="L58" i="2"/>
  <c r="G58" i="2"/>
  <c r="R57" i="2"/>
  <c r="Q57" i="2"/>
  <c r="P57" i="2"/>
  <c r="O57" i="2"/>
  <c r="N57" i="2"/>
  <c r="L57" i="2"/>
  <c r="G57" i="2"/>
  <c r="R56" i="2"/>
  <c r="Q56" i="2"/>
  <c r="P56" i="2"/>
  <c r="O56" i="2"/>
  <c r="N56" i="2"/>
  <c r="L56" i="2"/>
  <c r="G56" i="2"/>
  <c r="R55" i="2"/>
  <c r="Q55" i="2"/>
  <c r="P55" i="2"/>
  <c r="O55" i="2"/>
  <c r="N55" i="2"/>
  <c r="L55" i="2"/>
  <c r="G55" i="2"/>
  <c r="R54" i="2"/>
  <c r="Q54" i="2"/>
  <c r="P54" i="2"/>
  <c r="O54" i="2"/>
  <c r="M54" i="2"/>
  <c r="L54" i="2"/>
  <c r="G54" i="2"/>
  <c r="R53" i="2"/>
  <c r="Q53" i="2"/>
  <c r="P53" i="2"/>
  <c r="O53" i="2"/>
  <c r="M53" i="2"/>
  <c r="L53" i="2"/>
  <c r="G53" i="2"/>
  <c r="F53" i="2"/>
  <c r="R52" i="2"/>
  <c r="Q52" i="2"/>
  <c r="P52" i="2"/>
  <c r="O52" i="2"/>
  <c r="M52" i="2"/>
  <c r="L52" i="2"/>
  <c r="G52" i="2"/>
  <c r="R51" i="2"/>
  <c r="Q51" i="2"/>
  <c r="P51" i="2"/>
  <c r="O51" i="2"/>
  <c r="M51" i="2"/>
  <c r="L51" i="2"/>
  <c r="G51" i="2"/>
  <c r="R50" i="2"/>
  <c r="Q50" i="2"/>
  <c r="P50" i="2"/>
  <c r="N50" i="2"/>
  <c r="M50" i="2"/>
  <c r="E50" i="2"/>
  <c r="E51" i="2" s="1"/>
  <c r="E52" i="2" s="1"/>
  <c r="R49" i="2"/>
  <c r="Q49" i="2"/>
  <c r="O49" i="2"/>
  <c r="N49" i="2"/>
  <c r="M49" i="2"/>
  <c r="R48" i="2"/>
  <c r="Q48" i="2"/>
  <c r="P48" i="2"/>
  <c r="O48" i="2"/>
  <c r="N48" i="2"/>
  <c r="L48" i="2"/>
  <c r="G48" i="2"/>
  <c r="R47" i="2"/>
  <c r="Q47" i="2"/>
  <c r="P47" i="2"/>
  <c r="O47" i="2"/>
  <c r="N47" i="2"/>
  <c r="L47" i="2"/>
  <c r="G47" i="2"/>
  <c r="R46" i="2"/>
  <c r="Q46" i="2"/>
  <c r="P46" i="2"/>
  <c r="O46" i="2"/>
  <c r="N46" i="2"/>
  <c r="L46" i="2"/>
  <c r="G46" i="2"/>
  <c r="R45" i="2"/>
  <c r="Q45" i="2"/>
  <c r="P45" i="2"/>
  <c r="O45" i="2"/>
  <c r="N45" i="2"/>
  <c r="L45" i="2"/>
  <c r="G45" i="2"/>
  <c r="R44" i="2"/>
  <c r="Q44" i="2"/>
  <c r="P44" i="2"/>
  <c r="O44" i="2"/>
  <c r="M44" i="2"/>
  <c r="L44" i="2"/>
  <c r="G44" i="2"/>
  <c r="R43" i="2"/>
  <c r="Q43" i="2"/>
  <c r="P43" i="2"/>
  <c r="O43" i="2"/>
  <c r="M43" i="2"/>
  <c r="L43" i="2"/>
  <c r="G43" i="2"/>
  <c r="F43" i="2"/>
  <c r="R42" i="2"/>
  <c r="Q42" i="2"/>
  <c r="P42" i="2"/>
  <c r="O42" i="2"/>
  <c r="M42" i="2"/>
  <c r="L42" i="2"/>
  <c r="G42" i="2"/>
  <c r="R41" i="2"/>
  <c r="Q41" i="2"/>
  <c r="P41" i="2"/>
  <c r="O41" i="2"/>
  <c r="M41" i="2"/>
  <c r="L41" i="2"/>
  <c r="G41" i="2"/>
  <c r="R40" i="2"/>
  <c r="Q40" i="2"/>
  <c r="O40" i="2"/>
  <c r="N40" i="2"/>
  <c r="M40" i="2"/>
  <c r="L40" i="2"/>
  <c r="E40" i="2"/>
  <c r="E41" i="2" s="1"/>
  <c r="R39" i="2"/>
  <c r="P39" i="2"/>
  <c r="O39" i="2"/>
  <c r="N39" i="2"/>
  <c r="M39" i="2"/>
  <c r="R38" i="2"/>
  <c r="Q38" i="2"/>
  <c r="P38" i="2"/>
  <c r="O38" i="2"/>
  <c r="N38" i="2"/>
  <c r="L38" i="2"/>
  <c r="G38" i="2"/>
  <c r="R37" i="2"/>
  <c r="Q37" i="2"/>
  <c r="P37" i="2"/>
  <c r="O37" i="2"/>
  <c r="N37" i="2"/>
  <c r="L37" i="2"/>
  <c r="G37" i="2"/>
  <c r="R36" i="2"/>
  <c r="Q36" i="2"/>
  <c r="P36" i="2"/>
  <c r="O36" i="2"/>
  <c r="N36" i="2"/>
  <c r="L36" i="2"/>
  <c r="G36" i="2"/>
  <c r="R35" i="2"/>
  <c r="Q35" i="2"/>
  <c r="P35" i="2"/>
  <c r="O35" i="2"/>
  <c r="N35" i="2"/>
  <c r="L35" i="2"/>
  <c r="G35" i="2"/>
  <c r="R34" i="2"/>
  <c r="Q34" i="2"/>
  <c r="P34" i="2"/>
  <c r="O34" i="2"/>
  <c r="M34" i="2"/>
  <c r="L34" i="2"/>
  <c r="G34" i="2"/>
  <c r="R33" i="2"/>
  <c r="Q33" i="2"/>
  <c r="P33" i="2"/>
  <c r="O33" i="2"/>
  <c r="M33" i="2"/>
  <c r="L33" i="2"/>
  <c r="G33" i="2"/>
  <c r="F33" i="2"/>
  <c r="R32" i="2"/>
  <c r="Q32" i="2"/>
  <c r="P32" i="2"/>
  <c r="O32" i="2"/>
  <c r="M32" i="2"/>
  <c r="L32" i="2"/>
  <c r="G32" i="2"/>
  <c r="R31" i="2"/>
  <c r="Q31" i="2"/>
  <c r="P31" i="2"/>
  <c r="O31" i="2"/>
  <c r="M31" i="2"/>
  <c r="L31" i="2"/>
  <c r="G31" i="2"/>
  <c r="E31" i="2"/>
  <c r="E32" i="2" s="1"/>
  <c r="R30" i="2"/>
  <c r="P30" i="2"/>
  <c r="O30" i="2"/>
  <c r="N30" i="2"/>
  <c r="M30" i="2"/>
  <c r="R29" i="2"/>
  <c r="Q29" i="2"/>
  <c r="P29" i="2"/>
  <c r="O29" i="2"/>
  <c r="N29" i="2"/>
  <c r="L29" i="2"/>
  <c r="G29" i="2"/>
  <c r="R28" i="2"/>
  <c r="Q28" i="2"/>
  <c r="P28" i="2"/>
  <c r="O28" i="2"/>
  <c r="N28" i="2"/>
  <c r="L28" i="2"/>
  <c r="G28" i="2"/>
  <c r="R27" i="2"/>
  <c r="Q27" i="2"/>
  <c r="P27" i="2"/>
  <c r="O27" i="2"/>
  <c r="N27" i="2"/>
  <c r="L27" i="2"/>
  <c r="G27" i="2"/>
  <c r="R26" i="2"/>
  <c r="Q26" i="2"/>
  <c r="P26" i="2"/>
  <c r="O26" i="2"/>
  <c r="M26" i="2"/>
  <c r="L26" i="2"/>
  <c r="G26" i="2"/>
  <c r="F26" i="2"/>
  <c r="R25" i="2"/>
  <c r="Q25" i="2"/>
  <c r="P25" i="2"/>
  <c r="O25" i="2"/>
  <c r="M25" i="2"/>
  <c r="L25" i="2"/>
  <c r="G25" i="2"/>
  <c r="R24" i="2"/>
  <c r="Q24" i="2"/>
  <c r="P24" i="2"/>
  <c r="O24" i="2"/>
  <c r="M24" i="2"/>
  <c r="L24" i="2"/>
  <c r="G24" i="2"/>
  <c r="R23" i="2"/>
  <c r="P23" i="2"/>
  <c r="O23" i="2"/>
  <c r="N23" i="2"/>
  <c r="M23" i="2"/>
  <c r="L23" i="2"/>
  <c r="E23" i="2"/>
  <c r="Q22" i="2"/>
  <c r="P22" i="2"/>
  <c r="O22" i="2"/>
  <c r="N22" i="2"/>
  <c r="M22" i="2"/>
  <c r="L22" i="2"/>
  <c r="R22" i="2" s="1"/>
  <c r="R21" i="2"/>
  <c r="Q21" i="2"/>
  <c r="P21" i="2"/>
  <c r="O21" i="2"/>
  <c r="N21" i="2"/>
  <c r="L21" i="2"/>
  <c r="G21" i="2"/>
  <c r="R20" i="2"/>
  <c r="Q20" i="2"/>
  <c r="P20" i="2"/>
  <c r="O20" i="2"/>
  <c r="N20" i="2"/>
  <c r="L20" i="2"/>
  <c r="G20" i="2"/>
  <c r="R19" i="2"/>
  <c r="Q19" i="2"/>
  <c r="P19" i="2"/>
  <c r="O19" i="2"/>
  <c r="N19" i="2"/>
  <c r="L19" i="2"/>
  <c r="G19" i="2"/>
  <c r="R18" i="2"/>
  <c r="Q18" i="2"/>
  <c r="P18" i="2"/>
  <c r="O18" i="2"/>
  <c r="M18" i="2"/>
  <c r="L18" i="2"/>
  <c r="G18" i="2"/>
  <c r="F18" i="2"/>
  <c r="R17" i="2"/>
  <c r="Q17" i="2"/>
  <c r="P17" i="2"/>
  <c r="O17" i="2"/>
  <c r="M17" i="2"/>
  <c r="L17" i="2"/>
  <c r="G17" i="2"/>
  <c r="R16" i="2"/>
  <c r="Q16" i="2"/>
  <c r="P16" i="2"/>
  <c r="O16" i="2"/>
  <c r="M16" i="2"/>
  <c r="L16" i="2"/>
  <c r="G16" i="2"/>
  <c r="R15" i="2"/>
  <c r="Q15" i="2"/>
  <c r="O15" i="2"/>
  <c r="N15" i="2"/>
  <c r="M15" i="2"/>
  <c r="L15" i="2"/>
  <c r="E15" i="2"/>
  <c r="R14" i="2"/>
  <c r="P14" i="2"/>
  <c r="O14" i="2"/>
  <c r="N14" i="2"/>
  <c r="M14" i="2"/>
  <c r="L14" i="2"/>
  <c r="Q14" i="2" s="1"/>
  <c r="R13" i="2"/>
  <c r="Q13" i="2"/>
  <c r="P13" i="2"/>
  <c r="O13" i="2"/>
  <c r="N13" i="2"/>
  <c r="L13" i="2"/>
  <c r="G13" i="2"/>
  <c r="R12" i="2"/>
  <c r="Q12" i="2"/>
  <c r="P12" i="2"/>
  <c r="O12" i="2"/>
  <c r="N12" i="2"/>
  <c r="L12" i="2"/>
  <c r="G12" i="2"/>
  <c r="R11" i="2"/>
  <c r="Q11" i="2"/>
  <c r="P11" i="2"/>
  <c r="O11" i="2"/>
  <c r="N11" i="2"/>
  <c r="L11" i="2"/>
  <c r="G11" i="2"/>
  <c r="R10" i="2"/>
  <c r="Q10" i="2"/>
  <c r="P10" i="2"/>
  <c r="O10" i="2"/>
  <c r="M10" i="2"/>
  <c r="L10" i="2"/>
  <c r="G10" i="2"/>
  <c r="F10" i="2"/>
  <c r="R9" i="2"/>
  <c r="Q9" i="2"/>
  <c r="P9" i="2"/>
  <c r="O9" i="2"/>
  <c r="M9" i="2"/>
  <c r="L9" i="2"/>
  <c r="G9" i="2"/>
  <c r="R8" i="2"/>
  <c r="Q8" i="2"/>
  <c r="P8" i="2"/>
  <c r="O8" i="2"/>
  <c r="M8" i="2"/>
  <c r="L8" i="2"/>
  <c r="G8" i="2"/>
  <c r="R7" i="2"/>
  <c r="Q7" i="2"/>
  <c r="P7" i="2"/>
  <c r="N7" i="2"/>
  <c r="M7" i="2"/>
  <c r="L7" i="2"/>
  <c r="E7" i="2"/>
  <c r="E8" i="2" s="1"/>
  <c r="R6" i="2"/>
  <c r="Q6" i="2"/>
  <c r="O6" i="2"/>
  <c r="N6" i="2"/>
  <c r="M6" i="2"/>
  <c r="L6" i="2"/>
  <c r="P6" i="2" s="1"/>
  <c r="Q392" i="2" l="1"/>
  <c r="Q549" i="2" s="1"/>
  <c r="H10" i="3" s="1"/>
  <c r="P392" i="2"/>
  <c r="P549" i="2" s="1"/>
  <c r="G10" i="3" s="1"/>
  <c r="E601" i="2"/>
  <c r="N600" i="2"/>
  <c r="E610" i="2"/>
  <c r="N609" i="2"/>
  <c r="N589" i="2"/>
  <c r="E590" i="2"/>
  <c r="N555" i="2"/>
  <c r="E556" i="2"/>
  <c r="E581" i="2"/>
  <c r="N580" i="2"/>
  <c r="E572" i="2"/>
  <c r="N571" i="2"/>
  <c r="M618" i="2"/>
  <c r="E619" i="2"/>
  <c r="M619" i="2" s="1"/>
  <c r="O549" i="2"/>
  <c r="F10" i="3" s="1"/>
  <c r="M397" i="2"/>
  <c r="E398" i="2"/>
  <c r="E387" i="2"/>
  <c r="N386" i="2"/>
  <c r="E435" i="2"/>
  <c r="M434" i="2"/>
  <c r="E425" i="2"/>
  <c r="N424" i="2"/>
  <c r="E405" i="2"/>
  <c r="N404" i="2"/>
  <c r="E372" i="2"/>
  <c r="N371" i="2"/>
  <c r="N378" i="2"/>
  <c r="E415" i="2"/>
  <c r="N414" i="2"/>
  <c r="P111" i="2"/>
  <c r="M176" i="2"/>
  <c r="R180" i="2"/>
  <c r="I8" i="3" s="1"/>
  <c r="M116" i="2"/>
  <c r="M125" i="2"/>
  <c r="M151" i="2"/>
  <c r="M159" i="2"/>
  <c r="Q365" i="2"/>
  <c r="H9" i="3" s="1"/>
  <c r="M103" i="2"/>
  <c r="O365" i="2"/>
  <c r="F9" i="3" s="1"/>
  <c r="M102" i="2"/>
  <c r="M170" i="2"/>
  <c r="M139" i="2"/>
  <c r="M177" i="2"/>
  <c r="M178" i="2"/>
  <c r="M83" i="2"/>
  <c r="M130" i="2"/>
  <c r="M166" i="2"/>
  <c r="M142" i="2"/>
  <c r="M82" i="2"/>
  <c r="M84" i="2"/>
  <c r="M96" i="2"/>
  <c r="M113" i="2"/>
  <c r="L174" i="2"/>
  <c r="N174" i="2" s="1"/>
  <c r="M179" i="2"/>
  <c r="M79" i="2"/>
  <c r="M80" i="2"/>
  <c r="M85" i="2"/>
  <c r="M92" i="2"/>
  <c r="M93" i="2"/>
  <c r="M94" i="2"/>
  <c r="M98" i="2"/>
  <c r="M138" i="2"/>
  <c r="M156" i="2"/>
  <c r="L160" i="2"/>
  <c r="P160" i="2" s="1"/>
  <c r="N69" i="2"/>
  <c r="M95" i="2"/>
  <c r="O118" i="2"/>
  <c r="M120" i="2"/>
  <c r="M131" i="2"/>
  <c r="L30" i="2"/>
  <c r="Q30" i="2" s="1"/>
  <c r="L77" i="2"/>
  <c r="N77" i="2" s="1"/>
  <c r="M86" i="2"/>
  <c r="L87" i="2"/>
  <c r="P87" i="2" s="1"/>
  <c r="M97" i="2"/>
  <c r="M107" i="2"/>
  <c r="M121" i="2"/>
  <c r="M124" i="2"/>
  <c r="M132" i="2"/>
  <c r="L153" i="2"/>
  <c r="O153" i="2" s="1"/>
  <c r="M157" i="2"/>
  <c r="Q23" i="2"/>
  <c r="P40" i="2"/>
  <c r="L49" i="2"/>
  <c r="P49" i="2" s="1"/>
  <c r="L50" i="2"/>
  <c r="O50" i="2" s="1"/>
  <c r="O60" i="2"/>
  <c r="M81" i="2"/>
  <c r="M91" i="2"/>
  <c r="M115" i="2"/>
  <c r="M129" i="2"/>
  <c r="M143" i="2"/>
  <c r="L162" i="2"/>
  <c r="N162" i="2" s="1"/>
  <c r="M165" i="2"/>
  <c r="M171" i="2"/>
  <c r="L173" i="2"/>
  <c r="O173" i="2" s="1"/>
  <c r="M108" i="2"/>
  <c r="M114" i="2"/>
  <c r="L122" i="2"/>
  <c r="P122" i="2" s="1"/>
  <c r="L133" i="2"/>
  <c r="P133" i="2" s="1"/>
  <c r="L134" i="2"/>
  <c r="O134" i="2" s="1"/>
  <c r="M137" i="2"/>
  <c r="M141" i="2"/>
  <c r="M147" i="2"/>
  <c r="M148" i="2"/>
  <c r="M150" i="2"/>
  <c r="L154" i="2"/>
  <c r="N154" i="2" s="1"/>
  <c r="M164" i="2"/>
  <c r="M167" i="2"/>
  <c r="M168" i="2"/>
  <c r="L172" i="2"/>
  <c r="P172" i="2" s="1"/>
  <c r="P15" i="2"/>
  <c r="E9" i="2"/>
  <c r="N8" i="2"/>
  <c r="N32" i="2"/>
  <c r="N31" i="2"/>
  <c r="E53" i="2"/>
  <c r="N52" i="2"/>
  <c r="E63" i="2"/>
  <c r="N62" i="2"/>
  <c r="M136" i="2"/>
  <c r="M140" i="2"/>
  <c r="M149" i="2"/>
  <c r="O7" i="2"/>
  <c r="E16" i="2"/>
  <c r="E24" i="2"/>
  <c r="E33" i="2"/>
  <c r="L39" i="2"/>
  <c r="Q39" i="2" s="1"/>
  <c r="E42" i="2"/>
  <c r="N41" i="2"/>
  <c r="N68" i="2"/>
  <c r="M109" i="2"/>
  <c r="M158" i="2"/>
  <c r="M169" i="2"/>
  <c r="E70" i="2"/>
  <c r="N51" i="2"/>
  <c r="N61" i="2"/>
  <c r="P365" i="2" l="1"/>
  <c r="G9" i="3" s="1"/>
  <c r="E573" i="2"/>
  <c r="M572" i="2"/>
  <c r="E611" i="2"/>
  <c r="M610" i="2"/>
  <c r="E591" i="2"/>
  <c r="N590" i="2"/>
  <c r="N736" i="2" s="1"/>
  <c r="E11" i="3" s="1"/>
  <c r="M581" i="2"/>
  <c r="E582" i="2"/>
  <c r="M601" i="2"/>
  <c r="E602" i="2"/>
  <c r="M556" i="2"/>
  <c r="E557" i="2"/>
  <c r="N415" i="2"/>
  <c r="E416" i="2"/>
  <c r="E373" i="2"/>
  <c r="N372" i="2"/>
  <c r="E426" i="2"/>
  <c r="N425" i="2"/>
  <c r="N387" i="2"/>
  <c r="E388" i="2"/>
  <c r="E399" i="2"/>
  <c r="M398" i="2"/>
  <c r="N379" i="2"/>
  <c r="N405" i="2"/>
  <c r="E406" i="2"/>
  <c r="M435" i="2"/>
  <c r="E436" i="2"/>
  <c r="M436" i="2" s="1"/>
  <c r="O180" i="2"/>
  <c r="F8" i="3" s="1"/>
  <c r="P180" i="2"/>
  <c r="G8" i="3" s="1"/>
  <c r="Q180" i="2"/>
  <c r="H8" i="3" s="1"/>
  <c r="E64" i="2"/>
  <c r="N63" i="2"/>
  <c r="E71" i="2"/>
  <c r="N70" i="2"/>
  <c r="N53" i="2"/>
  <c r="E54" i="2"/>
  <c r="E10" i="2"/>
  <c r="N9" i="2"/>
  <c r="N33" i="2"/>
  <c r="E34" i="2"/>
  <c r="E25" i="2"/>
  <c r="N24" i="2"/>
  <c r="N42" i="2"/>
  <c r="E43" i="2"/>
  <c r="E17" i="2"/>
  <c r="N16" i="2"/>
  <c r="L29" i="1"/>
  <c r="L26" i="1"/>
  <c r="L27" i="1"/>
  <c r="L28" i="1"/>
  <c r="L30" i="1"/>
  <c r="L32" i="1"/>
  <c r="L33" i="1"/>
  <c r="L34" i="1"/>
  <c r="L35" i="1"/>
  <c r="L36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25" i="1"/>
  <c r="K14" i="1"/>
  <c r="M611" i="2" l="1"/>
  <c r="E612" i="2"/>
  <c r="M612" i="2" s="1"/>
  <c r="E603" i="2"/>
  <c r="M602" i="2"/>
  <c r="M591" i="2"/>
  <c r="E592" i="2"/>
  <c r="M573" i="2"/>
  <c r="E574" i="2"/>
  <c r="M574" i="2" s="1"/>
  <c r="M557" i="2"/>
  <c r="E558" i="2"/>
  <c r="M558" i="2" s="1"/>
  <c r="E583" i="2"/>
  <c r="M582" i="2"/>
  <c r="M399" i="2"/>
  <c r="E400" i="2"/>
  <c r="M400" i="2" s="1"/>
  <c r="M380" i="2"/>
  <c r="M373" i="2"/>
  <c r="E374" i="2"/>
  <c r="E407" i="2"/>
  <c r="N406" i="2"/>
  <c r="E417" i="2"/>
  <c r="N416" i="2"/>
  <c r="E427" i="2"/>
  <c r="M426" i="2"/>
  <c r="E389" i="2"/>
  <c r="M388" i="2"/>
  <c r="E18" i="2"/>
  <c r="N17" i="2"/>
  <c r="E26" i="2"/>
  <c r="N25" i="2"/>
  <c r="N10" i="2"/>
  <c r="E11" i="2"/>
  <c r="M71" i="2"/>
  <c r="E72" i="2"/>
  <c r="N43" i="2"/>
  <c r="E44" i="2"/>
  <c r="E35" i="2"/>
  <c r="N34" i="2"/>
  <c r="E55" i="2"/>
  <c r="N54" i="2"/>
  <c r="E65" i="2"/>
  <c r="M64" i="2"/>
  <c r="M583" i="2" l="1"/>
  <c r="E584" i="2"/>
  <c r="M584" i="2" s="1"/>
  <c r="M603" i="2"/>
  <c r="E604" i="2"/>
  <c r="M604" i="2" s="1"/>
  <c r="E593" i="2"/>
  <c r="M592" i="2"/>
  <c r="N549" i="2"/>
  <c r="E10" i="3" s="1"/>
  <c r="M382" i="2"/>
  <c r="M381" i="2"/>
  <c r="M427" i="2"/>
  <c r="E428" i="2"/>
  <c r="M428" i="2" s="1"/>
  <c r="M407" i="2"/>
  <c r="E408" i="2"/>
  <c r="E375" i="2"/>
  <c r="M375" i="2" s="1"/>
  <c r="M374" i="2"/>
  <c r="M389" i="2"/>
  <c r="E390" i="2"/>
  <c r="M390" i="2" s="1"/>
  <c r="M417" i="2"/>
  <c r="E418" i="2"/>
  <c r="N365" i="2"/>
  <c r="E9" i="3" s="1"/>
  <c r="M65" i="2"/>
  <c r="E66" i="2"/>
  <c r="M66" i="2" s="1"/>
  <c r="E36" i="2"/>
  <c r="M35" i="2"/>
  <c r="N26" i="2"/>
  <c r="E27" i="2"/>
  <c r="E45" i="2"/>
  <c r="N44" i="2"/>
  <c r="E12" i="2"/>
  <c r="M11" i="2"/>
  <c r="M55" i="2"/>
  <c r="E56" i="2"/>
  <c r="N18" i="2"/>
  <c r="E19" i="2"/>
  <c r="E73" i="2"/>
  <c r="M73" i="2" s="1"/>
  <c r="M72" i="2"/>
  <c r="M593" i="2" l="1"/>
  <c r="E594" i="2"/>
  <c r="M594" i="2" s="1"/>
  <c r="M736" i="2" s="1"/>
  <c r="D11" i="3" s="1"/>
  <c r="N180" i="2"/>
  <c r="E8" i="3" s="1"/>
  <c r="E409" i="2"/>
  <c r="M408" i="2"/>
  <c r="E419" i="2"/>
  <c r="M418" i="2"/>
  <c r="E57" i="2"/>
  <c r="M56" i="2"/>
  <c r="M45" i="2"/>
  <c r="E46" i="2"/>
  <c r="M36" i="2"/>
  <c r="E37" i="2"/>
  <c r="E20" i="2"/>
  <c r="M19" i="2"/>
  <c r="E28" i="2"/>
  <c r="M27" i="2"/>
  <c r="M12" i="2"/>
  <c r="E13" i="2"/>
  <c r="M13" i="2" s="1"/>
  <c r="M188" i="1"/>
  <c r="N188" i="1"/>
  <c r="O188" i="1"/>
  <c r="P188" i="1"/>
  <c r="Q188" i="1"/>
  <c r="R188" i="1"/>
  <c r="M189" i="1"/>
  <c r="N189" i="1"/>
  <c r="O189" i="1"/>
  <c r="P189" i="1"/>
  <c r="Q189" i="1"/>
  <c r="R189" i="1"/>
  <c r="M190" i="1"/>
  <c r="N190" i="1"/>
  <c r="O190" i="1"/>
  <c r="P190" i="1"/>
  <c r="Q190" i="1"/>
  <c r="R190" i="1"/>
  <c r="M191" i="1"/>
  <c r="N191" i="1"/>
  <c r="O191" i="1"/>
  <c r="P191" i="1"/>
  <c r="Q191" i="1"/>
  <c r="R191" i="1"/>
  <c r="G187" i="1"/>
  <c r="R186" i="1"/>
  <c r="Q186" i="1"/>
  <c r="P186" i="1"/>
  <c r="M186" i="1"/>
  <c r="N186" i="1"/>
  <c r="G186" i="1"/>
  <c r="G185" i="1"/>
  <c r="G184" i="1"/>
  <c r="Q184" i="1"/>
  <c r="G183" i="1"/>
  <c r="Q183" i="1" s="1"/>
  <c r="N183" i="1"/>
  <c r="G182" i="1"/>
  <c r="N182" i="1" s="1"/>
  <c r="G181" i="1"/>
  <c r="G180" i="1"/>
  <c r="G179" i="1"/>
  <c r="O179" i="1"/>
  <c r="G178" i="1"/>
  <c r="G177" i="1"/>
  <c r="G176" i="1"/>
  <c r="G175" i="1"/>
  <c r="G174" i="1"/>
  <c r="G173" i="1"/>
  <c r="G172" i="1"/>
  <c r="G171" i="1"/>
  <c r="G170" i="1"/>
  <c r="G169" i="1"/>
  <c r="G168" i="1"/>
  <c r="O168" i="1"/>
  <c r="G167" i="1"/>
  <c r="G166" i="1"/>
  <c r="G165" i="1"/>
  <c r="G164" i="1"/>
  <c r="G163" i="1"/>
  <c r="G162" i="1"/>
  <c r="N162" i="1"/>
  <c r="G161" i="1"/>
  <c r="G160" i="1"/>
  <c r="Q160" i="1"/>
  <c r="G159" i="1"/>
  <c r="M160" i="1"/>
  <c r="N160" i="1"/>
  <c r="O160" i="1"/>
  <c r="R160" i="1"/>
  <c r="M161" i="1"/>
  <c r="O161" i="1"/>
  <c r="P161" i="1"/>
  <c r="Q161" i="1"/>
  <c r="R161" i="1"/>
  <c r="M162" i="1"/>
  <c r="O162" i="1"/>
  <c r="Q162" i="1"/>
  <c r="R162" i="1"/>
  <c r="M163" i="1"/>
  <c r="N163" i="1"/>
  <c r="P163" i="1"/>
  <c r="Q163" i="1"/>
  <c r="R163" i="1"/>
  <c r="M164" i="1"/>
  <c r="N164" i="1"/>
  <c r="P164" i="1"/>
  <c r="Q164" i="1"/>
  <c r="R164" i="1"/>
  <c r="M165" i="1"/>
  <c r="O165" i="1"/>
  <c r="P165" i="1"/>
  <c r="Q165" i="1"/>
  <c r="R165" i="1"/>
  <c r="M166" i="1"/>
  <c r="N166" i="1"/>
  <c r="P166" i="1"/>
  <c r="Q166" i="1"/>
  <c r="R166" i="1"/>
  <c r="M167" i="1"/>
  <c r="N167" i="1"/>
  <c r="P167" i="1"/>
  <c r="Q167" i="1"/>
  <c r="R167" i="1"/>
  <c r="M168" i="1"/>
  <c r="P168" i="1"/>
  <c r="Q168" i="1"/>
  <c r="R168" i="1"/>
  <c r="M169" i="1"/>
  <c r="N169" i="1"/>
  <c r="O169" i="1"/>
  <c r="Q169" i="1"/>
  <c r="R169" i="1"/>
  <c r="M170" i="1"/>
  <c r="O170" i="1"/>
  <c r="P170" i="1"/>
  <c r="Q170" i="1"/>
  <c r="R170" i="1"/>
  <c r="N171" i="1"/>
  <c r="M171" i="1"/>
  <c r="P171" i="1"/>
  <c r="Q171" i="1"/>
  <c r="R171" i="1"/>
  <c r="O172" i="1"/>
  <c r="M172" i="1"/>
  <c r="P172" i="1"/>
  <c r="Q172" i="1"/>
  <c r="R172" i="1"/>
  <c r="M173" i="1"/>
  <c r="N173" i="1"/>
  <c r="O173" i="1"/>
  <c r="P173" i="1"/>
  <c r="R173" i="1"/>
  <c r="M174" i="1"/>
  <c r="N174" i="1"/>
  <c r="O174" i="1"/>
  <c r="Q174" i="1"/>
  <c r="R174" i="1"/>
  <c r="M175" i="1"/>
  <c r="N175" i="1"/>
  <c r="P175" i="1"/>
  <c r="Q175" i="1"/>
  <c r="R175" i="1"/>
  <c r="M176" i="1"/>
  <c r="N176" i="1"/>
  <c r="P176" i="1"/>
  <c r="Q176" i="1"/>
  <c r="R176" i="1"/>
  <c r="O177" i="1"/>
  <c r="M177" i="1"/>
  <c r="P177" i="1"/>
  <c r="Q177" i="1"/>
  <c r="R177" i="1"/>
  <c r="M178" i="1"/>
  <c r="N178" i="1"/>
  <c r="P178" i="1"/>
  <c r="Q178" i="1"/>
  <c r="R178" i="1"/>
  <c r="M179" i="1"/>
  <c r="P179" i="1"/>
  <c r="Q179" i="1"/>
  <c r="R179" i="1"/>
  <c r="M180" i="1"/>
  <c r="O180" i="1"/>
  <c r="P180" i="1"/>
  <c r="Q180" i="1"/>
  <c r="R180" i="1"/>
  <c r="N181" i="1"/>
  <c r="M181" i="1"/>
  <c r="O181" i="1"/>
  <c r="Q181" i="1"/>
  <c r="R181" i="1"/>
  <c r="M182" i="1"/>
  <c r="O182" i="1"/>
  <c r="P182" i="1"/>
  <c r="Q182" i="1"/>
  <c r="R182" i="1"/>
  <c r="M183" i="1"/>
  <c r="O183" i="1"/>
  <c r="P183" i="1"/>
  <c r="R183" i="1"/>
  <c r="M184" i="1"/>
  <c r="O184" i="1"/>
  <c r="P184" i="1"/>
  <c r="R184" i="1"/>
  <c r="M185" i="1"/>
  <c r="N185" i="1"/>
  <c r="O185" i="1"/>
  <c r="P185" i="1"/>
  <c r="R185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S736" i="2" l="1"/>
  <c r="J11" i="3"/>
  <c r="M419" i="2"/>
  <c r="E420" i="2"/>
  <c r="M420" i="2" s="1"/>
  <c r="M409" i="2"/>
  <c r="E410" i="2"/>
  <c r="M410" i="2" s="1"/>
  <c r="E47" i="2"/>
  <c r="M46" i="2"/>
  <c r="M57" i="2"/>
  <c r="E58" i="2"/>
  <c r="M58" i="2" s="1"/>
  <c r="M20" i="2"/>
  <c r="E21" i="2"/>
  <c r="M21" i="2" s="1"/>
  <c r="M28" i="2"/>
  <c r="E29" i="2"/>
  <c r="M29" i="2" s="1"/>
  <c r="E38" i="2"/>
  <c r="M38" i="2" s="1"/>
  <c r="M37" i="2"/>
  <c r="N180" i="1"/>
  <c r="Q173" i="1"/>
  <c r="N161" i="1"/>
  <c r="P174" i="1"/>
  <c r="P160" i="1"/>
  <c r="O171" i="1"/>
  <c r="O175" i="1"/>
  <c r="N184" i="1"/>
  <c r="N170" i="1"/>
  <c r="O167" i="1"/>
  <c r="N177" i="1"/>
  <c r="N168" i="1"/>
  <c r="O163" i="1"/>
  <c r="N165" i="1"/>
  <c r="O186" i="1"/>
  <c r="Q185" i="1"/>
  <c r="P181" i="1"/>
  <c r="P162" i="1"/>
  <c r="O166" i="1"/>
  <c r="P169" i="1"/>
  <c r="O178" i="1"/>
  <c r="N179" i="1"/>
  <c r="O176" i="1"/>
  <c r="N172" i="1"/>
  <c r="O164" i="1"/>
  <c r="O139" i="1"/>
  <c r="M139" i="1"/>
  <c r="N139" i="1"/>
  <c r="P139" i="1"/>
  <c r="Q139" i="1"/>
  <c r="R139" i="1"/>
  <c r="Q140" i="1"/>
  <c r="M140" i="1"/>
  <c r="N140" i="1"/>
  <c r="O140" i="1"/>
  <c r="P140" i="1"/>
  <c r="R140" i="1"/>
  <c r="M141" i="1"/>
  <c r="N141" i="1"/>
  <c r="O141" i="1"/>
  <c r="P141" i="1"/>
  <c r="Q141" i="1"/>
  <c r="R141" i="1"/>
  <c r="Q142" i="1"/>
  <c r="M142" i="1"/>
  <c r="N142" i="1"/>
  <c r="O142" i="1"/>
  <c r="P142" i="1"/>
  <c r="R142" i="1"/>
  <c r="M143" i="1"/>
  <c r="N143" i="1"/>
  <c r="O143" i="1"/>
  <c r="P143" i="1"/>
  <c r="Q143" i="1"/>
  <c r="R143" i="1"/>
  <c r="Q144" i="1"/>
  <c r="M144" i="1"/>
  <c r="N144" i="1"/>
  <c r="O144" i="1"/>
  <c r="P144" i="1"/>
  <c r="R144" i="1"/>
  <c r="Q145" i="1"/>
  <c r="M145" i="1"/>
  <c r="N145" i="1"/>
  <c r="O145" i="1"/>
  <c r="P145" i="1"/>
  <c r="R145" i="1"/>
  <c r="O146" i="1"/>
  <c r="M146" i="1"/>
  <c r="N146" i="1"/>
  <c r="P146" i="1"/>
  <c r="Q146" i="1"/>
  <c r="R146" i="1"/>
  <c r="O147" i="1"/>
  <c r="M147" i="1"/>
  <c r="N147" i="1"/>
  <c r="P147" i="1"/>
  <c r="Q147" i="1"/>
  <c r="R147" i="1"/>
  <c r="Q148" i="1"/>
  <c r="M148" i="1"/>
  <c r="N148" i="1"/>
  <c r="O148" i="1"/>
  <c r="P148" i="1"/>
  <c r="R148" i="1"/>
  <c r="Q149" i="1"/>
  <c r="M149" i="1"/>
  <c r="N149" i="1"/>
  <c r="O149" i="1"/>
  <c r="P149" i="1"/>
  <c r="R149" i="1"/>
  <c r="M150" i="1"/>
  <c r="N150" i="1"/>
  <c r="O150" i="1"/>
  <c r="P150" i="1"/>
  <c r="Q150" i="1"/>
  <c r="R150" i="1"/>
  <c r="M151" i="1"/>
  <c r="N151" i="1"/>
  <c r="O151" i="1"/>
  <c r="P151" i="1"/>
  <c r="Q151" i="1"/>
  <c r="R151" i="1"/>
  <c r="Q152" i="1"/>
  <c r="M152" i="1"/>
  <c r="N152" i="1"/>
  <c r="O152" i="1"/>
  <c r="P152" i="1"/>
  <c r="R152" i="1"/>
  <c r="Q153" i="1"/>
  <c r="M153" i="1"/>
  <c r="N153" i="1"/>
  <c r="O153" i="1"/>
  <c r="P153" i="1"/>
  <c r="R153" i="1"/>
  <c r="M154" i="1"/>
  <c r="N154" i="1"/>
  <c r="O154" i="1"/>
  <c r="P154" i="1"/>
  <c r="Q154" i="1"/>
  <c r="R154" i="1"/>
  <c r="M155" i="1"/>
  <c r="N155" i="1"/>
  <c r="O155" i="1"/>
  <c r="P155" i="1"/>
  <c r="Q155" i="1"/>
  <c r="R155" i="1"/>
  <c r="R156" i="1"/>
  <c r="M156" i="1"/>
  <c r="N156" i="1"/>
  <c r="O156" i="1"/>
  <c r="P156" i="1"/>
  <c r="Q156" i="1"/>
  <c r="R157" i="1"/>
  <c r="M157" i="1"/>
  <c r="N157" i="1"/>
  <c r="P157" i="1"/>
  <c r="Q157" i="1"/>
  <c r="O158" i="1"/>
  <c r="M158" i="1"/>
  <c r="N158" i="1"/>
  <c r="P158" i="1"/>
  <c r="Q158" i="1"/>
  <c r="R158" i="1"/>
  <c r="O159" i="1"/>
  <c r="M159" i="1"/>
  <c r="N159" i="1"/>
  <c r="P159" i="1"/>
  <c r="Q159" i="1"/>
  <c r="R159" i="1"/>
  <c r="G137" i="1"/>
  <c r="G136" i="1"/>
  <c r="G135" i="1"/>
  <c r="G134" i="1"/>
  <c r="G133" i="1"/>
  <c r="G132" i="1"/>
  <c r="G131" i="1"/>
  <c r="G130" i="1"/>
  <c r="G129" i="1"/>
  <c r="Q129" i="1" s="1"/>
  <c r="G128" i="1"/>
  <c r="G127" i="1"/>
  <c r="R127" i="1"/>
  <c r="G126" i="1"/>
  <c r="G125" i="1"/>
  <c r="R125" i="1" s="1"/>
  <c r="G124" i="1"/>
  <c r="M124" i="1"/>
  <c r="N124" i="1"/>
  <c r="O124" i="1"/>
  <c r="P124" i="1"/>
  <c r="Q124" i="1"/>
  <c r="M125" i="1"/>
  <c r="N125" i="1"/>
  <c r="O125" i="1"/>
  <c r="P125" i="1"/>
  <c r="Q125" i="1"/>
  <c r="M126" i="1"/>
  <c r="N126" i="1"/>
  <c r="O126" i="1"/>
  <c r="P126" i="1"/>
  <c r="Q126" i="1"/>
  <c r="M127" i="1"/>
  <c r="N127" i="1"/>
  <c r="O127" i="1"/>
  <c r="P127" i="1"/>
  <c r="M128" i="1"/>
  <c r="N128" i="1"/>
  <c r="O128" i="1"/>
  <c r="P128" i="1"/>
  <c r="Q128" i="1"/>
  <c r="M129" i="1"/>
  <c r="N129" i="1"/>
  <c r="O129" i="1"/>
  <c r="P129" i="1"/>
  <c r="R129" i="1"/>
  <c r="M130" i="1"/>
  <c r="N130" i="1"/>
  <c r="O130" i="1"/>
  <c r="P130" i="1"/>
  <c r="R130" i="1"/>
  <c r="M131" i="1"/>
  <c r="N131" i="1"/>
  <c r="O131" i="1"/>
  <c r="P131" i="1"/>
  <c r="Q131" i="1"/>
  <c r="M132" i="1"/>
  <c r="N132" i="1"/>
  <c r="O132" i="1"/>
  <c r="P132" i="1"/>
  <c r="Q132" i="1"/>
  <c r="M133" i="1"/>
  <c r="N133" i="1"/>
  <c r="O133" i="1"/>
  <c r="P133" i="1"/>
  <c r="Q133" i="1"/>
  <c r="M134" i="1"/>
  <c r="N134" i="1"/>
  <c r="O134" i="1"/>
  <c r="P134" i="1"/>
  <c r="Q134" i="1"/>
  <c r="M135" i="1"/>
  <c r="N135" i="1"/>
  <c r="O135" i="1"/>
  <c r="P135" i="1"/>
  <c r="Q135" i="1"/>
  <c r="M136" i="1"/>
  <c r="N136" i="1"/>
  <c r="O136" i="1"/>
  <c r="P136" i="1"/>
  <c r="Q136" i="1"/>
  <c r="M137" i="1"/>
  <c r="N137" i="1"/>
  <c r="O137" i="1"/>
  <c r="P137" i="1"/>
  <c r="Q137" i="1"/>
  <c r="G123" i="1"/>
  <c r="R123" i="1" s="1"/>
  <c r="Q123" i="1"/>
  <c r="G122" i="1"/>
  <c r="G121" i="1"/>
  <c r="G120" i="1"/>
  <c r="G119" i="1"/>
  <c r="R119" i="1" s="1"/>
  <c r="G118" i="1"/>
  <c r="G117" i="1"/>
  <c r="G116" i="1"/>
  <c r="G115" i="1"/>
  <c r="Q115" i="1" s="1"/>
  <c r="G114" i="1"/>
  <c r="G113" i="1"/>
  <c r="G112" i="1"/>
  <c r="G111" i="1"/>
  <c r="G110" i="1"/>
  <c r="M110" i="1"/>
  <c r="N110" i="1"/>
  <c r="O110" i="1"/>
  <c r="P110" i="1"/>
  <c r="R110" i="1"/>
  <c r="M111" i="1"/>
  <c r="N111" i="1"/>
  <c r="O111" i="1"/>
  <c r="P111" i="1"/>
  <c r="R111" i="1"/>
  <c r="M112" i="1"/>
  <c r="N112" i="1"/>
  <c r="O112" i="1"/>
  <c r="P112" i="1"/>
  <c r="R112" i="1"/>
  <c r="M113" i="1"/>
  <c r="N113" i="1"/>
  <c r="O113" i="1"/>
  <c r="P113" i="1"/>
  <c r="R113" i="1"/>
  <c r="M114" i="1"/>
  <c r="N114" i="1"/>
  <c r="P114" i="1"/>
  <c r="Q114" i="1"/>
  <c r="R114" i="1"/>
  <c r="M115" i="1"/>
  <c r="N115" i="1"/>
  <c r="O115" i="1"/>
  <c r="P115" i="1"/>
  <c r="R115" i="1"/>
  <c r="M116" i="1"/>
  <c r="N116" i="1"/>
  <c r="O116" i="1"/>
  <c r="P116" i="1"/>
  <c r="R116" i="1"/>
  <c r="M117" i="1"/>
  <c r="N117" i="1"/>
  <c r="O117" i="1"/>
  <c r="P117" i="1"/>
  <c r="R117" i="1"/>
  <c r="M118" i="1"/>
  <c r="N118" i="1"/>
  <c r="O118" i="1"/>
  <c r="P118" i="1"/>
  <c r="R118" i="1"/>
  <c r="M119" i="1"/>
  <c r="N119" i="1"/>
  <c r="O119" i="1"/>
  <c r="P119" i="1"/>
  <c r="Q119" i="1"/>
  <c r="M120" i="1"/>
  <c r="N120" i="1"/>
  <c r="O120" i="1"/>
  <c r="P120" i="1"/>
  <c r="R120" i="1"/>
  <c r="M121" i="1"/>
  <c r="N121" i="1"/>
  <c r="O121" i="1"/>
  <c r="P121" i="1"/>
  <c r="Q121" i="1"/>
  <c r="R122" i="1"/>
  <c r="M122" i="1"/>
  <c r="N122" i="1"/>
  <c r="O122" i="1"/>
  <c r="P122" i="1"/>
  <c r="M123" i="1"/>
  <c r="N123" i="1"/>
  <c r="O123" i="1"/>
  <c r="P123" i="1"/>
  <c r="G109" i="1"/>
  <c r="G108" i="1"/>
  <c r="G107" i="1"/>
  <c r="G106" i="1"/>
  <c r="G105" i="1"/>
  <c r="G104" i="1"/>
  <c r="G103" i="1"/>
  <c r="G102" i="1"/>
  <c r="M549" i="2" l="1"/>
  <c r="D10" i="3" s="1"/>
  <c r="M47" i="2"/>
  <c r="E48" i="2"/>
  <c r="M48" i="2" s="1"/>
  <c r="Q130" i="1"/>
  <c r="Q120" i="1"/>
  <c r="Q116" i="1"/>
  <c r="Q112" i="1"/>
  <c r="R131" i="1"/>
  <c r="Q113" i="1"/>
  <c r="R124" i="1"/>
  <c r="R128" i="1"/>
  <c r="O157" i="1"/>
  <c r="Q122" i="1"/>
  <c r="Q127" i="1"/>
  <c r="R132" i="1"/>
  <c r="R134" i="1"/>
  <c r="R126" i="1"/>
  <c r="R137" i="1"/>
  <c r="R136" i="1"/>
  <c r="R135" i="1"/>
  <c r="R133" i="1"/>
  <c r="Q111" i="1"/>
  <c r="Q117" i="1"/>
  <c r="R121" i="1"/>
  <c r="O114" i="1"/>
  <c r="Q118" i="1"/>
  <c r="Q110" i="1"/>
  <c r="G101" i="1"/>
  <c r="Q101" i="1"/>
  <c r="G100" i="1"/>
  <c r="G99" i="1"/>
  <c r="G98" i="1"/>
  <c r="Q98" i="1"/>
  <c r="G97" i="1"/>
  <c r="G96" i="1"/>
  <c r="G95" i="1"/>
  <c r="G94" i="1"/>
  <c r="G93" i="1"/>
  <c r="M93" i="1"/>
  <c r="N93" i="1"/>
  <c r="O93" i="1"/>
  <c r="P93" i="1"/>
  <c r="R93" i="1"/>
  <c r="M94" i="1"/>
  <c r="N94" i="1"/>
  <c r="O94" i="1"/>
  <c r="P94" i="1"/>
  <c r="Q94" i="1"/>
  <c r="M95" i="1"/>
  <c r="N95" i="1"/>
  <c r="O95" i="1"/>
  <c r="P95" i="1"/>
  <c r="R95" i="1"/>
  <c r="M96" i="1"/>
  <c r="N96" i="1"/>
  <c r="O96" i="1"/>
  <c r="P96" i="1"/>
  <c r="R96" i="1"/>
  <c r="M97" i="1"/>
  <c r="N97" i="1"/>
  <c r="O97" i="1"/>
  <c r="P97" i="1"/>
  <c r="R97" i="1"/>
  <c r="M98" i="1"/>
  <c r="N98" i="1"/>
  <c r="O98" i="1"/>
  <c r="P98" i="1"/>
  <c r="R99" i="1"/>
  <c r="M99" i="1"/>
  <c r="N99" i="1"/>
  <c r="O99" i="1"/>
  <c r="P99" i="1"/>
  <c r="M100" i="1"/>
  <c r="N100" i="1"/>
  <c r="O100" i="1"/>
  <c r="P100" i="1"/>
  <c r="R100" i="1"/>
  <c r="M101" i="1"/>
  <c r="N101" i="1"/>
  <c r="O101" i="1"/>
  <c r="P101" i="1"/>
  <c r="Q102" i="1"/>
  <c r="M102" i="1"/>
  <c r="N102" i="1"/>
  <c r="O102" i="1"/>
  <c r="P102" i="1"/>
  <c r="R102" i="1"/>
  <c r="R103" i="1"/>
  <c r="M103" i="1"/>
  <c r="N103" i="1"/>
  <c r="O103" i="1"/>
  <c r="P103" i="1"/>
  <c r="Q103" i="1"/>
  <c r="R104" i="1"/>
  <c r="M104" i="1"/>
  <c r="N104" i="1"/>
  <c r="O104" i="1"/>
  <c r="P104" i="1"/>
  <c r="Q105" i="1"/>
  <c r="M105" i="1"/>
  <c r="N105" i="1"/>
  <c r="O105" i="1"/>
  <c r="P105" i="1"/>
  <c r="R105" i="1"/>
  <c r="Q106" i="1"/>
  <c r="M106" i="1"/>
  <c r="N106" i="1"/>
  <c r="O106" i="1"/>
  <c r="P106" i="1"/>
  <c r="R106" i="1"/>
  <c r="R107" i="1"/>
  <c r="M107" i="1"/>
  <c r="N107" i="1"/>
  <c r="O107" i="1"/>
  <c r="P107" i="1"/>
  <c r="Q107" i="1"/>
  <c r="R108" i="1"/>
  <c r="M108" i="1"/>
  <c r="N108" i="1"/>
  <c r="O108" i="1"/>
  <c r="Q108" i="1"/>
  <c r="G92" i="1"/>
  <c r="G91" i="1"/>
  <c r="G90" i="1"/>
  <c r="G89" i="1"/>
  <c r="Q89" i="1" s="1"/>
  <c r="G88" i="1"/>
  <c r="G87" i="1"/>
  <c r="G86" i="1"/>
  <c r="Q86" i="1" s="1"/>
  <c r="G85" i="1"/>
  <c r="G84" i="1"/>
  <c r="G83" i="1"/>
  <c r="G82" i="1"/>
  <c r="G81" i="1"/>
  <c r="G80" i="1"/>
  <c r="M80" i="1"/>
  <c r="N80" i="1"/>
  <c r="O80" i="1"/>
  <c r="P80" i="1"/>
  <c r="R80" i="1"/>
  <c r="G79" i="1"/>
  <c r="G78" i="1"/>
  <c r="R78" i="1" s="1"/>
  <c r="G77" i="1"/>
  <c r="R77" i="1" s="1"/>
  <c r="G76" i="1"/>
  <c r="R76" i="1" s="1"/>
  <c r="Q76" i="1"/>
  <c r="G75" i="1"/>
  <c r="Q75" i="1" s="1"/>
  <c r="G74" i="1"/>
  <c r="G73" i="1"/>
  <c r="R73" i="1" s="1"/>
  <c r="Q73" i="1"/>
  <c r="G72" i="1"/>
  <c r="Q72" i="1" s="1"/>
  <c r="G71" i="1"/>
  <c r="G70" i="1"/>
  <c r="G69" i="1"/>
  <c r="G68" i="1"/>
  <c r="R68" i="1"/>
  <c r="G67" i="1"/>
  <c r="G66" i="1"/>
  <c r="G65" i="1"/>
  <c r="M66" i="1"/>
  <c r="N66" i="1"/>
  <c r="O66" i="1"/>
  <c r="P66" i="1"/>
  <c r="R66" i="1"/>
  <c r="M67" i="1"/>
  <c r="N67" i="1"/>
  <c r="O67" i="1"/>
  <c r="P67" i="1"/>
  <c r="Q67" i="1"/>
  <c r="M68" i="1"/>
  <c r="N68" i="1"/>
  <c r="O68" i="1"/>
  <c r="P68" i="1"/>
  <c r="M69" i="1"/>
  <c r="N69" i="1"/>
  <c r="O69" i="1"/>
  <c r="P69" i="1"/>
  <c r="Q69" i="1"/>
  <c r="M70" i="1"/>
  <c r="N70" i="1"/>
  <c r="O70" i="1"/>
  <c r="P70" i="1"/>
  <c r="R70" i="1"/>
  <c r="M71" i="1"/>
  <c r="N71" i="1"/>
  <c r="O71" i="1"/>
  <c r="P71" i="1"/>
  <c r="R71" i="1"/>
  <c r="M72" i="1"/>
  <c r="N72" i="1"/>
  <c r="O72" i="1"/>
  <c r="P72" i="1"/>
  <c r="R72" i="1"/>
  <c r="M73" i="1"/>
  <c r="N73" i="1"/>
  <c r="O73" i="1"/>
  <c r="P73" i="1"/>
  <c r="R74" i="1"/>
  <c r="M74" i="1"/>
  <c r="N74" i="1"/>
  <c r="O74" i="1"/>
  <c r="P74" i="1"/>
  <c r="M75" i="1"/>
  <c r="N75" i="1"/>
  <c r="O75" i="1"/>
  <c r="P75" i="1"/>
  <c r="R75" i="1"/>
  <c r="M76" i="1"/>
  <c r="N76" i="1"/>
  <c r="O76" i="1"/>
  <c r="P76" i="1"/>
  <c r="M77" i="1"/>
  <c r="N77" i="1"/>
  <c r="O77" i="1"/>
  <c r="P77" i="1"/>
  <c r="M78" i="1"/>
  <c r="N78" i="1"/>
  <c r="O78" i="1"/>
  <c r="P78" i="1"/>
  <c r="Q78" i="1"/>
  <c r="M79" i="1"/>
  <c r="N79" i="1"/>
  <c r="O79" i="1"/>
  <c r="P79" i="1"/>
  <c r="R79" i="1"/>
  <c r="M81" i="1"/>
  <c r="N81" i="1"/>
  <c r="O81" i="1"/>
  <c r="P81" i="1"/>
  <c r="R81" i="1"/>
  <c r="M82" i="1"/>
  <c r="N82" i="1"/>
  <c r="O82" i="1"/>
  <c r="P82" i="1"/>
  <c r="R82" i="1"/>
  <c r="M83" i="1"/>
  <c r="N83" i="1"/>
  <c r="O83" i="1"/>
  <c r="P83" i="1"/>
  <c r="R83" i="1"/>
  <c r="M84" i="1"/>
  <c r="N84" i="1"/>
  <c r="O84" i="1"/>
  <c r="P84" i="1"/>
  <c r="Q84" i="1"/>
  <c r="Q85" i="1"/>
  <c r="M85" i="1"/>
  <c r="N85" i="1"/>
  <c r="O85" i="1"/>
  <c r="P85" i="1"/>
  <c r="R85" i="1"/>
  <c r="M86" i="1"/>
  <c r="N86" i="1"/>
  <c r="O86" i="1"/>
  <c r="P86" i="1"/>
  <c r="R86" i="1"/>
  <c r="M87" i="1"/>
  <c r="N87" i="1"/>
  <c r="O87" i="1"/>
  <c r="P87" i="1"/>
  <c r="R87" i="1"/>
  <c r="M88" i="1"/>
  <c r="N88" i="1"/>
  <c r="O88" i="1"/>
  <c r="P88" i="1"/>
  <c r="R88" i="1"/>
  <c r="M89" i="1"/>
  <c r="N89" i="1"/>
  <c r="O89" i="1"/>
  <c r="P89" i="1"/>
  <c r="R89" i="1"/>
  <c r="M90" i="1"/>
  <c r="N90" i="1"/>
  <c r="O90" i="1"/>
  <c r="P90" i="1"/>
  <c r="Q90" i="1"/>
  <c r="M91" i="1"/>
  <c r="N91" i="1"/>
  <c r="O91" i="1"/>
  <c r="P91" i="1"/>
  <c r="Q91" i="1"/>
  <c r="M92" i="1"/>
  <c r="N92" i="1"/>
  <c r="O92" i="1"/>
  <c r="P92" i="1"/>
  <c r="R92" i="1"/>
  <c r="Q109" i="1"/>
  <c r="M109" i="1"/>
  <c r="N109" i="1"/>
  <c r="O109" i="1"/>
  <c r="P109" i="1"/>
  <c r="R109" i="1"/>
  <c r="G64" i="1"/>
  <c r="G63" i="1"/>
  <c r="G62" i="1"/>
  <c r="G61" i="1"/>
  <c r="G60" i="1"/>
  <c r="G59" i="1"/>
  <c r="O59" i="1"/>
  <c r="M59" i="1"/>
  <c r="N59" i="1"/>
  <c r="P59" i="1"/>
  <c r="R59" i="1"/>
  <c r="G58" i="1"/>
  <c r="G57" i="1"/>
  <c r="G56" i="1"/>
  <c r="G55" i="1"/>
  <c r="Q55" i="1"/>
  <c r="P55" i="1"/>
  <c r="O55" i="1"/>
  <c r="N55" i="1"/>
  <c r="M55" i="1"/>
  <c r="S549" i="2" l="1"/>
  <c r="J10" i="3"/>
  <c r="C11" i="10" s="1"/>
  <c r="M365" i="2"/>
  <c r="D9" i="3" s="1"/>
  <c r="M180" i="2"/>
  <c r="R67" i="1"/>
  <c r="R91" i="1"/>
  <c r="Q87" i="1"/>
  <c r="Q83" i="1"/>
  <c r="Q80" i="1"/>
  <c r="R55" i="1"/>
  <c r="Q59" i="1"/>
  <c r="Q77" i="1"/>
  <c r="Q96" i="1"/>
  <c r="R101" i="1"/>
  <c r="R98" i="1"/>
  <c r="Q92" i="1"/>
  <c r="Q88" i="1"/>
  <c r="R84" i="1"/>
  <c r="Q79" i="1"/>
  <c r="Q70" i="1"/>
  <c r="Q100" i="1"/>
  <c r="Q95" i="1"/>
  <c r="Q99" i="1"/>
  <c r="Q104" i="1"/>
  <c r="Q68" i="1"/>
  <c r="Q97" i="1"/>
  <c r="Q74" i="1"/>
  <c r="P108" i="1"/>
  <c r="R94" i="1"/>
  <c r="Q93" i="1"/>
  <c r="Q81" i="1"/>
  <c r="R90" i="1"/>
  <c r="Q82" i="1"/>
  <c r="Q71" i="1"/>
  <c r="R69" i="1"/>
  <c r="Q66" i="1"/>
  <c r="G54" i="1"/>
  <c r="G53" i="1"/>
  <c r="G52" i="1"/>
  <c r="G51" i="1"/>
  <c r="G50" i="1"/>
  <c r="G49" i="1"/>
  <c r="G48" i="1"/>
  <c r="G47" i="1"/>
  <c r="G46" i="1"/>
  <c r="G45" i="1"/>
  <c r="G43" i="1"/>
  <c r="G44" i="1"/>
  <c r="G42" i="1"/>
  <c r="G41" i="1"/>
  <c r="G40" i="1"/>
  <c r="G39" i="1"/>
  <c r="G38" i="1"/>
  <c r="G37" i="1"/>
  <c r="G36" i="1"/>
  <c r="G35" i="1"/>
  <c r="G34" i="1"/>
  <c r="G33" i="1"/>
  <c r="G32" i="1"/>
  <c r="G31" i="1"/>
  <c r="R54" i="1"/>
  <c r="M54" i="1"/>
  <c r="N54" i="1"/>
  <c r="O54" i="1"/>
  <c r="P54" i="1"/>
  <c r="Q54" i="1"/>
  <c r="R56" i="1"/>
  <c r="M56" i="1"/>
  <c r="N56" i="1"/>
  <c r="O56" i="1"/>
  <c r="P56" i="1"/>
  <c r="Q56" i="1"/>
  <c r="Q57" i="1"/>
  <c r="M57" i="1"/>
  <c r="N57" i="1"/>
  <c r="O57" i="1"/>
  <c r="P57" i="1"/>
  <c r="R57" i="1"/>
  <c r="Q58" i="1"/>
  <c r="M58" i="1"/>
  <c r="N58" i="1"/>
  <c r="P58" i="1"/>
  <c r="R58" i="1"/>
  <c r="O60" i="1"/>
  <c r="M60" i="1"/>
  <c r="N60" i="1"/>
  <c r="P60" i="1"/>
  <c r="Q60" i="1"/>
  <c r="R60" i="1"/>
  <c r="O61" i="1"/>
  <c r="M61" i="1"/>
  <c r="N61" i="1"/>
  <c r="P61" i="1"/>
  <c r="R61" i="1"/>
  <c r="Q62" i="1"/>
  <c r="M62" i="1"/>
  <c r="N62" i="1"/>
  <c r="O62" i="1"/>
  <c r="P62" i="1"/>
  <c r="R62" i="1"/>
  <c r="R63" i="1"/>
  <c r="M63" i="1"/>
  <c r="N63" i="1"/>
  <c r="O63" i="1"/>
  <c r="P63" i="1"/>
  <c r="Q63" i="1"/>
  <c r="R64" i="1"/>
  <c r="M64" i="1"/>
  <c r="N64" i="1"/>
  <c r="O64" i="1"/>
  <c r="P64" i="1"/>
  <c r="Q64" i="1"/>
  <c r="R65" i="1"/>
  <c r="M65" i="1"/>
  <c r="N65" i="1"/>
  <c r="O65" i="1"/>
  <c r="P65" i="1"/>
  <c r="M138" i="1"/>
  <c r="N138" i="1"/>
  <c r="O138" i="1"/>
  <c r="P138" i="1"/>
  <c r="Q138" i="1"/>
  <c r="R138" i="1"/>
  <c r="O187" i="1"/>
  <c r="M187" i="1"/>
  <c r="N187" i="1"/>
  <c r="Q187" i="1"/>
  <c r="R187" i="1"/>
  <c r="M51" i="1"/>
  <c r="N51" i="1"/>
  <c r="O51" i="1"/>
  <c r="P51" i="1"/>
  <c r="R51" i="1"/>
  <c r="D8" i="3" l="1"/>
  <c r="S180" i="2"/>
  <c r="J8" i="3"/>
  <c r="C5" i="10" s="1"/>
  <c r="S365" i="2"/>
  <c r="J9" i="3"/>
  <c r="Q61" i="1"/>
  <c r="Q51" i="1"/>
  <c r="Q65" i="1"/>
  <c r="P187" i="1"/>
  <c r="O58" i="1"/>
  <c r="R38" i="1"/>
  <c r="P38" i="1"/>
  <c r="O38" i="1"/>
  <c r="N38" i="1"/>
  <c r="M38" i="1"/>
  <c r="Q37" i="1"/>
  <c r="P37" i="1"/>
  <c r="O37" i="1"/>
  <c r="N37" i="1"/>
  <c r="M37" i="1"/>
  <c r="I37" i="1"/>
  <c r="L37" i="1" s="1"/>
  <c r="I31" i="1"/>
  <c r="L31" i="1" s="1"/>
  <c r="G29" i="1"/>
  <c r="G28" i="1"/>
  <c r="G26" i="1"/>
  <c r="G25" i="1"/>
  <c r="G24" i="1"/>
  <c r="G23" i="1"/>
  <c r="K22" i="1"/>
  <c r="G22" i="1"/>
  <c r="G21" i="1"/>
  <c r="G20" i="1"/>
  <c r="G19" i="1"/>
  <c r="G18" i="1"/>
  <c r="K18" i="1"/>
  <c r="G17" i="1"/>
  <c r="C8" i="10" l="1"/>
  <c r="Q38" i="1"/>
  <c r="R37" i="1"/>
  <c r="G16" i="1"/>
  <c r="K16" i="1"/>
  <c r="L16" i="1" s="1"/>
  <c r="G15" i="1"/>
  <c r="K15" i="1"/>
  <c r="G14" i="1"/>
  <c r="I14" i="1"/>
  <c r="I15" i="1" s="1"/>
  <c r="I13" i="1"/>
  <c r="G13" i="1"/>
  <c r="K13" i="1"/>
  <c r="G12" i="1"/>
  <c r="K12" i="1"/>
  <c r="I12" i="1"/>
  <c r="G11" i="1"/>
  <c r="K11" i="1"/>
  <c r="I11" i="1"/>
  <c r="I10" i="1"/>
  <c r="L10" i="1" s="1"/>
  <c r="G10" i="1"/>
  <c r="G9" i="1"/>
  <c r="L9" i="1"/>
  <c r="I8" i="1"/>
  <c r="G8" i="1"/>
  <c r="K8" i="1"/>
  <c r="K7" i="1"/>
  <c r="I6" i="1"/>
  <c r="G7" i="1"/>
  <c r="K6" i="1"/>
  <c r="L17" i="1"/>
  <c r="P17" i="1" s="1"/>
  <c r="L18" i="1"/>
  <c r="P18" i="1" s="1"/>
  <c r="L19" i="1"/>
  <c r="P19" i="1" s="1"/>
  <c r="L20" i="1"/>
  <c r="P20" i="1" s="1"/>
  <c r="L21" i="1"/>
  <c r="P21" i="1" s="1"/>
  <c r="L22" i="1"/>
  <c r="P22" i="1" s="1"/>
  <c r="L23" i="1"/>
  <c r="P23" i="1" s="1"/>
  <c r="L24" i="1"/>
  <c r="P24" i="1" s="1"/>
  <c r="P25" i="1"/>
  <c r="P26" i="1"/>
  <c r="P28" i="1"/>
  <c r="P29" i="1"/>
  <c r="R31" i="1"/>
  <c r="Q32" i="1"/>
  <c r="O33" i="1"/>
  <c r="O34" i="1"/>
  <c r="O35" i="1"/>
  <c r="O36" i="1"/>
  <c r="Q39" i="1"/>
  <c r="R40" i="1"/>
  <c r="R41" i="1"/>
  <c r="Q42" i="1"/>
  <c r="R43" i="1"/>
  <c r="Q44" i="1"/>
  <c r="P45" i="1"/>
  <c r="P46" i="1"/>
  <c r="R47" i="1"/>
  <c r="R48" i="1"/>
  <c r="R49" i="1"/>
  <c r="R50" i="1"/>
  <c r="G6" i="1"/>
  <c r="R53" i="1"/>
  <c r="P53" i="1"/>
  <c r="O53" i="1"/>
  <c r="N53" i="1"/>
  <c r="M53" i="1"/>
  <c r="Q53" i="1"/>
  <c r="R52" i="1"/>
  <c r="P52" i="1"/>
  <c r="O52" i="1"/>
  <c r="N52" i="1"/>
  <c r="M52" i="1"/>
  <c r="Q52" i="1"/>
  <c r="P50" i="1"/>
  <c r="O50" i="1"/>
  <c r="N50" i="1"/>
  <c r="M50" i="1"/>
  <c r="Q49" i="1"/>
  <c r="P49" i="1"/>
  <c r="O49" i="1"/>
  <c r="M49" i="1"/>
  <c r="Q48" i="1"/>
  <c r="P48" i="1"/>
  <c r="O48" i="1"/>
  <c r="M48" i="1"/>
  <c r="N48" i="1"/>
  <c r="Q47" i="1"/>
  <c r="P47" i="1"/>
  <c r="O47" i="1"/>
  <c r="M47" i="1"/>
  <c r="R46" i="1"/>
  <c r="Q46" i="1"/>
  <c r="O46" i="1"/>
  <c r="M46" i="1"/>
  <c r="N46" i="1"/>
  <c r="R45" i="1"/>
  <c r="Q45" i="1"/>
  <c r="O45" i="1"/>
  <c r="N45" i="1"/>
  <c r="M45" i="1"/>
  <c r="R44" i="1"/>
  <c r="P44" i="1"/>
  <c r="O44" i="1"/>
  <c r="N44" i="1"/>
  <c r="M44" i="1"/>
  <c r="Q43" i="1"/>
  <c r="P43" i="1"/>
  <c r="O43" i="1"/>
  <c r="M43" i="1"/>
  <c r="R42" i="1"/>
  <c r="P42" i="1"/>
  <c r="O42" i="1"/>
  <c r="M42" i="1"/>
  <c r="N42" i="1"/>
  <c r="Q41" i="1"/>
  <c r="P41" i="1"/>
  <c r="O41" i="1"/>
  <c r="N41" i="1"/>
  <c r="M41" i="1"/>
  <c r="Q40" i="1"/>
  <c r="P40" i="1"/>
  <c r="O40" i="1"/>
  <c r="N40" i="1"/>
  <c r="M40" i="1"/>
  <c r="R39" i="1"/>
  <c r="P39" i="1"/>
  <c r="O39" i="1"/>
  <c r="M39" i="1"/>
  <c r="N39" i="1"/>
  <c r="R36" i="1"/>
  <c r="Q36" i="1"/>
  <c r="P36" i="1"/>
  <c r="M36" i="1"/>
  <c r="N36" i="1"/>
  <c r="R35" i="1"/>
  <c r="Q35" i="1"/>
  <c r="P35" i="1"/>
  <c r="M35" i="1"/>
  <c r="N35" i="1"/>
  <c r="R34" i="1"/>
  <c r="Q34" i="1"/>
  <c r="P34" i="1"/>
  <c r="M34" i="1"/>
  <c r="N34" i="1"/>
  <c r="R33" i="1"/>
  <c r="Q33" i="1"/>
  <c r="P33" i="1"/>
  <c r="N33" i="1"/>
  <c r="M33" i="1"/>
  <c r="R32" i="1"/>
  <c r="P32" i="1"/>
  <c r="O32" i="1"/>
  <c r="N32" i="1"/>
  <c r="M32" i="1"/>
  <c r="Q31" i="1"/>
  <c r="P31" i="1"/>
  <c r="O31" i="1"/>
  <c r="N31" i="1"/>
  <c r="R30" i="1"/>
  <c r="P30" i="1"/>
  <c r="O30" i="1"/>
  <c r="N30" i="1"/>
  <c r="M30" i="1"/>
  <c r="Q30" i="1"/>
  <c r="R29" i="1"/>
  <c r="Q29" i="1"/>
  <c r="O29" i="1"/>
  <c r="N29" i="1"/>
  <c r="M29" i="1"/>
  <c r="R28" i="1"/>
  <c r="Q28" i="1"/>
  <c r="O28" i="1"/>
  <c r="N28" i="1"/>
  <c r="M28" i="1"/>
  <c r="R27" i="1"/>
  <c r="Q27" i="1"/>
  <c r="P27" i="1"/>
  <c r="O27" i="1"/>
  <c r="N27" i="1"/>
  <c r="M27" i="1"/>
  <c r="R26" i="1"/>
  <c r="Q26" i="1"/>
  <c r="O26" i="1"/>
  <c r="N26" i="1"/>
  <c r="M26" i="1"/>
  <c r="R25" i="1"/>
  <c r="Q25" i="1"/>
  <c r="N25" i="1"/>
  <c r="M25" i="1"/>
  <c r="O25" i="1"/>
  <c r="R24" i="1"/>
  <c r="Q24" i="1"/>
  <c r="O24" i="1"/>
  <c r="N24" i="1"/>
  <c r="M24" i="1"/>
  <c r="R23" i="1"/>
  <c r="Q23" i="1"/>
  <c r="O23" i="1"/>
  <c r="N23" i="1"/>
  <c r="M23" i="1"/>
  <c r="R22" i="1"/>
  <c r="O22" i="1"/>
  <c r="N22" i="1"/>
  <c r="M22" i="1"/>
  <c r="Q22" i="1"/>
  <c r="R21" i="1"/>
  <c r="Q21" i="1"/>
  <c r="O21" i="1"/>
  <c r="N21" i="1"/>
  <c r="M21" i="1"/>
  <c r="R20" i="1"/>
  <c r="Q20" i="1"/>
  <c r="O20" i="1"/>
  <c r="N20" i="1"/>
  <c r="M20" i="1"/>
  <c r="R19" i="1"/>
  <c r="Q19" i="1"/>
  <c r="O19" i="1"/>
  <c r="N19" i="1"/>
  <c r="R18" i="1"/>
  <c r="Q18" i="1"/>
  <c r="O18" i="1"/>
  <c r="N18" i="1"/>
  <c r="M18" i="1"/>
  <c r="R17" i="1"/>
  <c r="Q17" i="1"/>
  <c r="N17" i="1"/>
  <c r="M17" i="1"/>
  <c r="O17" i="1"/>
  <c r="R16" i="1"/>
  <c r="Q16" i="1"/>
  <c r="O16" i="1"/>
  <c r="N16" i="1"/>
  <c r="M16" i="1"/>
  <c r="R15" i="1"/>
  <c r="Q15" i="1"/>
  <c r="O15" i="1"/>
  <c r="N15" i="1"/>
  <c r="M15" i="1"/>
  <c r="R14" i="1"/>
  <c r="Q14" i="1"/>
  <c r="O14" i="1"/>
  <c r="N14" i="1"/>
  <c r="M14" i="1"/>
  <c r="R13" i="1"/>
  <c r="O13" i="1"/>
  <c r="N13" i="1"/>
  <c r="M13" i="1"/>
  <c r="Q13" i="1"/>
  <c r="R12" i="1"/>
  <c r="Q12" i="1"/>
  <c r="O12" i="1"/>
  <c r="N12" i="1"/>
  <c r="M12" i="1"/>
  <c r="R11" i="1"/>
  <c r="Q11" i="1"/>
  <c r="O11" i="1"/>
  <c r="N11" i="1"/>
  <c r="M11" i="1"/>
  <c r="Q10" i="1"/>
  <c r="O10" i="1"/>
  <c r="N10" i="1"/>
  <c r="M10" i="1"/>
  <c r="R10" i="1"/>
  <c r="R9" i="1"/>
  <c r="O9" i="1"/>
  <c r="N9" i="1"/>
  <c r="M9" i="1"/>
  <c r="Q9" i="1"/>
  <c r="R8" i="1"/>
  <c r="Q8" i="1"/>
  <c r="O8" i="1"/>
  <c r="N8" i="1"/>
  <c r="M8" i="1"/>
  <c r="R7" i="1"/>
  <c r="Q7" i="1"/>
  <c r="O7" i="1"/>
  <c r="M7" i="1"/>
  <c r="R6" i="1"/>
  <c r="Q6" i="1"/>
  <c r="O6" i="1"/>
  <c r="M6" i="1"/>
  <c r="N6" i="1"/>
  <c r="L6" i="1" l="1"/>
  <c r="P6" i="1" s="1"/>
  <c r="L12" i="1"/>
  <c r="P12" i="1" s="1"/>
  <c r="L15" i="1"/>
  <c r="P15" i="1" s="1"/>
  <c r="L14" i="1"/>
  <c r="P14" i="1" s="1"/>
  <c r="L13" i="1"/>
  <c r="P13" i="1" s="1"/>
  <c r="P10" i="1"/>
  <c r="I7" i="1"/>
  <c r="L7" i="1" s="1"/>
  <c r="P7" i="1" s="1"/>
  <c r="P16" i="1"/>
  <c r="Q50" i="1"/>
  <c r="L11" i="1"/>
  <c r="P11" i="1" s="1"/>
  <c r="P9" i="1"/>
  <c r="L8" i="1"/>
  <c r="P8" i="1" s="1"/>
  <c r="N43" i="1"/>
  <c r="N47" i="1"/>
  <c r="N49" i="1"/>
  <c r="M19" i="1"/>
  <c r="M31" i="1"/>
  <c r="N7" i="1"/>
  <c r="R192" i="1"/>
  <c r="R193" i="1" s="1"/>
  <c r="I4" i="3" s="1"/>
  <c r="O192" i="1"/>
  <c r="O193" i="1" s="1"/>
  <c r="F4" i="3" s="1"/>
  <c r="M192" i="1" l="1"/>
  <c r="M193" i="1" s="1"/>
  <c r="D4" i="3" s="1"/>
  <c r="N192" i="1"/>
  <c r="N193" i="1" s="1"/>
  <c r="E4" i="3" s="1"/>
  <c r="Q192" i="1"/>
  <c r="Q193" i="1" s="1"/>
  <c r="H4" i="3" s="1"/>
  <c r="P192" i="1" l="1"/>
  <c r="P193" i="1" s="1"/>
  <c r="G4" i="3" s="1"/>
  <c r="J4" i="3" s="1"/>
  <c r="C4" i="10" s="1"/>
  <c r="M194" i="1" l="1"/>
</calcChain>
</file>

<file path=xl/sharedStrings.xml><?xml version="1.0" encoding="utf-8"?>
<sst xmlns="http://schemas.openxmlformats.org/spreadsheetml/2006/main" count="4102" uniqueCount="865">
  <si>
    <t xml:space="preserve">Reinforcement </t>
  </si>
  <si>
    <t>Sr. No.</t>
  </si>
  <si>
    <t>Beam       Designation</t>
  </si>
  <si>
    <t xml:space="preserve">Dia </t>
  </si>
  <si>
    <t>C/C (mm)</t>
  </si>
  <si>
    <t>No</t>
  </si>
  <si>
    <t>No of Bars</t>
  </si>
  <si>
    <t>Bar Length (mtr)</t>
  </si>
  <si>
    <t>One Bar                     Length (MTR)</t>
  </si>
  <si>
    <t>Dia Wise Weight (Kg)</t>
  </si>
  <si>
    <t>a</t>
  </si>
  <si>
    <t>b</t>
  </si>
  <si>
    <t>c</t>
  </si>
  <si>
    <t>8mm</t>
  </si>
  <si>
    <t>10mm</t>
  </si>
  <si>
    <t>12mm</t>
  </si>
  <si>
    <t>16mm</t>
  </si>
  <si>
    <t>20MM</t>
  </si>
  <si>
    <t>25mm</t>
  </si>
  <si>
    <t>Total</t>
  </si>
  <si>
    <t>GRAND TOTAL</t>
  </si>
  <si>
    <t>Lap Length</t>
  </si>
  <si>
    <t xml:space="preserve">Raft </t>
  </si>
  <si>
    <t>Main Bar @16 Dia (Top &amp; Bottom)</t>
  </si>
  <si>
    <t>Dist. Bar @16 Dia (Top &amp; Bottom)</t>
  </si>
  <si>
    <t>Lift Pit Raft</t>
  </si>
  <si>
    <t>Bottom Extra R/F</t>
  </si>
  <si>
    <r>
      <t xml:space="preserve">Grid 1/P-Q </t>
    </r>
    <r>
      <rPr>
        <b/>
        <sz val="11"/>
        <color rgb="FF000000"/>
        <rFont val="Calibri"/>
        <family val="2"/>
      </rPr>
      <t>(D &amp; H)</t>
    </r>
  </si>
  <si>
    <r>
      <t xml:space="preserve">Grid 1/P-Q </t>
    </r>
    <r>
      <rPr>
        <b/>
        <sz val="11"/>
        <color rgb="FF000000"/>
        <rFont val="Calibri"/>
        <family val="2"/>
      </rPr>
      <t>( C )</t>
    </r>
  </si>
  <si>
    <t>Grid 1/O (A)</t>
  </si>
  <si>
    <t>Grid 1/L-M (A)</t>
  </si>
  <si>
    <r>
      <t xml:space="preserve">Grid 1/F-J </t>
    </r>
    <r>
      <rPr>
        <b/>
        <sz val="11"/>
        <color rgb="FF000000"/>
        <rFont val="Calibri"/>
        <family val="2"/>
      </rPr>
      <t>(D &amp; H)</t>
    </r>
  </si>
  <si>
    <r>
      <t xml:space="preserve">Grid 1/F-J </t>
    </r>
    <r>
      <rPr>
        <b/>
        <sz val="11"/>
        <color rgb="FF000000"/>
        <rFont val="Calibri"/>
        <family val="2"/>
      </rPr>
      <t>( C )</t>
    </r>
  </si>
  <si>
    <t>Grid 2/O &amp; L (B)</t>
  </si>
  <si>
    <t>Grid 2/O &amp; L (c)</t>
  </si>
  <si>
    <t>Grid 3/Q &amp; F ( C)</t>
  </si>
  <si>
    <t>Grid 3/Q &amp; F( D)</t>
  </si>
  <si>
    <t>Grid 3/P &amp; J (D)</t>
  </si>
  <si>
    <t>Grid 3/P &amp; J (G)</t>
  </si>
  <si>
    <t>Grid 3/P &amp; J  (G)</t>
  </si>
  <si>
    <t>Grid 4/L (D)</t>
  </si>
  <si>
    <t>Grid 4/O (D)</t>
  </si>
  <si>
    <t>Grid 4/O (C &amp; G)</t>
  </si>
  <si>
    <t>Grid 5/F &amp; Q ( C )</t>
  </si>
  <si>
    <t>Grid 5/J &amp; P (C )</t>
  </si>
  <si>
    <t>Grid 5/J &amp; P (D )</t>
  </si>
  <si>
    <t>Grid 5-6/N (D )</t>
  </si>
  <si>
    <t>Grid 6/A ( C )</t>
  </si>
  <si>
    <t>Grid 6/A ( A )</t>
  </si>
  <si>
    <t>Grid 6/D ( C )</t>
  </si>
  <si>
    <t>Grid 6/D ( A )</t>
  </si>
  <si>
    <t>Grid 7/E ( C )</t>
  </si>
  <si>
    <t>Grid 7/H ( D )</t>
  </si>
  <si>
    <t>Grid 7/L ( C )</t>
  </si>
  <si>
    <t>Grid 7/L ( C +G)</t>
  </si>
  <si>
    <t>Grid 6/O &amp; Q ( D)</t>
  </si>
  <si>
    <t>Grid 6/O &amp; Q ( C)</t>
  </si>
  <si>
    <t>Grid 9/A ( D)</t>
  </si>
  <si>
    <t>Grid 9/A ( C)</t>
  </si>
  <si>
    <t>Grid 9/D ( C)</t>
  </si>
  <si>
    <t>Grid 9/F ( D)</t>
  </si>
  <si>
    <t>Grid 9/F ( C)</t>
  </si>
  <si>
    <t>Grid 8/J ( C)</t>
  </si>
  <si>
    <t>Grid 8/J ( D)</t>
  </si>
  <si>
    <t>Grid 8/J ( G)</t>
  </si>
  <si>
    <t>Grid 10/P ( D)</t>
  </si>
  <si>
    <t>Grid 10/P ( C)</t>
  </si>
  <si>
    <t>Grid 10/Q ( C)</t>
  </si>
  <si>
    <t>Grid 12/A ( C)</t>
  </si>
  <si>
    <t>Grid 13/C ( D)</t>
  </si>
  <si>
    <t>Grid 13/C ( C)</t>
  </si>
  <si>
    <t>Grid 11-12/E ( C)</t>
  </si>
  <si>
    <t>Grid 11-12/O ( C)</t>
  </si>
  <si>
    <t>Grid 11-12/O ( C+G)</t>
  </si>
  <si>
    <t>Grid 14/P ( D)</t>
  </si>
  <si>
    <t>Grid 14/P ( G)</t>
  </si>
  <si>
    <t>Grid 14/Q ( C)</t>
  </si>
  <si>
    <t>Grid 14/Q ( D)</t>
  </si>
  <si>
    <t>Grid 14-15/F ( C)</t>
  </si>
  <si>
    <t>Grid 15/J ( C)</t>
  </si>
  <si>
    <t>Grid 15/J ( D)</t>
  </si>
  <si>
    <t>Grid 15/J ( G)</t>
  </si>
  <si>
    <t>Grid 15/O ( C)</t>
  </si>
  <si>
    <t>Grid 15/O ( D)</t>
  </si>
  <si>
    <t>Grid 16-17/B-C ( C)</t>
  </si>
  <si>
    <t>Grid 16-17/B-C ( D)</t>
  </si>
  <si>
    <t>Grid 16/D( C)</t>
  </si>
  <si>
    <t>Grid 16/D( D)</t>
  </si>
  <si>
    <t>Grid 16/E &amp; I( C)</t>
  </si>
  <si>
    <t>Grid 16/E &amp; I ( B)</t>
  </si>
  <si>
    <t>Grid 16/J-K( C)</t>
  </si>
  <si>
    <t>Grid 16/N ( C)</t>
  </si>
  <si>
    <t>Grid 16/O ( A)</t>
  </si>
  <si>
    <t>Grid 16/O ( C)</t>
  </si>
  <si>
    <t>Grid 16/P-Q ( C)</t>
  </si>
  <si>
    <t>Grid 18/D ( C)</t>
  </si>
  <si>
    <t>Grid 18/D ( D)</t>
  </si>
  <si>
    <t>Grid 18/E ( C)</t>
  </si>
  <si>
    <t>Grid 18/E ( D)</t>
  </si>
  <si>
    <t>Grid 18/I ( C)</t>
  </si>
  <si>
    <t>Grid 18/I ( D)</t>
  </si>
  <si>
    <t>Grid 18/J-K ( D)</t>
  </si>
  <si>
    <t>Grid 19/D-E &amp; J ( D)</t>
  </si>
  <si>
    <t>Grid 19/D-E &amp; J ( C)</t>
  </si>
  <si>
    <t>Grid 19/C &amp; K ( D)</t>
  </si>
  <si>
    <t>Grid 19/C &amp; K ( C)</t>
  </si>
  <si>
    <t>Grid 20/ G ( C)</t>
  </si>
  <si>
    <t>Grid 20/ G ( D)</t>
  </si>
  <si>
    <t>Grid 21/ C &amp; K ( D)</t>
  </si>
  <si>
    <t>Grid 21/ D-E &amp; I-J ( D)</t>
  </si>
  <si>
    <t>Grid 22/ F ( D)</t>
  </si>
  <si>
    <t xml:space="preserve">Top Extra R/F </t>
  </si>
  <si>
    <t>C</t>
  </si>
  <si>
    <t>B</t>
  </si>
  <si>
    <t>G</t>
  </si>
  <si>
    <t>Grid 1-3 /F-L &amp; O-Q (E)</t>
  </si>
  <si>
    <t>Grid 1-3 /F-L &amp; O-Q (C)</t>
  </si>
  <si>
    <t>Grid 1-3 /F-L &amp; O-Q (B)</t>
  </si>
  <si>
    <t>Grid 1-3 /F-L &amp; O-Q (G)</t>
  </si>
  <si>
    <t>Grid 3-5 /F-K &amp; O-Q (A)</t>
  </si>
  <si>
    <t>Grid 5-7 /F-H (A)</t>
  </si>
  <si>
    <t>Grid 5-7 /F-H (C)</t>
  </si>
  <si>
    <t>Grid 5-8 /I-J (B)</t>
  </si>
  <si>
    <t>Grid 4-6 /K-M (B)</t>
  </si>
  <si>
    <t>Grid 4-6 /K-M (C)</t>
  </si>
  <si>
    <t>Grid 4-6 /M-O (C)</t>
  </si>
  <si>
    <t>Grid 4-6 /M-O (B)</t>
  </si>
  <si>
    <t>Grid 5-9 /P (B)</t>
  </si>
  <si>
    <t>Grid 5-9 /P (D)</t>
  </si>
  <si>
    <t>Grid 5-9 /O (A)</t>
  </si>
  <si>
    <t>Grid 7-9/ A-C ( C )</t>
  </si>
  <si>
    <t>Grid 7-9/ A-C ( B )</t>
  </si>
  <si>
    <t>Grid 10-12/ A-D ( B )</t>
  </si>
  <si>
    <t>Grid 10-12/ A-D ( J )</t>
  </si>
  <si>
    <t>Grid 14-16/C-E ( A )</t>
  </si>
  <si>
    <t>Grid 17/C-E ( A )</t>
  </si>
  <si>
    <t>Grid 17/C-E ( J )</t>
  </si>
  <si>
    <t>Grid 8-9/D-E ( A )</t>
  </si>
  <si>
    <t>Grid 15-17/F ( A )</t>
  </si>
  <si>
    <t>Grid 15-17/J ( J )</t>
  </si>
  <si>
    <t>Grid 11-12/I-J ( B )</t>
  </si>
  <si>
    <t>Grid 8-11/O ( J )</t>
  </si>
  <si>
    <t>Grid 11-12/O-Q ( A )</t>
  </si>
  <si>
    <t>Grid 15-17/O-P ( J )</t>
  </si>
  <si>
    <t>Grid 15-17/O-Q ( C )</t>
  </si>
  <si>
    <t>Grid 15-17/O-Q ( F )</t>
  </si>
  <si>
    <t>Grid 18-19/D ( A )</t>
  </si>
  <si>
    <t>Grid 18-19/C-M ( A )</t>
  </si>
  <si>
    <t>Grid 18-19/J-K ( J )</t>
  </si>
  <si>
    <t>Grid 20/C-D ( A )</t>
  </si>
  <si>
    <t>Grid 20/C-D ( J )</t>
  </si>
  <si>
    <t>Grid 20/J-K ( J )</t>
  </si>
  <si>
    <t>Grid 21/E-I ( B )</t>
  </si>
  <si>
    <t>Grid 21/E-I ( J )</t>
  </si>
  <si>
    <t>Grid 22/C-D ( C )</t>
  </si>
  <si>
    <t>Grid 22/C-D ( J)</t>
  </si>
  <si>
    <t>Grid 22/J-K ( C)</t>
  </si>
  <si>
    <t>Grid 22/J-K ( A)</t>
  </si>
  <si>
    <t>Grid 22/J-K ( F)</t>
  </si>
  <si>
    <t>Column From Foundation to Plinth Level (100.15-97.2)</t>
  </si>
  <si>
    <t>Stirrups ZONE A</t>
  </si>
  <si>
    <t>Stirrups ZONE B</t>
  </si>
  <si>
    <t>C 1  (300X600)</t>
  </si>
  <si>
    <t>C 2  (300X600)</t>
  </si>
  <si>
    <t>C 3  (300X600)</t>
  </si>
  <si>
    <t>C 4  (300X750)</t>
  </si>
  <si>
    <t>C 5  (300X750)</t>
  </si>
  <si>
    <t>C 6  (300X715)</t>
  </si>
  <si>
    <t>C 7  (300X800)</t>
  </si>
  <si>
    <t>C 8  (300X600)</t>
  </si>
  <si>
    <t>Shear wall  from Foundation to plinth level</t>
  </si>
  <si>
    <t xml:space="preserve">SW 1 </t>
  </si>
  <si>
    <t>Stirrups</t>
  </si>
  <si>
    <t xml:space="preserve">BE OTHER </t>
  </si>
  <si>
    <t>BE OTHER  (180X248)</t>
  </si>
  <si>
    <t>BE OTHER  (180X268)</t>
  </si>
  <si>
    <t>MID MAIN (180X866)</t>
  </si>
  <si>
    <t xml:space="preserve">MID OTHER </t>
  </si>
  <si>
    <t>SW 2</t>
  </si>
  <si>
    <t>MID MAIN (180X1066)</t>
  </si>
  <si>
    <t>SW 3</t>
  </si>
  <si>
    <t>BE OTHER  (180X120)</t>
  </si>
  <si>
    <t>SW 4</t>
  </si>
  <si>
    <t>BE OTHER  (180X125)</t>
  </si>
  <si>
    <t xml:space="preserve">BE OTHER  </t>
  </si>
  <si>
    <t>SW 5</t>
  </si>
  <si>
    <t>BE MAIN  (180X1100)</t>
  </si>
  <si>
    <t>BE MAIN  (180X950)</t>
  </si>
  <si>
    <t>BE MAIN  (180X600)</t>
  </si>
  <si>
    <t>BE MAIN  (180X385)</t>
  </si>
  <si>
    <t>SW 6</t>
  </si>
  <si>
    <t>BE MAIN  (180X1135)</t>
  </si>
  <si>
    <t>BE OTHER  (180X118)</t>
  </si>
  <si>
    <t>SW 7</t>
  </si>
  <si>
    <t>BE OTHER  (180X122)</t>
  </si>
  <si>
    <t>SW 8</t>
  </si>
  <si>
    <t>BE MAIN  (180X1183)</t>
  </si>
  <si>
    <t>MID MAIN (180X1216)</t>
  </si>
  <si>
    <t>SW 9</t>
  </si>
  <si>
    <t>SW 10</t>
  </si>
  <si>
    <t>BE MAIN  (180X683)</t>
  </si>
  <si>
    <t>BE OTHER  (180X128)</t>
  </si>
  <si>
    <t>MID MAIN (180X2061)</t>
  </si>
  <si>
    <t>SW 11</t>
  </si>
  <si>
    <t>BE MAIN  (180X983)</t>
  </si>
  <si>
    <t>BE OTHER  (180X124)</t>
  </si>
  <si>
    <t>MID MAIN (180X2081)</t>
  </si>
  <si>
    <t>SW 12</t>
  </si>
  <si>
    <t>MID MAIN (180X751)</t>
  </si>
  <si>
    <t>SW 13</t>
  </si>
  <si>
    <t>BE MAIN  (180X583)</t>
  </si>
  <si>
    <t>Column From Plinth Level to 1st Floor Lvl (103.25-100.15)</t>
  </si>
  <si>
    <t>Shear wall  from plinth level to 1st floor LVL</t>
  </si>
  <si>
    <t>MID MAIN (180X516)</t>
  </si>
  <si>
    <t>SW 5A</t>
  </si>
  <si>
    <t>SW 7A</t>
  </si>
  <si>
    <t>MID MAIN (180X671)</t>
  </si>
  <si>
    <t>TOTAL UPTO PLINTH</t>
  </si>
  <si>
    <t>Column From 1st Floor Lvl TO 2ND FLOOR LVL (103.25-106.2)</t>
  </si>
  <si>
    <t>TOTAL FROM PLINTH TO 1ST FLOOR LVL</t>
  </si>
  <si>
    <t>FROM 1ST TO 2ND FLOOR LVL</t>
  </si>
  <si>
    <t>SW 8A</t>
  </si>
  <si>
    <t>MID MAIN (180X1616)</t>
  </si>
  <si>
    <t>Column From 2 Floor Lvl TO 3 FLOOR LVL (106.2-109.15))</t>
  </si>
  <si>
    <t>BE MAIN  (180X383)</t>
  </si>
  <si>
    <t>MID MAIN (180X916)</t>
  </si>
  <si>
    <t>SW 5B</t>
  </si>
  <si>
    <t>SW 7B</t>
  </si>
  <si>
    <t>MID MAIN (180X1071)</t>
  </si>
  <si>
    <t>SW 10A</t>
  </si>
  <si>
    <t>BE MAIN  (180X483)</t>
  </si>
  <si>
    <t>BE OTHER  (180X250)</t>
  </si>
  <si>
    <t>MID MAIN (180X2461)</t>
  </si>
  <si>
    <t>Steel Summary</t>
  </si>
  <si>
    <t>S. No</t>
  </si>
  <si>
    <t>Particular</t>
  </si>
  <si>
    <t>Total Qty</t>
  </si>
  <si>
    <t>20mm</t>
  </si>
  <si>
    <t>Raft</t>
  </si>
  <si>
    <t xml:space="preserve"> Qty</t>
  </si>
  <si>
    <t xml:space="preserve">Columns </t>
  </si>
  <si>
    <t>Upto Plinth Lvl</t>
  </si>
  <si>
    <t>From Plinth to 1st floor lvl</t>
  </si>
  <si>
    <t>From 1st to 2nd Floor Lvl</t>
  </si>
  <si>
    <t>From 2nd to 3rd Floor Lvl</t>
  </si>
  <si>
    <t>FROM 2nd TO 3rd FLOOR LVL</t>
  </si>
  <si>
    <t>MID MAIN (180X2681)</t>
  </si>
  <si>
    <t>SW 11A</t>
  </si>
  <si>
    <t>SW 13A</t>
  </si>
  <si>
    <t>S.NO</t>
  </si>
  <si>
    <t>DESCRIPTION</t>
  </si>
  <si>
    <t>NOS</t>
  </si>
  <si>
    <t>LENGTH</t>
  </si>
  <si>
    <t>WIDTH</t>
  </si>
  <si>
    <t>HEIGHT</t>
  </si>
  <si>
    <t>QTY</t>
  </si>
  <si>
    <t>UNIT</t>
  </si>
  <si>
    <t xml:space="preserve">MEASUREMENT </t>
  </si>
  <si>
    <t>A</t>
  </si>
  <si>
    <t>RAFT</t>
  </si>
  <si>
    <t>Column upto Plinth (100.15-98.05)</t>
  </si>
  <si>
    <t>C1</t>
  </si>
  <si>
    <t>C2</t>
  </si>
  <si>
    <t>C3</t>
  </si>
  <si>
    <t>C4</t>
  </si>
  <si>
    <t>C5</t>
  </si>
  <si>
    <t>C6</t>
  </si>
  <si>
    <t>C7</t>
  </si>
  <si>
    <t>C8</t>
  </si>
  <si>
    <t>SW 1</t>
  </si>
  <si>
    <t>SW2</t>
  </si>
  <si>
    <t>SW3</t>
  </si>
  <si>
    <t>SW4</t>
  </si>
  <si>
    <t>SW5</t>
  </si>
  <si>
    <t>SW6</t>
  </si>
  <si>
    <t>SW7</t>
  </si>
  <si>
    <t>SW8</t>
  </si>
  <si>
    <t>SW9</t>
  </si>
  <si>
    <t>SW10</t>
  </si>
  <si>
    <t>SW11</t>
  </si>
  <si>
    <t>SW12</t>
  </si>
  <si>
    <t>SW13</t>
  </si>
  <si>
    <t>Percentage</t>
  </si>
  <si>
    <t xml:space="preserve">      Designation</t>
  </si>
  <si>
    <t xml:space="preserve">       Designation</t>
  </si>
  <si>
    <t>Plinth Beam</t>
  </si>
  <si>
    <t>BE MAIN  (140X583)</t>
  </si>
  <si>
    <t>BE OTHER  (140X133)</t>
  </si>
  <si>
    <t>MID MAIN (140X2261)</t>
  </si>
  <si>
    <t>BE MAIN  (140X383)</t>
  </si>
  <si>
    <t>MID MAIN (140X2661)</t>
  </si>
  <si>
    <t>Shuttering Typical floor</t>
  </si>
  <si>
    <t xml:space="preserve">Column </t>
  </si>
  <si>
    <t xml:space="preserve">Slab Beam </t>
  </si>
  <si>
    <t>B1 200X500</t>
  </si>
  <si>
    <t>B2 200X500</t>
  </si>
  <si>
    <t>B3 AT GRID B-C</t>
  </si>
  <si>
    <t>B4 AT GRID B-C</t>
  </si>
  <si>
    <t>B5 200X450</t>
  </si>
  <si>
    <t>B6 200X350</t>
  </si>
  <si>
    <t>B7 200X450</t>
  </si>
  <si>
    <t>B8 200X500</t>
  </si>
  <si>
    <t>B8 200X350</t>
  </si>
  <si>
    <t>B9 200X500</t>
  </si>
  <si>
    <t>B10 200X500</t>
  </si>
  <si>
    <t>B11 200X450</t>
  </si>
  <si>
    <t>B12 200X450</t>
  </si>
  <si>
    <t>B13 200X350</t>
  </si>
  <si>
    <t>B13 200X450</t>
  </si>
  <si>
    <t>B14 200X450</t>
  </si>
  <si>
    <t>B15 200X500</t>
  </si>
  <si>
    <t>B16 200X500</t>
  </si>
  <si>
    <t>B16 200X350</t>
  </si>
  <si>
    <t>B17 200X500</t>
  </si>
  <si>
    <t>B18 230X500</t>
  </si>
  <si>
    <t>B19 200X450</t>
  </si>
  <si>
    <t>B20 200X350</t>
  </si>
  <si>
    <t>B22 200x450</t>
  </si>
  <si>
    <t>B23 200X450</t>
  </si>
  <si>
    <t>B24 200X500</t>
  </si>
  <si>
    <t>B25 200X450</t>
  </si>
  <si>
    <t>B26 200X500</t>
  </si>
  <si>
    <t>B27 200X450</t>
  </si>
  <si>
    <t>B28 230X450</t>
  </si>
  <si>
    <t>B29 200X450</t>
  </si>
  <si>
    <t>B29 200X500</t>
  </si>
  <si>
    <t>B29 200X350</t>
  </si>
  <si>
    <t>B30 230X450</t>
  </si>
  <si>
    <t>B31 200X350</t>
  </si>
  <si>
    <t>B32 200X450</t>
  </si>
  <si>
    <t>B33 200X500</t>
  </si>
  <si>
    <t>B24 200X450</t>
  </si>
  <si>
    <t>B25 200X450 BESIDE STAIRS</t>
  </si>
  <si>
    <t>B3 AT GRID E/11</t>
  </si>
  <si>
    <t>B3 AT GRID F/1</t>
  </si>
  <si>
    <t>B3 AT GRID F/5</t>
  </si>
  <si>
    <t>B3 AT GRID M &amp; O/3</t>
  </si>
  <si>
    <t>B3 AT GRID O/14</t>
  </si>
  <si>
    <t>B3 AT GRID Q/1 &amp; 17</t>
  </si>
  <si>
    <t>B3 AT GRID Q/5 &amp; 10</t>
  </si>
  <si>
    <t>B34 230X500</t>
  </si>
  <si>
    <t>B34 200X500</t>
  </si>
  <si>
    <t>B35 200X450</t>
  </si>
  <si>
    <t>B3 100X350</t>
  </si>
  <si>
    <t>B36 200X450</t>
  </si>
  <si>
    <t>B37 200X450</t>
  </si>
  <si>
    <t>B37 230X350</t>
  </si>
  <si>
    <t>B38 200X450</t>
  </si>
  <si>
    <t>B38 200X350</t>
  </si>
  <si>
    <t>B39 200X500</t>
  </si>
  <si>
    <t>B40 200X450</t>
  </si>
  <si>
    <t>B41 200X450</t>
  </si>
  <si>
    <t>B42 200X450</t>
  </si>
  <si>
    <t>B42 200X350</t>
  </si>
  <si>
    <t>B43 200X450</t>
  </si>
  <si>
    <t>B44 200X500</t>
  </si>
  <si>
    <t>B45 200X500</t>
  </si>
  <si>
    <t>B26 200X350</t>
  </si>
  <si>
    <t>B46 200X500</t>
  </si>
  <si>
    <t>B47 200X450</t>
  </si>
  <si>
    <t>B48 200X450</t>
  </si>
  <si>
    <t>B49 200X500</t>
  </si>
  <si>
    <t>B50 230X450</t>
  </si>
  <si>
    <t>B51 200X350</t>
  </si>
  <si>
    <t>B52 230X500</t>
  </si>
  <si>
    <t>B53 200X450</t>
  </si>
  <si>
    <t>B54 200X450</t>
  </si>
  <si>
    <t>B55 200X450</t>
  </si>
  <si>
    <t>B55 230X450</t>
  </si>
  <si>
    <t>B56 230X450</t>
  </si>
  <si>
    <t>B57 200X450</t>
  </si>
  <si>
    <t>B58 200X500</t>
  </si>
  <si>
    <t>B59 200X450</t>
  </si>
  <si>
    <t>B60 200X450</t>
  </si>
  <si>
    <t>B61 200X350</t>
  </si>
  <si>
    <t>B62 200X450</t>
  </si>
  <si>
    <t>B63 200X450</t>
  </si>
  <si>
    <t>B63 230X350</t>
  </si>
  <si>
    <t>B64 200X450</t>
  </si>
  <si>
    <t>B65 200X350</t>
  </si>
  <si>
    <t>B66 200X450</t>
  </si>
  <si>
    <t>Slab Shuttering</t>
  </si>
  <si>
    <t>columns ded.</t>
  </si>
  <si>
    <t>TOILET 1</t>
  </si>
  <si>
    <t>PASSAGE</t>
  </si>
  <si>
    <t>BOTTOM</t>
  </si>
  <si>
    <t>B21 200X450</t>
  </si>
  <si>
    <t>Bed Room 2</t>
  </si>
  <si>
    <t>Bed Room 3</t>
  </si>
  <si>
    <t>SW</t>
  </si>
  <si>
    <t>Service slab</t>
  </si>
  <si>
    <t>TOILET 2</t>
  </si>
  <si>
    <t>TOILET 3</t>
  </si>
  <si>
    <t xml:space="preserve">Living </t>
  </si>
  <si>
    <t>Kitchen</t>
  </si>
  <si>
    <t>Entry/ Porch</t>
  </si>
  <si>
    <t>Balcony 1</t>
  </si>
  <si>
    <t>Toe wall sides</t>
  </si>
  <si>
    <t>Balcony 2</t>
  </si>
  <si>
    <t>Toe wall sids</t>
  </si>
  <si>
    <t>Kitchen Balcony</t>
  </si>
  <si>
    <t>Toe wall</t>
  </si>
  <si>
    <t>Bed room 1</t>
  </si>
  <si>
    <t>B. ROOM 3</t>
  </si>
  <si>
    <t>B. ROOM 2</t>
  </si>
  <si>
    <t>B. ROOM 1</t>
  </si>
  <si>
    <t>KITCHEN</t>
  </si>
  <si>
    <t xml:space="preserve">LIVING </t>
  </si>
  <si>
    <t>BALCONY 1</t>
  </si>
  <si>
    <t>TOE WALL SIDES</t>
  </si>
  <si>
    <t>BALCONY 2</t>
  </si>
  <si>
    <t>BALCONY 3</t>
  </si>
  <si>
    <t>FLAT NO 3</t>
  </si>
  <si>
    <t>FLAT NO 10 SAME AS 4</t>
  </si>
  <si>
    <t>FLAT NO 4</t>
  </si>
  <si>
    <t>FLAT NO 5</t>
  </si>
  <si>
    <t>FLAT NO 5 SAME AS 6,11,12</t>
  </si>
  <si>
    <t>FLAT NO 3 SAME AS 1,2,7,8,9</t>
  </si>
  <si>
    <t>FLAT 4,5 &amp;  6 LOBBY</t>
  </si>
  <si>
    <t>LIFT LOBBY</t>
  </si>
  <si>
    <t>FLAT 1,2,3 LOBBY</t>
  </si>
  <si>
    <t>TOTAL SLAB SHUTTERING</t>
  </si>
  <si>
    <t xml:space="preserve">STAIRS 1 </t>
  </si>
  <si>
    <t>STAIRS 3</t>
  </si>
  <si>
    <t>STAIRS 2</t>
  </si>
  <si>
    <t>STAIRS 4</t>
  </si>
  <si>
    <t>Sqm</t>
  </si>
  <si>
    <t>Shear wall  from 1st floor LVL to 2nd floor lvl</t>
  </si>
  <si>
    <t>Shear wall  from 2nd floor lvl to 3rd floor lvl</t>
  </si>
  <si>
    <t>Shear wall  from 3 floor lvl to 4 floor lvl</t>
  </si>
  <si>
    <t>Typical Beam</t>
  </si>
  <si>
    <t>B1</t>
  </si>
  <si>
    <t>TOP</t>
  </si>
  <si>
    <t>TOP EXTRA</t>
  </si>
  <si>
    <t>STIRRUPS</t>
  </si>
  <si>
    <t>B2</t>
  </si>
  <si>
    <t>200X500</t>
  </si>
  <si>
    <t>100X350</t>
  </si>
  <si>
    <t>B3</t>
  </si>
  <si>
    <t>200X350</t>
  </si>
  <si>
    <t>B4</t>
  </si>
  <si>
    <t>B5</t>
  </si>
  <si>
    <t>200X450</t>
  </si>
  <si>
    <t>B6</t>
  </si>
  <si>
    <t>230X350</t>
  </si>
  <si>
    <t>B7</t>
  </si>
  <si>
    <t>B8</t>
  </si>
  <si>
    <t>STIRRUPS 200X350</t>
  </si>
  <si>
    <t>STIRRUPS 200X500</t>
  </si>
  <si>
    <t>B9</t>
  </si>
  <si>
    <t>BOTTOM EXTRA</t>
  </si>
  <si>
    <t>B10</t>
  </si>
  <si>
    <t>B13</t>
  </si>
  <si>
    <t>STIRRUPS 200X450</t>
  </si>
  <si>
    <t>B14</t>
  </si>
  <si>
    <t>B15</t>
  </si>
  <si>
    <t>B16</t>
  </si>
  <si>
    <t>B17</t>
  </si>
  <si>
    <t>B18</t>
  </si>
  <si>
    <t>230X500</t>
  </si>
  <si>
    <t>B19</t>
  </si>
  <si>
    <t>B20</t>
  </si>
  <si>
    <t xml:space="preserve">STIRRUPS </t>
  </si>
  <si>
    <t>B23</t>
  </si>
  <si>
    <t>B24</t>
  </si>
  <si>
    <t>B25</t>
  </si>
  <si>
    <t>B26</t>
  </si>
  <si>
    <t>200x500</t>
  </si>
  <si>
    <t>B27</t>
  </si>
  <si>
    <t>B28</t>
  </si>
  <si>
    <t>B29</t>
  </si>
  <si>
    <t>B30</t>
  </si>
  <si>
    <t>B31</t>
  </si>
  <si>
    <t>B32</t>
  </si>
  <si>
    <t>B33</t>
  </si>
  <si>
    <t>B34</t>
  </si>
  <si>
    <t>STIRRUPS 230X500</t>
  </si>
  <si>
    <t>B35</t>
  </si>
  <si>
    <t>STIRRUPS 100X350</t>
  </si>
  <si>
    <t>B36</t>
  </si>
  <si>
    <t>B37</t>
  </si>
  <si>
    <t>STIRRUPS 230X450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</si>
  <si>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</si>
  <si>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</si>
  <si>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</si>
  <si>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</si>
  <si>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</si>
  <si>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</si>
  <si>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</si>
  <si>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</si>
  <si>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</si>
  <si>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</si>
  <si>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</si>
  <si>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</si>
  <si>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</si>
  <si>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</si>
  <si>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</si>
  <si>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</si>
  <si>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230X450</t>
  </si>
  <si>
    <t>B54</t>
  </si>
  <si>
    <t>B55</t>
  </si>
  <si>
    <t>B56</t>
  </si>
  <si>
    <t>B57</t>
  </si>
  <si>
    <t>B58</t>
  </si>
  <si>
    <t>B60</t>
  </si>
  <si>
    <t>B61</t>
  </si>
  <si>
    <t>B63</t>
  </si>
  <si>
    <t>B64</t>
  </si>
  <si>
    <t>STIRRUPS  200X450</t>
  </si>
  <si>
    <t>B65</t>
  </si>
  <si>
    <t>B66</t>
  </si>
  <si>
    <t>SLAB STEEL</t>
  </si>
  <si>
    <t>TOP EXTRA e</t>
  </si>
  <si>
    <t>TOP EXTRA d</t>
  </si>
  <si>
    <t>TOP EXTRA a</t>
  </si>
  <si>
    <t>TOP EXTRA c</t>
  </si>
  <si>
    <t>Main bar e</t>
  </si>
  <si>
    <t>Dist. Bar d</t>
  </si>
  <si>
    <t>Dist. Bar c</t>
  </si>
  <si>
    <t>TOP EXTRA b</t>
  </si>
  <si>
    <t>Lobby S10</t>
  </si>
  <si>
    <t>Dist. Bar e</t>
  </si>
  <si>
    <t>LB</t>
  </si>
  <si>
    <t>Main Bottom</t>
  </si>
  <si>
    <t>Main Top</t>
  </si>
  <si>
    <t>Stairs case 2</t>
  </si>
  <si>
    <t xml:space="preserve">Typical Floor </t>
  </si>
  <si>
    <t>RCC Typical floor</t>
  </si>
  <si>
    <t>Column upto Plinth</t>
  </si>
  <si>
    <t>Columns Upto Plinth Lvl</t>
  </si>
  <si>
    <t>Stilt Floor</t>
  </si>
  <si>
    <t xml:space="preserve">1st Floor </t>
  </si>
  <si>
    <t>Typical Floor</t>
  </si>
  <si>
    <t>Column</t>
  </si>
  <si>
    <t>Slab</t>
  </si>
  <si>
    <t>Column (Average)</t>
  </si>
  <si>
    <t>Steel (MT)</t>
  </si>
  <si>
    <t>shuttering (Sqm)</t>
  </si>
  <si>
    <t>Concrete (Cum)</t>
  </si>
  <si>
    <t xml:space="preserve"> Summary</t>
  </si>
  <si>
    <t>Bottom Area</t>
  </si>
  <si>
    <t>Length</t>
  </si>
  <si>
    <t>Qty</t>
  </si>
  <si>
    <t>Column Upto Plinth Lvl</t>
  </si>
  <si>
    <t>Typical floor Column</t>
  </si>
  <si>
    <t>Shuttering Summary</t>
  </si>
  <si>
    <t>Flat No. 4</t>
  </si>
  <si>
    <t>Bed Room 3675x3650</t>
  </si>
  <si>
    <t>Toilet wall</t>
  </si>
  <si>
    <t>Bedroom Partition wall</t>
  </si>
  <si>
    <t>Ded. DW2</t>
  </si>
  <si>
    <t>V1</t>
  </si>
  <si>
    <t>D1</t>
  </si>
  <si>
    <t>D3</t>
  </si>
  <si>
    <t>Bedroom 3300x3650</t>
  </si>
  <si>
    <t>Bedroom 3245x3050</t>
  </si>
  <si>
    <t>Ded. W1</t>
  </si>
  <si>
    <t>Living</t>
  </si>
  <si>
    <t>Ded. DW1</t>
  </si>
  <si>
    <t>D</t>
  </si>
  <si>
    <t>Ded. DW4</t>
  </si>
  <si>
    <t>Flat No 5</t>
  </si>
  <si>
    <t>Bedroom 3245x3500</t>
  </si>
  <si>
    <t xml:space="preserve">Shaft </t>
  </si>
  <si>
    <t>Shaft Opening</t>
  </si>
  <si>
    <t>Balcony Shaft</t>
  </si>
  <si>
    <t>Kitchen &amp; Bedroom3125x3350</t>
  </si>
  <si>
    <t xml:space="preserve"> DW5</t>
  </si>
  <si>
    <t>BedRoom 3035x3580</t>
  </si>
  <si>
    <t>Common Toilet</t>
  </si>
  <si>
    <t>Main gate</t>
  </si>
  <si>
    <t>Ded. D</t>
  </si>
  <si>
    <t>Flat No 6</t>
  </si>
  <si>
    <t>Flat No 3</t>
  </si>
  <si>
    <t>Bedroom 3350x3960</t>
  </si>
  <si>
    <t>Shaft</t>
  </si>
  <si>
    <t>Bedroom 3335x3960</t>
  </si>
  <si>
    <t>Bedroom 3265x3550</t>
  </si>
  <si>
    <t xml:space="preserve"> Ded V1</t>
  </si>
  <si>
    <t>W1</t>
  </si>
  <si>
    <t>Ded. DW3</t>
  </si>
  <si>
    <t>Flat No 2</t>
  </si>
  <si>
    <t>Flat No 1</t>
  </si>
  <si>
    <t>Lift Brickwork</t>
  </si>
  <si>
    <t>Ded. GL 3</t>
  </si>
  <si>
    <t>Stairs 1</t>
  </si>
  <si>
    <t>Stairs 2</t>
  </si>
  <si>
    <t>Ded. GL 2</t>
  </si>
  <si>
    <t>FHC</t>
  </si>
  <si>
    <t>Total 200mm Blockwork</t>
  </si>
  <si>
    <t>Total 230mm Brickwork</t>
  </si>
  <si>
    <t>Total 115mm Brickwork</t>
  </si>
  <si>
    <t>Total 100mm Blockwork</t>
  </si>
  <si>
    <t>Cum</t>
  </si>
  <si>
    <t>PB1</t>
  </si>
  <si>
    <t>PB2</t>
  </si>
  <si>
    <t>100X450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</si>
  <si>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</si>
  <si>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</si>
  <si>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</si>
  <si>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</si>
  <si>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</si>
  <si>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</si>
  <si>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</si>
  <si>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</si>
  <si>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</si>
  <si>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</si>
  <si>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Bloclwork 200mm (Cum)</t>
  </si>
  <si>
    <t>Bloclwork 100mm (Sqm)</t>
  </si>
  <si>
    <t>Brickwork 230mm (cum)</t>
  </si>
  <si>
    <t>Brickwork 115mm (Sqm)</t>
  </si>
  <si>
    <t>RCC Summary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</si>
  <si>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</si>
  <si>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</si>
  <si>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</si>
  <si>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</si>
  <si>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</si>
  <si>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</si>
  <si>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</si>
  <si>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</si>
  <si>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</si>
  <si>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</si>
  <si>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</si>
  <si>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</si>
  <si>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</si>
  <si>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PB36</t>
  </si>
  <si>
    <t>PB26</t>
  </si>
  <si>
    <t>PB27</t>
  </si>
  <si>
    <t>PB28</t>
  </si>
  <si>
    <t>PB29</t>
  </si>
  <si>
    <t>PB30</t>
  </si>
  <si>
    <t>PB31</t>
  </si>
  <si>
    <t>PB34</t>
  </si>
  <si>
    <t>PB32</t>
  </si>
  <si>
    <t>PB33</t>
  </si>
  <si>
    <t>PB35</t>
  </si>
  <si>
    <t>PB37</t>
  </si>
  <si>
    <t>PB38</t>
  </si>
  <si>
    <t>PB39</t>
  </si>
  <si>
    <t>PB40</t>
  </si>
  <si>
    <t>PB41</t>
  </si>
  <si>
    <t>PB42</t>
  </si>
  <si>
    <t>PB43</t>
  </si>
  <si>
    <t>PB44</t>
  </si>
  <si>
    <t>PB45</t>
  </si>
  <si>
    <t>PB46</t>
  </si>
  <si>
    <t>PB47</t>
  </si>
  <si>
    <t>PB48</t>
  </si>
  <si>
    <t>PB49</t>
  </si>
  <si>
    <t>PB50</t>
  </si>
  <si>
    <t>PB51</t>
  </si>
  <si>
    <t>PB 52</t>
  </si>
  <si>
    <t>PB53</t>
  </si>
  <si>
    <t>PB54</t>
  </si>
  <si>
    <t>PB55</t>
  </si>
  <si>
    <t>PB56</t>
  </si>
  <si>
    <t>PB57</t>
  </si>
  <si>
    <t>PB58</t>
  </si>
  <si>
    <t>PB59</t>
  </si>
  <si>
    <t>PB60</t>
  </si>
  <si>
    <t>PB61</t>
  </si>
  <si>
    <t>PB52</t>
  </si>
  <si>
    <t>Bedroom 3675x3650</t>
  </si>
  <si>
    <t>Ceiling</t>
  </si>
  <si>
    <t>walls</t>
  </si>
  <si>
    <t>Opening</t>
  </si>
  <si>
    <t>Dressing</t>
  </si>
  <si>
    <t>Ded. D1</t>
  </si>
  <si>
    <t xml:space="preserve">Passege </t>
  </si>
  <si>
    <t>CB</t>
  </si>
  <si>
    <t>Jamb</t>
  </si>
  <si>
    <t>Soffit</t>
  </si>
  <si>
    <t>Balcony Ceiling 1</t>
  </si>
  <si>
    <t>Balcony Ceiling 2</t>
  </si>
  <si>
    <t>Balcony Ceiling 3</t>
  </si>
  <si>
    <t>Bedroom 3125x3350</t>
  </si>
  <si>
    <t>Bedroom 3025x3580</t>
  </si>
  <si>
    <t>CB walls</t>
  </si>
  <si>
    <t>Ded. D3</t>
  </si>
  <si>
    <t xml:space="preserve">Balcony </t>
  </si>
  <si>
    <t>Bedroom 3245x3560</t>
  </si>
  <si>
    <t xml:space="preserve">Dress </t>
  </si>
  <si>
    <t xml:space="preserve">CB  </t>
  </si>
  <si>
    <t>Toilet</t>
  </si>
  <si>
    <t>Walls</t>
  </si>
  <si>
    <t>Add Jamb</t>
  </si>
  <si>
    <t>Dining</t>
  </si>
  <si>
    <t>Kitchen Opening</t>
  </si>
  <si>
    <t>Passage Opening</t>
  </si>
  <si>
    <t>Balcony</t>
  </si>
  <si>
    <t>Bedroom 3365x3960</t>
  </si>
  <si>
    <t>Lobby Flat NO 1,2,3</t>
  </si>
  <si>
    <t>Ded. FD</t>
  </si>
  <si>
    <t>GL1</t>
  </si>
  <si>
    <t>FHC Opening</t>
  </si>
  <si>
    <t>Lift  Lobby</t>
  </si>
  <si>
    <t xml:space="preserve">Passage  </t>
  </si>
  <si>
    <t>Flat no 4,5,6</t>
  </si>
  <si>
    <t>Elec. Opening</t>
  </si>
  <si>
    <t>Lift wall</t>
  </si>
  <si>
    <t>Ded. Lift Opening</t>
  </si>
  <si>
    <t>Stairs Beam</t>
  </si>
  <si>
    <t>Sides</t>
  </si>
  <si>
    <t>Ded. GL2</t>
  </si>
  <si>
    <t>Stairs  1</t>
  </si>
  <si>
    <t>Ded. GL3</t>
  </si>
  <si>
    <t xml:space="preserve">FHC </t>
  </si>
  <si>
    <t>Ded. Opening</t>
  </si>
  <si>
    <t>Ded.  Opening</t>
  </si>
  <si>
    <t>Elec. Shaft</t>
  </si>
  <si>
    <t xml:space="preserve">Ceiling </t>
  </si>
  <si>
    <t>Internal Plaster</t>
  </si>
  <si>
    <t>Plaster</t>
  </si>
  <si>
    <t>Door Frame</t>
  </si>
  <si>
    <t>Flat no 1,2,3,4,5,6,7,8,9,10,11,12</t>
  </si>
  <si>
    <t>D (1200X2400)</t>
  </si>
  <si>
    <t>D1 (1000X2200)</t>
  </si>
  <si>
    <t>D3 (750X2200)</t>
  </si>
  <si>
    <t>D2 (800X2200)</t>
  </si>
  <si>
    <t>Plater upto 14th Floor Ceilling</t>
  </si>
  <si>
    <t>Plater upto 14th Floor walls</t>
  </si>
  <si>
    <t>Lift well</t>
  </si>
  <si>
    <t>Internal walls</t>
  </si>
  <si>
    <t>Outer</t>
  </si>
  <si>
    <t>Lift well (Total Qty)</t>
  </si>
  <si>
    <t>SW 8B</t>
  </si>
  <si>
    <t>MID MAIN (180X2216)</t>
  </si>
  <si>
    <t>From 3rd to 4rth Floor Lvl</t>
  </si>
  <si>
    <t>Column From 3 Floor Lvl TO 4 FLOOR</t>
  </si>
  <si>
    <t>Column From 4 Floor Lvl TO 5 FLOOR</t>
  </si>
  <si>
    <t>BE MAIN  (164X584)</t>
  </si>
  <si>
    <t>BE OTHER  (164X248)</t>
  </si>
  <si>
    <t>BE MAIN  (164X375)</t>
  </si>
  <si>
    <t>BE OTHER  (164X268)</t>
  </si>
  <si>
    <t>MID MAIN (164X866)</t>
  </si>
  <si>
    <t>MID MAIN (164X1066)</t>
  </si>
  <si>
    <t>BE OTHER  (164X120)</t>
  </si>
  <si>
    <t>BE MAIN  (164X1084)</t>
  </si>
  <si>
    <t>BE MAIN  (164X934)</t>
  </si>
  <si>
    <t>BE OTHER  (164X125)</t>
  </si>
  <si>
    <t>BE MAIN  (164X1634)</t>
  </si>
  <si>
    <t>BE OTHER  (164X224)</t>
  </si>
  <si>
    <t>BE MAIN  (164X1119)</t>
  </si>
  <si>
    <t>BE OTHER  (164X118)</t>
  </si>
  <si>
    <t>BE MAIN  (164X1189)</t>
  </si>
  <si>
    <t>BE OTHER  (164X122)</t>
  </si>
  <si>
    <t>UNIT WT.</t>
  </si>
  <si>
    <t>TOTAL WT.</t>
  </si>
  <si>
    <t xml:space="preserve">TOTAL </t>
  </si>
  <si>
    <t>G.F SLAB Beam</t>
  </si>
  <si>
    <t>g.f. slab</t>
  </si>
  <si>
    <t xml:space="preserve">B12 </t>
  </si>
  <si>
    <t>B21</t>
  </si>
  <si>
    <t>B11, B22</t>
  </si>
  <si>
    <t>230X500/450</t>
  </si>
  <si>
    <t>B59, B62</t>
  </si>
  <si>
    <t>200/230X450</t>
  </si>
  <si>
    <t>STIRRUPS  200X350</t>
  </si>
  <si>
    <t xml:space="preserve">MAIN BAR e  </t>
  </si>
  <si>
    <t>binder</t>
  </si>
  <si>
    <t>S 03 Passage (1200x2.785)</t>
  </si>
  <si>
    <t>S 02  Bed room  (3200x3550)</t>
  </si>
  <si>
    <t>S 01  Bed room  (3575x3550)</t>
  </si>
  <si>
    <t>S 03  Toilet  (1570x3575)</t>
  </si>
  <si>
    <t>S 05 Toilet  (1600x2515)</t>
  </si>
  <si>
    <t>S 06  Drawing Room (4105x6165)</t>
  </si>
  <si>
    <t xml:space="preserve">MAIN BAR a  </t>
  </si>
  <si>
    <t xml:space="preserve">DIST. BAR c </t>
  </si>
  <si>
    <t>Main Bar e</t>
  </si>
  <si>
    <t>S 07 Kitchen (2335x2850)</t>
  </si>
  <si>
    <t>S 08 Foyer  (1035x1500)</t>
  </si>
  <si>
    <t>Main bar h</t>
  </si>
  <si>
    <t>S 024 Balcony Bedroom (2000x6300)</t>
  </si>
  <si>
    <t>TOP EXTRA m</t>
  </si>
  <si>
    <t>binder e</t>
  </si>
  <si>
    <t>S 024 Balcony Drawing Room (2000x4065)</t>
  </si>
  <si>
    <t>S 024 Balcony Kitchen (2000x1845)</t>
  </si>
  <si>
    <t>S 04  Bed room  (3050x3115)</t>
  </si>
  <si>
    <t xml:space="preserve">Main bar e </t>
  </si>
  <si>
    <t xml:space="preserve">Main Bar e </t>
  </si>
  <si>
    <t>S 09  Bed room (3205x3560)</t>
  </si>
  <si>
    <t>S 05  Bed room Toilet (1500x2225)</t>
  </si>
  <si>
    <t>MAIN BAR c</t>
  </si>
  <si>
    <t>S 011  Drawing Room</t>
  </si>
  <si>
    <t>S 012  Kitchen (2365x3250)</t>
  </si>
  <si>
    <t>S 013  Bed room (2925x3250)</t>
  </si>
  <si>
    <t>S 14 Passege (1700x2925)</t>
  </si>
  <si>
    <t>S 03 Bedroom Toilet (1425x3385)</t>
  </si>
  <si>
    <t>S 024 Balcony Drg. Room (2000x4665)</t>
  </si>
  <si>
    <t>S 024 Balcony Bedroom &amp; Kitchen (2000x5105)</t>
  </si>
  <si>
    <t>S 15 Bedroom (3050x3580)</t>
  </si>
  <si>
    <t>S 16 Dressing Area (1410x2430)</t>
  </si>
  <si>
    <t>S 05 Toilet (1540x2410)</t>
  </si>
  <si>
    <t>S 024 Balcony Bedroom (2000x3265)</t>
  </si>
  <si>
    <t>FLAT NO- 1,2,3, 10,11,12</t>
  </si>
  <si>
    <t>FLAT NO- 6, 7</t>
  </si>
  <si>
    <t>FLAT NO- 5, 8</t>
  </si>
  <si>
    <t>FLAT NO- 4, 9</t>
  </si>
  <si>
    <t>S 20  Bed room (3250x3860)</t>
  </si>
  <si>
    <t xml:space="preserve">Main Bar e  </t>
  </si>
  <si>
    <t>BINDER</t>
  </si>
  <si>
    <t>S 20, 2nd  Bed room (3335X3860)</t>
  </si>
  <si>
    <t>S 01, 3rd  Bed room (3265x3550)</t>
  </si>
  <si>
    <t>S 03 Bedroom Toilet (1425X2275)</t>
  </si>
  <si>
    <t>S 21 Kitchen  (2345x3435)</t>
  </si>
  <si>
    <t>S 03 Living Room</t>
  </si>
  <si>
    <t>Main Bar a</t>
  </si>
  <si>
    <t>S 024 Balcony Bedroom (2000x5845)</t>
  </si>
  <si>
    <t>S 024 Balcony Drawing Room (2000x3630)</t>
  </si>
  <si>
    <t>S 024 Balcony Kitchen (2000x1650)</t>
  </si>
  <si>
    <t>Lobby S17 (1610x3950)</t>
  </si>
  <si>
    <t>Lobby S18 (2440x5665)</t>
  </si>
  <si>
    <t>Lobby S22 (3190x4790)</t>
  </si>
  <si>
    <t>Chair (in 125mm thk slab)</t>
  </si>
  <si>
    <t>Chair (in 135mm thk slab)</t>
  </si>
  <si>
    <t>Chair (in 150mm thk slab)</t>
  </si>
  <si>
    <t>Chair (in 175mm thk slab)</t>
  </si>
  <si>
    <t>Chair (in 200mm thk slab)</t>
  </si>
  <si>
    <t>B67</t>
  </si>
  <si>
    <t>B68</t>
  </si>
  <si>
    <t>B69</t>
  </si>
  <si>
    <t>115X350</t>
  </si>
  <si>
    <t>Chajja S23</t>
  </si>
  <si>
    <t>Mid landing 2nd freight</t>
  </si>
  <si>
    <t>2ND FREIGHT MAIN TOP</t>
  </si>
  <si>
    <t xml:space="preserve">Stairs case </t>
  </si>
  <si>
    <t>GRID(1-22)</t>
  </si>
  <si>
    <t xml:space="preserve">COLUMN STEEL </t>
  </si>
  <si>
    <t xml:space="preserve">COLUMN SHUTTERING </t>
  </si>
  <si>
    <t xml:space="preserve">COLUMN RCC </t>
  </si>
  <si>
    <t xml:space="preserve">SLAB SHUTTERING </t>
  </si>
  <si>
    <t xml:space="preserve">SLAB RCC </t>
  </si>
  <si>
    <t>GRID(22-43)</t>
  </si>
  <si>
    <t>MT</t>
  </si>
  <si>
    <t>SQM</t>
  </si>
  <si>
    <t>CUM</t>
  </si>
  <si>
    <t>RATE</t>
  </si>
  <si>
    <t>AMOUNT</t>
  </si>
  <si>
    <t xml:space="preserve">TOWER-E </t>
  </si>
  <si>
    <t>TOTAL (A+B)</t>
  </si>
  <si>
    <t>FROM GRID 22 TO 43</t>
  </si>
  <si>
    <t>C1, C2, C3, C8, C9, C10 (300X600)</t>
  </si>
  <si>
    <t xml:space="preserve">B9,B31 </t>
  </si>
  <si>
    <t>SLAB</t>
  </si>
  <si>
    <t>B11,B22</t>
  </si>
  <si>
    <t>B12</t>
  </si>
  <si>
    <t>C10</t>
  </si>
  <si>
    <t>B8,B30</t>
  </si>
  <si>
    <t>B14,B23</t>
  </si>
  <si>
    <t>C4, C5 (300X750)</t>
  </si>
  <si>
    <t>C6, C11 (300X715)</t>
  </si>
  <si>
    <t>C7 (300X800)</t>
  </si>
  <si>
    <t>SW 1 (L-SHAPE)</t>
  </si>
  <si>
    <t>SW 2 (L-SHAPE)</t>
  </si>
  <si>
    <t>SW 3 (230x1000)</t>
  </si>
  <si>
    <t>SW 4 (230x1150)</t>
  </si>
  <si>
    <t>SW 5 (230x1700)</t>
  </si>
  <si>
    <t>SW 6 (230x1185)</t>
  </si>
  <si>
    <t>SW 7 (230x1855)</t>
  </si>
  <si>
    <t>SW 8 (230x3600)</t>
  </si>
  <si>
    <t>SW 9 (L-SHAPE)</t>
  </si>
  <si>
    <t>SW 10 (230x3445)</t>
  </si>
  <si>
    <t>SW 11 (230x4065)</t>
  </si>
  <si>
    <t>SW 12 (L-SHAPE)</t>
  </si>
  <si>
    <t>SW 13 (200x3445)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</si>
</sst>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_(* #,##0.00_);_(* \(#,##0.00\);_(* &quot;-&quot;??_);_(@_)"/>
    <numFmt numFmtId="165" formatCode="0.0"/>
    <numFmt numFmtId="166" formatCode="0.000"/>
  </numFmts>
  <fonts count="12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>
      <alignment vertical="top"/>
      <protection locked="0"/>
    </xf>
    <xf numFmtId="164" fontId="10" fillId="0" borderId="0" applyFont="0" applyFill="0" applyBorder="0" applyAlignment="0" applyProtection="0"/>
  </cellStyleXfs>
  <cellXfs count="15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2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2" fontId="4" fillId="0" borderId="3" xfId="0" applyNumberFormat="1" applyFont="1" applyBorder="1" applyAlignment="1"/>
    <xf numFmtId="1" fontId="4" fillId="0" borderId="3" xfId="0" applyNumberFormat="1" applyFont="1" applyBorder="1" applyAlignment="1"/>
    <xf numFmtId="1" fontId="4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/>
    <xf numFmtId="2" fontId="3" fillId="0" borderId="3" xfId="0" applyNumberFormat="1" applyFont="1" applyBorder="1" applyAlignment="1"/>
    <xf numFmtId="1" fontId="3" fillId="0" borderId="3" xfId="0" applyNumberFormat="1" applyFont="1" applyBorder="1" applyAlignment="1"/>
    <xf numFmtId="1" fontId="3" fillId="0" borderId="3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wrapText="1"/>
    </xf>
    <xf numFmtId="0" fontId="5" fillId="0" borderId="3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1" fontId="3" fillId="0" borderId="3" xfId="0" applyNumberFormat="1" applyFont="1" applyBorder="1" applyAlignment="1">
      <alignment wrapText="1"/>
    </xf>
    <xf numFmtId="1" fontId="3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43" fontId="7" fillId="2" borderId="3" xfId="1" applyNumberFormat="1" applyFont="1" applyFill="1" applyBorder="1" applyAlignment="1" applyProtection="1">
      <alignment horizontal="center"/>
    </xf>
    <xf numFmtId="2" fontId="4" fillId="3" borderId="3" xfId="0" applyNumberFormat="1" applyFont="1" applyFill="1" applyBorder="1" applyAlignment="1"/>
    <xf numFmtId="0" fontId="3" fillId="0" borderId="3" xfId="0" applyFont="1" applyFill="1" applyBorder="1" applyAlignment="1"/>
    <xf numFmtId="0" fontId="0" fillId="2" borderId="5" xfId="0" applyFill="1" applyBorder="1" applyAlignment="1">
      <alignment vertical="center"/>
    </xf>
    <xf numFmtId="2" fontId="0" fillId="0" borderId="0" xfId="0" applyNumberFormat="1" applyAlignment="1">
      <alignment vertical="center"/>
    </xf>
    <xf numFmtId="1" fontId="2" fillId="2" borderId="3" xfId="0" applyNumberFormat="1" applyFont="1" applyFill="1" applyBorder="1" applyAlignment="1">
      <alignment horizontal="center" vertical="center"/>
    </xf>
    <xf numFmtId="1" fontId="0" fillId="0" borderId="3" xfId="0" applyNumberFormat="1" applyBorder="1" applyAlignment="1">
      <alignment vertical="center"/>
    </xf>
    <xf numFmtId="1" fontId="2" fillId="2" borderId="3" xfId="0" applyNumberFormat="1" applyFont="1" applyFill="1" applyBorder="1" applyAlignment="1"/>
    <xf numFmtId="1" fontId="7" fillId="2" borderId="3" xfId="1" applyNumberFormat="1" applyFont="1" applyFill="1" applyBorder="1" applyAlignment="1" applyProtection="1">
      <alignment horizontal="center"/>
    </xf>
    <xf numFmtId="0" fontId="0" fillId="3" borderId="5" xfId="0" applyFill="1" applyBorder="1" applyAlignment="1">
      <alignment vertical="center"/>
    </xf>
    <xf numFmtId="1" fontId="3" fillId="3" borderId="3" xfId="0" applyNumberFormat="1" applyFont="1" applyFill="1" applyBorder="1" applyAlignment="1"/>
    <xf numFmtId="1" fontId="3" fillId="3" borderId="3" xfId="0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/>
    </xf>
    <xf numFmtId="2" fontId="3" fillId="3" borderId="3" xfId="0" applyNumberFormat="1" applyFont="1" applyFill="1" applyBorder="1" applyAlignment="1">
      <alignment horizontal="center"/>
    </xf>
    <xf numFmtId="2" fontId="4" fillId="3" borderId="3" xfId="0" applyNumberFormat="1" applyFont="1" applyFill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3" xfId="0" applyFont="1" applyFill="1" applyBorder="1" applyAlignment="1"/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4" fillId="3" borderId="3" xfId="0" applyFont="1" applyFill="1" applyBorder="1" applyAlignment="1"/>
    <xf numFmtId="0" fontId="0" fillId="3" borderId="3" xfId="0" applyFill="1" applyBorder="1" applyAlignment="1">
      <alignment vertical="center"/>
    </xf>
    <xf numFmtId="2" fontId="8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3" xfId="0" applyNumberFormat="1" applyBorder="1"/>
    <xf numFmtId="0" fontId="8" fillId="0" borderId="3" xfId="0" applyFont="1" applyBorder="1"/>
    <xf numFmtId="0" fontId="0" fillId="0" borderId="7" xfId="0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43" fontId="4" fillId="0" borderId="3" xfId="1" applyFont="1" applyBorder="1" applyAlignment="1" applyProtection="1">
      <alignment horizontal="center"/>
    </xf>
    <xf numFmtId="43" fontId="2" fillId="0" borderId="3" xfId="1" applyFont="1" applyBorder="1" applyAlignment="1" applyProtection="1">
      <alignment horizontal="center"/>
    </xf>
    <xf numFmtId="43" fontId="4" fillId="0" borderId="3" xfId="1" applyNumberFormat="1" applyFont="1" applyBorder="1" applyAlignment="1" applyProtection="1">
      <alignment horizontal="center"/>
    </xf>
    <xf numFmtId="43" fontId="0" fillId="0" borderId="3" xfId="0" applyNumberFormat="1" applyBorder="1"/>
    <xf numFmtId="43" fontId="0" fillId="0" borderId="0" xfId="0" applyNumberFormat="1"/>
    <xf numFmtId="43" fontId="8" fillId="0" borderId="0" xfId="0" applyNumberFormat="1" applyFont="1"/>
    <xf numFmtId="43" fontId="8" fillId="0" borderId="3" xfId="0" applyNumberFormat="1" applyFont="1" applyBorder="1"/>
    <xf numFmtId="9" fontId="0" fillId="0" borderId="3" xfId="0" applyNumberFormat="1" applyFont="1" applyBorder="1"/>
    <xf numFmtId="0" fontId="0" fillId="0" borderId="3" xfId="0" applyFont="1" applyBorder="1"/>
    <xf numFmtId="0" fontId="8" fillId="0" borderId="3" xfId="0" applyFont="1" applyBorder="1" applyAlignment="1">
      <alignment horizontal="center"/>
    </xf>
    <xf numFmtId="43" fontId="8" fillId="0" borderId="2" xfId="0" applyNumberFormat="1" applyFont="1" applyBorder="1"/>
    <xf numFmtId="164" fontId="0" fillId="0" borderId="0" xfId="0" applyNumberFormat="1"/>
    <xf numFmtId="0" fontId="2" fillId="0" borderId="3" xfId="0" applyFont="1" applyBorder="1" applyAlignment="1">
      <alignment horizontal="center" vertical="center" wrapText="1"/>
    </xf>
    <xf numFmtId="164" fontId="3" fillId="0" borderId="3" xfId="2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0" xfId="0" applyNumberFormat="1"/>
    <xf numFmtId="43" fontId="0" fillId="0" borderId="3" xfId="0" applyNumberFormat="1" applyFont="1" applyBorder="1"/>
    <xf numFmtId="0" fontId="2" fillId="0" borderId="3" xfId="0" applyFont="1" applyBorder="1" applyAlignment="1">
      <alignment horizontal="center" vertical="center" wrapText="1"/>
    </xf>
    <xf numFmtId="0" fontId="0" fillId="0" borderId="3" xfId="0" applyFill="1" applyBorder="1"/>
    <xf numFmtId="43" fontId="0" fillId="0" borderId="3" xfId="0" applyNumberFormat="1" applyFill="1" applyBorder="1"/>
    <xf numFmtId="165" fontId="0" fillId="0" borderId="3" xfId="0" applyNumberFormat="1" applyFont="1" applyBorder="1"/>
    <xf numFmtId="165" fontId="0" fillId="0" borderId="3" xfId="0" applyNumberFormat="1" applyBorder="1"/>
    <xf numFmtId="0" fontId="0" fillId="0" borderId="5" xfId="0" applyFill="1" applyBorder="1" applyAlignment="1">
      <alignment vertical="center"/>
    </xf>
    <xf numFmtId="1" fontId="3" fillId="0" borderId="3" xfId="0" applyNumberFormat="1" applyFont="1" applyFill="1" applyBorder="1" applyAlignment="1"/>
    <xf numFmtId="1" fontId="3" fillId="0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/>
    </xf>
    <xf numFmtId="2" fontId="3" fillId="0" borderId="3" xfId="0" applyNumberFormat="1" applyFont="1" applyFill="1" applyBorder="1" applyAlignment="1">
      <alignment horizontal="center"/>
    </xf>
    <xf numFmtId="0" fontId="0" fillId="0" borderId="3" xfId="0" applyFill="1" applyBorder="1" applyAlignment="1">
      <alignment vertical="center"/>
    </xf>
    <xf numFmtId="164" fontId="3" fillId="0" borderId="3" xfId="2" applyFont="1" applyFill="1" applyBorder="1" applyAlignment="1">
      <alignment horizontal="center"/>
    </xf>
    <xf numFmtId="0" fontId="0" fillId="0" borderId="0" xfId="0" applyFill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Border="1" applyAlignment="1">
      <alignment horizontal="center"/>
    </xf>
    <xf numFmtId="0" fontId="8" fillId="0" borderId="3" xfId="0" applyFont="1" applyBorder="1" applyAlignment="1">
      <alignment vertical="center" wrapText="1"/>
    </xf>
    <xf numFmtId="1" fontId="0" fillId="2" borderId="5" xfId="0" applyNumberFormat="1" applyFill="1" applyBorder="1" applyAlignment="1">
      <alignment vertical="center"/>
    </xf>
    <xf numFmtId="166" fontId="3" fillId="0" borderId="3" xfId="0" applyNumberFormat="1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3" xfId="0" applyNumberFormat="1" applyBorder="1" applyAlignment="1">
      <alignment vertical="center"/>
    </xf>
    <xf numFmtId="0" fontId="0" fillId="2" borderId="5" xfId="0" applyFill="1" applyBorder="1" applyAlignment="1">
      <alignment vertical="center" wrapText="1"/>
    </xf>
    <xf numFmtId="0" fontId="4" fillId="3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/>
    <xf numFmtId="0" fontId="4" fillId="0" borderId="3" xfId="0" applyFont="1" applyFill="1" applyBorder="1" applyAlignment="1">
      <alignment horizontal="right"/>
    </xf>
    <xf numFmtId="0" fontId="4" fillId="4" borderId="3" xfId="0" applyFont="1" applyFill="1" applyBorder="1" applyAlignme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1" fontId="0" fillId="0" borderId="3" xfId="0" applyNumberFormat="1" applyBorder="1" applyAlignment="1">
      <alignment horizontal="center" vertical="center" wrapText="1"/>
    </xf>
    <xf numFmtId="1" fontId="8" fillId="3" borderId="3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7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166" fontId="0" fillId="0" borderId="3" xfId="0" applyNumberFormat="1" applyFill="1" applyBorder="1" applyAlignment="1">
      <alignment horizontal="center" vertical="center" wrapText="1"/>
    </xf>
    <xf numFmtId="2" fontId="0" fillId="0" borderId="3" xfId="0" applyNumberFormat="1" applyFill="1" applyBorder="1" applyAlignment="1">
      <alignment horizontal="center" vertical="center" wrapText="1"/>
    </xf>
    <xf numFmtId="0" fontId="0" fillId="0" borderId="0" xfId="0" applyFill="1"/>
    <xf numFmtId="166" fontId="0" fillId="0" borderId="0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166" fontId="0" fillId="4" borderId="3" xfId="0" applyNumberFormat="1" applyFill="1" applyBorder="1" applyAlignment="1">
      <alignment horizontal="center" vertical="center" wrapText="1"/>
    </xf>
    <xf numFmtId="2" fontId="0" fillId="4" borderId="3" xfId="0" applyNumberFormat="1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3">
    <cellStyle name="Comma" xfId="2" builtinId="3"/>
    <cellStyle name="Comma 2" xfId="1"/>
    <cellStyle name="Normal" xfId="0" builtinId="0"/>
  </cellStyles>
  <dxfs count="125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C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M19"/>
  <sheetViews>
    <sheetView workbookViewId="0">
      <selection activeCell="B22" sqref="B22"/>
    </sheetView>
  </sheetViews>
  <sheetFormatPr defaultRowHeight="15" x14ac:dyDescent="0.25"/>
  <cols>
    <col min="1" max="1" width="7" customWidth="1"/>
    <col min="2" max="2" width="24.28515625" customWidth="1"/>
    <col min="3" max="5" width="10.5703125" customWidth="1"/>
    <col min="6" max="7" width="16.7109375" bestFit="1" customWidth="1"/>
    <col min="8" max="11" width="16.7109375" customWidth="1"/>
    <col min="12" max="12" width="17.85546875" customWidth="1"/>
    <col min="13" max="13" width="16.7109375" customWidth="1"/>
  </cols>
  <sheetData>
    <row r="1" spans="1:13" x14ac:dyDescent="0.25">
      <c r="A1" s="117" t="s">
        <v>539</v>
      </c>
      <c r="B1" s="118"/>
      <c r="C1" s="118"/>
      <c r="D1" s="118"/>
      <c r="E1" s="118"/>
      <c r="F1" s="118"/>
      <c r="G1" s="118"/>
      <c r="H1" s="118"/>
      <c r="I1" s="118"/>
      <c r="J1" s="92"/>
      <c r="K1" s="92"/>
      <c r="L1" s="92"/>
      <c r="M1" s="92"/>
    </row>
    <row r="2" spans="1:13" x14ac:dyDescent="0.25">
      <c r="A2" s="119" t="s">
        <v>234</v>
      </c>
      <c r="B2" s="119" t="s">
        <v>235</v>
      </c>
      <c r="C2" s="120" t="s">
        <v>536</v>
      </c>
      <c r="D2" s="122" t="s">
        <v>537</v>
      </c>
      <c r="E2" s="122" t="s">
        <v>538</v>
      </c>
      <c r="F2" s="122" t="s">
        <v>607</v>
      </c>
      <c r="G2" s="122" t="s">
        <v>608</v>
      </c>
      <c r="H2" s="122" t="s">
        <v>609</v>
      </c>
      <c r="I2" s="122" t="s">
        <v>610</v>
      </c>
      <c r="J2" s="124" t="s">
        <v>712</v>
      </c>
      <c r="K2" s="125"/>
      <c r="L2" s="125"/>
      <c r="M2" s="126"/>
    </row>
    <row r="3" spans="1:13" ht="18.75" customHeight="1" x14ac:dyDescent="0.25">
      <c r="A3" s="119"/>
      <c r="B3" s="119"/>
      <c r="C3" s="121"/>
      <c r="D3" s="123"/>
      <c r="E3" s="123"/>
      <c r="F3" s="123"/>
      <c r="G3" s="123"/>
      <c r="H3" s="123"/>
      <c r="I3" s="123"/>
      <c r="J3" s="93" t="s">
        <v>663</v>
      </c>
      <c r="K3" s="93" t="s">
        <v>722</v>
      </c>
      <c r="L3" s="93" t="s">
        <v>724</v>
      </c>
      <c r="M3" s="93" t="s">
        <v>723</v>
      </c>
    </row>
    <row r="4" spans="1:13" x14ac:dyDescent="0.25">
      <c r="A4" s="52">
        <v>1</v>
      </c>
      <c r="B4" s="67" t="s">
        <v>238</v>
      </c>
      <c r="C4" s="80">
        <f>+'Steel Summary'!J4</f>
        <v>92.87</v>
      </c>
      <c r="D4" s="80">
        <f>+'Shuttering summary'!C4</f>
        <v>216.07</v>
      </c>
      <c r="E4" s="81">
        <f>+'RCC Summary'!C4</f>
        <v>1552.355</v>
      </c>
      <c r="F4" s="81"/>
      <c r="G4" s="81"/>
      <c r="H4" s="81"/>
      <c r="I4" s="81"/>
      <c r="J4" s="81"/>
      <c r="K4" s="81"/>
      <c r="L4" s="81"/>
      <c r="M4" s="81"/>
    </row>
    <row r="5" spans="1:13" x14ac:dyDescent="0.25">
      <c r="A5" s="52">
        <v>2</v>
      </c>
      <c r="B5" s="52" t="s">
        <v>529</v>
      </c>
      <c r="C5" s="81">
        <f>+'Steel Summary'!J8</f>
        <v>25.8</v>
      </c>
      <c r="D5" s="81">
        <f>+'Shuttering summary'!C5</f>
        <v>609.7410000000034</v>
      </c>
      <c r="E5" s="81">
        <f>+'RCC Summary'!C5</f>
        <v>80.356710000000319</v>
      </c>
      <c r="F5" s="81"/>
      <c r="G5" s="81"/>
      <c r="H5" s="81"/>
      <c r="I5" s="81"/>
      <c r="J5" s="81"/>
      <c r="K5" s="81"/>
      <c r="L5" s="81"/>
      <c r="M5" s="81"/>
    </row>
    <row r="6" spans="1:13" x14ac:dyDescent="0.25">
      <c r="A6" s="52">
        <v>3</v>
      </c>
      <c r="B6" s="52" t="s">
        <v>285</v>
      </c>
      <c r="C6" s="81">
        <f>+'Steel Summary'!J5</f>
        <v>10.836</v>
      </c>
      <c r="D6" s="81">
        <f>+'Shuttering summary'!C6</f>
        <v>843.44870000000037</v>
      </c>
      <c r="E6" s="81">
        <f>+'RCC Summary'!C6</f>
        <v>69.315839999999994</v>
      </c>
      <c r="F6" s="81"/>
      <c r="G6" s="81"/>
      <c r="H6" s="81"/>
      <c r="I6" s="81"/>
      <c r="J6" s="81"/>
      <c r="K6" s="81"/>
      <c r="L6" s="81"/>
      <c r="M6" s="81"/>
    </row>
    <row r="7" spans="1:13" x14ac:dyDescent="0.25">
      <c r="A7" s="52">
        <v>4</v>
      </c>
      <c r="B7" s="52" t="s">
        <v>530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</row>
    <row r="8" spans="1:13" x14ac:dyDescent="0.25">
      <c r="A8" s="52"/>
      <c r="B8" s="52" t="s">
        <v>533</v>
      </c>
      <c r="C8" s="81">
        <f>+'Steel Summary'!J8</f>
        <v>25.8</v>
      </c>
      <c r="D8" s="81">
        <f>+'Shuttering summary'!$C$7</f>
        <v>1043.9505000000004</v>
      </c>
      <c r="E8" s="81">
        <f>+'RCC Summary'!$C$7</f>
        <v>112.88204500000001</v>
      </c>
      <c r="F8" s="81"/>
      <c r="G8" s="81"/>
      <c r="H8" s="81"/>
      <c r="I8" s="81"/>
      <c r="J8" s="81"/>
      <c r="K8" s="81"/>
      <c r="L8" s="81"/>
      <c r="M8" s="81"/>
    </row>
    <row r="9" spans="1:13" x14ac:dyDescent="0.25">
      <c r="A9" s="52"/>
      <c r="B9" s="52" t="s">
        <v>534</v>
      </c>
      <c r="C9" s="81">
        <v>32.880000000000003</v>
      </c>
      <c r="D9" s="81">
        <f>+'Shuttering summary'!$C$8</f>
        <v>2234.6037500000002</v>
      </c>
      <c r="E9" s="81">
        <f>+'RCC Summary'!$C$8</f>
        <v>17.145512500000002</v>
      </c>
      <c r="F9" s="81"/>
      <c r="G9" s="81"/>
      <c r="H9" s="81"/>
      <c r="I9" s="81"/>
      <c r="J9" s="81"/>
      <c r="K9" s="81"/>
      <c r="L9" s="81"/>
      <c r="M9" s="81"/>
    </row>
    <row r="10" spans="1:13" x14ac:dyDescent="0.25">
      <c r="A10" s="52">
        <v>5</v>
      </c>
      <c r="B10" s="52" t="s">
        <v>531</v>
      </c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</row>
    <row r="11" spans="1:13" x14ac:dyDescent="0.25">
      <c r="A11" s="52"/>
      <c r="B11" s="52" t="s">
        <v>533</v>
      </c>
      <c r="C11" s="81">
        <f>+'Steel Summary'!J10</f>
        <v>20.430000000000003</v>
      </c>
      <c r="D11" s="81">
        <f>+'Shuttering summary'!$C$7</f>
        <v>1043.9505000000004</v>
      </c>
      <c r="E11" s="81">
        <f>+'RCC Summary'!$C$7</f>
        <v>112.88204500000001</v>
      </c>
      <c r="F11" s="81"/>
      <c r="G11" s="81"/>
      <c r="H11" s="81"/>
      <c r="I11" s="81"/>
      <c r="J11" s="81"/>
      <c r="K11" s="81"/>
      <c r="L11" s="81"/>
      <c r="M11" s="81"/>
    </row>
    <row r="12" spans="1:13" x14ac:dyDescent="0.25">
      <c r="A12" s="52"/>
      <c r="B12" s="52" t="s">
        <v>534</v>
      </c>
      <c r="C12" s="81">
        <v>32.880000000000003</v>
      </c>
      <c r="D12" s="81">
        <f>+'Shuttering summary'!$C$8</f>
        <v>2234.6037500000002</v>
      </c>
      <c r="E12" s="81">
        <f>+'RCC Summary'!$C$8</f>
        <v>17.145512500000002</v>
      </c>
      <c r="F12" s="81"/>
      <c r="G12" s="81"/>
      <c r="H12" s="81"/>
      <c r="I12" s="81"/>
      <c r="J12" s="81"/>
      <c r="K12" s="81"/>
      <c r="L12" s="81"/>
      <c r="M12" s="81"/>
    </row>
    <row r="13" spans="1:13" x14ac:dyDescent="0.25">
      <c r="A13" s="52">
        <v>6</v>
      </c>
      <c r="B13" s="52" t="s">
        <v>532</v>
      </c>
      <c r="C13" s="81"/>
      <c r="D13" s="81"/>
      <c r="E13" s="81"/>
      <c r="F13" s="81">
        <f>+Blockwork!G308</f>
        <v>86.19</v>
      </c>
      <c r="G13" s="81">
        <f>+Blockwork!G311</f>
        <v>3920.03</v>
      </c>
      <c r="H13" s="81">
        <f>+Blockwork!G309</f>
        <v>55.17</v>
      </c>
      <c r="I13" s="81">
        <f>+Blockwork!G310</f>
        <v>30.8</v>
      </c>
      <c r="J13" s="81">
        <f>+Plaster!G544</f>
        <v>1187.3025000000005</v>
      </c>
      <c r="K13" s="81">
        <f>+Plaster!G545</f>
        <v>2536.9034500000075</v>
      </c>
      <c r="L13" s="81">
        <f>+Plaster!G552</f>
        <v>829.95439999999996</v>
      </c>
      <c r="M13" s="81"/>
    </row>
    <row r="14" spans="1:13" x14ac:dyDescent="0.25">
      <c r="A14" s="52"/>
      <c r="B14" s="52" t="s">
        <v>535</v>
      </c>
      <c r="C14" s="81">
        <v>20</v>
      </c>
      <c r="D14" s="81">
        <f>+'Shuttering summary'!$C$7</f>
        <v>1043.9505000000004</v>
      </c>
      <c r="E14" s="81">
        <f>+'RCC Summary'!$C$7</f>
        <v>112.88204500000001</v>
      </c>
      <c r="F14" s="81"/>
      <c r="G14" s="81"/>
      <c r="H14" s="81"/>
      <c r="I14" s="81"/>
      <c r="J14" s="81"/>
      <c r="K14" s="81"/>
      <c r="L14" s="81"/>
      <c r="M14" s="81"/>
    </row>
    <row r="15" spans="1:13" x14ac:dyDescent="0.25">
      <c r="A15" s="52"/>
      <c r="B15" s="52" t="s">
        <v>534</v>
      </c>
      <c r="C15" s="81">
        <v>32.880000000000003</v>
      </c>
      <c r="D15" s="81">
        <f>+'Shuttering summary'!$C$8</f>
        <v>2234.6037500000002</v>
      </c>
      <c r="E15" s="81">
        <f>+'RCC Summary'!$C$8</f>
        <v>17.145512500000002</v>
      </c>
      <c r="F15" s="81"/>
      <c r="G15" s="81"/>
      <c r="H15" s="81"/>
      <c r="I15" s="81"/>
      <c r="J15" s="81"/>
      <c r="K15" s="81"/>
      <c r="L15" s="81"/>
      <c r="M15" s="81"/>
    </row>
    <row r="16" spans="1:13" x14ac:dyDescent="0.25">
      <c r="A16" s="52"/>
      <c r="B16" s="52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</row>
    <row r="17" spans="1:13" x14ac:dyDescent="0.25">
      <c r="A17" s="52"/>
      <c r="B17" s="52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</row>
    <row r="18" spans="1:13" x14ac:dyDescent="0.25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</row>
    <row r="19" spans="1:13" x14ac:dyDescent="0.25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</row>
  </sheetData>
  <mergeCells count="11">
    <mergeCell ref="J2:M2"/>
    <mergeCell ref="F2:F3"/>
    <mergeCell ref="G2:G3"/>
    <mergeCell ref="H2:H3"/>
    <mergeCell ref="I2:I3"/>
    <mergeCell ref="A1:I1"/>
    <mergeCell ref="A2:A3"/>
    <mergeCell ref="B2:B3"/>
    <mergeCell ref="C2:C3"/>
    <mergeCell ref="E2:E3"/>
    <mergeCell ref="D2:D3"/>
  </mergeCells>
  <printOptions horizontalCentere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4"/>
  <sheetViews>
    <sheetView topLeftCell="A4" workbookViewId="0">
      <selection activeCell="H15" sqref="H15"/>
    </sheetView>
  </sheetViews>
  <sheetFormatPr defaultRowHeight="15" x14ac:dyDescent="0.25"/>
  <cols>
    <col min="1" max="1" width="9.140625" style="107"/>
    <col min="2" max="2" width="26.42578125" style="108" customWidth="1"/>
    <col min="3" max="5" width="9.140625" style="107"/>
    <col min="6" max="6" width="10.42578125" style="107" customWidth="1"/>
    <col min="7" max="16384" width="9.140625" style="107"/>
  </cols>
  <sheetData>
    <row r="2" spans="1:10" ht="21" customHeight="1" x14ac:dyDescent="0.25">
      <c r="A2" s="127" t="s">
        <v>838</v>
      </c>
      <c r="B2" s="128"/>
      <c r="C2" s="128"/>
      <c r="D2" s="128"/>
      <c r="E2" s="128"/>
      <c r="F2" s="129"/>
    </row>
    <row r="3" spans="1:10" x14ac:dyDescent="0.25">
      <c r="A3" s="110"/>
      <c r="B3" s="111"/>
      <c r="C3" s="110" t="s">
        <v>256</v>
      </c>
      <c r="D3" s="110" t="s">
        <v>836</v>
      </c>
      <c r="E3" s="110" t="s">
        <v>255</v>
      </c>
      <c r="F3" s="110" t="s">
        <v>837</v>
      </c>
    </row>
    <row r="4" spans="1:10" x14ac:dyDescent="0.25">
      <c r="A4" s="110"/>
      <c r="B4" s="112" t="s">
        <v>826</v>
      </c>
      <c r="C4" s="110"/>
      <c r="D4" s="110"/>
      <c r="E4" s="110"/>
      <c r="F4" s="110"/>
    </row>
    <row r="5" spans="1:10" x14ac:dyDescent="0.25">
      <c r="A5" s="110">
        <v>1</v>
      </c>
      <c r="B5" s="111" t="s">
        <v>827</v>
      </c>
      <c r="C5" s="110" t="s">
        <v>833</v>
      </c>
      <c r="D5" s="110">
        <v>9400</v>
      </c>
      <c r="E5" s="110">
        <f>25.83/2</f>
        <v>12.914999999999999</v>
      </c>
      <c r="F5" s="113">
        <f>D5*E5</f>
        <v>121400.99999999999</v>
      </c>
    </row>
    <row r="6" spans="1:10" x14ac:dyDescent="0.25">
      <c r="A6" s="110">
        <v>2</v>
      </c>
      <c r="B6" s="111" t="s">
        <v>828</v>
      </c>
      <c r="C6" s="110" t="s">
        <v>834</v>
      </c>
      <c r="D6" s="110">
        <v>465</v>
      </c>
      <c r="E6" s="116">
        <f>929.85/2</f>
        <v>464.92500000000001</v>
      </c>
      <c r="F6" s="113">
        <f t="shared" ref="F6:F19" si="0">D6*E6</f>
        <v>216190.125</v>
      </c>
    </row>
    <row r="7" spans="1:10" x14ac:dyDescent="0.25">
      <c r="A7" s="110">
        <v>3</v>
      </c>
      <c r="B7" s="111" t="s">
        <v>829</v>
      </c>
      <c r="C7" s="110" t="s">
        <v>835</v>
      </c>
      <c r="D7" s="110">
        <v>6850</v>
      </c>
      <c r="E7" s="110">
        <v>47.015000000000001</v>
      </c>
      <c r="F7" s="113">
        <f t="shared" si="0"/>
        <v>322052.75</v>
      </c>
    </row>
    <row r="8" spans="1:10" x14ac:dyDescent="0.25">
      <c r="A8" s="110">
        <v>4</v>
      </c>
      <c r="B8" s="111" t="s">
        <v>830</v>
      </c>
      <c r="C8" s="110" t="s">
        <v>834</v>
      </c>
      <c r="D8" s="110">
        <v>465</v>
      </c>
      <c r="E8" s="110">
        <v>1195.81</v>
      </c>
      <c r="F8" s="113">
        <f t="shared" si="0"/>
        <v>556051.65</v>
      </c>
    </row>
    <row r="9" spans="1:10" x14ac:dyDescent="0.25">
      <c r="A9" s="110">
        <v>5</v>
      </c>
      <c r="B9" s="111" t="s">
        <v>511</v>
      </c>
      <c r="C9" s="110" t="s">
        <v>833</v>
      </c>
      <c r="D9" s="110">
        <v>9400</v>
      </c>
      <c r="E9" s="116">
        <v>17.795000000000002</v>
      </c>
      <c r="F9" s="113">
        <f t="shared" si="0"/>
        <v>167273.00000000003</v>
      </c>
    </row>
    <row r="10" spans="1:10" x14ac:dyDescent="0.25">
      <c r="A10" s="110">
        <v>6</v>
      </c>
      <c r="B10" s="111" t="s">
        <v>831</v>
      </c>
      <c r="C10" s="110" t="s">
        <v>835</v>
      </c>
      <c r="D10" s="110">
        <v>6850</v>
      </c>
      <c r="E10" s="110">
        <v>153.79</v>
      </c>
      <c r="F10" s="113">
        <f t="shared" si="0"/>
        <v>1053461.5</v>
      </c>
    </row>
    <row r="11" spans="1:10" x14ac:dyDescent="0.25">
      <c r="A11" s="110"/>
      <c r="B11" s="111"/>
      <c r="C11" s="110"/>
      <c r="D11" s="110"/>
      <c r="E11" s="110"/>
      <c r="F11" s="113"/>
    </row>
    <row r="12" spans="1:10" x14ac:dyDescent="0.25">
      <c r="A12" s="110"/>
      <c r="B12" s="111"/>
      <c r="C12" s="110"/>
      <c r="D12" s="110"/>
      <c r="E12" s="115" t="s">
        <v>258</v>
      </c>
      <c r="F12" s="114">
        <f>SUBTOTAL(9,F4:F11)</f>
        <v>2436430.0249999999</v>
      </c>
      <c r="H12" s="109"/>
      <c r="I12" s="109"/>
      <c r="J12" s="109"/>
    </row>
    <row r="13" spans="1:10" x14ac:dyDescent="0.25">
      <c r="A13" s="110"/>
      <c r="B13" s="112" t="s">
        <v>832</v>
      </c>
      <c r="C13" s="110"/>
      <c r="D13" s="110"/>
      <c r="E13" s="110"/>
      <c r="F13" s="113"/>
    </row>
    <row r="14" spans="1:10" x14ac:dyDescent="0.25">
      <c r="A14" s="110">
        <v>1</v>
      </c>
      <c r="B14" s="111" t="s">
        <v>827</v>
      </c>
      <c r="C14" s="110" t="s">
        <v>833</v>
      </c>
      <c r="D14" s="110">
        <v>9400</v>
      </c>
      <c r="E14" s="110">
        <f>25.83/2</f>
        <v>12.914999999999999</v>
      </c>
      <c r="F14" s="113">
        <f t="shared" si="0"/>
        <v>121400.99999999999</v>
      </c>
    </row>
    <row r="15" spans="1:10" x14ac:dyDescent="0.25">
      <c r="A15" s="110">
        <v>2</v>
      </c>
      <c r="B15" s="111" t="s">
        <v>828</v>
      </c>
      <c r="C15" s="110" t="s">
        <v>834</v>
      </c>
      <c r="D15" s="110">
        <v>465</v>
      </c>
      <c r="E15" s="116">
        <f>929.85/2</f>
        <v>464.92500000000001</v>
      </c>
      <c r="F15" s="113">
        <f t="shared" si="0"/>
        <v>216190.125</v>
      </c>
    </row>
    <row r="16" spans="1:10" x14ac:dyDescent="0.25">
      <c r="A16" s="110">
        <v>3</v>
      </c>
      <c r="B16" s="111" t="s">
        <v>829</v>
      </c>
      <c r="C16" s="110" t="s">
        <v>835</v>
      </c>
      <c r="D16" s="110">
        <v>6850</v>
      </c>
      <c r="E16" s="110">
        <v>47.015000000000001</v>
      </c>
      <c r="F16" s="113">
        <f t="shared" si="0"/>
        <v>322052.75</v>
      </c>
    </row>
    <row r="17" spans="1:6" x14ac:dyDescent="0.25">
      <c r="A17" s="110">
        <v>4</v>
      </c>
      <c r="B17" s="111" t="s">
        <v>830</v>
      </c>
      <c r="C17" s="110" t="s">
        <v>834</v>
      </c>
      <c r="D17" s="110">
        <v>465</v>
      </c>
      <c r="E17" s="110">
        <v>1195.81</v>
      </c>
      <c r="F17" s="113">
        <f t="shared" si="0"/>
        <v>556051.65</v>
      </c>
    </row>
    <row r="18" spans="1:6" x14ac:dyDescent="0.25">
      <c r="A18" s="110">
        <v>5</v>
      </c>
      <c r="B18" s="111" t="s">
        <v>511</v>
      </c>
      <c r="C18" s="110" t="s">
        <v>833</v>
      </c>
      <c r="D18" s="110">
        <v>9400</v>
      </c>
      <c r="E18" s="116">
        <v>17.795000000000002</v>
      </c>
      <c r="F18" s="113">
        <f t="shared" si="0"/>
        <v>167273.00000000003</v>
      </c>
    </row>
    <row r="19" spans="1:6" x14ac:dyDescent="0.25">
      <c r="A19" s="110">
        <v>6</v>
      </c>
      <c r="B19" s="111" t="s">
        <v>831</v>
      </c>
      <c r="C19" s="110" t="s">
        <v>835</v>
      </c>
      <c r="D19" s="110">
        <v>6850</v>
      </c>
      <c r="E19" s="110">
        <v>153.79</v>
      </c>
      <c r="F19" s="113">
        <f t="shared" si="0"/>
        <v>1053461.5</v>
      </c>
    </row>
    <row r="20" spans="1:6" x14ac:dyDescent="0.25">
      <c r="A20" s="110"/>
      <c r="B20" s="111"/>
      <c r="C20" s="110"/>
      <c r="D20" s="110"/>
      <c r="E20" s="110"/>
      <c r="F20" s="113"/>
    </row>
    <row r="21" spans="1:6" x14ac:dyDescent="0.25">
      <c r="A21" s="110"/>
      <c r="B21" s="111"/>
      <c r="C21" s="110"/>
      <c r="D21" s="110"/>
      <c r="E21" s="115" t="s">
        <v>113</v>
      </c>
      <c r="F21" s="114">
        <f>SUBTOTAL(9,F13:F20)</f>
        <v>2436430.0249999999</v>
      </c>
    </row>
    <row r="22" spans="1:6" x14ac:dyDescent="0.25">
      <c r="A22" s="110"/>
      <c r="B22" s="111"/>
      <c r="C22" s="110"/>
      <c r="D22" s="110"/>
      <c r="E22" s="110"/>
      <c r="F22" s="113"/>
    </row>
    <row r="23" spans="1:6" ht="30" x14ac:dyDescent="0.25">
      <c r="A23" s="110"/>
      <c r="B23" s="111"/>
      <c r="C23" s="110"/>
      <c r="D23" s="110"/>
      <c r="E23" s="115" t="s">
        <v>839</v>
      </c>
      <c r="F23" s="114">
        <f>SUBTOTAL(9,F5:F22)</f>
        <v>4872860.05</v>
      </c>
    </row>
    <row r="24" spans="1:6" x14ac:dyDescent="0.25">
      <c r="A24" s="110"/>
      <c r="B24" s="111"/>
      <c r="C24" s="110"/>
      <c r="D24" s="110"/>
      <c r="E24" s="110"/>
      <c r="F24" s="113"/>
    </row>
  </sheetData>
  <mergeCells count="1">
    <mergeCell ref="A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8"/>
  <sheetViews>
    <sheetView workbookViewId="0">
      <selection activeCell="D6" sqref="D6"/>
    </sheetView>
  </sheetViews>
  <sheetFormatPr defaultRowHeight="15" x14ac:dyDescent="0.25"/>
  <cols>
    <col min="1" max="1" width="7" customWidth="1"/>
    <col min="2" max="2" width="24.28515625" customWidth="1"/>
    <col min="3" max="3" width="10.7109375" customWidth="1"/>
    <col min="4" max="9" width="9.140625" style="51"/>
  </cols>
  <sheetData>
    <row r="1" spans="1:11" x14ac:dyDescent="0.25">
      <c r="A1" s="130" t="s">
        <v>233</v>
      </c>
      <c r="B1" s="130"/>
      <c r="C1" s="130"/>
      <c r="D1" s="130"/>
      <c r="E1" s="130"/>
      <c r="F1" s="130"/>
      <c r="G1" s="130"/>
      <c r="H1" s="130"/>
      <c r="I1" s="130"/>
      <c r="J1" s="130"/>
    </row>
    <row r="2" spans="1:11" x14ac:dyDescent="0.25">
      <c r="A2" s="119" t="s">
        <v>234</v>
      </c>
      <c r="B2" s="119" t="s">
        <v>235</v>
      </c>
      <c r="C2" s="120" t="s">
        <v>282</v>
      </c>
      <c r="D2" s="130" t="s">
        <v>239</v>
      </c>
      <c r="E2" s="130"/>
      <c r="F2" s="130"/>
      <c r="G2" s="130"/>
      <c r="H2" s="130"/>
      <c r="I2" s="130"/>
      <c r="J2" s="120" t="s">
        <v>236</v>
      </c>
    </row>
    <row r="3" spans="1:11" x14ac:dyDescent="0.25">
      <c r="A3" s="119"/>
      <c r="B3" s="119"/>
      <c r="C3" s="121"/>
      <c r="D3" s="68" t="s">
        <v>13</v>
      </c>
      <c r="E3" s="68" t="s">
        <v>14</v>
      </c>
      <c r="F3" s="68" t="s">
        <v>15</v>
      </c>
      <c r="G3" s="68" t="s">
        <v>16</v>
      </c>
      <c r="H3" s="68" t="s">
        <v>237</v>
      </c>
      <c r="I3" s="68" t="s">
        <v>18</v>
      </c>
      <c r="J3" s="121"/>
      <c r="K3" s="57"/>
    </row>
    <row r="4" spans="1:11" x14ac:dyDescent="0.25">
      <c r="A4" s="52">
        <v>1</v>
      </c>
      <c r="B4" s="56" t="s">
        <v>238</v>
      </c>
      <c r="C4" s="66">
        <v>1</v>
      </c>
      <c r="D4" s="54">
        <f>+ROUND('Raft Steel'!M193/1000,2)*C4</f>
        <v>0</v>
      </c>
      <c r="E4" s="54">
        <f>+ROUND('Raft Steel'!N193/1000,2)*C4</f>
        <v>0.78</v>
      </c>
      <c r="F4" s="54">
        <f>+ROUND('Raft Steel'!O193/1000,2)*C4</f>
        <v>2.19</v>
      </c>
      <c r="G4" s="54">
        <f>+ROUND('Raft Steel'!P193/1000,2)*C4</f>
        <v>55.77</v>
      </c>
      <c r="H4" s="54">
        <f>+ROUND('Raft Steel'!Q193/1000,2)*C4</f>
        <v>17.32</v>
      </c>
      <c r="I4" s="54">
        <f>+ROUND('Raft Steel'!R193/1000,2)*C4</f>
        <v>16.809999999999999</v>
      </c>
      <c r="J4" s="55">
        <f>SUM(D4:I4)</f>
        <v>92.87</v>
      </c>
    </row>
    <row r="5" spans="1:11" x14ac:dyDescent="0.25">
      <c r="A5" s="52">
        <v>2</v>
      </c>
      <c r="B5" s="56" t="s">
        <v>285</v>
      </c>
      <c r="C5" s="66">
        <v>1.05</v>
      </c>
      <c r="D5" s="54">
        <f>+ROUND('Plinth Steel'!M382/1000,2)*C5</f>
        <v>3.8115000000000001</v>
      </c>
      <c r="E5" s="54">
        <f>+ROUND('Plinth Steel'!N382/1000,2)*C5</f>
        <v>0.21000000000000002</v>
      </c>
      <c r="F5" s="54">
        <f>+ROUND('Plinth Steel'!O382/1000,2)*C5</f>
        <v>1.5645</v>
      </c>
      <c r="G5" s="54">
        <f>+ROUND('Plinth Steel'!P382/1000,2)*C5</f>
        <v>5.0925000000000002</v>
      </c>
      <c r="H5" s="54">
        <f>+ROUND('Plinth Steel'!Q382/1000,2)*C5</f>
        <v>0.1575</v>
      </c>
      <c r="I5" s="54">
        <f>+ROUND('Plinth Steel'!R382/1000,2)*C5</f>
        <v>0</v>
      </c>
      <c r="J5" s="55">
        <f>SUM(D5:I5)</f>
        <v>10.836</v>
      </c>
    </row>
    <row r="6" spans="1:11" x14ac:dyDescent="0.25">
      <c r="A6" s="52">
        <v>3</v>
      </c>
      <c r="B6" s="56" t="s">
        <v>526</v>
      </c>
      <c r="C6" s="66">
        <v>1</v>
      </c>
      <c r="D6" s="54">
        <f>+ROUND('Typical floor STEEL'!M1155/1000,2)*$C$6</f>
        <v>33.03</v>
      </c>
      <c r="E6" s="54">
        <f>+ROUND('Typical floor STEEL'!N1155/1000,2)*$C$6</f>
        <v>6.74</v>
      </c>
      <c r="F6" s="54">
        <f>+ROUND('Typical floor STEEL'!O1155/1000,2)*$C$6</f>
        <v>4.41</v>
      </c>
      <c r="G6" s="54">
        <f>+ROUND('Typical floor STEEL'!P1155/1000,2)*$C$6</f>
        <v>0</v>
      </c>
      <c r="H6" s="54">
        <f>+ROUND('Typical floor STEEL'!Q1155/1000,2)*$C$6</f>
        <v>0.08</v>
      </c>
      <c r="I6" s="54">
        <f>+ROUND('Typical floor STEEL'!R1155/1000,2)*$C$6</f>
        <v>0</v>
      </c>
      <c r="J6" s="55">
        <f>SUM(D6:I6)</f>
        <v>44.260000000000005</v>
      </c>
    </row>
    <row r="7" spans="1:11" x14ac:dyDescent="0.25">
      <c r="A7" s="52"/>
      <c r="B7" s="56" t="s">
        <v>240</v>
      </c>
      <c r="C7" s="67"/>
      <c r="D7" s="54"/>
      <c r="E7" s="54"/>
      <c r="F7" s="54"/>
      <c r="G7" s="54"/>
      <c r="H7" s="54"/>
      <c r="I7" s="54"/>
      <c r="J7" s="55"/>
    </row>
    <row r="8" spans="1:11" x14ac:dyDescent="0.25">
      <c r="A8" s="52">
        <v>2</v>
      </c>
      <c r="B8" s="52" t="s">
        <v>241</v>
      </c>
      <c r="C8" s="66">
        <v>1</v>
      </c>
      <c r="D8" s="54">
        <f>+ROUND('Columns Steel'!M180/1000,2)*C8</f>
        <v>2.68</v>
      </c>
      <c r="E8" s="54">
        <f>+ROUND('Columns Steel'!N180/1000,2)*C8</f>
        <v>5.69</v>
      </c>
      <c r="F8" s="54">
        <f>+ROUND('Columns Steel'!O180/1000,2)*C8</f>
        <v>2.93</v>
      </c>
      <c r="G8" s="54">
        <f>+ROUND('Columns Steel'!P180/1000,2)*C8</f>
        <v>7.89</v>
      </c>
      <c r="H8" s="54">
        <f>+ROUND('Columns Steel'!Q180/1000,2)*C8</f>
        <v>5.92</v>
      </c>
      <c r="I8" s="54">
        <f>+ROUND('Columns Steel'!R180/1000,2)*C8</f>
        <v>0.69</v>
      </c>
      <c r="J8" s="55">
        <f>SUM(D8:I8)</f>
        <v>25.8</v>
      </c>
    </row>
    <row r="9" spans="1:11" x14ac:dyDescent="0.25">
      <c r="A9" s="52">
        <v>3</v>
      </c>
      <c r="B9" s="52" t="s">
        <v>242</v>
      </c>
      <c r="C9" s="66">
        <v>1</v>
      </c>
      <c r="D9" s="54">
        <f>+ROUND('Columns Steel'!M365/1000,2)*C9</f>
        <v>4.76</v>
      </c>
      <c r="E9" s="54">
        <f>+ROUND('Columns Steel'!N365/1000,2)*C9</f>
        <v>5.85</v>
      </c>
      <c r="F9" s="54">
        <f>+ROUND('Columns Steel'!O365/1000,2)*C9</f>
        <v>3.02</v>
      </c>
      <c r="G9" s="54">
        <f>+ROUND('Columns Steel'!P365/1000,2)*C9</f>
        <v>5.97</v>
      </c>
      <c r="H9" s="54">
        <f>+ROUND('Columns Steel'!Q365/1000,2)*C9</f>
        <v>4.24</v>
      </c>
      <c r="I9" s="54">
        <f>+ROUND('Columns Steel'!R365/1000,2)*C9</f>
        <v>0.36</v>
      </c>
      <c r="J9" s="55">
        <f>SUM(D9:I9)</f>
        <v>24.199999999999996</v>
      </c>
      <c r="K9" s="75"/>
    </row>
    <row r="10" spans="1:11" x14ac:dyDescent="0.25">
      <c r="A10" s="52">
        <v>4</v>
      </c>
      <c r="B10" s="52" t="s">
        <v>243</v>
      </c>
      <c r="C10" s="66">
        <v>1</v>
      </c>
      <c r="D10" s="54">
        <f>+ROUND('Columns Steel'!M549/1000,2)*C10</f>
        <v>4.29</v>
      </c>
      <c r="E10" s="54">
        <f>+ROUND('Columns Steel'!N549/1000,2)*C10</f>
        <v>5.42</v>
      </c>
      <c r="F10" s="54">
        <f>+ROUND('Columns Steel'!O549/1000,2)*C10</f>
        <v>3.79</v>
      </c>
      <c r="G10" s="54">
        <f>+ROUND('Columns Steel'!P549/1000,2)*C10</f>
        <v>4.9400000000000004</v>
      </c>
      <c r="H10" s="54">
        <f>+ROUND('Columns Steel'!Q549/1000,2)*C10</f>
        <v>1.78</v>
      </c>
      <c r="I10" s="54">
        <f>+ROUND('Columns Steel'!R549/1000,2)*C10</f>
        <v>0.21</v>
      </c>
      <c r="J10" s="55">
        <f>SUM(D10:I10)</f>
        <v>20.430000000000003</v>
      </c>
      <c r="K10" s="75"/>
    </row>
    <row r="11" spans="1:11" x14ac:dyDescent="0.25">
      <c r="A11" s="52">
        <v>5</v>
      </c>
      <c r="B11" s="52" t="s">
        <v>244</v>
      </c>
      <c r="C11" s="66">
        <v>1</v>
      </c>
      <c r="D11" s="54">
        <f>+ROUND('Columns Steel'!M736/1000,2)*C11</f>
        <v>4.04</v>
      </c>
      <c r="E11" s="54">
        <f>+ROUND('Columns Steel'!N736/1000,2)*C11</f>
        <v>5.61</v>
      </c>
      <c r="F11" s="54">
        <f>+ROUND('Columns Steel'!O736/1000,2)*C11</f>
        <v>3.69</v>
      </c>
      <c r="G11" s="54">
        <f>+ROUND('Columns Steel'!P736/1000,2)*C11</f>
        <v>5.0199999999999996</v>
      </c>
      <c r="H11" s="54">
        <f>+ROUND('Columns Steel'!Q736/1000,2)*C11</f>
        <v>0.86</v>
      </c>
      <c r="I11" s="54">
        <f>+ROUND('Columns Steel'!R736/1000,2)*C11</f>
        <v>0</v>
      </c>
      <c r="J11" s="55">
        <f>SUM(D11:I11)</f>
        <v>19.22</v>
      </c>
      <c r="K11" s="75"/>
    </row>
    <row r="12" spans="1:11" x14ac:dyDescent="0.25">
      <c r="A12" s="52">
        <v>5</v>
      </c>
      <c r="B12" s="52" t="s">
        <v>727</v>
      </c>
      <c r="C12" s="66">
        <v>1</v>
      </c>
      <c r="D12" s="54">
        <f>+'Columns Steel'!M926/1000</f>
        <v>4.0015237999999993</v>
      </c>
      <c r="E12" s="54">
        <f>+'Columns Steel'!N926/1000</f>
        <v>5.6836188999999964</v>
      </c>
      <c r="F12" s="54">
        <f>+'Columns Steel'!O926/1000</f>
        <v>4.1290849600000001</v>
      </c>
      <c r="G12" s="54">
        <f>+'Columns Steel'!P926/1000</f>
        <v>4.4432760000000018</v>
      </c>
      <c r="H12" s="54">
        <f>+'Columns Steel'!Q926/1000</f>
        <v>0.131856</v>
      </c>
      <c r="I12" s="54">
        <f>+'Columns Steel'!R926/1000</f>
        <v>0</v>
      </c>
      <c r="J12" s="55">
        <f>SUM(D12:I12)</f>
        <v>18.389359659999997</v>
      </c>
      <c r="K12" s="75"/>
    </row>
    <row r="13" spans="1:11" x14ac:dyDescent="0.25">
      <c r="A13" s="52"/>
      <c r="B13" s="52"/>
      <c r="C13" s="52"/>
      <c r="D13" s="53"/>
      <c r="E13" s="53"/>
      <c r="F13" s="53"/>
      <c r="G13" s="53"/>
      <c r="H13" s="53"/>
      <c r="I13" s="53"/>
      <c r="J13" s="52"/>
    </row>
    <row r="14" spans="1:11" x14ac:dyDescent="0.25">
      <c r="A14" s="52"/>
      <c r="B14" s="52"/>
      <c r="C14" s="52"/>
      <c r="D14" s="53"/>
      <c r="E14" s="53"/>
      <c r="F14" s="53"/>
      <c r="G14" s="53"/>
      <c r="H14" s="53"/>
      <c r="I14" s="53"/>
      <c r="J14" s="52"/>
    </row>
    <row r="15" spans="1:11" x14ac:dyDescent="0.25">
      <c r="A15" s="52"/>
      <c r="B15" s="52"/>
      <c r="C15" s="52"/>
      <c r="D15" s="53"/>
      <c r="E15" s="53"/>
      <c r="F15" s="53"/>
      <c r="G15" s="53"/>
      <c r="H15" s="53"/>
      <c r="I15" s="53"/>
      <c r="J15" s="52"/>
    </row>
    <row r="16" spans="1:11" x14ac:dyDescent="0.25">
      <c r="A16" s="52"/>
      <c r="B16" s="52"/>
      <c r="C16" s="52"/>
      <c r="D16" s="53"/>
      <c r="E16" s="53"/>
      <c r="F16" s="53"/>
      <c r="G16" s="53"/>
      <c r="H16" s="53"/>
      <c r="I16" s="53"/>
      <c r="J16" s="52"/>
    </row>
    <row r="17" spans="1:10" x14ac:dyDescent="0.25">
      <c r="A17" s="52"/>
      <c r="B17" s="52"/>
      <c r="C17" s="52"/>
      <c r="D17" s="53"/>
      <c r="E17" s="53"/>
      <c r="F17" s="53"/>
      <c r="G17" s="53"/>
      <c r="H17" s="53"/>
      <c r="I17" s="53"/>
      <c r="J17" s="52"/>
    </row>
    <row r="18" spans="1:10" x14ac:dyDescent="0.25">
      <c r="A18" s="52"/>
      <c r="B18" s="52"/>
      <c r="C18" s="52"/>
      <c r="D18" s="53"/>
      <c r="E18" s="53"/>
      <c r="F18" s="53"/>
      <c r="G18" s="53"/>
      <c r="H18" s="53"/>
      <c r="I18" s="53"/>
      <c r="J18" s="52"/>
    </row>
  </sheetData>
  <mergeCells count="6">
    <mergeCell ref="D2:I2"/>
    <mergeCell ref="A2:A3"/>
    <mergeCell ref="B2:B3"/>
    <mergeCell ref="A1:J1"/>
    <mergeCell ref="C2:C3"/>
    <mergeCell ref="J2:J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14"/>
  <sheetViews>
    <sheetView workbookViewId="0">
      <selection activeCell="C7" sqref="C7"/>
    </sheetView>
  </sheetViews>
  <sheetFormatPr defaultRowHeight="15" x14ac:dyDescent="0.25"/>
  <cols>
    <col min="1" max="1" width="7" customWidth="1"/>
    <col min="2" max="2" width="24.28515625" customWidth="1"/>
  </cols>
  <sheetData>
    <row r="1" spans="1:4" x14ac:dyDescent="0.25">
      <c r="A1" s="130" t="s">
        <v>611</v>
      </c>
      <c r="B1" s="130"/>
      <c r="C1" s="130"/>
    </row>
    <row r="2" spans="1:4" x14ac:dyDescent="0.25">
      <c r="A2" s="119" t="s">
        <v>234</v>
      </c>
      <c r="B2" s="119" t="s">
        <v>235</v>
      </c>
      <c r="C2" s="120" t="s">
        <v>542</v>
      </c>
    </row>
    <row r="3" spans="1:4" x14ac:dyDescent="0.25">
      <c r="A3" s="119"/>
      <c r="B3" s="119"/>
      <c r="C3" s="121"/>
      <c r="D3" s="57"/>
    </row>
    <row r="4" spans="1:4" x14ac:dyDescent="0.25">
      <c r="A4" s="52">
        <v>1</v>
      </c>
      <c r="B4" s="56" t="s">
        <v>238</v>
      </c>
      <c r="C4" s="55">
        <f>+RCC!G3</f>
        <v>1552.355</v>
      </c>
    </row>
    <row r="5" spans="1:4" x14ac:dyDescent="0.25">
      <c r="A5" s="52">
        <v>2</v>
      </c>
      <c r="B5" s="52" t="s">
        <v>543</v>
      </c>
      <c r="C5" s="55">
        <f>+RCC!G30</f>
        <v>80.356710000000319</v>
      </c>
    </row>
    <row r="6" spans="1:4" x14ac:dyDescent="0.25">
      <c r="A6" s="52">
        <v>3</v>
      </c>
      <c r="B6" s="52" t="s">
        <v>285</v>
      </c>
      <c r="C6" s="55">
        <f>+RCC!G103</f>
        <v>69.315839999999994</v>
      </c>
    </row>
    <row r="7" spans="1:4" x14ac:dyDescent="0.25">
      <c r="A7" s="52">
        <v>4</v>
      </c>
      <c r="B7" s="52" t="s">
        <v>544</v>
      </c>
      <c r="C7" s="55">
        <f>+'RCC Typical floor'!G30</f>
        <v>112.88204500000001</v>
      </c>
    </row>
    <row r="8" spans="1:4" x14ac:dyDescent="0.25">
      <c r="A8" s="52">
        <v>5</v>
      </c>
      <c r="B8" s="56" t="s">
        <v>526</v>
      </c>
      <c r="C8" s="55">
        <f>+'RCC Typical floor'!H128+'RCC Typical floor'!G240</f>
        <v>17.145512500000002</v>
      </c>
    </row>
    <row r="9" spans="1:4" x14ac:dyDescent="0.25">
      <c r="A9" s="52"/>
      <c r="B9" s="52"/>
      <c r="C9" s="52"/>
    </row>
    <row r="10" spans="1:4" x14ac:dyDescent="0.25">
      <c r="A10" s="52"/>
      <c r="B10" s="52"/>
      <c r="C10" s="52"/>
    </row>
    <row r="11" spans="1:4" x14ac:dyDescent="0.25">
      <c r="A11" s="52"/>
      <c r="B11" s="52"/>
      <c r="C11" s="52"/>
    </row>
    <row r="12" spans="1:4" x14ac:dyDescent="0.25">
      <c r="A12" s="52"/>
      <c r="B12" s="52"/>
      <c r="C12" s="52"/>
    </row>
    <row r="13" spans="1:4" x14ac:dyDescent="0.25">
      <c r="A13" s="52"/>
      <c r="B13" s="52"/>
      <c r="C13" s="52"/>
    </row>
    <row r="14" spans="1:4" x14ac:dyDescent="0.25">
      <c r="A14" s="52"/>
      <c r="B14" s="52"/>
      <c r="C14" s="52"/>
    </row>
  </sheetData>
  <mergeCells count="4">
    <mergeCell ref="A1:C1"/>
    <mergeCell ref="A2:A3"/>
    <mergeCell ref="B2:B3"/>
    <mergeCell ref="C2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14"/>
  <sheetViews>
    <sheetView workbookViewId="0">
      <selection activeCell="C5" sqref="C5"/>
    </sheetView>
  </sheetViews>
  <sheetFormatPr defaultRowHeight="15" x14ac:dyDescent="0.25"/>
  <cols>
    <col min="1" max="1" width="7" customWidth="1"/>
    <col min="2" max="2" width="24.28515625" customWidth="1"/>
  </cols>
  <sheetData>
    <row r="1" spans="1:4" x14ac:dyDescent="0.25">
      <c r="A1" s="130" t="s">
        <v>545</v>
      </c>
      <c r="B1" s="130"/>
      <c r="C1" s="130"/>
    </row>
    <row r="2" spans="1:4" x14ac:dyDescent="0.25">
      <c r="A2" s="119" t="s">
        <v>234</v>
      </c>
      <c r="B2" s="119" t="s">
        <v>235</v>
      </c>
      <c r="C2" s="120" t="s">
        <v>542</v>
      </c>
    </row>
    <row r="3" spans="1:4" x14ac:dyDescent="0.25">
      <c r="A3" s="119"/>
      <c r="B3" s="119"/>
      <c r="C3" s="121"/>
      <c r="D3" s="57"/>
    </row>
    <row r="4" spans="1:4" x14ac:dyDescent="0.25">
      <c r="A4" s="52">
        <v>1</v>
      </c>
      <c r="B4" s="56" t="s">
        <v>238</v>
      </c>
      <c r="C4" s="55">
        <f>+'Shuttering Raft'!G4</f>
        <v>216.07</v>
      </c>
    </row>
    <row r="5" spans="1:4" x14ac:dyDescent="0.25">
      <c r="A5" s="52">
        <v>2</v>
      </c>
      <c r="B5" s="52" t="s">
        <v>543</v>
      </c>
      <c r="C5" s="55">
        <f>+'Shuttering Raft'!G31</f>
        <v>609.7410000000034</v>
      </c>
    </row>
    <row r="6" spans="1:4" x14ac:dyDescent="0.25">
      <c r="A6" s="52">
        <v>3</v>
      </c>
      <c r="B6" s="52" t="s">
        <v>285</v>
      </c>
      <c r="C6" s="55">
        <f>+'Shuttering Raft'!H172</f>
        <v>843.44870000000037</v>
      </c>
    </row>
    <row r="7" spans="1:4" x14ac:dyDescent="0.25">
      <c r="A7" s="52">
        <v>4</v>
      </c>
      <c r="B7" s="52" t="s">
        <v>544</v>
      </c>
      <c r="C7" s="55">
        <f>+'Floor Shuttering'!G30</f>
        <v>1043.9505000000004</v>
      </c>
    </row>
    <row r="8" spans="1:4" x14ac:dyDescent="0.25">
      <c r="A8" s="52">
        <v>5</v>
      </c>
      <c r="B8" s="67" t="s">
        <v>526</v>
      </c>
      <c r="C8" s="55">
        <f>+'Floor Shuttering'!H316+'Floor Shuttering'!G428</f>
        <v>2234.6037500000002</v>
      </c>
    </row>
    <row r="9" spans="1:4" x14ac:dyDescent="0.25">
      <c r="A9" s="52"/>
      <c r="B9" s="52"/>
      <c r="C9" s="52"/>
    </row>
    <row r="10" spans="1:4" x14ac:dyDescent="0.25">
      <c r="A10" s="52"/>
      <c r="B10" s="52"/>
      <c r="C10" s="52"/>
    </row>
    <row r="11" spans="1:4" x14ac:dyDescent="0.25">
      <c r="A11" s="52"/>
      <c r="B11" s="52"/>
      <c r="C11" s="52"/>
    </row>
    <row r="12" spans="1:4" x14ac:dyDescent="0.25">
      <c r="A12" s="52"/>
      <c r="B12" s="52"/>
      <c r="C12" s="52"/>
    </row>
    <row r="13" spans="1:4" x14ac:dyDescent="0.25">
      <c r="A13" s="52"/>
      <c r="B13" s="52"/>
      <c r="C13" s="52"/>
    </row>
    <row r="14" spans="1:4" x14ac:dyDescent="0.25">
      <c r="A14" s="52"/>
      <c r="B14" s="52"/>
      <c r="C14" s="52"/>
    </row>
  </sheetData>
  <mergeCells count="4">
    <mergeCell ref="A2:A3"/>
    <mergeCell ref="B2:B3"/>
    <mergeCell ref="C2:C3"/>
    <mergeCell ref="A1:C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200"/>
  <sheetViews>
    <sheetView workbookViewId="0">
      <pane ySplit="3" topLeftCell="A89" activePane="bottomLeft" state="frozen"/>
      <selection pane="bottomLeft" activeCell="C178" sqref="C178"/>
    </sheetView>
  </sheetViews>
  <sheetFormatPr defaultRowHeight="15" x14ac:dyDescent="0.25"/>
  <cols>
    <col min="1" max="1" width="9.140625" style="3"/>
    <col min="2" max="2" width="36.28515625" style="3" customWidth="1"/>
    <col min="3" max="3" width="6.85546875" style="41" customWidth="1"/>
    <col min="4" max="4" width="6.85546875" style="42" customWidth="1"/>
    <col min="5" max="5" width="7.7109375" style="41" customWidth="1"/>
    <col min="6" max="6" width="9.140625" style="41"/>
    <col min="7" max="7" width="8.7109375" style="41" customWidth="1"/>
    <col min="8" max="12" width="8.7109375" style="3" customWidth="1"/>
    <col min="13" max="13" width="9.5703125" style="3" bestFit="1" customWidth="1"/>
    <col min="14" max="16384" width="9.140625" style="3"/>
  </cols>
  <sheetData>
    <row r="1" spans="1:18" ht="2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133" t="s">
        <v>1</v>
      </c>
      <c r="B2" s="133" t="s">
        <v>2</v>
      </c>
      <c r="C2" s="131" t="s">
        <v>3</v>
      </c>
      <c r="D2" s="131" t="s">
        <v>4</v>
      </c>
      <c r="E2" s="131" t="s">
        <v>5</v>
      </c>
      <c r="F2" s="131" t="s">
        <v>5</v>
      </c>
      <c r="G2" s="131" t="s">
        <v>6</v>
      </c>
      <c r="H2" s="135" t="s">
        <v>7</v>
      </c>
      <c r="I2" s="135"/>
      <c r="J2" s="135"/>
      <c r="K2" s="133" t="s">
        <v>21</v>
      </c>
      <c r="L2" s="133" t="s">
        <v>8</v>
      </c>
      <c r="M2" s="136" t="s">
        <v>9</v>
      </c>
      <c r="N2" s="136"/>
      <c r="O2" s="136"/>
      <c r="P2" s="136"/>
      <c r="Q2" s="136"/>
      <c r="R2" s="136"/>
    </row>
    <row r="3" spans="1:18" x14ac:dyDescent="0.25">
      <c r="A3" s="134"/>
      <c r="B3" s="134"/>
      <c r="C3" s="132"/>
      <c r="D3" s="132"/>
      <c r="E3" s="132"/>
      <c r="F3" s="132"/>
      <c r="G3" s="132"/>
      <c r="H3" s="4" t="s">
        <v>10</v>
      </c>
      <c r="I3" s="4" t="s">
        <v>11</v>
      </c>
      <c r="J3" s="4" t="s">
        <v>12</v>
      </c>
      <c r="K3" s="134"/>
      <c r="L3" s="134"/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6" t="s">
        <v>18</v>
      </c>
    </row>
    <row r="4" spans="1:18" x14ac:dyDescent="0.25">
      <c r="A4" s="7"/>
      <c r="B4" s="8"/>
      <c r="C4" s="9"/>
      <c r="D4" s="10"/>
      <c r="E4" s="9"/>
      <c r="F4" s="11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3"/>
    </row>
    <row r="5" spans="1:18" x14ac:dyDescent="0.25">
      <c r="A5" s="7"/>
      <c r="B5" s="8" t="s">
        <v>22</v>
      </c>
      <c r="C5" s="9"/>
      <c r="D5" s="10"/>
      <c r="E5" s="9"/>
      <c r="F5" s="11"/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x14ac:dyDescent="0.25">
      <c r="A6" s="7"/>
      <c r="B6" s="14" t="s">
        <v>23</v>
      </c>
      <c r="C6" s="15">
        <v>16</v>
      </c>
      <c r="D6" s="16">
        <v>250</v>
      </c>
      <c r="E6" s="15">
        <v>2</v>
      </c>
      <c r="F6" s="11">
        <v>2</v>
      </c>
      <c r="G6" s="11">
        <f>+ROUND(8555/D6+1,0)</f>
        <v>35</v>
      </c>
      <c r="H6" s="12">
        <v>0.65</v>
      </c>
      <c r="I6" s="12">
        <f>21.65-0.05*2</f>
        <v>21.549999999999997</v>
      </c>
      <c r="J6" s="12">
        <v>0.65</v>
      </c>
      <c r="K6" s="12">
        <f>50*C6/1000</f>
        <v>0.8</v>
      </c>
      <c r="L6" s="12">
        <f>SUM(H6:J6)+K6</f>
        <v>23.649999999999995</v>
      </c>
      <c r="M6" s="12">
        <f>+ROUND(IF(C6=8,PRODUCT(E6,F6,G6,L6),0),2)</f>
        <v>0</v>
      </c>
      <c r="N6" s="12">
        <f>+ROUND(IF(C6=10,PRODUCT(E6,F6,G6,L6),0),2)</f>
        <v>0</v>
      </c>
      <c r="O6" s="12">
        <f>+ROUND(IF(C6=12,PRODUCT(E6,F6,G6,L6),0),2)</f>
        <v>0</v>
      </c>
      <c r="P6" s="12">
        <f>+ROUND(IF(C6=16,PRODUCT(E6,F6,G6,L6),0),2)</f>
        <v>3311</v>
      </c>
      <c r="Q6" s="12">
        <f>+ROUND(IF(C6=20,PRODUCT(E6,F6,G6,L6),0),2)</f>
        <v>0</v>
      </c>
      <c r="R6" s="12">
        <f>+ROUND(IF(C6=25,PRODUCT(E6,F6,G6,L6),0),2)</f>
        <v>0</v>
      </c>
    </row>
    <row r="7" spans="1:18" x14ac:dyDescent="0.25">
      <c r="A7" s="7"/>
      <c r="B7" s="14"/>
      <c r="C7" s="15">
        <v>16</v>
      </c>
      <c r="D7" s="16">
        <v>250</v>
      </c>
      <c r="E7" s="15">
        <v>2</v>
      </c>
      <c r="F7" s="11">
        <v>2</v>
      </c>
      <c r="G7" s="11">
        <f>+ROUND(2535/D7,0)</f>
        <v>10</v>
      </c>
      <c r="H7" s="12">
        <v>0.65</v>
      </c>
      <c r="I7" s="12">
        <f>+I6+0.515</f>
        <v>22.064999999999998</v>
      </c>
      <c r="J7" s="12">
        <v>0.65</v>
      </c>
      <c r="K7" s="12">
        <f>2*50*C7/1000</f>
        <v>1.6</v>
      </c>
      <c r="L7" s="12">
        <f t="shared" ref="L7:L24" si="0">SUM(H7:J7)+K7</f>
        <v>24.964999999999996</v>
      </c>
      <c r="M7" s="12">
        <f t="shared" ref="M7:M44" si="1">+ROUND(IF(C7=8,PRODUCT(E7,F7,G7,L7),0),2)</f>
        <v>0</v>
      </c>
      <c r="N7" s="12">
        <f t="shared" ref="N7:N44" si="2">+ROUND(IF(C7=10,PRODUCT(E7,F7,G7,L7),0),2)</f>
        <v>0</v>
      </c>
      <c r="O7" s="12">
        <f t="shared" ref="O7:O44" si="3">+ROUND(IF(C7=12,PRODUCT(E7,F7,G7,L7),0),2)</f>
        <v>0</v>
      </c>
      <c r="P7" s="12">
        <f t="shared" ref="P7:P44" si="4">+ROUND(IF(C7=16,PRODUCT(E7,F7,G7,L7),0),2)</f>
        <v>998.6</v>
      </c>
      <c r="Q7" s="12">
        <f t="shared" ref="Q7:Q44" si="5">+ROUND(IF(C7=20,PRODUCT(E7,F7,G7,L7),0),2)</f>
        <v>0</v>
      </c>
      <c r="R7" s="12">
        <f t="shared" ref="R7:R44" si="6">+ROUND(IF(C7=25,PRODUCT(E7,F7,G7,L7),0),2)</f>
        <v>0</v>
      </c>
    </row>
    <row r="8" spans="1:18" x14ac:dyDescent="0.25">
      <c r="A8" s="7"/>
      <c r="B8" s="14"/>
      <c r="C8" s="15">
        <v>16</v>
      </c>
      <c r="D8" s="16">
        <v>250</v>
      </c>
      <c r="E8" s="15">
        <v>2</v>
      </c>
      <c r="F8" s="11">
        <v>2</v>
      </c>
      <c r="G8" s="11">
        <f>+ROUND(3660/D8,0)</f>
        <v>15</v>
      </c>
      <c r="H8" s="12">
        <v>0.65</v>
      </c>
      <c r="I8" s="12">
        <f>32.45-0.1</f>
        <v>32.35</v>
      </c>
      <c r="J8" s="12">
        <v>0.65</v>
      </c>
      <c r="K8" s="12">
        <f>2*50*C8/1000</f>
        <v>1.6</v>
      </c>
      <c r="L8" s="12">
        <f t="shared" si="0"/>
        <v>35.25</v>
      </c>
      <c r="M8" s="12">
        <f t="shared" si="1"/>
        <v>0</v>
      </c>
      <c r="N8" s="12">
        <f t="shared" si="2"/>
        <v>0</v>
      </c>
      <c r="O8" s="12">
        <f t="shared" si="3"/>
        <v>0</v>
      </c>
      <c r="P8" s="12">
        <f t="shared" si="4"/>
        <v>2115</v>
      </c>
      <c r="Q8" s="12">
        <f t="shared" si="5"/>
        <v>0</v>
      </c>
      <c r="R8" s="12">
        <f t="shared" si="6"/>
        <v>0</v>
      </c>
    </row>
    <row r="9" spans="1:18" x14ac:dyDescent="0.25">
      <c r="A9" s="7"/>
      <c r="B9" s="14"/>
      <c r="C9" s="15">
        <v>16</v>
      </c>
      <c r="D9" s="16">
        <v>250</v>
      </c>
      <c r="E9" s="15">
        <v>2</v>
      </c>
      <c r="F9" s="11">
        <v>2</v>
      </c>
      <c r="G9" s="11">
        <f>+ROUND(2485/D9,0)</f>
        <v>10</v>
      </c>
      <c r="H9" s="12">
        <v>0.65</v>
      </c>
      <c r="I9" s="12">
        <v>11.355</v>
      </c>
      <c r="J9" s="12">
        <v>0.65</v>
      </c>
      <c r="K9" s="12"/>
      <c r="L9" s="12">
        <f t="shared" si="0"/>
        <v>12.655000000000001</v>
      </c>
      <c r="M9" s="12">
        <f t="shared" si="1"/>
        <v>0</v>
      </c>
      <c r="N9" s="12">
        <f t="shared" si="2"/>
        <v>0</v>
      </c>
      <c r="O9" s="12">
        <f t="shared" si="3"/>
        <v>0</v>
      </c>
      <c r="P9" s="12">
        <f t="shared" si="4"/>
        <v>506.2</v>
      </c>
      <c r="Q9" s="12">
        <f t="shared" si="5"/>
        <v>0</v>
      </c>
      <c r="R9" s="12">
        <f t="shared" si="6"/>
        <v>0</v>
      </c>
    </row>
    <row r="10" spans="1:18" x14ac:dyDescent="0.25">
      <c r="A10" s="7"/>
      <c r="B10" s="14"/>
      <c r="C10" s="15">
        <v>16</v>
      </c>
      <c r="D10" s="16">
        <v>250</v>
      </c>
      <c r="E10" s="15">
        <v>2</v>
      </c>
      <c r="F10" s="11">
        <v>2</v>
      </c>
      <c r="G10" s="11">
        <f>+ROUND(1420/D10,0)</f>
        <v>6</v>
      </c>
      <c r="H10" s="12">
        <v>0.65</v>
      </c>
      <c r="I10" s="12">
        <f>11.355+0.515</f>
        <v>11.870000000000001</v>
      </c>
      <c r="J10" s="12">
        <v>0.65</v>
      </c>
      <c r="K10" s="12"/>
      <c r="L10" s="12">
        <f t="shared" si="0"/>
        <v>13.170000000000002</v>
      </c>
      <c r="M10" s="12">
        <f t="shared" si="1"/>
        <v>0</v>
      </c>
      <c r="N10" s="12">
        <f t="shared" si="2"/>
        <v>0</v>
      </c>
      <c r="O10" s="12">
        <f t="shared" si="3"/>
        <v>0</v>
      </c>
      <c r="P10" s="12">
        <f t="shared" si="4"/>
        <v>316.08</v>
      </c>
      <c r="Q10" s="12">
        <f t="shared" si="5"/>
        <v>0</v>
      </c>
      <c r="R10" s="12">
        <f t="shared" si="6"/>
        <v>0</v>
      </c>
    </row>
    <row r="11" spans="1:18" x14ac:dyDescent="0.25">
      <c r="A11" s="7"/>
      <c r="B11" s="14"/>
      <c r="C11" s="15">
        <v>16</v>
      </c>
      <c r="D11" s="16">
        <v>250</v>
      </c>
      <c r="E11" s="15">
        <v>2</v>
      </c>
      <c r="F11" s="11">
        <v>2</v>
      </c>
      <c r="G11" s="11">
        <f>+ROUND(4005/D11,0)</f>
        <v>16</v>
      </c>
      <c r="H11" s="12">
        <v>0.65</v>
      </c>
      <c r="I11" s="12">
        <f>18.01-0.1</f>
        <v>17.91</v>
      </c>
      <c r="J11" s="12">
        <v>0.65</v>
      </c>
      <c r="K11" s="12">
        <f>50*C11/1000</f>
        <v>0.8</v>
      </c>
      <c r="L11" s="12">
        <f t="shared" si="0"/>
        <v>20.009999999999998</v>
      </c>
      <c r="M11" s="12">
        <f t="shared" si="1"/>
        <v>0</v>
      </c>
      <c r="N11" s="12">
        <f t="shared" si="2"/>
        <v>0</v>
      </c>
      <c r="O11" s="12">
        <f t="shared" si="3"/>
        <v>0</v>
      </c>
      <c r="P11" s="12">
        <f t="shared" si="4"/>
        <v>1280.6400000000001</v>
      </c>
      <c r="Q11" s="12">
        <f t="shared" si="5"/>
        <v>0</v>
      </c>
      <c r="R11" s="12">
        <f t="shared" si="6"/>
        <v>0</v>
      </c>
    </row>
    <row r="12" spans="1:18" x14ac:dyDescent="0.25">
      <c r="A12" s="7"/>
      <c r="B12" s="8"/>
      <c r="C12" s="15">
        <v>16</v>
      </c>
      <c r="D12" s="16">
        <v>250</v>
      </c>
      <c r="E12" s="15">
        <v>2</v>
      </c>
      <c r="F12" s="11">
        <v>2</v>
      </c>
      <c r="G12" s="11">
        <f>+ROUND(1210/D12,0)</f>
        <v>5</v>
      </c>
      <c r="H12" s="12">
        <v>0.65</v>
      </c>
      <c r="I12" s="12">
        <f>32.45-0.1</f>
        <v>32.35</v>
      </c>
      <c r="J12" s="12">
        <v>0.65</v>
      </c>
      <c r="K12" s="12">
        <f>2*50*C12/1000</f>
        <v>1.6</v>
      </c>
      <c r="L12" s="12">
        <f t="shared" si="0"/>
        <v>35.25</v>
      </c>
      <c r="M12" s="12">
        <f t="shared" si="1"/>
        <v>0</v>
      </c>
      <c r="N12" s="12">
        <f t="shared" si="2"/>
        <v>0</v>
      </c>
      <c r="O12" s="12">
        <f t="shared" si="3"/>
        <v>0</v>
      </c>
      <c r="P12" s="12">
        <f t="shared" si="4"/>
        <v>705</v>
      </c>
      <c r="Q12" s="12">
        <f t="shared" si="5"/>
        <v>0</v>
      </c>
      <c r="R12" s="12">
        <f t="shared" si="6"/>
        <v>0</v>
      </c>
    </row>
    <row r="13" spans="1:18" x14ac:dyDescent="0.25">
      <c r="A13" s="7"/>
      <c r="B13" s="17"/>
      <c r="C13" s="15">
        <v>16</v>
      </c>
      <c r="D13" s="16">
        <v>250</v>
      </c>
      <c r="E13" s="15">
        <v>2</v>
      </c>
      <c r="F13" s="11">
        <v>2</v>
      </c>
      <c r="G13" s="11">
        <f>+ROUND(3950/D13,0)</f>
        <v>16</v>
      </c>
      <c r="H13" s="12">
        <v>0.65</v>
      </c>
      <c r="I13" s="12">
        <f>32.45-0.1-1.5</f>
        <v>30.85</v>
      </c>
      <c r="J13" s="12">
        <v>0.65</v>
      </c>
      <c r="K13" s="12">
        <f>2*50*C13/1000</f>
        <v>1.6</v>
      </c>
      <c r="L13" s="12">
        <f t="shared" si="0"/>
        <v>33.75</v>
      </c>
      <c r="M13" s="12">
        <f t="shared" si="1"/>
        <v>0</v>
      </c>
      <c r="N13" s="12">
        <f t="shared" si="2"/>
        <v>0</v>
      </c>
      <c r="O13" s="12">
        <f t="shared" si="3"/>
        <v>0</v>
      </c>
      <c r="P13" s="12">
        <f t="shared" si="4"/>
        <v>2160</v>
      </c>
      <c r="Q13" s="12">
        <f t="shared" si="5"/>
        <v>0</v>
      </c>
      <c r="R13" s="12">
        <f t="shared" si="6"/>
        <v>0</v>
      </c>
    </row>
    <row r="14" spans="1:18" x14ac:dyDescent="0.25">
      <c r="A14" s="7"/>
      <c r="B14" s="17"/>
      <c r="C14" s="15">
        <v>16</v>
      </c>
      <c r="D14" s="16">
        <v>250</v>
      </c>
      <c r="E14" s="15">
        <v>2</v>
      </c>
      <c r="F14" s="11">
        <v>2</v>
      </c>
      <c r="G14" s="11">
        <f>+ROUND(1595/D14,0)</f>
        <v>6</v>
      </c>
      <c r="H14" s="12">
        <v>0.65</v>
      </c>
      <c r="I14" s="12">
        <f>32.45-0.1-1.5-0.815</f>
        <v>30.035</v>
      </c>
      <c r="J14" s="12">
        <v>0.65</v>
      </c>
      <c r="K14" s="12">
        <f>2*50*C14/1000</f>
        <v>1.6</v>
      </c>
      <c r="L14" s="12">
        <f t="shared" si="0"/>
        <v>32.934999999999995</v>
      </c>
      <c r="M14" s="12">
        <f t="shared" si="1"/>
        <v>0</v>
      </c>
      <c r="N14" s="12">
        <f t="shared" si="2"/>
        <v>0</v>
      </c>
      <c r="O14" s="12">
        <f t="shared" si="3"/>
        <v>0</v>
      </c>
      <c r="P14" s="12">
        <f t="shared" si="4"/>
        <v>790.44</v>
      </c>
      <c r="Q14" s="12">
        <f t="shared" si="5"/>
        <v>0</v>
      </c>
      <c r="R14" s="12">
        <f t="shared" si="6"/>
        <v>0</v>
      </c>
    </row>
    <row r="15" spans="1:18" x14ac:dyDescent="0.25">
      <c r="A15" s="7"/>
      <c r="B15" s="8"/>
      <c r="C15" s="15">
        <v>16</v>
      </c>
      <c r="D15" s="16">
        <v>250</v>
      </c>
      <c r="E15" s="15">
        <v>2</v>
      </c>
      <c r="F15" s="11">
        <v>2</v>
      </c>
      <c r="G15" s="11">
        <f>+ROUND(280/D15,0)</f>
        <v>1</v>
      </c>
      <c r="H15" s="12">
        <v>0.65</v>
      </c>
      <c r="I15" s="12">
        <f>+I14-1.405</f>
        <v>28.63</v>
      </c>
      <c r="J15" s="12">
        <v>0.65</v>
      </c>
      <c r="K15" s="12">
        <f>2*50*C15/1000</f>
        <v>1.6</v>
      </c>
      <c r="L15" s="12">
        <f t="shared" si="0"/>
        <v>31.529999999999998</v>
      </c>
      <c r="M15" s="12">
        <f t="shared" si="1"/>
        <v>0</v>
      </c>
      <c r="N15" s="12">
        <f t="shared" si="2"/>
        <v>0</v>
      </c>
      <c r="O15" s="12">
        <f t="shared" si="3"/>
        <v>0</v>
      </c>
      <c r="P15" s="12">
        <f t="shared" si="4"/>
        <v>126.12</v>
      </c>
      <c r="Q15" s="12">
        <f t="shared" si="5"/>
        <v>0</v>
      </c>
      <c r="R15" s="12">
        <f t="shared" si="6"/>
        <v>0</v>
      </c>
    </row>
    <row r="16" spans="1:18" x14ac:dyDescent="0.25">
      <c r="A16" s="7"/>
      <c r="B16" s="8"/>
      <c r="C16" s="15">
        <v>16</v>
      </c>
      <c r="D16" s="16">
        <v>250</v>
      </c>
      <c r="E16" s="15">
        <v>2</v>
      </c>
      <c r="F16" s="11">
        <v>2</v>
      </c>
      <c r="G16" s="11">
        <f>+ROUND(13090/D16,0)</f>
        <v>52</v>
      </c>
      <c r="H16" s="12">
        <v>0.65</v>
      </c>
      <c r="I16" s="12">
        <v>15.7</v>
      </c>
      <c r="J16" s="12">
        <v>0.65</v>
      </c>
      <c r="K16" s="12">
        <f>50*C16/1000</f>
        <v>0.8</v>
      </c>
      <c r="L16" s="12">
        <f t="shared" si="0"/>
        <v>17.799999999999997</v>
      </c>
      <c r="M16" s="12">
        <f t="shared" si="1"/>
        <v>0</v>
      </c>
      <c r="N16" s="12">
        <f t="shared" si="2"/>
        <v>0</v>
      </c>
      <c r="O16" s="12">
        <f t="shared" si="3"/>
        <v>0</v>
      </c>
      <c r="P16" s="12">
        <f t="shared" si="4"/>
        <v>3702.4</v>
      </c>
      <c r="Q16" s="12">
        <f t="shared" si="5"/>
        <v>0</v>
      </c>
      <c r="R16" s="12">
        <f t="shared" si="6"/>
        <v>0</v>
      </c>
    </row>
    <row r="17" spans="1:18" x14ac:dyDescent="0.25">
      <c r="A17" s="7"/>
      <c r="B17" s="14" t="s">
        <v>24</v>
      </c>
      <c r="C17" s="15">
        <v>16</v>
      </c>
      <c r="D17" s="16">
        <v>250</v>
      </c>
      <c r="E17" s="15">
        <v>2</v>
      </c>
      <c r="F17" s="11">
        <v>2</v>
      </c>
      <c r="G17" s="11">
        <f>+ROUND(465/D17,0)</f>
        <v>2</v>
      </c>
      <c r="H17" s="12">
        <v>0.65</v>
      </c>
      <c r="I17" s="12">
        <v>8.68</v>
      </c>
      <c r="J17" s="12">
        <v>0.65</v>
      </c>
      <c r="K17" s="12"/>
      <c r="L17" s="12">
        <f t="shared" si="0"/>
        <v>9.98</v>
      </c>
      <c r="M17" s="12">
        <f t="shared" si="1"/>
        <v>0</v>
      </c>
      <c r="N17" s="12">
        <f t="shared" si="2"/>
        <v>0</v>
      </c>
      <c r="O17" s="12">
        <f t="shared" si="3"/>
        <v>0</v>
      </c>
      <c r="P17" s="12">
        <f t="shared" si="4"/>
        <v>79.84</v>
      </c>
      <c r="Q17" s="12">
        <f t="shared" si="5"/>
        <v>0</v>
      </c>
      <c r="R17" s="12">
        <f t="shared" si="6"/>
        <v>0</v>
      </c>
    </row>
    <row r="18" spans="1:18" x14ac:dyDescent="0.25">
      <c r="A18" s="7"/>
      <c r="B18" s="14"/>
      <c r="C18" s="15">
        <v>16</v>
      </c>
      <c r="D18" s="16">
        <v>250</v>
      </c>
      <c r="E18" s="15">
        <v>2</v>
      </c>
      <c r="F18" s="11">
        <v>2</v>
      </c>
      <c r="G18" s="11">
        <f>+ROUND(10840/D18,0)</f>
        <v>43</v>
      </c>
      <c r="H18" s="12">
        <v>0.65</v>
      </c>
      <c r="I18" s="12">
        <v>25.79</v>
      </c>
      <c r="J18" s="12">
        <v>0.65</v>
      </c>
      <c r="K18" s="12">
        <f>2*50*C18/1000</f>
        <v>1.6</v>
      </c>
      <c r="L18" s="12">
        <f t="shared" si="0"/>
        <v>28.689999999999998</v>
      </c>
      <c r="M18" s="12">
        <f t="shared" si="1"/>
        <v>0</v>
      </c>
      <c r="N18" s="12">
        <f t="shared" si="2"/>
        <v>0</v>
      </c>
      <c r="O18" s="12">
        <f t="shared" si="3"/>
        <v>0</v>
      </c>
      <c r="P18" s="12">
        <f t="shared" si="4"/>
        <v>4934.68</v>
      </c>
      <c r="Q18" s="12">
        <f t="shared" si="5"/>
        <v>0</v>
      </c>
      <c r="R18" s="12">
        <f t="shared" si="6"/>
        <v>0</v>
      </c>
    </row>
    <row r="19" spans="1:18" x14ac:dyDescent="0.25">
      <c r="A19" s="7"/>
      <c r="B19" s="14"/>
      <c r="C19" s="15">
        <v>16</v>
      </c>
      <c r="D19" s="16">
        <v>250</v>
      </c>
      <c r="E19" s="15">
        <v>2</v>
      </c>
      <c r="F19" s="11">
        <v>2</v>
      </c>
      <c r="G19" s="11">
        <f>+ROUND(2985/D19,0)</f>
        <v>12</v>
      </c>
      <c r="H19" s="12">
        <v>0.65</v>
      </c>
      <c r="I19" s="12">
        <v>14.65</v>
      </c>
      <c r="J19" s="12">
        <v>0.65</v>
      </c>
      <c r="K19" s="12">
        <v>0.8</v>
      </c>
      <c r="L19" s="12">
        <f t="shared" si="0"/>
        <v>16.75</v>
      </c>
      <c r="M19" s="12">
        <f t="shared" si="1"/>
        <v>0</v>
      </c>
      <c r="N19" s="12">
        <f t="shared" si="2"/>
        <v>0</v>
      </c>
      <c r="O19" s="12">
        <f t="shared" si="3"/>
        <v>0</v>
      </c>
      <c r="P19" s="12">
        <f t="shared" si="4"/>
        <v>804</v>
      </c>
      <c r="Q19" s="12">
        <f t="shared" si="5"/>
        <v>0</v>
      </c>
      <c r="R19" s="12">
        <f t="shared" si="6"/>
        <v>0</v>
      </c>
    </row>
    <row r="20" spans="1:18" x14ac:dyDescent="0.25">
      <c r="A20" s="7"/>
      <c r="B20" s="8"/>
      <c r="C20" s="15">
        <v>16</v>
      </c>
      <c r="D20" s="16">
        <v>250</v>
      </c>
      <c r="E20" s="15">
        <v>2</v>
      </c>
      <c r="F20" s="11">
        <v>2</v>
      </c>
      <c r="G20" s="11">
        <f>+ROUND(1475/D20,0)</f>
        <v>6</v>
      </c>
      <c r="H20" s="12">
        <v>0.65</v>
      </c>
      <c r="I20" s="12">
        <v>7.0350000000000001</v>
      </c>
      <c r="J20" s="12">
        <v>0.65</v>
      </c>
      <c r="K20" s="12"/>
      <c r="L20" s="12">
        <f t="shared" si="0"/>
        <v>8.3350000000000009</v>
      </c>
      <c r="M20" s="12">
        <f t="shared" si="1"/>
        <v>0</v>
      </c>
      <c r="N20" s="12">
        <f t="shared" si="2"/>
        <v>0</v>
      </c>
      <c r="O20" s="12">
        <f t="shared" si="3"/>
        <v>0</v>
      </c>
      <c r="P20" s="12">
        <f t="shared" si="4"/>
        <v>200.04</v>
      </c>
      <c r="Q20" s="12">
        <f t="shared" si="5"/>
        <v>0</v>
      </c>
      <c r="R20" s="12">
        <f t="shared" si="6"/>
        <v>0</v>
      </c>
    </row>
    <row r="21" spans="1:18" x14ac:dyDescent="0.25">
      <c r="A21" s="7"/>
      <c r="B21" s="14"/>
      <c r="C21" s="15">
        <v>16</v>
      </c>
      <c r="D21" s="16">
        <v>250</v>
      </c>
      <c r="E21" s="15">
        <v>1</v>
      </c>
      <c r="F21" s="11">
        <v>2</v>
      </c>
      <c r="G21" s="11">
        <f>+ROUND(1510/D21,0)</f>
        <v>6</v>
      </c>
      <c r="H21" s="12">
        <v>0.65</v>
      </c>
      <c r="I21" s="12">
        <v>40.35</v>
      </c>
      <c r="J21" s="12">
        <v>0.65</v>
      </c>
      <c r="K21" s="12">
        <v>2.4</v>
      </c>
      <c r="L21" s="12">
        <f t="shared" si="0"/>
        <v>44.05</v>
      </c>
      <c r="M21" s="12">
        <f t="shared" si="1"/>
        <v>0</v>
      </c>
      <c r="N21" s="12">
        <f t="shared" si="2"/>
        <v>0</v>
      </c>
      <c r="O21" s="12">
        <f t="shared" si="3"/>
        <v>0</v>
      </c>
      <c r="P21" s="12">
        <f t="shared" si="4"/>
        <v>528.6</v>
      </c>
      <c r="Q21" s="12">
        <f t="shared" si="5"/>
        <v>0</v>
      </c>
      <c r="R21" s="12">
        <f t="shared" si="6"/>
        <v>0</v>
      </c>
    </row>
    <row r="22" spans="1:18" x14ac:dyDescent="0.25">
      <c r="A22" s="7"/>
      <c r="B22" s="14"/>
      <c r="C22" s="15">
        <v>16</v>
      </c>
      <c r="D22" s="16">
        <v>250</v>
      </c>
      <c r="E22" s="15">
        <v>1</v>
      </c>
      <c r="F22" s="11">
        <v>2</v>
      </c>
      <c r="G22" s="11">
        <f>+ROUND(7725/D22,0)</f>
        <v>31</v>
      </c>
      <c r="H22" s="12">
        <v>0.65</v>
      </c>
      <c r="I22" s="12">
        <v>77.86</v>
      </c>
      <c r="J22" s="12">
        <v>0.65</v>
      </c>
      <c r="K22" s="12">
        <f>0.8*7</f>
        <v>5.6000000000000005</v>
      </c>
      <c r="L22" s="12">
        <f t="shared" si="0"/>
        <v>84.76</v>
      </c>
      <c r="M22" s="12">
        <f t="shared" si="1"/>
        <v>0</v>
      </c>
      <c r="N22" s="12">
        <f t="shared" si="2"/>
        <v>0</v>
      </c>
      <c r="O22" s="12">
        <f t="shared" si="3"/>
        <v>0</v>
      </c>
      <c r="P22" s="12">
        <f t="shared" si="4"/>
        <v>5255.12</v>
      </c>
      <c r="Q22" s="12">
        <f t="shared" si="5"/>
        <v>0</v>
      </c>
      <c r="R22" s="12">
        <f t="shared" si="6"/>
        <v>0</v>
      </c>
    </row>
    <row r="23" spans="1:18" x14ac:dyDescent="0.25">
      <c r="A23" s="7"/>
      <c r="B23" s="14"/>
      <c r="C23" s="15">
        <v>16</v>
      </c>
      <c r="D23" s="16">
        <v>250</v>
      </c>
      <c r="E23" s="15">
        <v>1</v>
      </c>
      <c r="F23" s="11">
        <v>2</v>
      </c>
      <c r="G23" s="11">
        <f>+ROUND(6565/D23,0)</f>
        <v>26</v>
      </c>
      <c r="H23" s="12">
        <v>0.65</v>
      </c>
      <c r="I23" s="12">
        <v>55.68</v>
      </c>
      <c r="J23" s="12">
        <v>0.65</v>
      </c>
      <c r="K23" s="12">
        <v>4</v>
      </c>
      <c r="L23" s="12">
        <f t="shared" si="0"/>
        <v>60.98</v>
      </c>
      <c r="M23" s="12">
        <f t="shared" si="1"/>
        <v>0</v>
      </c>
      <c r="N23" s="12">
        <f t="shared" si="2"/>
        <v>0</v>
      </c>
      <c r="O23" s="12">
        <f t="shared" si="3"/>
        <v>0</v>
      </c>
      <c r="P23" s="12">
        <f t="shared" si="4"/>
        <v>3170.96</v>
      </c>
      <c r="Q23" s="12">
        <f t="shared" si="5"/>
        <v>0</v>
      </c>
      <c r="R23" s="12">
        <f t="shared" si="6"/>
        <v>0</v>
      </c>
    </row>
    <row r="24" spans="1:18" x14ac:dyDescent="0.25">
      <c r="A24" s="7"/>
      <c r="B24" s="8"/>
      <c r="C24" s="15">
        <v>16</v>
      </c>
      <c r="D24" s="16">
        <v>250</v>
      </c>
      <c r="E24" s="15">
        <v>2</v>
      </c>
      <c r="F24" s="11">
        <v>2</v>
      </c>
      <c r="G24" s="11">
        <f>+ROUND(1405/D24,0)</f>
        <v>6</v>
      </c>
      <c r="H24" s="12">
        <v>0.65</v>
      </c>
      <c r="I24" s="12">
        <v>14.42</v>
      </c>
      <c r="J24" s="12">
        <v>0.65</v>
      </c>
      <c r="K24" s="12">
        <v>0.8</v>
      </c>
      <c r="L24" s="12">
        <f t="shared" si="0"/>
        <v>16.52</v>
      </c>
      <c r="M24" s="12">
        <f t="shared" si="1"/>
        <v>0</v>
      </c>
      <c r="N24" s="12">
        <f t="shared" si="2"/>
        <v>0</v>
      </c>
      <c r="O24" s="12">
        <f t="shared" si="3"/>
        <v>0</v>
      </c>
      <c r="P24" s="12">
        <f t="shared" si="4"/>
        <v>396.48</v>
      </c>
      <c r="Q24" s="12">
        <f t="shared" si="5"/>
        <v>0</v>
      </c>
      <c r="R24" s="12">
        <f t="shared" si="6"/>
        <v>0</v>
      </c>
    </row>
    <row r="25" spans="1:18" x14ac:dyDescent="0.25">
      <c r="A25" s="7"/>
      <c r="B25" s="14"/>
      <c r="C25" s="15">
        <v>16</v>
      </c>
      <c r="D25" s="16">
        <v>250</v>
      </c>
      <c r="E25" s="15">
        <v>2</v>
      </c>
      <c r="F25" s="11">
        <v>2</v>
      </c>
      <c r="G25" s="11">
        <f>+ROUND(815/D25,0)</f>
        <v>3</v>
      </c>
      <c r="H25" s="12">
        <v>0.65</v>
      </c>
      <c r="I25" s="12">
        <v>12.725</v>
      </c>
      <c r="J25" s="12">
        <v>0.65</v>
      </c>
      <c r="K25" s="12">
        <v>0.8</v>
      </c>
      <c r="L25" s="12">
        <f>SUM(H25:J25)+K25</f>
        <v>14.825000000000001</v>
      </c>
      <c r="M25" s="12">
        <f t="shared" si="1"/>
        <v>0</v>
      </c>
      <c r="N25" s="12">
        <f t="shared" si="2"/>
        <v>0</v>
      </c>
      <c r="O25" s="12">
        <f t="shared" si="3"/>
        <v>0</v>
      </c>
      <c r="P25" s="12">
        <f t="shared" si="4"/>
        <v>177.9</v>
      </c>
      <c r="Q25" s="12">
        <f t="shared" si="5"/>
        <v>0</v>
      </c>
      <c r="R25" s="12">
        <f t="shared" si="6"/>
        <v>0</v>
      </c>
    </row>
    <row r="26" spans="1:18" x14ac:dyDescent="0.25">
      <c r="A26" s="7"/>
      <c r="B26" s="14"/>
      <c r="C26" s="15">
        <v>16</v>
      </c>
      <c r="D26" s="16">
        <v>250</v>
      </c>
      <c r="E26" s="15">
        <v>2</v>
      </c>
      <c r="F26" s="11">
        <v>2</v>
      </c>
      <c r="G26" s="11">
        <f>+ROUND(1500/D26,0)</f>
        <v>6</v>
      </c>
      <c r="H26" s="12">
        <v>0.65</v>
      </c>
      <c r="I26" s="12">
        <v>8.7750000000000004</v>
      </c>
      <c r="J26" s="12">
        <v>0.65</v>
      </c>
      <c r="K26" s="12"/>
      <c r="L26" s="12">
        <f t="shared" ref="L26:L89" si="7">SUM(H26:J26)+K26</f>
        <v>10.075000000000001</v>
      </c>
      <c r="M26" s="12">
        <f t="shared" si="1"/>
        <v>0</v>
      </c>
      <c r="N26" s="12">
        <f t="shared" si="2"/>
        <v>0</v>
      </c>
      <c r="O26" s="12">
        <f t="shared" si="3"/>
        <v>0</v>
      </c>
      <c r="P26" s="12">
        <f t="shared" si="4"/>
        <v>241.8</v>
      </c>
      <c r="Q26" s="12">
        <f t="shared" si="5"/>
        <v>0</v>
      </c>
      <c r="R26" s="12">
        <f t="shared" si="6"/>
        <v>0</v>
      </c>
    </row>
    <row r="27" spans="1:18" x14ac:dyDescent="0.25">
      <c r="A27" s="7"/>
      <c r="B27" s="8" t="s">
        <v>25</v>
      </c>
      <c r="C27" s="15"/>
      <c r="D27" s="16"/>
      <c r="E27" s="15"/>
      <c r="F27" s="11"/>
      <c r="G27" s="11"/>
      <c r="H27" s="12"/>
      <c r="I27" s="12"/>
      <c r="J27" s="12"/>
      <c r="K27" s="12"/>
      <c r="L27" s="12">
        <f t="shared" si="7"/>
        <v>0</v>
      </c>
      <c r="M27" s="12">
        <f t="shared" si="1"/>
        <v>0</v>
      </c>
      <c r="N27" s="12">
        <f t="shared" si="2"/>
        <v>0</v>
      </c>
      <c r="O27" s="12">
        <f t="shared" si="3"/>
        <v>0</v>
      </c>
      <c r="P27" s="12">
        <f t="shared" si="4"/>
        <v>0</v>
      </c>
      <c r="Q27" s="12">
        <f t="shared" si="5"/>
        <v>0</v>
      </c>
      <c r="R27" s="12">
        <f t="shared" si="6"/>
        <v>0</v>
      </c>
    </row>
    <row r="28" spans="1:18" x14ac:dyDescent="0.25">
      <c r="A28" s="7"/>
      <c r="B28" s="14" t="s">
        <v>23</v>
      </c>
      <c r="C28" s="15">
        <v>16</v>
      </c>
      <c r="D28" s="16">
        <v>250</v>
      </c>
      <c r="E28" s="15">
        <v>2</v>
      </c>
      <c r="F28" s="11">
        <v>2</v>
      </c>
      <c r="G28" s="11">
        <f>+ROUND(6065/D28,0)</f>
        <v>24</v>
      </c>
      <c r="H28" s="12">
        <v>0.65</v>
      </c>
      <c r="I28" s="12">
        <v>5.0449999999999999</v>
      </c>
      <c r="J28" s="12">
        <v>0.65</v>
      </c>
      <c r="K28" s="12"/>
      <c r="L28" s="12">
        <f t="shared" si="7"/>
        <v>6.3450000000000006</v>
      </c>
      <c r="M28" s="12">
        <f t="shared" si="1"/>
        <v>0</v>
      </c>
      <c r="N28" s="12">
        <f t="shared" si="2"/>
        <v>0</v>
      </c>
      <c r="O28" s="12">
        <f t="shared" si="3"/>
        <v>0</v>
      </c>
      <c r="P28" s="12">
        <f t="shared" si="4"/>
        <v>609.12</v>
      </c>
      <c r="Q28" s="12">
        <f t="shared" si="5"/>
        <v>0</v>
      </c>
      <c r="R28" s="12">
        <f t="shared" si="6"/>
        <v>0</v>
      </c>
    </row>
    <row r="29" spans="1:18" x14ac:dyDescent="0.25">
      <c r="A29" s="7"/>
      <c r="B29" s="14"/>
      <c r="C29" s="15">
        <v>16</v>
      </c>
      <c r="D29" s="16">
        <v>250</v>
      </c>
      <c r="E29" s="15">
        <v>2</v>
      </c>
      <c r="F29" s="11">
        <v>2</v>
      </c>
      <c r="G29" s="11">
        <f>+ROUND(5145/D29,0)</f>
        <v>21</v>
      </c>
      <c r="H29" s="12">
        <v>0.65</v>
      </c>
      <c r="I29" s="12">
        <v>6.0650000000000004</v>
      </c>
      <c r="J29" s="12">
        <v>0.65</v>
      </c>
      <c r="K29" s="12"/>
      <c r="L29" s="12">
        <f>SUM(H29:J29)+K29</f>
        <v>7.3650000000000011</v>
      </c>
      <c r="M29" s="12">
        <f t="shared" si="1"/>
        <v>0</v>
      </c>
      <c r="N29" s="12">
        <f t="shared" si="2"/>
        <v>0</v>
      </c>
      <c r="O29" s="12">
        <f t="shared" si="3"/>
        <v>0</v>
      </c>
      <c r="P29" s="12">
        <f t="shared" si="4"/>
        <v>618.66</v>
      </c>
      <c r="Q29" s="12">
        <f t="shared" si="5"/>
        <v>0</v>
      </c>
      <c r="R29" s="12">
        <f t="shared" si="6"/>
        <v>0</v>
      </c>
    </row>
    <row r="30" spans="1:18" x14ac:dyDescent="0.25">
      <c r="A30" s="7"/>
      <c r="B30" s="8" t="s">
        <v>26</v>
      </c>
      <c r="C30" s="15"/>
      <c r="D30" s="16"/>
      <c r="E30" s="15"/>
      <c r="F30" s="11"/>
      <c r="G30" s="11"/>
      <c r="H30" s="12"/>
      <c r="I30" s="12"/>
      <c r="J30" s="12"/>
      <c r="K30" s="12"/>
      <c r="L30" s="12">
        <f t="shared" si="7"/>
        <v>0</v>
      </c>
      <c r="M30" s="12">
        <f t="shared" si="1"/>
        <v>0</v>
      </c>
      <c r="N30" s="12">
        <f t="shared" si="2"/>
        <v>0</v>
      </c>
      <c r="O30" s="12">
        <f t="shared" si="3"/>
        <v>0</v>
      </c>
      <c r="P30" s="12">
        <f t="shared" si="4"/>
        <v>0</v>
      </c>
      <c r="Q30" s="12">
        <f t="shared" si="5"/>
        <v>0</v>
      </c>
      <c r="R30" s="12">
        <f t="shared" si="6"/>
        <v>0</v>
      </c>
    </row>
    <row r="31" spans="1:18" x14ac:dyDescent="0.25">
      <c r="A31" s="7"/>
      <c r="B31" s="14" t="s">
        <v>27</v>
      </c>
      <c r="C31" s="15">
        <v>25</v>
      </c>
      <c r="D31" s="16">
        <v>250</v>
      </c>
      <c r="E31" s="15">
        <v>2</v>
      </c>
      <c r="F31" s="11">
        <v>2</v>
      </c>
      <c r="G31" s="11">
        <f>+ROUND(2650/D31+1,0)</f>
        <v>12</v>
      </c>
      <c r="H31" s="12"/>
      <c r="I31" s="12">
        <f>6.01-0.05</f>
        <v>5.96</v>
      </c>
      <c r="J31" s="12"/>
      <c r="K31" s="12"/>
      <c r="L31" s="12">
        <f t="shared" si="7"/>
        <v>5.96</v>
      </c>
      <c r="M31" s="12">
        <f t="shared" si="1"/>
        <v>0</v>
      </c>
      <c r="N31" s="12">
        <f t="shared" si="2"/>
        <v>0</v>
      </c>
      <c r="O31" s="12">
        <f t="shared" si="3"/>
        <v>0</v>
      </c>
      <c r="P31" s="12">
        <f t="shared" si="4"/>
        <v>0</v>
      </c>
      <c r="Q31" s="12">
        <f t="shared" si="5"/>
        <v>0</v>
      </c>
      <c r="R31" s="12">
        <f t="shared" si="6"/>
        <v>286.08</v>
      </c>
    </row>
    <row r="32" spans="1:18" x14ac:dyDescent="0.25">
      <c r="A32" s="7"/>
      <c r="B32" s="14" t="s">
        <v>28</v>
      </c>
      <c r="C32" s="15">
        <v>20</v>
      </c>
      <c r="D32" s="16">
        <v>250</v>
      </c>
      <c r="E32" s="15">
        <v>2</v>
      </c>
      <c r="F32" s="11">
        <v>1</v>
      </c>
      <c r="G32" s="11">
        <f>+ROUND(6010/D32+1,0)</f>
        <v>25</v>
      </c>
      <c r="H32" s="12"/>
      <c r="I32" s="12">
        <v>2.65</v>
      </c>
      <c r="J32" s="12"/>
      <c r="K32" s="12"/>
      <c r="L32" s="12">
        <f t="shared" si="7"/>
        <v>2.65</v>
      </c>
      <c r="M32" s="12">
        <f t="shared" si="1"/>
        <v>0</v>
      </c>
      <c r="N32" s="12">
        <f t="shared" si="2"/>
        <v>0</v>
      </c>
      <c r="O32" s="12">
        <f t="shared" si="3"/>
        <v>0</v>
      </c>
      <c r="P32" s="12">
        <f t="shared" si="4"/>
        <v>0</v>
      </c>
      <c r="Q32" s="12">
        <f t="shared" si="5"/>
        <v>132.5</v>
      </c>
      <c r="R32" s="12">
        <f t="shared" si="6"/>
        <v>0</v>
      </c>
    </row>
    <row r="33" spans="1:18" x14ac:dyDescent="0.25">
      <c r="A33" s="7"/>
      <c r="B33" s="8" t="s">
        <v>29</v>
      </c>
      <c r="C33" s="15">
        <v>12</v>
      </c>
      <c r="D33" s="16">
        <v>250</v>
      </c>
      <c r="E33" s="15">
        <v>2</v>
      </c>
      <c r="F33" s="11">
        <v>1</v>
      </c>
      <c r="G33" s="11">
        <f>+ROUND(1915/D33+1,0)</f>
        <v>9</v>
      </c>
      <c r="H33" s="12"/>
      <c r="I33" s="12">
        <v>1.65</v>
      </c>
      <c r="J33" s="12"/>
      <c r="K33" s="12"/>
      <c r="L33" s="12">
        <f t="shared" si="7"/>
        <v>1.65</v>
      </c>
      <c r="M33" s="12">
        <f t="shared" si="1"/>
        <v>0</v>
      </c>
      <c r="N33" s="12">
        <f t="shared" si="2"/>
        <v>0</v>
      </c>
      <c r="O33" s="12">
        <f t="shared" si="3"/>
        <v>29.7</v>
      </c>
      <c r="P33" s="12">
        <f t="shared" si="4"/>
        <v>0</v>
      </c>
      <c r="Q33" s="12">
        <f t="shared" si="5"/>
        <v>0</v>
      </c>
      <c r="R33" s="12">
        <f t="shared" si="6"/>
        <v>0</v>
      </c>
    </row>
    <row r="34" spans="1:18" x14ac:dyDescent="0.25">
      <c r="A34" s="7"/>
      <c r="B34" s="18"/>
      <c r="C34" s="15">
        <v>12</v>
      </c>
      <c r="D34" s="16">
        <v>250</v>
      </c>
      <c r="E34" s="15">
        <v>2</v>
      </c>
      <c r="F34" s="11">
        <v>1</v>
      </c>
      <c r="G34" s="11">
        <f>+ROUND(1650/D34+1,0)</f>
        <v>8</v>
      </c>
      <c r="H34" s="12"/>
      <c r="I34" s="12">
        <v>1.915</v>
      </c>
      <c r="J34" s="12"/>
      <c r="K34" s="12"/>
      <c r="L34" s="12">
        <f t="shared" si="7"/>
        <v>1.915</v>
      </c>
      <c r="M34" s="12">
        <f t="shared" si="1"/>
        <v>0</v>
      </c>
      <c r="N34" s="12">
        <f t="shared" si="2"/>
        <v>0</v>
      </c>
      <c r="O34" s="12">
        <f t="shared" si="3"/>
        <v>30.64</v>
      </c>
      <c r="P34" s="12">
        <f t="shared" si="4"/>
        <v>0</v>
      </c>
      <c r="Q34" s="12">
        <f t="shared" si="5"/>
        <v>0</v>
      </c>
      <c r="R34" s="12">
        <f t="shared" si="6"/>
        <v>0</v>
      </c>
    </row>
    <row r="35" spans="1:18" x14ac:dyDescent="0.25">
      <c r="A35" s="7"/>
      <c r="B35" s="8" t="s">
        <v>30</v>
      </c>
      <c r="C35" s="15">
        <v>12</v>
      </c>
      <c r="D35" s="16">
        <v>250</v>
      </c>
      <c r="E35" s="15">
        <v>2</v>
      </c>
      <c r="F35" s="11">
        <v>1</v>
      </c>
      <c r="G35" s="11">
        <f>+ROUND(1915/D35+1,0)</f>
        <v>9</v>
      </c>
      <c r="H35" s="12"/>
      <c r="I35" s="12">
        <v>1.65</v>
      </c>
      <c r="J35" s="12"/>
      <c r="K35" s="12"/>
      <c r="L35" s="12">
        <f t="shared" si="7"/>
        <v>1.65</v>
      </c>
      <c r="M35" s="12">
        <f t="shared" si="1"/>
        <v>0</v>
      </c>
      <c r="N35" s="12">
        <f t="shared" si="2"/>
        <v>0</v>
      </c>
      <c r="O35" s="12">
        <f t="shared" si="3"/>
        <v>29.7</v>
      </c>
      <c r="P35" s="12">
        <f t="shared" si="4"/>
        <v>0</v>
      </c>
      <c r="Q35" s="12">
        <f t="shared" si="5"/>
        <v>0</v>
      </c>
      <c r="R35" s="12">
        <f t="shared" si="6"/>
        <v>0</v>
      </c>
    </row>
    <row r="36" spans="1:18" x14ac:dyDescent="0.25">
      <c r="A36" s="7"/>
      <c r="B36" s="18"/>
      <c r="C36" s="15">
        <v>12</v>
      </c>
      <c r="D36" s="16">
        <v>250</v>
      </c>
      <c r="E36" s="15">
        <v>2</v>
      </c>
      <c r="F36" s="11">
        <v>1</v>
      </c>
      <c r="G36" s="11">
        <f>+ROUND(1650/D36+1,0)</f>
        <v>8</v>
      </c>
      <c r="H36" s="12"/>
      <c r="I36" s="12">
        <v>1.915</v>
      </c>
      <c r="J36" s="12"/>
      <c r="K36" s="12"/>
      <c r="L36" s="12">
        <f t="shared" si="7"/>
        <v>1.915</v>
      </c>
      <c r="M36" s="12">
        <f t="shared" si="1"/>
        <v>0</v>
      </c>
      <c r="N36" s="12">
        <f t="shared" si="2"/>
        <v>0</v>
      </c>
      <c r="O36" s="12">
        <f t="shared" si="3"/>
        <v>30.64</v>
      </c>
      <c r="P36" s="12">
        <f t="shared" si="4"/>
        <v>0</v>
      </c>
      <c r="Q36" s="12">
        <f t="shared" si="5"/>
        <v>0</v>
      </c>
      <c r="R36" s="12">
        <f t="shared" si="6"/>
        <v>0</v>
      </c>
    </row>
    <row r="37" spans="1:18" x14ac:dyDescent="0.25">
      <c r="A37" s="7"/>
      <c r="B37" s="14" t="s">
        <v>31</v>
      </c>
      <c r="C37" s="15">
        <v>25</v>
      </c>
      <c r="D37" s="16">
        <v>250</v>
      </c>
      <c r="E37" s="15">
        <v>2</v>
      </c>
      <c r="F37" s="11">
        <v>2</v>
      </c>
      <c r="G37" s="11">
        <f>+ROUND(2650/D37+1,0)</f>
        <v>12</v>
      </c>
      <c r="H37" s="12"/>
      <c r="I37" s="12">
        <f>6.01-0.05</f>
        <v>5.96</v>
      </c>
      <c r="J37" s="12"/>
      <c r="K37" s="12"/>
      <c r="L37" s="12">
        <f t="shared" si="7"/>
        <v>5.96</v>
      </c>
      <c r="M37" s="12">
        <f t="shared" ref="M37:M38" si="8">+ROUND(IF(C37=8,PRODUCT(E37,F37,G37,L37),0),2)</f>
        <v>0</v>
      </c>
      <c r="N37" s="12">
        <f t="shared" ref="N37:N38" si="9">+ROUND(IF(C37=10,PRODUCT(E37,F37,G37,L37),0),2)</f>
        <v>0</v>
      </c>
      <c r="O37" s="12">
        <f t="shared" ref="O37:O38" si="10">+ROUND(IF(C37=12,PRODUCT(E37,F37,G37,L37),0),2)</f>
        <v>0</v>
      </c>
      <c r="P37" s="12">
        <f t="shared" ref="P37:P38" si="11">+ROUND(IF(C37=16,PRODUCT(E37,F37,G37,L37),0),2)</f>
        <v>0</v>
      </c>
      <c r="Q37" s="12">
        <f t="shared" ref="Q37:Q38" si="12">+ROUND(IF(C37=20,PRODUCT(E37,F37,G37,L37),0),2)</f>
        <v>0</v>
      </c>
      <c r="R37" s="12">
        <f t="shared" ref="R37:R38" si="13">+ROUND(IF(C37=25,PRODUCT(E37,F37,G37,L37),0),2)</f>
        <v>286.08</v>
      </c>
    </row>
    <row r="38" spans="1:18" x14ac:dyDescent="0.25">
      <c r="A38" s="7"/>
      <c r="B38" s="14" t="s">
        <v>32</v>
      </c>
      <c r="C38" s="15">
        <v>20</v>
      </c>
      <c r="D38" s="16">
        <v>250</v>
      </c>
      <c r="E38" s="15">
        <v>2</v>
      </c>
      <c r="F38" s="11">
        <v>1</v>
      </c>
      <c r="G38" s="11">
        <f>+ROUND(6010/D38+1,0)</f>
        <v>25</v>
      </c>
      <c r="H38" s="12"/>
      <c r="I38" s="12">
        <v>2.65</v>
      </c>
      <c r="J38" s="12"/>
      <c r="K38" s="12"/>
      <c r="L38" s="12">
        <f t="shared" si="7"/>
        <v>2.65</v>
      </c>
      <c r="M38" s="12">
        <f t="shared" si="8"/>
        <v>0</v>
      </c>
      <c r="N38" s="12">
        <f t="shared" si="9"/>
        <v>0</v>
      </c>
      <c r="O38" s="12">
        <f t="shared" si="10"/>
        <v>0</v>
      </c>
      <c r="P38" s="12">
        <f t="shared" si="11"/>
        <v>0</v>
      </c>
      <c r="Q38" s="12">
        <f t="shared" si="12"/>
        <v>132.5</v>
      </c>
      <c r="R38" s="12">
        <f t="shared" si="13"/>
        <v>0</v>
      </c>
    </row>
    <row r="39" spans="1:18" x14ac:dyDescent="0.25">
      <c r="A39" s="7"/>
      <c r="B39" s="18" t="s">
        <v>35</v>
      </c>
      <c r="C39" s="15">
        <v>20</v>
      </c>
      <c r="D39" s="16">
        <v>250</v>
      </c>
      <c r="E39" s="15">
        <v>2</v>
      </c>
      <c r="F39" s="11">
        <v>2</v>
      </c>
      <c r="G39" s="11">
        <f>+ROUND(2800/D39+1,0)</f>
        <v>12</v>
      </c>
      <c r="H39" s="12"/>
      <c r="I39" s="12">
        <v>2.35</v>
      </c>
      <c r="J39" s="12"/>
      <c r="K39" s="12"/>
      <c r="L39" s="12">
        <f t="shared" si="7"/>
        <v>2.35</v>
      </c>
      <c r="M39" s="12">
        <f t="shared" si="1"/>
        <v>0</v>
      </c>
      <c r="N39" s="12">
        <f t="shared" si="2"/>
        <v>0</v>
      </c>
      <c r="O39" s="12">
        <f t="shared" si="3"/>
        <v>0</v>
      </c>
      <c r="P39" s="12">
        <f t="shared" si="4"/>
        <v>0</v>
      </c>
      <c r="Q39" s="12">
        <f t="shared" si="5"/>
        <v>112.8</v>
      </c>
      <c r="R39" s="12">
        <f t="shared" si="6"/>
        <v>0</v>
      </c>
    </row>
    <row r="40" spans="1:18" x14ac:dyDescent="0.25">
      <c r="A40" s="7"/>
      <c r="B40" s="18" t="s">
        <v>36</v>
      </c>
      <c r="C40" s="15">
        <v>25</v>
      </c>
      <c r="D40" s="16">
        <v>250</v>
      </c>
      <c r="E40" s="15">
        <v>2</v>
      </c>
      <c r="F40" s="11">
        <v>2</v>
      </c>
      <c r="G40" s="11">
        <f>+ROUND(2350/D40+1,0)</f>
        <v>10</v>
      </c>
      <c r="H40" s="12"/>
      <c r="I40" s="12">
        <v>2.8</v>
      </c>
      <c r="J40" s="12"/>
      <c r="K40" s="12"/>
      <c r="L40" s="12">
        <f t="shared" si="7"/>
        <v>2.8</v>
      </c>
      <c r="M40" s="12">
        <f t="shared" si="1"/>
        <v>0</v>
      </c>
      <c r="N40" s="12">
        <f t="shared" si="2"/>
        <v>0</v>
      </c>
      <c r="O40" s="12">
        <f t="shared" si="3"/>
        <v>0</v>
      </c>
      <c r="P40" s="12">
        <f t="shared" si="4"/>
        <v>0</v>
      </c>
      <c r="Q40" s="12">
        <f t="shared" si="5"/>
        <v>0</v>
      </c>
      <c r="R40" s="12">
        <f t="shared" si="6"/>
        <v>112</v>
      </c>
    </row>
    <row r="41" spans="1:18" x14ac:dyDescent="0.25">
      <c r="A41" s="7"/>
      <c r="B41" s="19" t="s">
        <v>37</v>
      </c>
      <c r="C41" s="15">
        <v>25</v>
      </c>
      <c r="D41" s="16">
        <v>250</v>
      </c>
      <c r="E41" s="15">
        <v>2</v>
      </c>
      <c r="F41" s="11">
        <v>2</v>
      </c>
      <c r="G41" s="11">
        <f>+ROUND(2850/D41+1,0)</f>
        <v>12</v>
      </c>
      <c r="H41" s="12"/>
      <c r="I41" s="12">
        <v>2.75</v>
      </c>
      <c r="J41" s="12"/>
      <c r="K41" s="12"/>
      <c r="L41" s="12">
        <f t="shared" si="7"/>
        <v>2.75</v>
      </c>
      <c r="M41" s="12">
        <f t="shared" si="1"/>
        <v>0</v>
      </c>
      <c r="N41" s="12">
        <f t="shared" si="2"/>
        <v>0</v>
      </c>
      <c r="O41" s="12">
        <f t="shared" si="3"/>
        <v>0</v>
      </c>
      <c r="P41" s="12">
        <f t="shared" si="4"/>
        <v>0</v>
      </c>
      <c r="Q41" s="12">
        <f t="shared" si="5"/>
        <v>0</v>
      </c>
      <c r="R41" s="12">
        <f t="shared" si="6"/>
        <v>132</v>
      </c>
    </row>
    <row r="42" spans="1:18" x14ac:dyDescent="0.25">
      <c r="A42" s="7"/>
      <c r="B42" s="19" t="s">
        <v>38</v>
      </c>
      <c r="C42" s="15">
        <v>20</v>
      </c>
      <c r="D42" s="16">
        <v>250</v>
      </c>
      <c r="E42" s="15">
        <v>2</v>
      </c>
      <c r="F42" s="11">
        <v>2</v>
      </c>
      <c r="G42" s="11">
        <f>+ROUND(2800/D42+1,0)</f>
        <v>12</v>
      </c>
      <c r="H42" s="12"/>
      <c r="I42" s="12">
        <v>2.75</v>
      </c>
      <c r="J42" s="12"/>
      <c r="K42" s="12"/>
      <c r="L42" s="12">
        <f t="shared" si="7"/>
        <v>2.75</v>
      </c>
      <c r="M42" s="12">
        <f t="shared" si="1"/>
        <v>0</v>
      </c>
      <c r="N42" s="12">
        <f t="shared" si="2"/>
        <v>0</v>
      </c>
      <c r="O42" s="12">
        <f t="shared" si="3"/>
        <v>0</v>
      </c>
      <c r="P42" s="12">
        <f t="shared" si="4"/>
        <v>0</v>
      </c>
      <c r="Q42" s="12">
        <f t="shared" si="5"/>
        <v>132</v>
      </c>
      <c r="R42" s="12">
        <f t="shared" si="6"/>
        <v>0</v>
      </c>
    </row>
    <row r="43" spans="1:18" x14ac:dyDescent="0.25">
      <c r="A43" s="7"/>
      <c r="B43" s="19" t="s">
        <v>37</v>
      </c>
      <c r="C43" s="15">
        <v>25</v>
      </c>
      <c r="D43" s="16">
        <v>250</v>
      </c>
      <c r="E43" s="15">
        <v>2</v>
      </c>
      <c r="F43" s="11">
        <v>2</v>
      </c>
      <c r="G43" s="11">
        <f t="shared" ref="G43:G44" si="14">+ROUND(2800/D43+1,0)</f>
        <v>12</v>
      </c>
      <c r="H43" s="12"/>
      <c r="I43" s="12">
        <v>2.8</v>
      </c>
      <c r="J43" s="12"/>
      <c r="K43" s="12"/>
      <c r="L43" s="12">
        <f t="shared" si="7"/>
        <v>2.8</v>
      </c>
      <c r="M43" s="12">
        <f t="shared" si="1"/>
        <v>0</v>
      </c>
      <c r="N43" s="12">
        <f t="shared" si="2"/>
        <v>0</v>
      </c>
      <c r="O43" s="12">
        <f t="shared" si="3"/>
        <v>0</v>
      </c>
      <c r="P43" s="12">
        <f t="shared" si="4"/>
        <v>0</v>
      </c>
      <c r="Q43" s="12">
        <f t="shared" si="5"/>
        <v>0</v>
      </c>
      <c r="R43" s="12">
        <f t="shared" si="6"/>
        <v>134.4</v>
      </c>
    </row>
    <row r="44" spans="1:18" x14ac:dyDescent="0.25">
      <c r="A44" s="7"/>
      <c r="B44" s="19" t="s">
        <v>39</v>
      </c>
      <c r="C44" s="15">
        <v>20</v>
      </c>
      <c r="D44" s="16">
        <v>250</v>
      </c>
      <c r="E44" s="15">
        <v>2</v>
      </c>
      <c r="F44" s="11">
        <v>2</v>
      </c>
      <c r="G44" s="11">
        <f t="shared" si="14"/>
        <v>12</v>
      </c>
      <c r="H44" s="12"/>
      <c r="I44" s="12">
        <v>2.8</v>
      </c>
      <c r="J44" s="12"/>
      <c r="K44" s="12"/>
      <c r="L44" s="12">
        <f t="shared" si="7"/>
        <v>2.8</v>
      </c>
      <c r="M44" s="12">
        <f t="shared" si="1"/>
        <v>0</v>
      </c>
      <c r="N44" s="12">
        <f t="shared" si="2"/>
        <v>0</v>
      </c>
      <c r="O44" s="12">
        <f t="shared" si="3"/>
        <v>0</v>
      </c>
      <c r="P44" s="12">
        <f t="shared" si="4"/>
        <v>0</v>
      </c>
      <c r="Q44" s="12">
        <f t="shared" si="5"/>
        <v>134.4</v>
      </c>
      <c r="R44" s="12">
        <f t="shared" si="6"/>
        <v>0</v>
      </c>
    </row>
    <row r="45" spans="1:18" x14ac:dyDescent="0.25">
      <c r="A45" s="7"/>
      <c r="B45" s="8" t="s">
        <v>33</v>
      </c>
      <c r="C45" s="15">
        <v>16</v>
      </c>
      <c r="D45" s="16">
        <v>250</v>
      </c>
      <c r="E45" s="15">
        <v>2</v>
      </c>
      <c r="F45" s="11">
        <v>2</v>
      </c>
      <c r="G45" s="11">
        <f>+ROUND(2300/D45+1,0)</f>
        <v>10</v>
      </c>
      <c r="H45" s="12"/>
      <c r="I45" s="12">
        <v>2.2000000000000002</v>
      </c>
      <c r="J45" s="12"/>
      <c r="K45" s="12"/>
      <c r="L45" s="12">
        <f t="shared" si="7"/>
        <v>2.2000000000000002</v>
      </c>
      <c r="M45" s="12">
        <f>+ROUND(IF(C45=8,PRODUCT(E45,F45,G45,L45),0),2)</f>
        <v>0</v>
      </c>
      <c r="N45" s="12">
        <f>+ROUND(IF(C45=10,PRODUCT(E45,F45,G45,L45),0),2)</f>
        <v>0</v>
      </c>
      <c r="O45" s="12">
        <f>+ROUND(IF(C45=12,PRODUCT(E45,F45,G45,L45),0),2)</f>
        <v>0</v>
      </c>
      <c r="P45" s="12">
        <f>+ROUND(IF(C45=16,PRODUCT(E45,F45,G45,L45),0),2)</f>
        <v>88</v>
      </c>
      <c r="Q45" s="12">
        <f>+ROUND(IF(C45=20,PRODUCT(E45,F45,G45,L45),0),2)</f>
        <v>0</v>
      </c>
      <c r="R45" s="12">
        <f>+ROUND(IF(C45=25,PRODUCT(E45,F45,G45,L45),0),2)</f>
        <v>0</v>
      </c>
    </row>
    <row r="46" spans="1:18" x14ac:dyDescent="0.25">
      <c r="A46" s="7"/>
      <c r="B46" s="8" t="s">
        <v>34</v>
      </c>
      <c r="C46" s="15">
        <v>20</v>
      </c>
      <c r="D46" s="16">
        <v>250</v>
      </c>
      <c r="E46" s="15">
        <v>2</v>
      </c>
      <c r="F46" s="11">
        <v>2</v>
      </c>
      <c r="G46" s="11">
        <f>+ROUND(2300/D46+1,0)</f>
        <v>10</v>
      </c>
      <c r="H46" s="12"/>
      <c r="I46" s="12">
        <v>2.2999999999999998</v>
      </c>
      <c r="J46" s="12"/>
      <c r="K46" s="12"/>
      <c r="L46" s="12">
        <f t="shared" si="7"/>
        <v>2.2999999999999998</v>
      </c>
      <c r="M46" s="12">
        <f>+ROUND(IF(C46=8,PRODUCT(E46,F46,G46,L46),0),2)</f>
        <v>0</v>
      </c>
      <c r="N46" s="12">
        <f>+ROUND(IF(C46=10,PRODUCT(E46,F46,G46,L46),0),2)</f>
        <v>0</v>
      </c>
      <c r="O46" s="12">
        <f>+ROUND(IF(C46=12,PRODUCT(E46,F46,G46,L46),0),2)</f>
        <v>0</v>
      </c>
      <c r="P46" s="12">
        <f>+ROUND(IF(C46=16,PRODUCT(E46,F46,G46,L46),0),2)</f>
        <v>0</v>
      </c>
      <c r="Q46" s="12">
        <f>+ROUND(IF(C46=20,PRODUCT(E46,F46,G46,L46),0),2)</f>
        <v>92</v>
      </c>
      <c r="R46" s="12">
        <f>+ROUND(IF(C46=25,PRODUCT(E46,F46,G46,L46),0),2)</f>
        <v>0</v>
      </c>
    </row>
    <row r="47" spans="1:18" x14ac:dyDescent="0.25">
      <c r="A47" s="7"/>
      <c r="B47" s="14" t="s">
        <v>40</v>
      </c>
      <c r="C47" s="15">
        <v>25</v>
      </c>
      <c r="D47" s="16">
        <v>250</v>
      </c>
      <c r="E47" s="15">
        <v>2</v>
      </c>
      <c r="F47" s="11">
        <v>1</v>
      </c>
      <c r="G47" s="11">
        <f>+ROUND(3250/D47+1,0)</f>
        <v>14</v>
      </c>
      <c r="H47" s="12"/>
      <c r="I47" s="12">
        <v>2.8</v>
      </c>
      <c r="J47" s="12"/>
      <c r="K47" s="12"/>
      <c r="L47" s="12">
        <f t="shared" si="7"/>
        <v>2.8</v>
      </c>
      <c r="M47" s="12">
        <f>+ROUND(IF(C47=8,PRODUCT(E47,F47,G47,L47),0),2)</f>
        <v>0</v>
      </c>
      <c r="N47" s="12">
        <f>+ROUND(IF(C47=10,PRODUCT(E47,F47,G47,L47),0),2)</f>
        <v>0</v>
      </c>
      <c r="O47" s="12">
        <f>+ROUND(IF(C47=12,PRODUCT(E47,F47,G47,L47),0),2)</f>
        <v>0</v>
      </c>
      <c r="P47" s="12">
        <f>+ROUND(IF(C47=16,PRODUCT(E47,F47,G47,L47),0),2)</f>
        <v>0</v>
      </c>
      <c r="Q47" s="12">
        <f>+ROUND(IF(C47=20,PRODUCT(E47,F47,G47,L47),0),2)</f>
        <v>0</v>
      </c>
      <c r="R47" s="12">
        <f>+ROUND(IF(C47=25,PRODUCT(E47,F47,G47,L47),0),2)</f>
        <v>78.400000000000006</v>
      </c>
    </row>
    <row r="48" spans="1:18" x14ac:dyDescent="0.25">
      <c r="A48" s="7"/>
      <c r="B48" s="14" t="s">
        <v>40</v>
      </c>
      <c r="C48" s="15">
        <v>25</v>
      </c>
      <c r="D48" s="16">
        <v>250</v>
      </c>
      <c r="E48" s="15">
        <v>2</v>
      </c>
      <c r="F48" s="11">
        <v>1</v>
      </c>
      <c r="G48" s="11">
        <f>+ROUND(2800/D48+1,0)</f>
        <v>12</v>
      </c>
      <c r="H48" s="12"/>
      <c r="I48" s="12">
        <v>3.25</v>
      </c>
      <c r="J48" s="12"/>
      <c r="K48" s="12"/>
      <c r="L48" s="12">
        <f t="shared" si="7"/>
        <v>3.25</v>
      </c>
      <c r="M48" s="12">
        <f t="shared" ref="M48:M50" si="15">+ROUND(IF(C48=8,PRODUCT(E48,F48,G48,L48),0),2)</f>
        <v>0</v>
      </c>
      <c r="N48" s="12">
        <f t="shared" ref="N48:N50" si="16">+ROUND(IF(C48=10,PRODUCT(E48,F48,G48,L48),0),2)</f>
        <v>0</v>
      </c>
      <c r="O48" s="12">
        <f t="shared" ref="O48:O50" si="17">+ROUND(IF(C48=12,PRODUCT(E48,F48,G48,L48),0),2)</f>
        <v>0</v>
      </c>
      <c r="P48" s="12">
        <f t="shared" ref="P48:P50" si="18">+ROUND(IF(C48=16,PRODUCT(E48,F48,G48,L48),0),2)</f>
        <v>0</v>
      </c>
      <c r="Q48" s="12">
        <f t="shared" ref="Q48:Q50" si="19">+ROUND(IF(C48=20,PRODUCT(E48,F48,G48,L48),0),2)</f>
        <v>0</v>
      </c>
      <c r="R48" s="12">
        <f t="shared" ref="R48:R50" si="20">+ROUND(IF(C48=25,PRODUCT(E48,F48,G48,L48),0),2)</f>
        <v>78</v>
      </c>
    </row>
    <row r="49" spans="1:18" x14ac:dyDescent="0.25">
      <c r="A49" s="7"/>
      <c r="B49" s="14" t="s">
        <v>41</v>
      </c>
      <c r="C49" s="15">
        <v>25</v>
      </c>
      <c r="D49" s="16">
        <v>250</v>
      </c>
      <c r="E49" s="15">
        <v>2</v>
      </c>
      <c r="F49" s="11">
        <v>1</v>
      </c>
      <c r="G49" s="11">
        <f>+ROUND(2800/D49+1,0)</f>
        <v>12</v>
      </c>
      <c r="H49" s="12"/>
      <c r="I49" s="12">
        <v>3.25</v>
      </c>
      <c r="J49" s="12"/>
      <c r="K49" s="12"/>
      <c r="L49" s="12">
        <f t="shared" si="7"/>
        <v>3.25</v>
      </c>
      <c r="M49" s="12">
        <f t="shared" si="15"/>
        <v>0</v>
      </c>
      <c r="N49" s="12">
        <f t="shared" si="16"/>
        <v>0</v>
      </c>
      <c r="O49" s="12">
        <f t="shared" si="17"/>
        <v>0</v>
      </c>
      <c r="P49" s="12">
        <f t="shared" si="18"/>
        <v>0</v>
      </c>
      <c r="Q49" s="12">
        <f t="shared" si="19"/>
        <v>0</v>
      </c>
      <c r="R49" s="12">
        <f t="shared" si="20"/>
        <v>78</v>
      </c>
    </row>
    <row r="50" spans="1:18" x14ac:dyDescent="0.25">
      <c r="A50" s="7"/>
      <c r="B50" s="14" t="s">
        <v>42</v>
      </c>
      <c r="C50" s="15">
        <v>20</v>
      </c>
      <c r="D50" s="16">
        <v>250</v>
      </c>
      <c r="E50" s="15">
        <v>2</v>
      </c>
      <c r="F50" s="11">
        <v>2</v>
      </c>
      <c r="G50" s="11">
        <f>+ROUND(3250/D50+1,0)</f>
        <v>14</v>
      </c>
      <c r="H50" s="12"/>
      <c r="I50" s="12">
        <v>2.8</v>
      </c>
      <c r="J50" s="12"/>
      <c r="K50" s="12"/>
      <c r="L50" s="12">
        <f t="shared" si="7"/>
        <v>2.8</v>
      </c>
      <c r="M50" s="12">
        <f t="shared" si="15"/>
        <v>0</v>
      </c>
      <c r="N50" s="12">
        <f t="shared" si="16"/>
        <v>0</v>
      </c>
      <c r="O50" s="12">
        <f t="shared" si="17"/>
        <v>0</v>
      </c>
      <c r="P50" s="12">
        <f t="shared" si="18"/>
        <v>0</v>
      </c>
      <c r="Q50" s="12">
        <f t="shared" si="19"/>
        <v>156.80000000000001</v>
      </c>
      <c r="R50" s="12">
        <f t="shared" si="20"/>
        <v>0</v>
      </c>
    </row>
    <row r="51" spans="1:18" x14ac:dyDescent="0.25">
      <c r="A51" s="7"/>
      <c r="B51" s="8" t="s">
        <v>43</v>
      </c>
      <c r="C51" s="15">
        <v>20</v>
      </c>
      <c r="D51" s="16">
        <v>250</v>
      </c>
      <c r="E51" s="15">
        <v>2</v>
      </c>
      <c r="F51" s="11">
        <v>2</v>
      </c>
      <c r="G51" s="11">
        <f>+ROUND(2300/D51+1,0)</f>
        <v>10</v>
      </c>
      <c r="H51" s="12"/>
      <c r="I51" s="12">
        <v>1.98</v>
      </c>
      <c r="J51" s="12"/>
      <c r="K51" s="12"/>
      <c r="L51" s="12">
        <f t="shared" si="7"/>
        <v>1.98</v>
      </c>
      <c r="M51" s="12">
        <f t="shared" ref="M51" si="21">+ROUND(IF(C51=8,PRODUCT(E51,F51,G51,L51),0),2)</f>
        <v>0</v>
      </c>
      <c r="N51" s="12">
        <f t="shared" ref="N51" si="22">+ROUND(IF(C51=10,PRODUCT(E51,F51,G51,L51),0),2)</f>
        <v>0</v>
      </c>
      <c r="O51" s="12">
        <f t="shared" ref="O51" si="23">+ROUND(IF(C51=12,PRODUCT(E51,F51,G51,L51),0),2)</f>
        <v>0</v>
      </c>
      <c r="P51" s="12">
        <f t="shared" ref="P51" si="24">+ROUND(IF(C51=16,PRODUCT(E51,F51,G51,L51),0),2)</f>
        <v>0</v>
      </c>
      <c r="Q51" s="12">
        <f t="shared" ref="Q51" si="25">+ROUND(IF(C51=20,PRODUCT(E51,F51,G51,L51),0),2)</f>
        <v>79.2</v>
      </c>
      <c r="R51" s="12">
        <f t="shared" ref="R51" si="26">+ROUND(IF(C51=25,PRODUCT(E51,F51,G51,L51),0),2)</f>
        <v>0</v>
      </c>
    </row>
    <row r="52" spans="1:18" x14ac:dyDescent="0.25">
      <c r="A52" s="26"/>
      <c r="B52" s="25"/>
      <c r="C52" s="15">
        <v>20</v>
      </c>
      <c r="D52" s="16">
        <v>250</v>
      </c>
      <c r="E52" s="15">
        <v>2</v>
      </c>
      <c r="F52" s="11">
        <v>2</v>
      </c>
      <c r="G52" s="11">
        <f>+ROUND(1980/D52+1,0)</f>
        <v>9</v>
      </c>
      <c r="H52" s="12"/>
      <c r="I52" s="12">
        <v>2.2999999999999998</v>
      </c>
      <c r="J52" s="22"/>
      <c r="K52" s="22"/>
      <c r="L52" s="12">
        <f t="shared" si="7"/>
        <v>2.2999999999999998</v>
      </c>
      <c r="M52" s="12">
        <f t="shared" ref="M52:M53" si="27">+ROUND(IF(C52=8,PRODUCT(E52,F52,G52,L52),0),2)</f>
        <v>0</v>
      </c>
      <c r="N52" s="12">
        <f t="shared" ref="N52:N53" si="28">+ROUND(IF(C52=10,PRODUCT(E52,F52,G52,L52),0),2)</f>
        <v>0</v>
      </c>
      <c r="O52" s="12">
        <f t="shared" ref="O52:O53" si="29">+ROUND(IF(C52=12,PRODUCT(E52,F52,G52,L52),0),2)</f>
        <v>0</v>
      </c>
      <c r="P52" s="12">
        <f t="shared" ref="P52:P53" si="30">+ROUND(IF(C52=16,PRODUCT(E52,F52,G52,L52),0),2)</f>
        <v>0</v>
      </c>
      <c r="Q52" s="12">
        <f t="shared" ref="Q52:Q53" si="31">+ROUND(IF(C52=20,PRODUCT(E52,F52,G52,L52),0),2)</f>
        <v>82.8</v>
      </c>
      <c r="R52" s="12">
        <f t="shared" ref="R52:R53" si="32">+ROUND(IF(C52=25,PRODUCT(E52,F52,G52,L52),0),2)</f>
        <v>0</v>
      </c>
    </row>
    <row r="53" spans="1:18" x14ac:dyDescent="0.25">
      <c r="A53" s="26"/>
      <c r="B53" s="25" t="s">
        <v>44</v>
      </c>
      <c r="C53" s="15">
        <v>20</v>
      </c>
      <c r="D53" s="16">
        <v>250</v>
      </c>
      <c r="E53" s="15">
        <v>2</v>
      </c>
      <c r="F53" s="11">
        <v>2</v>
      </c>
      <c r="G53" s="11">
        <f>+ROUND(3250/D53+1,0)</f>
        <v>14</v>
      </c>
      <c r="H53" s="12"/>
      <c r="I53" s="12">
        <v>2.2999999999999998</v>
      </c>
      <c r="J53" s="22"/>
      <c r="K53" s="22"/>
      <c r="L53" s="12">
        <f t="shared" si="7"/>
        <v>2.2999999999999998</v>
      </c>
      <c r="M53" s="12">
        <f t="shared" si="27"/>
        <v>0</v>
      </c>
      <c r="N53" s="12">
        <f t="shared" si="28"/>
        <v>0</v>
      </c>
      <c r="O53" s="12">
        <f t="shared" si="29"/>
        <v>0</v>
      </c>
      <c r="P53" s="12">
        <f t="shared" si="30"/>
        <v>0</v>
      </c>
      <c r="Q53" s="12">
        <f t="shared" si="31"/>
        <v>128.80000000000001</v>
      </c>
      <c r="R53" s="12">
        <f t="shared" si="32"/>
        <v>0</v>
      </c>
    </row>
    <row r="54" spans="1:18" x14ac:dyDescent="0.25">
      <c r="A54" s="26"/>
      <c r="B54" s="25" t="s">
        <v>45</v>
      </c>
      <c r="C54" s="15">
        <v>25</v>
      </c>
      <c r="D54" s="16">
        <v>250</v>
      </c>
      <c r="E54" s="15">
        <v>2</v>
      </c>
      <c r="F54" s="11">
        <v>2</v>
      </c>
      <c r="G54" s="11">
        <f>+ROUND(2300/D54+1,0)</f>
        <v>10</v>
      </c>
      <c r="H54" s="12"/>
      <c r="I54" s="12">
        <v>3.25</v>
      </c>
      <c r="J54" s="22"/>
      <c r="K54" s="22"/>
      <c r="L54" s="12">
        <f t="shared" si="7"/>
        <v>3.25</v>
      </c>
      <c r="M54" s="12">
        <f t="shared" ref="M54:M187" si="33">+ROUND(IF(C54=8,PRODUCT(E54,F54,G54,L54),0),2)</f>
        <v>0</v>
      </c>
      <c r="N54" s="12">
        <f t="shared" ref="N54:N187" si="34">+ROUND(IF(C54=10,PRODUCT(E54,F54,G54,L54),0),2)</f>
        <v>0</v>
      </c>
      <c r="O54" s="12">
        <f t="shared" ref="O54:O187" si="35">+ROUND(IF(C54=12,PRODUCT(E54,F54,G54,L54),0),2)</f>
        <v>0</v>
      </c>
      <c r="P54" s="12">
        <f t="shared" ref="P54:P187" si="36">+ROUND(IF(C54=16,PRODUCT(E54,F54,G54,L54),0),2)</f>
        <v>0</v>
      </c>
      <c r="Q54" s="12">
        <f t="shared" ref="Q54:Q187" si="37">+ROUND(IF(C54=20,PRODUCT(E54,F54,G54,L54),0),2)</f>
        <v>0</v>
      </c>
      <c r="R54" s="12">
        <f t="shared" ref="R54:R187" si="38">+ROUND(IF(C54=25,PRODUCT(E54,F54,G54,L54),0),2)</f>
        <v>130</v>
      </c>
    </row>
    <row r="55" spans="1:18" x14ac:dyDescent="0.25">
      <c r="A55" s="26"/>
      <c r="B55" s="25" t="s">
        <v>46</v>
      </c>
      <c r="C55" s="15">
        <v>25</v>
      </c>
      <c r="D55" s="16">
        <v>250</v>
      </c>
      <c r="E55" s="15">
        <v>2</v>
      </c>
      <c r="F55" s="11">
        <v>1</v>
      </c>
      <c r="G55" s="11">
        <f>+ROUND(3100/D55+1,0)</f>
        <v>13</v>
      </c>
      <c r="H55" s="12"/>
      <c r="I55" s="12">
        <v>2.8</v>
      </c>
      <c r="J55" s="22"/>
      <c r="K55" s="22"/>
      <c r="L55" s="12">
        <f t="shared" si="7"/>
        <v>2.8</v>
      </c>
      <c r="M55" s="12">
        <f t="shared" ref="M55" si="39">+ROUND(IF(C55=8,PRODUCT(E55,F55,G55,L55),0),2)</f>
        <v>0</v>
      </c>
      <c r="N55" s="12">
        <f t="shared" ref="N55" si="40">+ROUND(IF(C55=10,PRODUCT(E55,F55,G55,L55),0),2)</f>
        <v>0</v>
      </c>
      <c r="O55" s="12">
        <f t="shared" ref="O55" si="41">+ROUND(IF(C55=12,PRODUCT(E55,F55,G55,L55),0),2)</f>
        <v>0</v>
      </c>
      <c r="P55" s="12">
        <f t="shared" ref="P55" si="42">+ROUND(IF(C55=16,PRODUCT(E55,F55,G55,L55),0),2)</f>
        <v>0</v>
      </c>
      <c r="Q55" s="12">
        <f t="shared" ref="Q55" si="43">+ROUND(IF(C55=20,PRODUCT(E55,F55,G55,L55),0),2)</f>
        <v>0</v>
      </c>
      <c r="R55" s="12">
        <f t="shared" ref="R55" si="44">+ROUND(IF(C55=25,PRODUCT(E55,F55,G55,L55),0),2)</f>
        <v>72.8</v>
      </c>
    </row>
    <row r="56" spans="1:18" x14ac:dyDescent="0.25">
      <c r="A56" s="26"/>
      <c r="B56" s="25" t="s">
        <v>46</v>
      </c>
      <c r="C56" s="15">
        <v>25</v>
      </c>
      <c r="D56" s="16">
        <v>250</v>
      </c>
      <c r="E56" s="15">
        <v>2</v>
      </c>
      <c r="F56" s="11">
        <v>1</v>
      </c>
      <c r="G56" s="11">
        <f>+ROUND(2800/D56+1,0)</f>
        <v>12</v>
      </c>
      <c r="H56" s="12"/>
      <c r="I56" s="12">
        <v>3.1</v>
      </c>
      <c r="J56" s="22"/>
      <c r="K56" s="22"/>
      <c r="L56" s="12">
        <f t="shared" si="7"/>
        <v>3.1</v>
      </c>
      <c r="M56" s="12">
        <f t="shared" si="33"/>
        <v>0</v>
      </c>
      <c r="N56" s="12">
        <f t="shared" si="34"/>
        <v>0</v>
      </c>
      <c r="O56" s="12">
        <f t="shared" si="35"/>
        <v>0</v>
      </c>
      <c r="P56" s="12">
        <f t="shared" si="36"/>
        <v>0</v>
      </c>
      <c r="Q56" s="12">
        <f t="shared" si="37"/>
        <v>0</v>
      </c>
      <c r="R56" s="12">
        <f t="shared" si="38"/>
        <v>74.400000000000006</v>
      </c>
    </row>
    <row r="57" spans="1:18" x14ac:dyDescent="0.25">
      <c r="A57" s="26"/>
      <c r="B57" s="25" t="s">
        <v>47</v>
      </c>
      <c r="C57" s="15">
        <v>20</v>
      </c>
      <c r="D57" s="16">
        <v>250</v>
      </c>
      <c r="E57" s="15">
        <v>2</v>
      </c>
      <c r="F57" s="11">
        <v>1</v>
      </c>
      <c r="G57" s="11">
        <f>+ROUND(2000/D57+1,0)</f>
        <v>9</v>
      </c>
      <c r="H57" s="12"/>
      <c r="I57" s="12">
        <v>3.4</v>
      </c>
      <c r="J57" s="22"/>
      <c r="K57" s="22"/>
      <c r="L57" s="12">
        <f t="shared" si="7"/>
        <v>3.4</v>
      </c>
      <c r="M57" s="12">
        <f t="shared" si="33"/>
        <v>0</v>
      </c>
      <c r="N57" s="12">
        <f t="shared" si="34"/>
        <v>0</v>
      </c>
      <c r="O57" s="12">
        <f t="shared" si="35"/>
        <v>0</v>
      </c>
      <c r="P57" s="12">
        <f t="shared" si="36"/>
        <v>0</v>
      </c>
      <c r="Q57" s="12">
        <f t="shared" si="37"/>
        <v>61.2</v>
      </c>
      <c r="R57" s="12">
        <f t="shared" si="38"/>
        <v>0</v>
      </c>
    </row>
    <row r="58" spans="1:18" x14ac:dyDescent="0.25">
      <c r="A58" s="26"/>
      <c r="B58" s="25" t="s">
        <v>48</v>
      </c>
      <c r="C58" s="15">
        <v>12</v>
      </c>
      <c r="D58" s="16">
        <v>250</v>
      </c>
      <c r="E58" s="15">
        <v>2</v>
      </c>
      <c r="F58" s="11">
        <v>1</v>
      </c>
      <c r="G58" s="11">
        <f>+ROUND(3400/D58+1,0)</f>
        <v>15</v>
      </c>
      <c r="H58" s="12"/>
      <c r="I58" s="12">
        <v>2</v>
      </c>
      <c r="J58" s="22"/>
      <c r="K58" s="22"/>
      <c r="L58" s="12">
        <f t="shared" si="7"/>
        <v>2</v>
      </c>
      <c r="M58" s="12">
        <f t="shared" si="33"/>
        <v>0</v>
      </c>
      <c r="N58" s="12">
        <f t="shared" si="34"/>
        <v>0</v>
      </c>
      <c r="O58" s="12">
        <f t="shared" si="35"/>
        <v>60</v>
      </c>
      <c r="P58" s="12">
        <f t="shared" si="36"/>
        <v>0</v>
      </c>
      <c r="Q58" s="12">
        <f t="shared" si="37"/>
        <v>0</v>
      </c>
      <c r="R58" s="12">
        <f t="shared" si="38"/>
        <v>0</v>
      </c>
    </row>
    <row r="59" spans="1:18" x14ac:dyDescent="0.25">
      <c r="A59" s="26"/>
      <c r="B59" s="25" t="s">
        <v>49</v>
      </c>
      <c r="C59" s="15">
        <v>20</v>
      </c>
      <c r="D59" s="16">
        <v>250</v>
      </c>
      <c r="E59" s="15">
        <v>2</v>
      </c>
      <c r="F59" s="11">
        <v>1</v>
      </c>
      <c r="G59" s="11">
        <f>+ROUND(1900/D59+1,0)</f>
        <v>9</v>
      </c>
      <c r="H59" s="12"/>
      <c r="I59" s="12">
        <v>2.2999999999999998</v>
      </c>
      <c r="J59" s="22"/>
      <c r="K59" s="22"/>
      <c r="L59" s="12">
        <f t="shared" si="7"/>
        <v>2.2999999999999998</v>
      </c>
      <c r="M59" s="12">
        <f t="shared" ref="M59" si="45">+ROUND(IF(C59=8,PRODUCT(E59,F59,G59,L59),0),2)</f>
        <v>0</v>
      </c>
      <c r="N59" s="12">
        <f t="shared" ref="N59" si="46">+ROUND(IF(C59=10,PRODUCT(E59,F59,G59,L59),0),2)</f>
        <v>0</v>
      </c>
      <c r="O59" s="12">
        <f t="shared" ref="O59" si="47">+ROUND(IF(C59=12,PRODUCT(E59,F59,G59,L59),0),2)</f>
        <v>0</v>
      </c>
      <c r="P59" s="12">
        <f t="shared" ref="P59" si="48">+ROUND(IF(C59=16,PRODUCT(E59,F59,G59,L59),0),2)</f>
        <v>0</v>
      </c>
      <c r="Q59" s="12">
        <f t="shared" ref="Q59" si="49">+ROUND(IF(C59=20,PRODUCT(E59,F59,G59,L59),0),2)</f>
        <v>41.4</v>
      </c>
      <c r="R59" s="12">
        <f t="shared" ref="R59" si="50">+ROUND(IF(C59=25,PRODUCT(E59,F59,G59,L59),0),2)</f>
        <v>0</v>
      </c>
    </row>
    <row r="60" spans="1:18" x14ac:dyDescent="0.25">
      <c r="A60" s="26"/>
      <c r="B60" s="25" t="s">
        <v>50</v>
      </c>
      <c r="C60" s="15">
        <v>12</v>
      </c>
      <c r="D60" s="16">
        <v>250</v>
      </c>
      <c r="E60" s="15">
        <v>2</v>
      </c>
      <c r="F60" s="11">
        <v>1</v>
      </c>
      <c r="G60" s="11">
        <f>+ROUND(2300/D60+1,0)</f>
        <v>10</v>
      </c>
      <c r="H60" s="12"/>
      <c r="I60" s="12">
        <v>1.9</v>
      </c>
      <c r="J60" s="22"/>
      <c r="K60" s="22"/>
      <c r="L60" s="12">
        <f t="shared" si="7"/>
        <v>1.9</v>
      </c>
      <c r="M60" s="12">
        <f t="shared" si="33"/>
        <v>0</v>
      </c>
      <c r="N60" s="12">
        <f t="shared" si="34"/>
        <v>0</v>
      </c>
      <c r="O60" s="12">
        <f t="shared" si="35"/>
        <v>38</v>
      </c>
      <c r="P60" s="12">
        <f t="shared" si="36"/>
        <v>0</v>
      </c>
      <c r="Q60" s="12">
        <f t="shared" si="37"/>
        <v>0</v>
      </c>
      <c r="R60" s="12">
        <f t="shared" si="38"/>
        <v>0</v>
      </c>
    </row>
    <row r="61" spans="1:18" x14ac:dyDescent="0.25">
      <c r="A61" s="26"/>
      <c r="B61" s="25" t="s">
        <v>51</v>
      </c>
      <c r="C61" s="15">
        <v>20</v>
      </c>
      <c r="D61" s="16">
        <v>250</v>
      </c>
      <c r="E61" s="15">
        <v>2</v>
      </c>
      <c r="F61" s="11">
        <v>1</v>
      </c>
      <c r="G61" s="11">
        <f>+ROUND(2300/D61+1,0)</f>
        <v>10</v>
      </c>
      <c r="H61" s="12"/>
      <c r="I61" s="12">
        <v>2.7149999999999999</v>
      </c>
      <c r="J61" s="22"/>
      <c r="K61" s="22"/>
      <c r="L61" s="12">
        <f t="shared" si="7"/>
        <v>2.7149999999999999</v>
      </c>
      <c r="M61" s="12">
        <f t="shared" si="33"/>
        <v>0</v>
      </c>
      <c r="N61" s="12">
        <f t="shared" si="34"/>
        <v>0</v>
      </c>
      <c r="O61" s="12">
        <f t="shared" si="35"/>
        <v>0</v>
      </c>
      <c r="P61" s="12">
        <f t="shared" si="36"/>
        <v>0</v>
      </c>
      <c r="Q61" s="12">
        <f t="shared" si="37"/>
        <v>54.3</v>
      </c>
      <c r="R61" s="12">
        <f t="shared" si="38"/>
        <v>0</v>
      </c>
    </row>
    <row r="62" spans="1:18" x14ac:dyDescent="0.25">
      <c r="A62" s="26"/>
      <c r="B62" s="25" t="s">
        <v>51</v>
      </c>
      <c r="C62" s="15">
        <v>20</v>
      </c>
      <c r="D62" s="16">
        <v>250</v>
      </c>
      <c r="E62" s="15">
        <v>2</v>
      </c>
      <c r="F62" s="11">
        <v>1</v>
      </c>
      <c r="G62" s="11">
        <f>+ROUND(2715/D62+1,0)</f>
        <v>12</v>
      </c>
      <c r="H62" s="12"/>
      <c r="I62" s="12">
        <v>2.2999999999999998</v>
      </c>
      <c r="J62" s="22"/>
      <c r="K62" s="22"/>
      <c r="L62" s="12">
        <f t="shared" si="7"/>
        <v>2.2999999999999998</v>
      </c>
      <c r="M62" s="12">
        <f t="shared" si="33"/>
        <v>0</v>
      </c>
      <c r="N62" s="12">
        <f t="shared" si="34"/>
        <v>0</v>
      </c>
      <c r="O62" s="12">
        <f t="shared" si="35"/>
        <v>0</v>
      </c>
      <c r="P62" s="12">
        <f t="shared" si="36"/>
        <v>0</v>
      </c>
      <c r="Q62" s="12">
        <f t="shared" si="37"/>
        <v>55.2</v>
      </c>
      <c r="R62" s="12">
        <f t="shared" si="38"/>
        <v>0</v>
      </c>
    </row>
    <row r="63" spans="1:18" x14ac:dyDescent="0.25">
      <c r="A63" s="26"/>
      <c r="B63" s="25" t="s">
        <v>52</v>
      </c>
      <c r="C63" s="15">
        <v>25</v>
      </c>
      <c r="D63" s="16">
        <v>250</v>
      </c>
      <c r="E63" s="15">
        <v>2</v>
      </c>
      <c r="F63" s="11">
        <v>1</v>
      </c>
      <c r="G63" s="11">
        <f>+ROUND(2800/D63+1,0)</f>
        <v>12</v>
      </c>
      <c r="H63" s="12"/>
      <c r="I63" s="12">
        <v>3.25</v>
      </c>
      <c r="J63" s="22"/>
      <c r="K63" s="22"/>
      <c r="L63" s="12">
        <f t="shared" si="7"/>
        <v>3.25</v>
      </c>
      <c r="M63" s="12">
        <f t="shared" si="33"/>
        <v>0</v>
      </c>
      <c r="N63" s="12">
        <f t="shared" si="34"/>
        <v>0</v>
      </c>
      <c r="O63" s="12">
        <f t="shared" si="35"/>
        <v>0</v>
      </c>
      <c r="P63" s="12">
        <f t="shared" si="36"/>
        <v>0</v>
      </c>
      <c r="Q63" s="12">
        <f t="shared" si="37"/>
        <v>0</v>
      </c>
      <c r="R63" s="12">
        <f t="shared" si="38"/>
        <v>78</v>
      </c>
    </row>
    <row r="64" spans="1:18" x14ac:dyDescent="0.25">
      <c r="A64" s="26"/>
      <c r="B64" s="25" t="s">
        <v>52</v>
      </c>
      <c r="C64" s="15">
        <v>25</v>
      </c>
      <c r="D64" s="16">
        <v>250</v>
      </c>
      <c r="E64" s="15">
        <v>2</v>
      </c>
      <c r="F64" s="11">
        <v>1</v>
      </c>
      <c r="G64" s="11">
        <f>+ROUND(3250/D64+1,0)</f>
        <v>14</v>
      </c>
      <c r="H64" s="12"/>
      <c r="I64" s="12">
        <v>2.8</v>
      </c>
      <c r="J64" s="22"/>
      <c r="K64" s="22"/>
      <c r="L64" s="12">
        <f t="shared" si="7"/>
        <v>2.8</v>
      </c>
      <c r="M64" s="12">
        <f t="shared" si="33"/>
        <v>0</v>
      </c>
      <c r="N64" s="12">
        <f t="shared" si="34"/>
        <v>0</v>
      </c>
      <c r="O64" s="12">
        <f t="shared" si="35"/>
        <v>0</v>
      </c>
      <c r="P64" s="12">
        <f t="shared" si="36"/>
        <v>0</v>
      </c>
      <c r="Q64" s="12">
        <f t="shared" si="37"/>
        <v>0</v>
      </c>
      <c r="R64" s="12">
        <f t="shared" si="38"/>
        <v>78.400000000000006</v>
      </c>
    </row>
    <row r="65" spans="1:18" x14ac:dyDescent="0.25">
      <c r="A65" s="26"/>
      <c r="B65" s="25" t="s">
        <v>53</v>
      </c>
      <c r="C65" s="15">
        <v>20</v>
      </c>
      <c r="D65" s="16">
        <v>250</v>
      </c>
      <c r="E65" s="15">
        <v>2</v>
      </c>
      <c r="F65" s="11">
        <v>1</v>
      </c>
      <c r="G65" s="11">
        <f>+ROUND(1850/D65+1,0)</f>
        <v>8</v>
      </c>
      <c r="H65" s="12"/>
      <c r="I65" s="12">
        <v>2.75</v>
      </c>
      <c r="J65" s="22"/>
      <c r="K65" s="22"/>
      <c r="L65" s="12">
        <f t="shared" si="7"/>
        <v>2.75</v>
      </c>
      <c r="M65" s="12">
        <f t="shared" si="33"/>
        <v>0</v>
      </c>
      <c r="N65" s="12">
        <f t="shared" si="34"/>
        <v>0</v>
      </c>
      <c r="O65" s="12">
        <f t="shared" si="35"/>
        <v>0</v>
      </c>
      <c r="P65" s="12">
        <f t="shared" si="36"/>
        <v>0</v>
      </c>
      <c r="Q65" s="12">
        <f t="shared" si="37"/>
        <v>44</v>
      </c>
      <c r="R65" s="12">
        <f t="shared" si="38"/>
        <v>0</v>
      </c>
    </row>
    <row r="66" spans="1:18" x14ac:dyDescent="0.25">
      <c r="A66" s="26"/>
      <c r="B66" s="25" t="s">
        <v>54</v>
      </c>
      <c r="C66" s="15">
        <v>20</v>
      </c>
      <c r="D66" s="16">
        <v>250</v>
      </c>
      <c r="E66" s="15">
        <v>2</v>
      </c>
      <c r="F66" s="11">
        <v>2</v>
      </c>
      <c r="G66" s="11">
        <f>+ROUND(2750/D66+1,0)</f>
        <v>12</v>
      </c>
      <c r="H66" s="12"/>
      <c r="I66" s="12">
        <v>1.85</v>
      </c>
      <c r="J66" s="22"/>
      <c r="K66" s="22"/>
      <c r="L66" s="12">
        <f t="shared" si="7"/>
        <v>1.85</v>
      </c>
      <c r="M66" s="12">
        <f t="shared" ref="M66:M109" si="51">+ROUND(IF(C66=8,PRODUCT(E66,F66,G66,L66),0),2)</f>
        <v>0</v>
      </c>
      <c r="N66" s="12">
        <f t="shared" ref="N66:N109" si="52">+ROUND(IF(C66=10,PRODUCT(E66,F66,G66,L66),0),2)</f>
        <v>0</v>
      </c>
      <c r="O66" s="12">
        <f t="shared" ref="O66:O109" si="53">+ROUND(IF(C66=12,PRODUCT(E66,F66,G66,L66),0),2)</f>
        <v>0</v>
      </c>
      <c r="P66" s="12">
        <f t="shared" ref="P66:P109" si="54">+ROUND(IF(C66=16,PRODUCT(E66,F66,G66,L66),0),2)</f>
        <v>0</v>
      </c>
      <c r="Q66" s="12">
        <f t="shared" ref="Q66:Q109" si="55">+ROUND(IF(C66=20,PRODUCT(E66,F66,G66,L66),0),2)</f>
        <v>88.8</v>
      </c>
      <c r="R66" s="12">
        <f t="shared" ref="R66:R109" si="56">+ROUND(IF(C66=25,PRODUCT(E66,F66,G66,L66),0),2)</f>
        <v>0</v>
      </c>
    </row>
    <row r="67" spans="1:18" x14ac:dyDescent="0.25">
      <c r="A67" s="26"/>
      <c r="B67" s="25" t="s">
        <v>55</v>
      </c>
      <c r="C67" s="15">
        <v>25</v>
      </c>
      <c r="D67" s="16">
        <v>250</v>
      </c>
      <c r="E67" s="15">
        <v>2</v>
      </c>
      <c r="F67" s="11">
        <v>2</v>
      </c>
      <c r="G67" s="11">
        <f>+ROUND(2300/D67+1,0)</f>
        <v>10</v>
      </c>
      <c r="H67" s="12"/>
      <c r="I67" s="12">
        <v>3.25</v>
      </c>
      <c r="J67" s="22"/>
      <c r="K67" s="22"/>
      <c r="L67" s="12">
        <f t="shared" si="7"/>
        <v>3.25</v>
      </c>
      <c r="M67" s="12">
        <f t="shared" si="51"/>
        <v>0</v>
      </c>
      <c r="N67" s="12">
        <f t="shared" si="52"/>
        <v>0</v>
      </c>
      <c r="O67" s="12">
        <f t="shared" si="53"/>
        <v>0</v>
      </c>
      <c r="P67" s="12">
        <f t="shared" si="54"/>
        <v>0</v>
      </c>
      <c r="Q67" s="12">
        <f t="shared" si="55"/>
        <v>0</v>
      </c>
      <c r="R67" s="12">
        <f t="shared" si="56"/>
        <v>130</v>
      </c>
    </row>
    <row r="68" spans="1:18" x14ac:dyDescent="0.25">
      <c r="A68" s="26"/>
      <c r="B68" s="25" t="s">
        <v>56</v>
      </c>
      <c r="C68" s="15">
        <v>20</v>
      </c>
      <c r="D68" s="16">
        <v>250</v>
      </c>
      <c r="E68" s="15">
        <v>2</v>
      </c>
      <c r="F68" s="11">
        <v>2</v>
      </c>
      <c r="G68" s="11">
        <f>+ROUND(3250/D68+1,0)</f>
        <v>14</v>
      </c>
      <c r="H68" s="12"/>
      <c r="I68" s="12">
        <v>2.2999999999999998</v>
      </c>
      <c r="J68" s="22"/>
      <c r="K68" s="22"/>
      <c r="L68" s="12">
        <f t="shared" si="7"/>
        <v>2.2999999999999998</v>
      </c>
      <c r="M68" s="12">
        <f t="shared" si="51"/>
        <v>0</v>
      </c>
      <c r="N68" s="12">
        <f t="shared" si="52"/>
        <v>0</v>
      </c>
      <c r="O68" s="12">
        <f t="shared" si="53"/>
        <v>0</v>
      </c>
      <c r="P68" s="12">
        <f t="shared" si="54"/>
        <v>0</v>
      </c>
      <c r="Q68" s="12">
        <f t="shared" si="55"/>
        <v>128.80000000000001</v>
      </c>
      <c r="R68" s="12">
        <f t="shared" si="56"/>
        <v>0</v>
      </c>
    </row>
    <row r="69" spans="1:18" x14ac:dyDescent="0.25">
      <c r="A69" s="26"/>
      <c r="B69" s="25" t="s">
        <v>57</v>
      </c>
      <c r="C69" s="15">
        <v>25</v>
      </c>
      <c r="D69" s="16">
        <v>250</v>
      </c>
      <c r="E69" s="15">
        <v>2</v>
      </c>
      <c r="F69" s="11">
        <v>1</v>
      </c>
      <c r="G69" s="11">
        <f>+ROUND(2300/D69+1,0)</f>
        <v>10</v>
      </c>
      <c r="H69" s="12"/>
      <c r="I69" s="12">
        <v>2.6</v>
      </c>
      <c r="J69" s="22"/>
      <c r="K69" s="22"/>
      <c r="L69" s="12">
        <f t="shared" si="7"/>
        <v>2.6</v>
      </c>
      <c r="M69" s="12">
        <f t="shared" si="51"/>
        <v>0</v>
      </c>
      <c r="N69" s="12">
        <f t="shared" si="52"/>
        <v>0</v>
      </c>
      <c r="O69" s="12">
        <f t="shared" si="53"/>
        <v>0</v>
      </c>
      <c r="P69" s="12">
        <f t="shared" si="54"/>
        <v>0</v>
      </c>
      <c r="Q69" s="12">
        <f t="shared" si="55"/>
        <v>0</v>
      </c>
      <c r="R69" s="12">
        <f t="shared" si="56"/>
        <v>52</v>
      </c>
    </row>
    <row r="70" spans="1:18" x14ac:dyDescent="0.25">
      <c r="A70" s="26"/>
      <c r="B70" s="25" t="s">
        <v>58</v>
      </c>
      <c r="C70" s="15">
        <v>20</v>
      </c>
      <c r="D70" s="16">
        <v>250</v>
      </c>
      <c r="E70" s="15">
        <v>2</v>
      </c>
      <c r="F70" s="11">
        <v>1</v>
      </c>
      <c r="G70" s="11">
        <f>+ROUND(2600/D70+1,0)</f>
        <v>11</v>
      </c>
      <c r="H70" s="12"/>
      <c r="I70" s="12">
        <v>2.2999999999999998</v>
      </c>
      <c r="J70" s="22"/>
      <c r="K70" s="22"/>
      <c r="L70" s="12">
        <f t="shared" si="7"/>
        <v>2.2999999999999998</v>
      </c>
      <c r="M70" s="12">
        <f t="shared" si="51"/>
        <v>0</v>
      </c>
      <c r="N70" s="12">
        <f t="shared" si="52"/>
        <v>0</v>
      </c>
      <c r="O70" s="12">
        <f t="shared" si="53"/>
        <v>0</v>
      </c>
      <c r="P70" s="12">
        <f t="shared" si="54"/>
        <v>0</v>
      </c>
      <c r="Q70" s="12">
        <f t="shared" si="55"/>
        <v>50.6</v>
      </c>
      <c r="R70" s="12">
        <f t="shared" si="56"/>
        <v>0</v>
      </c>
    </row>
    <row r="71" spans="1:18" x14ac:dyDescent="0.25">
      <c r="A71" s="26"/>
      <c r="B71" s="25" t="s">
        <v>59</v>
      </c>
      <c r="C71" s="15">
        <v>20</v>
      </c>
      <c r="D71" s="16">
        <v>250</v>
      </c>
      <c r="E71" s="15">
        <v>2</v>
      </c>
      <c r="F71" s="11">
        <v>1</v>
      </c>
      <c r="G71" s="11">
        <f>+ROUND(2300/D71+1,0)</f>
        <v>10</v>
      </c>
      <c r="H71" s="12"/>
      <c r="I71" s="12">
        <v>2.6</v>
      </c>
      <c r="J71" s="22"/>
      <c r="K71" s="22"/>
      <c r="L71" s="12">
        <f t="shared" si="7"/>
        <v>2.6</v>
      </c>
      <c r="M71" s="12">
        <f t="shared" si="51"/>
        <v>0</v>
      </c>
      <c r="N71" s="12">
        <f t="shared" si="52"/>
        <v>0</v>
      </c>
      <c r="O71" s="12">
        <f t="shared" si="53"/>
        <v>0</v>
      </c>
      <c r="P71" s="12">
        <f t="shared" si="54"/>
        <v>0</v>
      </c>
      <c r="Q71" s="12">
        <f t="shared" si="55"/>
        <v>52</v>
      </c>
      <c r="R71" s="12">
        <f t="shared" si="56"/>
        <v>0</v>
      </c>
    </row>
    <row r="72" spans="1:18" x14ac:dyDescent="0.25">
      <c r="A72" s="26"/>
      <c r="B72" s="25" t="s">
        <v>59</v>
      </c>
      <c r="C72" s="15">
        <v>20</v>
      </c>
      <c r="D72" s="16">
        <v>250</v>
      </c>
      <c r="E72" s="15">
        <v>2</v>
      </c>
      <c r="F72" s="11">
        <v>1</v>
      </c>
      <c r="G72" s="11">
        <f>+ROUND(2600/D72+1,0)</f>
        <v>11</v>
      </c>
      <c r="H72" s="12"/>
      <c r="I72" s="12">
        <v>2.2999999999999998</v>
      </c>
      <c r="J72" s="22"/>
      <c r="K72" s="22"/>
      <c r="L72" s="12">
        <f t="shared" si="7"/>
        <v>2.2999999999999998</v>
      </c>
      <c r="M72" s="12">
        <f t="shared" si="51"/>
        <v>0</v>
      </c>
      <c r="N72" s="12">
        <f t="shared" si="52"/>
        <v>0</v>
      </c>
      <c r="O72" s="12">
        <f t="shared" si="53"/>
        <v>0</v>
      </c>
      <c r="P72" s="12">
        <f t="shared" si="54"/>
        <v>0</v>
      </c>
      <c r="Q72" s="12">
        <f t="shared" si="55"/>
        <v>50.6</v>
      </c>
      <c r="R72" s="12">
        <f t="shared" si="56"/>
        <v>0</v>
      </c>
    </row>
    <row r="73" spans="1:18" x14ac:dyDescent="0.25">
      <c r="A73" s="26"/>
      <c r="B73" s="25" t="s">
        <v>60</v>
      </c>
      <c r="C73" s="15">
        <v>25</v>
      </c>
      <c r="D73" s="16">
        <v>250</v>
      </c>
      <c r="E73" s="15">
        <v>2</v>
      </c>
      <c r="F73" s="11">
        <v>1</v>
      </c>
      <c r="G73" s="11">
        <f>+ROUND(3700/D73+1,0)</f>
        <v>16</v>
      </c>
      <c r="H73" s="12"/>
      <c r="I73" s="12">
        <v>2.73</v>
      </c>
      <c r="J73" s="22"/>
      <c r="K73" s="22"/>
      <c r="L73" s="12">
        <f t="shared" si="7"/>
        <v>2.73</v>
      </c>
      <c r="M73" s="12">
        <f t="shared" si="51"/>
        <v>0</v>
      </c>
      <c r="N73" s="12">
        <f t="shared" si="52"/>
        <v>0</v>
      </c>
      <c r="O73" s="12">
        <f t="shared" si="53"/>
        <v>0</v>
      </c>
      <c r="P73" s="12">
        <f t="shared" si="54"/>
        <v>0</v>
      </c>
      <c r="Q73" s="12">
        <f t="shared" si="55"/>
        <v>0</v>
      </c>
      <c r="R73" s="12">
        <f t="shared" si="56"/>
        <v>87.36</v>
      </c>
    </row>
    <row r="74" spans="1:18" x14ac:dyDescent="0.25">
      <c r="A74" s="26"/>
      <c r="B74" s="25" t="s">
        <v>61</v>
      </c>
      <c r="C74" s="15">
        <v>20</v>
      </c>
      <c r="D74" s="16">
        <v>250</v>
      </c>
      <c r="E74" s="15">
        <v>2</v>
      </c>
      <c r="F74" s="11">
        <v>1</v>
      </c>
      <c r="G74" s="11">
        <f>+ROUND(2730/D74+1,0)</f>
        <v>12</v>
      </c>
      <c r="H74" s="12"/>
      <c r="I74" s="12">
        <v>3.7</v>
      </c>
      <c r="J74" s="22"/>
      <c r="K74" s="22"/>
      <c r="L74" s="12">
        <f t="shared" si="7"/>
        <v>3.7</v>
      </c>
      <c r="M74" s="12">
        <f t="shared" si="51"/>
        <v>0</v>
      </c>
      <c r="N74" s="12">
        <f t="shared" si="52"/>
        <v>0</v>
      </c>
      <c r="O74" s="12">
        <f t="shared" si="53"/>
        <v>0</v>
      </c>
      <c r="P74" s="12">
        <f t="shared" si="54"/>
        <v>0</v>
      </c>
      <c r="Q74" s="12">
        <f t="shared" si="55"/>
        <v>88.8</v>
      </c>
      <c r="R74" s="12">
        <f t="shared" si="56"/>
        <v>0</v>
      </c>
    </row>
    <row r="75" spans="1:18" x14ac:dyDescent="0.25">
      <c r="A75" s="26"/>
      <c r="B75" s="25" t="s">
        <v>62</v>
      </c>
      <c r="C75" s="15">
        <v>20</v>
      </c>
      <c r="D75" s="16">
        <v>250</v>
      </c>
      <c r="E75" s="15">
        <v>2</v>
      </c>
      <c r="F75" s="11">
        <v>1</v>
      </c>
      <c r="G75" s="11">
        <f>+ROUND(2800/D75+1,0)</f>
        <v>12</v>
      </c>
      <c r="H75" s="12"/>
      <c r="I75" s="12">
        <v>2.75</v>
      </c>
      <c r="J75" s="22"/>
      <c r="K75" s="22"/>
      <c r="L75" s="12">
        <f t="shared" si="7"/>
        <v>2.75</v>
      </c>
      <c r="M75" s="12">
        <f t="shared" si="51"/>
        <v>0</v>
      </c>
      <c r="N75" s="12">
        <f t="shared" si="52"/>
        <v>0</v>
      </c>
      <c r="O75" s="12">
        <f t="shared" si="53"/>
        <v>0</v>
      </c>
      <c r="P75" s="12">
        <f t="shared" si="54"/>
        <v>0</v>
      </c>
      <c r="Q75" s="12">
        <f t="shared" si="55"/>
        <v>66</v>
      </c>
      <c r="R75" s="12">
        <f t="shared" si="56"/>
        <v>0</v>
      </c>
    </row>
    <row r="76" spans="1:18" x14ac:dyDescent="0.25">
      <c r="A76" s="26"/>
      <c r="B76" s="25" t="s">
        <v>63</v>
      </c>
      <c r="C76" s="15">
        <v>25</v>
      </c>
      <c r="D76" s="16">
        <v>250</v>
      </c>
      <c r="E76" s="15">
        <v>2</v>
      </c>
      <c r="F76" s="11">
        <v>1</v>
      </c>
      <c r="G76" s="11">
        <f>+ROUND(2750/D76+1,0)</f>
        <v>12</v>
      </c>
      <c r="H76" s="12"/>
      <c r="I76" s="12">
        <v>2.8</v>
      </c>
      <c r="J76" s="22"/>
      <c r="K76" s="22"/>
      <c r="L76" s="12">
        <f t="shared" si="7"/>
        <v>2.8</v>
      </c>
      <c r="M76" s="12">
        <f t="shared" si="51"/>
        <v>0</v>
      </c>
      <c r="N76" s="12">
        <f t="shared" si="52"/>
        <v>0</v>
      </c>
      <c r="O76" s="12">
        <f t="shared" si="53"/>
        <v>0</v>
      </c>
      <c r="P76" s="12">
        <f t="shared" si="54"/>
        <v>0</v>
      </c>
      <c r="Q76" s="12">
        <f t="shared" si="55"/>
        <v>0</v>
      </c>
      <c r="R76" s="12">
        <f t="shared" si="56"/>
        <v>67.2</v>
      </c>
    </row>
    <row r="77" spans="1:18" x14ac:dyDescent="0.25">
      <c r="A77" s="26"/>
      <c r="B77" s="25" t="s">
        <v>64</v>
      </c>
      <c r="C77" s="15">
        <v>20</v>
      </c>
      <c r="D77" s="16">
        <v>250</v>
      </c>
      <c r="E77" s="15">
        <v>2</v>
      </c>
      <c r="F77" s="11">
        <v>1</v>
      </c>
      <c r="G77" s="11">
        <f>+ROUND(2750/D77+1,0)</f>
        <v>12</v>
      </c>
      <c r="H77" s="12"/>
      <c r="I77" s="12">
        <v>2.8</v>
      </c>
      <c r="J77" s="22"/>
      <c r="K77" s="22"/>
      <c r="L77" s="12">
        <f t="shared" si="7"/>
        <v>2.8</v>
      </c>
      <c r="M77" s="12">
        <f t="shared" si="51"/>
        <v>0</v>
      </c>
      <c r="N77" s="12">
        <f t="shared" si="52"/>
        <v>0</v>
      </c>
      <c r="O77" s="12">
        <f t="shared" si="53"/>
        <v>0</v>
      </c>
      <c r="P77" s="12">
        <f t="shared" si="54"/>
        <v>0</v>
      </c>
      <c r="Q77" s="12">
        <f t="shared" si="55"/>
        <v>67.2</v>
      </c>
      <c r="R77" s="12">
        <f t="shared" si="56"/>
        <v>0</v>
      </c>
    </row>
    <row r="78" spans="1:18" x14ac:dyDescent="0.25">
      <c r="A78" s="26"/>
      <c r="B78" s="25" t="s">
        <v>65</v>
      </c>
      <c r="C78" s="15">
        <v>25</v>
      </c>
      <c r="D78" s="16">
        <v>250</v>
      </c>
      <c r="E78" s="15">
        <v>2</v>
      </c>
      <c r="F78" s="11">
        <v>1</v>
      </c>
      <c r="G78" s="11">
        <f>+ROUND(2300/D78+1,0)</f>
        <v>10</v>
      </c>
      <c r="H78" s="12"/>
      <c r="I78" s="12">
        <v>3.25</v>
      </c>
      <c r="J78" s="22"/>
      <c r="K78" s="22"/>
      <c r="L78" s="12">
        <f t="shared" si="7"/>
        <v>3.25</v>
      </c>
      <c r="M78" s="12">
        <f t="shared" si="51"/>
        <v>0</v>
      </c>
      <c r="N78" s="12">
        <f t="shared" si="52"/>
        <v>0</v>
      </c>
      <c r="O78" s="12">
        <f t="shared" si="53"/>
        <v>0</v>
      </c>
      <c r="P78" s="12">
        <f t="shared" si="54"/>
        <v>0</v>
      </c>
      <c r="Q78" s="12">
        <f t="shared" si="55"/>
        <v>0</v>
      </c>
      <c r="R78" s="12">
        <f t="shared" si="56"/>
        <v>65</v>
      </c>
    </row>
    <row r="79" spans="1:18" x14ac:dyDescent="0.25">
      <c r="A79" s="26"/>
      <c r="B79" s="25" t="s">
        <v>66</v>
      </c>
      <c r="C79" s="15">
        <v>20</v>
      </c>
      <c r="D79" s="16">
        <v>250</v>
      </c>
      <c r="E79" s="15">
        <v>2</v>
      </c>
      <c r="F79" s="11">
        <v>1</v>
      </c>
      <c r="G79" s="11">
        <f>+ROUND(3250/D79+1,0)</f>
        <v>14</v>
      </c>
      <c r="H79" s="12"/>
      <c r="I79" s="12">
        <v>2.2999999999999998</v>
      </c>
      <c r="J79" s="22"/>
      <c r="K79" s="22"/>
      <c r="L79" s="12">
        <f t="shared" si="7"/>
        <v>2.2999999999999998</v>
      </c>
      <c r="M79" s="12">
        <f t="shared" si="51"/>
        <v>0</v>
      </c>
      <c r="N79" s="12">
        <f t="shared" si="52"/>
        <v>0</v>
      </c>
      <c r="O79" s="12">
        <f t="shared" si="53"/>
        <v>0</v>
      </c>
      <c r="P79" s="12">
        <f t="shared" si="54"/>
        <v>0</v>
      </c>
      <c r="Q79" s="12">
        <f t="shared" si="55"/>
        <v>64.400000000000006</v>
      </c>
      <c r="R79" s="12">
        <f t="shared" si="56"/>
        <v>0</v>
      </c>
    </row>
    <row r="80" spans="1:18" x14ac:dyDescent="0.25">
      <c r="A80" s="26"/>
      <c r="B80" s="25" t="s">
        <v>67</v>
      </c>
      <c r="C80" s="15">
        <v>20</v>
      </c>
      <c r="D80" s="16">
        <v>250</v>
      </c>
      <c r="E80" s="15">
        <v>2</v>
      </c>
      <c r="F80" s="11">
        <v>1</v>
      </c>
      <c r="G80" s="11">
        <f>+ROUND(2300/D80+1,0)</f>
        <v>10</v>
      </c>
      <c r="H80" s="12"/>
      <c r="I80" s="12">
        <v>2.4649999999999999</v>
      </c>
      <c r="J80" s="22"/>
      <c r="K80" s="22"/>
      <c r="L80" s="12">
        <f t="shared" si="7"/>
        <v>2.4649999999999999</v>
      </c>
      <c r="M80" s="12">
        <f t="shared" ref="M80" si="57">+ROUND(IF(C80=8,PRODUCT(E80,F80,G80,L80),0),2)</f>
        <v>0</v>
      </c>
      <c r="N80" s="12">
        <f t="shared" ref="N80" si="58">+ROUND(IF(C80=10,PRODUCT(E80,F80,G80,L80),0),2)</f>
        <v>0</v>
      </c>
      <c r="O80" s="12">
        <f t="shared" ref="O80" si="59">+ROUND(IF(C80=12,PRODUCT(E80,F80,G80,L80),0),2)</f>
        <v>0</v>
      </c>
      <c r="P80" s="12">
        <f t="shared" ref="P80" si="60">+ROUND(IF(C80=16,PRODUCT(E80,F80,G80,L80),0),2)</f>
        <v>0</v>
      </c>
      <c r="Q80" s="12">
        <f t="shared" ref="Q80" si="61">+ROUND(IF(C80=20,PRODUCT(E80,F80,G80,L80),0),2)</f>
        <v>49.3</v>
      </c>
      <c r="R80" s="12">
        <f t="shared" ref="R80" si="62">+ROUND(IF(C80=25,PRODUCT(E80,F80,G80,L80),0),2)</f>
        <v>0</v>
      </c>
    </row>
    <row r="81" spans="1:18" x14ac:dyDescent="0.25">
      <c r="A81" s="26"/>
      <c r="B81" s="25" t="s">
        <v>67</v>
      </c>
      <c r="C81" s="15">
        <v>20</v>
      </c>
      <c r="D81" s="16">
        <v>250</v>
      </c>
      <c r="E81" s="15">
        <v>2</v>
      </c>
      <c r="F81" s="11">
        <v>1</v>
      </c>
      <c r="G81" s="11">
        <f>+ROUND(2465/D81+1,0)</f>
        <v>11</v>
      </c>
      <c r="H81" s="12"/>
      <c r="I81" s="12">
        <v>2.2999999999999998</v>
      </c>
      <c r="J81" s="22"/>
      <c r="K81" s="22"/>
      <c r="L81" s="12">
        <f t="shared" si="7"/>
        <v>2.2999999999999998</v>
      </c>
      <c r="M81" s="12">
        <f t="shared" si="51"/>
        <v>0</v>
      </c>
      <c r="N81" s="12">
        <f t="shared" si="52"/>
        <v>0</v>
      </c>
      <c r="O81" s="12">
        <f t="shared" si="53"/>
        <v>0</v>
      </c>
      <c r="P81" s="12">
        <f t="shared" si="54"/>
        <v>0</v>
      </c>
      <c r="Q81" s="12">
        <f t="shared" si="55"/>
        <v>50.6</v>
      </c>
      <c r="R81" s="12">
        <f t="shared" si="56"/>
        <v>0</v>
      </c>
    </row>
    <row r="82" spans="1:18" x14ac:dyDescent="0.25">
      <c r="A82" s="26"/>
      <c r="B82" s="25" t="s">
        <v>68</v>
      </c>
      <c r="C82" s="15">
        <v>20</v>
      </c>
      <c r="D82" s="16">
        <v>250</v>
      </c>
      <c r="E82" s="15">
        <v>2</v>
      </c>
      <c r="F82" s="11">
        <v>1</v>
      </c>
      <c r="G82" s="11">
        <f>+ROUND(2350/D82+1,0)</f>
        <v>10</v>
      </c>
      <c r="H82" s="12"/>
      <c r="I82" s="12">
        <v>2.0499999999999998</v>
      </c>
      <c r="J82" s="22"/>
      <c r="K82" s="22"/>
      <c r="L82" s="12">
        <f t="shared" si="7"/>
        <v>2.0499999999999998</v>
      </c>
      <c r="M82" s="12">
        <f t="shared" si="51"/>
        <v>0</v>
      </c>
      <c r="N82" s="12">
        <f t="shared" si="52"/>
        <v>0</v>
      </c>
      <c r="O82" s="12">
        <f t="shared" si="53"/>
        <v>0</v>
      </c>
      <c r="P82" s="12">
        <f t="shared" si="54"/>
        <v>0</v>
      </c>
      <c r="Q82" s="12">
        <f t="shared" si="55"/>
        <v>41</v>
      </c>
      <c r="R82" s="12">
        <f t="shared" si="56"/>
        <v>0</v>
      </c>
    </row>
    <row r="83" spans="1:18" x14ac:dyDescent="0.25">
      <c r="A83" s="26"/>
      <c r="B83" s="25" t="s">
        <v>68</v>
      </c>
      <c r="C83" s="15">
        <v>20</v>
      </c>
      <c r="D83" s="16">
        <v>250</v>
      </c>
      <c r="E83" s="15">
        <v>2</v>
      </c>
      <c r="F83" s="11">
        <v>1</v>
      </c>
      <c r="G83" s="11">
        <f>+ROUND(2050/D83+1,0)</f>
        <v>9</v>
      </c>
      <c r="H83" s="12"/>
      <c r="I83" s="12">
        <v>2.35</v>
      </c>
      <c r="J83" s="22"/>
      <c r="K83" s="22"/>
      <c r="L83" s="12">
        <f t="shared" si="7"/>
        <v>2.35</v>
      </c>
      <c r="M83" s="12">
        <f t="shared" si="51"/>
        <v>0</v>
      </c>
      <c r="N83" s="12">
        <f t="shared" si="52"/>
        <v>0</v>
      </c>
      <c r="O83" s="12">
        <f t="shared" si="53"/>
        <v>0</v>
      </c>
      <c r="P83" s="12">
        <f t="shared" si="54"/>
        <v>0</v>
      </c>
      <c r="Q83" s="12">
        <f t="shared" si="55"/>
        <v>42.3</v>
      </c>
      <c r="R83" s="12">
        <f t="shared" si="56"/>
        <v>0</v>
      </c>
    </row>
    <row r="84" spans="1:18" x14ac:dyDescent="0.25">
      <c r="A84" s="26"/>
      <c r="B84" s="25" t="s">
        <v>69</v>
      </c>
      <c r="C84" s="15">
        <v>25</v>
      </c>
      <c r="D84" s="16">
        <v>250</v>
      </c>
      <c r="E84" s="15">
        <v>2</v>
      </c>
      <c r="F84" s="11">
        <v>1</v>
      </c>
      <c r="G84" s="11">
        <f>+ROUND(2300/D84+1,0)</f>
        <v>10</v>
      </c>
      <c r="H84" s="12"/>
      <c r="I84" s="12">
        <v>3.1</v>
      </c>
      <c r="J84" s="22"/>
      <c r="K84" s="22"/>
      <c r="L84" s="12">
        <f t="shared" si="7"/>
        <v>3.1</v>
      </c>
      <c r="M84" s="12">
        <f t="shared" si="51"/>
        <v>0</v>
      </c>
      <c r="N84" s="12">
        <f t="shared" si="52"/>
        <v>0</v>
      </c>
      <c r="O84" s="12">
        <f t="shared" si="53"/>
        <v>0</v>
      </c>
      <c r="P84" s="12">
        <f t="shared" si="54"/>
        <v>0</v>
      </c>
      <c r="Q84" s="12">
        <f t="shared" si="55"/>
        <v>0</v>
      </c>
      <c r="R84" s="12">
        <f t="shared" si="56"/>
        <v>62</v>
      </c>
    </row>
    <row r="85" spans="1:18" x14ac:dyDescent="0.25">
      <c r="A85" s="26"/>
      <c r="B85" s="25" t="s">
        <v>70</v>
      </c>
      <c r="C85" s="15">
        <v>20</v>
      </c>
      <c r="D85" s="16">
        <v>250</v>
      </c>
      <c r="E85" s="15">
        <v>2</v>
      </c>
      <c r="F85" s="11">
        <v>1</v>
      </c>
      <c r="G85" s="11">
        <f>+ROUND(3100/D85+1,0)</f>
        <v>13</v>
      </c>
      <c r="H85" s="12"/>
      <c r="I85" s="12">
        <v>2.2999999999999998</v>
      </c>
      <c r="J85" s="22"/>
      <c r="K85" s="22"/>
      <c r="L85" s="12">
        <f t="shared" si="7"/>
        <v>2.2999999999999998</v>
      </c>
      <c r="M85" s="12">
        <f t="shared" si="51"/>
        <v>0</v>
      </c>
      <c r="N85" s="12">
        <f t="shared" si="52"/>
        <v>0</v>
      </c>
      <c r="O85" s="12">
        <f t="shared" si="53"/>
        <v>0</v>
      </c>
      <c r="P85" s="12">
        <f t="shared" si="54"/>
        <v>0</v>
      </c>
      <c r="Q85" s="12">
        <f t="shared" si="55"/>
        <v>59.8</v>
      </c>
      <c r="R85" s="12">
        <f t="shared" si="56"/>
        <v>0</v>
      </c>
    </row>
    <row r="86" spans="1:18" x14ac:dyDescent="0.25">
      <c r="A86" s="26"/>
      <c r="B86" s="25" t="s">
        <v>71</v>
      </c>
      <c r="C86" s="15">
        <v>20</v>
      </c>
      <c r="D86" s="16">
        <v>250</v>
      </c>
      <c r="E86" s="15">
        <v>2</v>
      </c>
      <c r="F86" s="11">
        <v>1</v>
      </c>
      <c r="G86" s="11">
        <f>+ROUND(4060/D86+1,0)</f>
        <v>17</v>
      </c>
      <c r="H86" s="12"/>
      <c r="I86" s="12">
        <v>3.9350000000000001</v>
      </c>
      <c r="J86" s="22"/>
      <c r="K86" s="22"/>
      <c r="L86" s="12">
        <f t="shared" si="7"/>
        <v>3.9350000000000001</v>
      </c>
      <c r="M86" s="12">
        <f t="shared" si="51"/>
        <v>0</v>
      </c>
      <c r="N86" s="12">
        <f t="shared" si="52"/>
        <v>0</v>
      </c>
      <c r="O86" s="12">
        <f t="shared" si="53"/>
        <v>0</v>
      </c>
      <c r="P86" s="12">
        <f t="shared" si="54"/>
        <v>0</v>
      </c>
      <c r="Q86" s="12">
        <f t="shared" si="55"/>
        <v>133.79</v>
      </c>
      <c r="R86" s="12">
        <f t="shared" si="56"/>
        <v>0</v>
      </c>
    </row>
    <row r="87" spans="1:18" x14ac:dyDescent="0.25">
      <c r="A87" s="26"/>
      <c r="B87" s="25" t="s">
        <v>71</v>
      </c>
      <c r="C87" s="15">
        <v>20</v>
      </c>
      <c r="D87" s="16">
        <v>250</v>
      </c>
      <c r="E87" s="15">
        <v>2</v>
      </c>
      <c r="F87" s="11">
        <v>1</v>
      </c>
      <c r="G87" s="11">
        <f>+ROUND(3935/D87+1,0)</f>
        <v>17</v>
      </c>
      <c r="H87" s="12"/>
      <c r="I87" s="12">
        <v>4.0599999999999996</v>
      </c>
      <c r="J87" s="22"/>
      <c r="K87" s="22"/>
      <c r="L87" s="12">
        <f t="shared" si="7"/>
        <v>4.0599999999999996</v>
      </c>
      <c r="M87" s="12">
        <f t="shared" si="51"/>
        <v>0</v>
      </c>
      <c r="N87" s="12">
        <f t="shared" si="52"/>
        <v>0</v>
      </c>
      <c r="O87" s="12">
        <f t="shared" si="53"/>
        <v>0</v>
      </c>
      <c r="P87" s="12">
        <f t="shared" si="54"/>
        <v>0</v>
      </c>
      <c r="Q87" s="12">
        <f t="shared" si="55"/>
        <v>138.04</v>
      </c>
      <c r="R87" s="12">
        <f t="shared" si="56"/>
        <v>0</v>
      </c>
    </row>
    <row r="88" spans="1:18" x14ac:dyDescent="0.25">
      <c r="A88" s="26"/>
      <c r="B88" s="25" t="s">
        <v>72</v>
      </c>
      <c r="C88" s="15">
        <v>20</v>
      </c>
      <c r="D88" s="16">
        <v>250</v>
      </c>
      <c r="E88" s="15">
        <v>2</v>
      </c>
      <c r="F88" s="11">
        <v>1</v>
      </c>
      <c r="G88" s="11">
        <f>+ROUND(2300/D88+1,0)</f>
        <v>10</v>
      </c>
      <c r="H88" s="12"/>
      <c r="I88" s="12">
        <v>2.75</v>
      </c>
      <c r="J88" s="22"/>
      <c r="K88" s="22"/>
      <c r="L88" s="12">
        <f t="shared" si="7"/>
        <v>2.75</v>
      </c>
      <c r="M88" s="12">
        <f t="shared" si="51"/>
        <v>0</v>
      </c>
      <c r="N88" s="12">
        <f t="shared" si="52"/>
        <v>0</v>
      </c>
      <c r="O88" s="12">
        <f t="shared" si="53"/>
        <v>0</v>
      </c>
      <c r="P88" s="12">
        <f t="shared" si="54"/>
        <v>0</v>
      </c>
      <c r="Q88" s="12">
        <f t="shared" si="55"/>
        <v>55</v>
      </c>
      <c r="R88" s="12">
        <f t="shared" si="56"/>
        <v>0</v>
      </c>
    </row>
    <row r="89" spans="1:18" x14ac:dyDescent="0.25">
      <c r="A89" s="26"/>
      <c r="B89" s="25" t="s">
        <v>73</v>
      </c>
      <c r="C89" s="15">
        <v>20</v>
      </c>
      <c r="D89" s="16">
        <v>250</v>
      </c>
      <c r="E89" s="15">
        <v>2</v>
      </c>
      <c r="F89" s="11">
        <v>2</v>
      </c>
      <c r="G89" s="11">
        <f>+ROUND(2750/D89+1,0)</f>
        <v>12</v>
      </c>
      <c r="H89" s="12"/>
      <c r="I89" s="12">
        <v>2.2999999999999998</v>
      </c>
      <c r="J89" s="22"/>
      <c r="K89" s="22"/>
      <c r="L89" s="12">
        <f t="shared" si="7"/>
        <v>2.2999999999999998</v>
      </c>
      <c r="M89" s="12">
        <f t="shared" si="51"/>
        <v>0</v>
      </c>
      <c r="N89" s="12">
        <f t="shared" si="52"/>
        <v>0</v>
      </c>
      <c r="O89" s="12">
        <f t="shared" si="53"/>
        <v>0</v>
      </c>
      <c r="P89" s="12">
        <f t="shared" si="54"/>
        <v>0</v>
      </c>
      <c r="Q89" s="12">
        <f t="shared" si="55"/>
        <v>110.4</v>
      </c>
      <c r="R89" s="12">
        <f t="shared" si="56"/>
        <v>0</v>
      </c>
    </row>
    <row r="90" spans="1:18" x14ac:dyDescent="0.25">
      <c r="A90" s="26"/>
      <c r="B90" s="25" t="s">
        <v>74</v>
      </c>
      <c r="C90" s="15">
        <v>25</v>
      </c>
      <c r="D90" s="16">
        <v>250</v>
      </c>
      <c r="E90" s="15">
        <v>2</v>
      </c>
      <c r="F90" s="11">
        <v>1</v>
      </c>
      <c r="G90" s="11">
        <f>+ROUND(2800/D90+1,0)</f>
        <v>12</v>
      </c>
      <c r="H90" s="12"/>
      <c r="I90" s="12">
        <v>2.75</v>
      </c>
      <c r="J90" s="22"/>
      <c r="K90" s="22"/>
      <c r="L90" s="12">
        <f t="shared" ref="L90:L153" si="63">SUM(H90:J90)+K90</f>
        <v>2.75</v>
      </c>
      <c r="M90" s="12">
        <f t="shared" si="51"/>
        <v>0</v>
      </c>
      <c r="N90" s="12">
        <f t="shared" si="52"/>
        <v>0</v>
      </c>
      <c r="O90" s="12">
        <f t="shared" si="53"/>
        <v>0</v>
      </c>
      <c r="P90" s="12">
        <f t="shared" si="54"/>
        <v>0</v>
      </c>
      <c r="Q90" s="12">
        <f t="shared" si="55"/>
        <v>0</v>
      </c>
      <c r="R90" s="12">
        <f t="shared" si="56"/>
        <v>66</v>
      </c>
    </row>
    <row r="91" spans="1:18" x14ac:dyDescent="0.25">
      <c r="A91" s="26"/>
      <c r="B91" s="25" t="s">
        <v>74</v>
      </c>
      <c r="C91" s="15">
        <v>25</v>
      </c>
      <c r="D91" s="16">
        <v>250</v>
      </c>
      <c r="E91" s="15">
        <v>2</v>
      </c>
      <c r="F91" s="11">
        <v>1</v>
      </c>
      <c r="G91" s="11">
        <f>+ROUND(2750/D91+1,0)</f>
        <v>12</v>
      </c>
      <c r="H91" s="12"/>
      <c r="I91" s="12">
        <v>2.8</v>
      </c>
      <c r="J91" s="22"/>
      <c r="K91" s="22"/>
      <c r="L91" s="12">
        <f t="shared" si="63"/>
        <v>2.8</v>
      </c>
      <c r="M91" s="12">
        <f t="shared" si="51"/>
        <v>0</v>
      </c>
      <c r="N91" s="12">
        <f t="shared" si="52"/>
        <v>0</v>
      </c>
      <c r="O91" s="12">
        <f t="shared" si="53"/>
        <v>0</v>
      </c>
      <c r="P91" s="12">
        <f t="shared" si="54"/>
        <v>0</v>
      </c>
      <c r="Q91" s="12">
        <f t="shared" si="55"/>
        <v>0</v>
      </c>
      <c r="R91" s="12">
        <f t="shared" si="56"/>
        <v>67.2</v>
      </c>
    </row>
    <row r="92" spans="1:18" x14ac:dyDescent="0.25">
      <c r="A92" s="26"/>
      <c r="B92" s="25" t="s">
        <v>75</v>
      </c>
      <c r="C92" s="15">
        <v>20</v>
      </c>
      <c r="D92" s="16">
        <v>250</v>
      </c>
      <c r="E92" s="15">
        <v>2</v>
      </c>
      <c r="F92" s="11">
        <v>1</v>
      </c>
      <c r="G92" s="11">
        <f>+ROUND(2750/D92+1,0)</f>
        <v>12</v>
      </c>
      <c r="H92" s="12"/>
      <c r="I92" s="12">
        <v>2.8</v>
      </c>
      <c r="J92" s="22"/>
      <c r="K92" s="22"/>
      <c r="L92" s="12">
        <f t="shared" si="63"/>
        <v>2.8</v>
      </c>
      <c r="M92" s="12">
        <f t="shared" si="51"/>
        <v>0</v>
      </c>
      <c r="N92" s="12">
        <f t="shared" si="52"/>
        <v>0</v>
      </c>
      <c r="O92" s="12">
        <f t="shared" si="53"/>
        <v>0</v>
      </c>
      <c r="P92" s="12">
        <f t="shared" si="54"/>
        <v>0</v>
      </c>
      <c r="Q92" s="12">
        <f t="shared" si="55"/>
        <v>67.2</v>
      </c>
      <c r="R92" s="12">
        <f t="shared" si="56"/>
        <v>0</v>
      </c>
    </row>
    <row r="93" spans="1:18" x14ac:dyDescent="0.25">
      <c r="A93" s="26"/>
      <c r="B93" s="25" t="s">
        <v>76</v>
      </c>
      <c r="C93" s="15">
        <v>20</v>
      </c>
      <c r="D93" s="16">
        <v>250</v>
      </c>
      <c r="E93" s="15">
        <v>2</v>
      </c>
      <c r="F93" s="11">
        <v>1</v>
      </c>
      <c r="G93" s="11">
        <f>+ROUND(2800/D93+1,0)</f>
        <v>12</v>
      </c>
      <c r="H93" s="12"/>
      <c r="I93" s="12">
        <v>2.35</v>
      </c>
      <c r="J93" s="22"/>
      <c r="K93" s="22"/>
      <c r="L93" s="12">
        <f t="shared" si="63"/>
        <v>2.35</v>
      </c>
      <c r="M93" s="12">
        <f t="shared" ref="M93:M108" si="64">+ROUND(IF(C93=8,PRODUCT(E93,F93,G93,L93),0),2)</f>
        <v>0</v>
      </c>
      <c r="N93" s="12">
        <f t="shared" ref="N93:N108" si="65">+ROUND(IF(C93=10,PRODUCT(E93,F93,G93,L93),0),2)</f>
        <v>0</v>
      </c>
      <c r="O93" s="12">
        <f t="shared" ref="O93:O108" si="66">+ROUND(IF(C93=12,PRODUCT(E93,F93,G93,L93),0),2)</f>
        <v>0</v>
      </c>
      <c r="P93" s="12">
        <f t="shared" ref="P93:P108" si="67">+ROUND(IF(C93=16,PRODUCT(E93,F93,G93,L93),0),2)</f>
        <v>0</v>
      </c>
      <c r="Q93" s="12">
        <f t="shared" ref="Q93:Q108" si="68">+ROUND(IF(C93=20,PRODUCT(E93,F93,G93,L93),0),2)</f>
        <v>56.4</v>
      </c>
      <c r="R93" s="12">
        <f t="shared" ref="R93:R108" si="69">+ROUND(IF(C93=25,PRODUCT(E93,F93,G93,L93),0),2)</f>
        <v>0</v>
      </c>
    </row>
    <row r="94" spans="1:18" x14ac:dyDescent="0.25">
      <c r="A94" s="26"/>
      <c r="B94" s="25" t="s">
        <v>77</v>
      </c>
      <c r="C94" s="15">
        <v>25</v>
      </c>
      <c r="D94" s="16">
        <v>250</v>
      </c>
      <c r="E94" s="15">
        <v>2</v>
      </c>
      <c r="F94" s="11">
        <v>1</v>
      </c>
      <c r="G94" s="11">
        <f>+ROUND(2350/D94+1,0)</f>
        <v>10</v>
      </c>
      <c r="H94" s="12"/>
      <c r="I94" s="12">
        <v>2.8</v>
      </c>
      <c r="J94" s="22"/>
      <c r="K94" s="22"/>
      <c r="L94" s="12">
        <f t="shared" si="63"/>
        <v>2.8</v>
      </c>
      <c r="M94" s="12">
        <f t="shared" si="64"/>
        <v>0</v>
      </c>
      <c r="N94" s="12">
        <f t="shared" si="65"/>
        <v>0</v>
      </c>
      <c r="O94" s="12">
        <f t="shared" si="66"/>
        <v>0</v>
      </c>
      <c r="P94" s="12">
        <f t="shared" si="67"/>
        <v>0</v>
      </c>
      <c r="Q94" s="12">
        <f t="shared" si="68"/>
        <v>0</v>
      </c>
      <c r="R94" s="12">
        <f t="shared" si="69"/>
        <v>56</v>
      </c>
    </row>
    <row r="95" spans="1:18" x14ac:dyDescent="0.25">
      <c r="A95" s="26"/>
      <c r="B95" s="25" t="s">
        <v>78</v>
      </c>
      <c r="C95" s="15">
        <v>20</v>
      </c>
      <c r="D95" s="16">
        <v>250</v>
      </c>
      <c r="E95" s="15">
        <v>2</v>
      </c>
      <c r="F95" s="11">
        <v>1</v>
      </c>
      <c r="G95" s="11">
        <f>+ROUND(3700/D95+1,0)</f>
        <v>16</v>
      </c>
      <c r="H95" s="12"/>
      <c r="I95" s="12">
        <v>2.23</v>
      </c>
      <c r="J95" s="22"/>
      <c r="K95" s="22"/>
      <c r="L95" s="12">
        <f t="shared" si="63"/>
        <v>2.23</v>
      </c>
      <c r="M95" s="12">
        <f t="shared" si="64"/>
        <v>0</v>
      </c>
      <c r="N95" s="12">
        <f t="shared" si="65"/>
        <v>0</v>
      </c>
      <c r="O95" s="12">
        <f t="shared" si="66"/>
        <v>0</v>
      </c>
      <c r="P95" s="12">
        <f t="shared" si="67"/>
        <v>0</v>
      </c>
      <c r="Q95" s="12">
        <f t="shared" si="68"/>
        <v>71.36</v>
      </c>
      <c r="R95" s="12">
        <f t="shared" si="69"/>
        <v>0</v>
      </c>
    </row>
    <row r="96" spans="1:18" x14ac:dyDescent="0.25">
      <c r="A96" s="26"/>
      <c r="B96" s="25" t="s">
        <v>78</v>
      </c>
      <c r="C96" s="15">
        <v>20</v>
      </c>
      <c r="D96" s="16">
        <v>250</v>
      </c>
      <c r="E96" s="15">
        <v>2</v>
      </c>
      <c r="F96" s="11">
        <v>1</v>
      </c>
      <c r="G96" s="11">
        <f>+ROUND(2230/D96+1,0)</f>
        <v>10</v>
      </c>
      <c r="H96" s="12"/>
      <c r="I96" s="12">
        <v>3.7</v>
      </c>
      <c r="J96" s="22"/>
      <c r="K96" s="22"/>
      <c r="L96" s="12">
        <f t="shared" si="63"/>
        <v>3.7</v>
      </c>
      <c r="M96" s="12">
        <f t="shared" si="64"/>
        <v>0</v>
      </c>
      <c r="N96" s="12">
        <f t="shared" si="65"/>
        <v>0</v>
      </c>
      <c r="O96" s="12">
        <f t="shared" si="66"/>
        <v>0</v>
      </c>
      <c r="P96" s="12">
        <f t="shared" si="67"/>
        <v>0</v>
      </c>
      <c r="Q96" s="12">
        <f t="shared" si="68"/>
        <v>74</v>
      </c>
      <c r="R96" s="12">
        <f t="shared" si="69"/>
        <v>0</v>
      </c>
    </row>
    <row r="97" spans="1:18" x14ac:dyDescent="0.25">
      <c r="A97" s="26"/>
      <c r="B97" s="25" t="s">
        <v>79</v>
      </c>
      <c r="C97" s="15">
        <v>20</v>
      </c>
      <c r="D97" s="16">
        <v>250</v>
      </c>
      <c r="E97" s="15">
        <v>2</v>
      </c>
      <c r="F97" s="11">
        <v>1</v>
      </c>
      <c r="G97" s="11">
        <f>+ROUND(2800/D97+1,0)</f>
        <v>12</v>
      </c>
      <c r="H97" s="12"/>
      <c r="I97" s="12">
        <v>2.75</v>
      </c>
      <c r="J97" s="22"/>
      <c r="K97" s="22"/>
      <c r="L97" s="12">
        <f t="shared" si="63"/>
        <v>2.75</v>
      </c>
      <c r="M97" s="12">
        <f t="shared" si="64"/>
        <v>0</v>
      </c>
      <c r="N97" s="12">
        <f t="shared" si="65"/>
        <v>0</v>
      </c>
      <c r="O97" s="12">
        <f t="shared" si="66"/>
        <v>0</v>
      </c>
      <c r="P97" s="12">
        <f t="shared" si="67"/>
        <v>0</v>
      </c>
      <c r="Q97" s="12">
        <f t="shared" si="68"/>
        <v>66</v>
      </c>
      <c r="R97" s="12">
        <f t="shared" si="69"/>
        <v>0</v>
      </c>
    </row>
    <row r="98" spans="1:18" x14ac:dyDescent="0.25">
      <c r="A98" s="26"/>
      <c r="B98" s="25" t="s">
        <v>80</v>
      </c>
      <c r="C98" s="15">
        <v>25</v>
      </c>
      <c r="D98" s="16">
        <v>250</v>
      </c>
      <c r="E98" s="15">
        <v>2</v>
      </c>
      <c r="F98" s="11">
        <v>1</v>
      </c>
      <c r="G98" s="11">
        <f>+ROUND(2750/D98+1,0)</f>
        <v>12</v>
      </c>
      <c r="H98" s="12"/>
      <c r="I98" s="12">
        <v>2.8</v>
      </c>
      <c r="J98" s="22"/>
      <c r="K98" s="22"/>
      <c r="L98" s="12">
        <f t="shared" si="63"/>
        <v>2.8</v>
      </c>
      <c r="M98" s="12">
        <f t="shared" si="64"/>
        <v>0</v>
      </c>
      <c r="N98" s="12">
        <f t="shared" si="65"/>
        <v>0</v>
      </c>
      <c r="O98" s="12">
        <f t="shared" si="66"/>
        <v>0</v>
      </c>
      <c r="P98" s="12">
        <f t="shared" si="67"/>
        <v>0</v>
      </c>
      <c r="Q98" s="12">
        <f t="shared" si="68"/>
        <v>0</v>
      </c>
      <c r="R98" s="12">
        <f t="shared" si="69"/>
        <v>67.2</v>
      </c>
    </row>
    <row r="99" spans="1:18" x14ac:dyDescent="0.25">
      <c r="A99" s="26"/>
      <c r="B99" s="25" t="s">
        <v>81</v>
      </c>
      <c r="C99" s="15">
        <v>20</v>
      </c>
      <c r="D99" s="16">
        <v>250</v>
      </c>
      <c r="E99" s="15">
        <v>2</v>
      </c>
      <c r="F99" s="11">
        <v>1</v>
      </c>
      <c r="G99" s="11">
        <f>+ROUND(2750/D99+1,0)</f>
        <v>12</v>
      </c>
      <c r="H99" s="12"/>
      <c r="I99" s="12">
        <v>2.8</v>
      </c>
      <c r="J99" s="22"/>
      <c r="K99" s="22"/>
      <c r="L99" s="12">
        <f t="shared" si="63"/>
        <v>2.8</v>
      </c>
      <c r="M99" s="12">
        <f t="shared" si="64"/>
        <v>0</v>
      </c>
      <c r="N99" s="12">
        <f t="shared" si="65"/>
        <v>0</v>
      </c>
      <c r="O99" s="12">
        <f t="shared" si="66"/>
        <v>0</v>
      </c>
      <c r="P99" s="12">
        <f t="shared" si="67"/>
        <v>0</v>
      </c>
      <c r="Q99" s="12">
        <f t="shared" si="68"/>
        <v>67.2</v>
      </c>
      <c r="R99" s="12">
        <f t="shared" si="69"/>
        <v>0</v>
      </c>
    </row>
    <row r="100" spans="1:18" x14ac:dyDescent="0.25">
      <c r="A100" s="26"/>
      <c r="B100" s="25" t="s">
        <v>82</v>
      </c>
      <c r="C100" s="15">
        <v>20</v>
      </c>
      <c r="D100" s="16">
        <v>250</v>
      </c>
      <c r="E100" s="15">
        <v>2</v>
      </c>
      <c r="F100" s="11">
        <v>1</v>
      </c>
      <c r="G100" s="11">
        <f>+ROUND(3100/D100+1,0)</f>
        <v>13</v>
      </c>
      <c r="H100" s="12"/>
      <c r="I100" s="12">
        <v>2.2999999999999998</v>
      </c>
      <c r="J100" s="22"/>
      <c r="K100" s="22"/>
      <c r="L100" s="12">
        <f t="shared" si="63"/>
        <v>2.2999999999999998</v>
      </c>
      <c r="M100" s="12">
        <f t="shared" si="64"/>
        <v>0</v>
      </c>
      <c r="N100" s="12">
        <f t="shared" si="65"/>
        <v>0</v>
      </c>
      <c r="O100" s="12">
        <f t="shared" si="66"/>
        <v>0</v>
      </c>
      <c r="P100" s="12">
        <f t="shared" si="67"/>
        <v>0</v>
      </c>
      <c r="Q100" s="12">
        <f t="shared" si="68"/>
        <v>59.8</v>
      </c>
      <c r="R100" s="12">
        <f t="shared" si="69"/>
        <v>0</v>
      </c>
    </row>
    <row r="101" spans="1:18" x14ac:dyDescent="0.25">
      <c r="A101" s="26"/>
      <c r="B101" s="25" t="s">
        <v>83</v>
      </c>
      <c r="C101" s="15">
        <v>25</v>
      </c>
      <c r="D101" s="16">
        <v>250</v>
      </c>
      <c r="E101" s="15">
        <v>2</v>
      </c>
      <c r="F101" s="11">
        <v>1</v>
      </c>
      <c r="G101" s="11">
        <f>+ROUND(2300/D101+1,0)</f>
        <v>10</v>
      </c>
      <c r="H101" s="12"/>
      <c r="I101" s="12">
        <v>3.1</v>
      </c>
      <c r="J101" s="22"/>
      <c r="K101" s="22"/>
      <c r="L101" s="12">
        <f t="shared" si="63"/>
        <v>3.1</v>
      </c>
      <c r="M101" s="12">
        <f t="shared" si="64"/>
        <v>0</v>
      </c>
      <c r="N101" s="12">
        <f t="shared" si="65"/>
        <v>0</v>
      </c>
      <c r="O101" s="12">
        <f t="shared" si="66"/>
        <v>0</v>
      </c>
      <c r="P101" s="12">
        <f t="shared" si="67"/>
        <v>0</v>
      </c>
      <c r="Q101" s="12">
        <f t="shared" si="68"/>
        <v>0</v>
      </c>
      <c r="R101" s="12">
        <f t="shared" si="69"/>
        <v>62</v>
      </c>
    </row>
    <row r="102" spans="1:18" x14ac:dyDescent="0.25">
      <c r="A102" s="26"/>
      <c r="B102" s="25" t="s">
        <v>84</v>
      </c>
      <c r="C102" s="15">
        <v>20</v>
      </c>
      <c r="D102" s="16">
        <v>250</v>
      </c>
      <c r="E102" s="15">
        <v>2</v>
      </c>
      <c r="F102" s="11">
        <v>1</v>
      </c>
      <c r="G102" s="11">
        <f>+ROUND(2400/D102+1,0)</f>
        <v>11</v>
      </c>
      <c r="H102" s="12"/>
      <c r="I102" s="12">
        <v>3.6</v>
      </c>
      <c r="J102" s="22"/>
      <c r="K102" s="22"/>
      <c r="L102" s="12">
        <f t="shared" si="63"/>
        <v>3.6</v>
      </c>
      <c r="M102" s="12">
        <f t="shared" si="64"/>
        <v>0</v>
      </c>
      <c r="N102" s="12">
        <f t="shared" si="65"/>
        <v>0</v>
      </c>
      <c r="O102" s="12">
        <f t="shared" si="66"/>
        <v>0</v>
      </c>
      <c r="P102" s="12">
        <f t="shared" si="67"/>
        <v>0</v>
      </c>
      <c r="Q102" s="12">
        <f t="shared" si="68"/>
        <v>79.2</v>
      </c>
      <c r="R102" s="12">
        <f t="shared" si="69"/>
        <v>0</v>
      </c>
    </row>
    <row r="103" spans="1:18" x14ac:dyDescent="0.25">
      <c r="A103" s="26"/>
      <c r="B103" s="25" t="s">
        <v>85</v>
      </c>
      <c r="C103" s="15">
        <v>25</v>
      </c>
      <c r="D103" s="16">
        <v>250</v>
      </c>
      <c r="E103" s="15">
        <v>2</v>
      </c>
      <c r="F103" s="11">
        <v>1</v>
      </c>
      <c r="G103" s="11">
        <f>+ROUND(1695/D103+1,0)</f>
        <v>8</v>
      </c>
      <c r="H103" s="12"/>
      <c r="I103" s="12">
        <v>2.5499999999999998</v>
      </c>
      <c r="J103" s="22"/>
      <c r="K103" s="22"/>
      <c r="L103" s="12">
        <f t="shared" si="63"/>
        <v>2.5499999999999998</v>
      </c>
      <c r="M103" s="12">
        <f t="shared" si="64"/>
        <v>0</v>
      </c>
      <c r="N103" s="12">
        <f t="shared" si="65"/>
        <v>0</v>
      </c>
      <c r="O103" s="12">
        <f t="shared" si="66"/>
        <v>0</v>
      </c>
      <c r="P103" s="12">
        <f t="shared" si="67"/>
        <v>0</v>
      </c>
      <c r="Q103" s="12">
        <f t="shared" si="68"/>
        <v>0</v>
      </c>
      <c r="R103" s="12">
        <f t="shared" si="69"/>
        <v>40.799999999999997</v>
      </c>
    </row>
    <row r="104" spans="1:18" x14ac:dyDescent="0.25">
      <c r="A104" s="26"/>
      <c r="B104" s="25" t="s">
        <v>84</v>
      </c>
      <c r="C104" s="15">
        <v>20</v>
      </c>
      <c r="D104" s="16">
        <v>250</v>
      </c>
      <c r="E104" s="15">
        <v>2</v>
      </c>
      <c r="F104" s="11">
        <v>1</v>
      </c>
      <c r="G104" s="11">
        <f>+ROUND(2500/D104+1,0)</f>
        <v>11</v>
      </c>
      <c r="H104" s="12"/>
      <c r="I104" s="12">
        <v>4.0949999999999998</v>
      </c>
      <c r="J104" s="22"/>
      <c r="K104" s="22"/>
      <c r="L104" s="12">
        <f t="shared" si="63"/>
        <v>4.0949999999999998</v>
      </c>
      <c r="M104" s="12">
        <f t="shared" si="64"/>
        <v>0</v>
      </c>
      <c r="N104" s="12">
        <f t="shared" si="65"/>
        <v>0</v>
      </c>
      <c r="O104" s="12">
        <f t="shared" si="66"/>
        <v>0</v>
      </c>
      <c r="P104" s="12">
        <f t="shared" si="67"/>
        <v>0</v>
      </c>
      <c r="Q104" s="12">
        <f t="shared" si="68"/>
        <v>90.09</v>
      </c>
      <c r="R104" s="12">
        <f t="shared" si="69"/>
        <v>0</v>
      </c>
    </row>
    <row r="105" spans="1:18" x14ac:dyDescent="0.25">
      <c r="A105" s="26"/>
      <c r="B105" s="25" t="s">
        <v>84</v>
      </c>
      <c r="C105" s="15">
        <v>20</v>
      </c>
      <c r="D105" s="16">
        <v>250</v>
      </c>
      <c r="E105" s="15">
        <v>2</v>
      </c>
      <c r="F105" s="11">
        <v>1</v>
      </c>
      <c r="G105" s="11">
        <f>+ROUND(815/D105+1,0)</f>
        <v>4</v>
      </c>
      <c r="H105" s="12"/>
      <c r="I105" s="12">
        <v>2.4</v>
      </c>
      <c r="J105" s="22"/>
      <c r="K105" s="22"/>
      <c r="L105" s="12">
        <f t="shared" si="63"/>
        <v>2.4</v>
      </c>
      <c r="M105" s="12">
        <f t="shared" si="64"/>
        <v>0</v>
      </c>
      <c r="N105" s="12">
        <f t="shared" si="65"/>
        <v>0</v>
      </c>
      <c r="O105" s="12">
        <f t="shared" si="66"/>
        <v>0</v>
      </c>
      <c r="P105" s="12">
        <f t="shared" si="67"/>
        <v>0</v>
      </c>
      <c r="Q105" s="12">
        <f t="shared" si="68"/>
        <v>19.2</v>
      </c>
      <c r="R105" s="12">
        <f t="shared" si="69"/>
        <v>0</v>
      </c>
    </row>
    <row r="106" spans="1:18" x14ac:dyDescent="0.25">
      <c r="A106" s="26"/>
      <c r="B106" s="25" t="s">
        <v>86</v>
      </c>
      <c r="C106" s="15">
        <v>20</v>
      </c>
      <c r="D106" s="16">
        <v>250</v>
      </c>
      <c r="E106" s="15">
        <v>2</v>
      </c>
      <c r="F106" s="11">
        <v>1</v>
      </c>
      <c r="G106" s="11">
        <f>+ROUND(3100/D106+1,0)</f>
        <v>13</v>
      </c>
      <c r="H106" s="12"/>
      <c r="I106" s="12">
        <v>2.2999999999999998</v>
      </c>
      <c r="J106" s="22"/>
      <c r="K106" s="22"/>
      <c r="L106" s="12">
        <f t="shared" si="63"/>
        <v>2.2999999999999998</v>
      </c>
      <c r="M106" s="12">
        <f t="shared" si="64"/>
        <v>0</v>
      </c>
      <c r="N106" s="12">
        <f t="shared" si="65"/>
        <v>0</v>
      </c>
      <c r="O106" s="12">
        <f t="shared" si="66"/>
        <v>0</v>
      </c>
      <c r="P106" s="12">
        <f t="shared" si="67"/>
        <v>0</v>
      </c>
      <c r="Q106" s="12">
        <f t="shared" si="68"/>
        <v>59.8</v>
      </c>
      <c r="R106" s="12">
        <f t="shared" si="69"/>
        <v>0</v>
      </c>
    </row>
    <row r="107" spans="1:18" x14ac:dyDescent="0.25">
      <c r="A107" s="26"/>
      <c r="B107" s="25" t="s">
        <v>87</v>
      </c>
      <c r="C107" s="15">
        <v>25</v>
      </c>
      <c r="D107" s="16">
        <v>250</v>
      </c>
      <c r="E107" s="15">
        <v>2</v>
      </c>
      <c r="F107" s="11">
        <v>1</v>
      </c>
      <c r="G107" s="11">
        <f>+ROUND(2300/D107+1,0)</f>
        <v>10</v>
      </c>
      <c r="H107" s="12"/>
      <c r="I107" s="12">
        <v>3.1</v>
      </c>
      <c r="J107" s="22"/>
      <c r="K107" s="22"/>
      <c r="L107" s="12">
        <f t="shared" si="63"/>
        <v>3.1</v>
      </c>
      <c r="M107" s="12">
        <f t="shared" si="64"/>
        <v>0</v>
      </c>
      <c r="N107" s="12">
        <f t="shared" si="65"/>
        <v>0</v>
      </c>
      <c r="O107" s="12">
        <f t="shared" si="66"/>
        <v>0</v>
      </c>
      <c r="P107" s="12">
        <f t="shared" si="67"/>
        <v>0</v>
      </c>
      <c r="Q107" s="12">
        <f t="shared" si="68"/>
        <v>0</v>
      </c>
      <c r="R107" s="12">
        <f t="shared" si="69"/>
        <v>62</v>
      </c>
    </row>
    <row r="108" spans="1:18" x14ac:dyDescent="0.25">
      <c r="A108" s="26"/>
      <c r="B108" s="25" t="s">
        <v>89</v>
      </c>
      <c r="C108" s="15">
        <v>16</v>
      </c>
      <c r="D108" s="16">
        <v>250</v>
      </c>
      <c r="E108" s="15">
        <v>2</v>
      </c>
      <c r="F108" s="11">
        <v>2</v>
      </c>
      <c r="G108" s="11">
        <f>+ROUND(3185/D108+1,0)</f>
        <v>14</v>
      </c>
      <c r="H108" s="12"/>
      <c r="I108" s="12">
        <v>1.83</v>
      </c>
      <c r="J108" s="22"/>
      <c r="K108" s="22"/>
      <c r="L108" s="12">
        <f t="shared" si="63"/>
        <v>1.83</v>
      </c>
      <c r="M108" s="12">
        <f t="shared" si="64"/>
        <v>0</v>
      </c>
      <c r="N108" s="12">
        <f t="shared" si="65"/>
        <v>0</v>
      </c>
      <c r="O108" s="12">
        <f t="shared" si="66"/>
        <v>0</v>
      </c>
      <c r="P108" s="12">
        <f t="shared" si="67"/>
        <v>102.48</v>
      </c>
      <c r="Q108" s="12">
        <f t="shared" si="68"/>
        <v>0</v>
      </c>
      <c r="R108" s="12">
        <f t="shared" si="69"/>
        <v>0</v>
      </c>
    </row>
    <row r="109" spans="1:18" x14ac:dyDescent="0.25">
      <c r="A109" s="26"/>
      <c r="B109" s="25" t="s">
        <v>88</v>
      </c>
      <c r="C109" s="15">
        <v>20</v>
      </c>
      <c r="D109" s="16">
        <v>250</v>
      </c>
      <c r="E109" s="15">
        <v>2</v>
      </c>
      <c r="F109" s="11">
        <v>2</v>
      </c>
      <c r="G109" s="11">
        <f>+ROUND(1830/D109+1,0)</f>
        <v>8</v>
      </c>
      <c r="H109" s="12"/>
      <c r="I109" s="12">
        <v>3.1850000000000001</v>
      </c>
      <c r="J109" s="22"/>
      <c r="K109" s="22"/>
      <c r="L109" s="12">
        <f t="shared" si="63"/>
        <v>3.1850000000000001</v>
      </c>
      <c r="M109" s="12">
        <f t="shared" si="51"/>
        <v>0</v>
      </c>
      <c r="N109" s="12">
        <f t="shared" si="52"/>
        <v>0</v>
      </c>
      <c r="O109" s="12">
        <f t="shared" si="53"/>
        <v>0</v>
      </c>
      <c r="P109" s="12">
        <f t="shared" si="54"/>
        <v>0</v>
      </c>
      <c r="Q109" s="12">
        <f t="shared" si="55"/>
        <v>101.92</v>
      </c>
      <c r="R109" s="12">
        <f t="shared" si="56"/>
        <v>0</v>
      </c>
    </row>
    <row r="110" spans="1:18" x14ac:dyDescent="0.25">
      <c r="A110" s="26"/>
      <c r="B110" s="25" t="s">
        <v>90</v>
      </c>
      <c r="C110" s="15">
        <v>20</v>
      </c>
      <c r="D110" s="16">
        <v>250</v>
      </c>
      <c r="E110" s="15">
        <v>2</v>
      </c>
      <c r="F110" s="11">
        <v>1</v>
      </c>
      <c r="G110" s="11">
        <f>+ROUND(2600/D110+1,0)</f>
        <v>11</v>
      </c>
      <c r="H110" s="12"/>
      <c r="I110" s="12">
        <v>2.2999999999999998</v>
      </c>
      <c r="J110" s="22"/>
      <c r="K110" s="22"/>
      <c r="L110" s="12">
        <f t="shared" si="63"/>
        <v>2.2999999999999998</v>
      </c>
      <c r="M110" s="12">
        <f t="shared" ref="M110:M123" si="70">+ROUND(IF(C110=8,PRODUCT(E110,F110,G110,L110),0),2)</f>
        <v>0</v>
      </c>
      <c r="N110" s="12">
        <f t="shared" ref="N110:N123" si="71">+ROUND(IF(C110=10,PRODUCT(E110,F110,G110,L110),0),2)</f>
        <v>0</v>
      </c>
      <c r="O110" s="12">
        <f t="shared" ref="O110:O123" si="72">+ROUND(IF(C110=12,PRODUCT(E110,F110,G110,L110),0),2)</f>
        <v>0</v>
      </c>
      <c r="P110" s="12">
        <f t="shared" ref="P110:P123" si="73">+ROUND(IF(C110=16,PRODUCT(E110,F110,G110,L110),0),2)</f>
        <v>0</v>
      </c>
      <c r="Q110" s="12">
        <f t="shared" ref="Q110:Q123" si="74">+ROUND(IF(C110=20,PRODUCT(E110,F110,G110,L110),0),2)</f>
        <v>50.6</v>
      </c>
      <c r="R110" s="12">
        <f t="shared" ref="R110:R123" si="75">+ROUND(IF(C110=25,PRODUCT(E110,F110,G110,L110),0),2)</f>
        <v>0</v>
      </c>
    </row>
    <row r="111" spans="1:18" x14ac:dyDescent="0.25">
      <c r="A111" s="26"/>
      <c r="B111" s="25" t="s">
        <v>90</v>
      </c>
      <c r="C111" s="15">
        <v>20</v>
      </c>
      <c r="D111" s="16">
        <v>250</v>
      </c>
      <c r="E111" s="15">
        <v>2</v>
      </c>
      <c r="F111" s="11">
        <v>1</v>
      </c>
      <c r="G111" s="11">
        <f>+ROUND(2300/D111+1,0)</f>
        <v>10</v>
      </c>
      <c r="H111" s="12"/>
      <c r="I111" s="12">
        <v>2.6</v>
      </c>
      <c r="J111" s="22"/>
      <c r="K111" s="22"/>
      <c r="L111" s="12">
        <f t="shared" si="63"/>
        <v>2.6</v>
      </c>
      <c r="M111" s="12">
        <f t="shared" si="70"/>
        <v>0</v>
      </c>
      <c r="N111" s="12">
        <f t="shared" si="71"/>
        <v>0</v>
      </c>
      <c r="O111" s="12">
        <f t="shared" si="72"/>
        <v>0</v>
      </c>
      <c r="P111" s="12">
        <f t="shared" si="73"/>
        <v>0</v>
      </c>
      <c r="Q111" s="12">
        <f t="shared" si="74"/>
        <v>52</v>
      </c>
      <c r="R111" s="12">
        <f t="shared" si="75"/>
        <v>0</v>
      </c>
    </row>
    <row r="112" spans="1:18" x14ac:dyDescent="0.25">
      <c r="A112" s="26"/>
      <c r="B112" s="25" t="s">
        <v>91</v>
      </c>
      <c r="C112" s="15">
        <v>20</v>
      </c>
      <c r="D112" s="16">
        <v>250</v>
      </c>
      <c r="E112" s="15">
        <v>2</v>
      </c>
      <c r="F112" s="11">
        <v>1</v>
      </c>
      <c r="G112" s="11">
        <f>+ROUND(4345/D112+1,0)</f>
        <v>18</v>
      </c>
      <c r="H112" s="12"/>
      <c r="I112" s="12">
        <v>3.65</v>
      </c>
      <c r="J112" s="22"/>
      <c r="K112" s="22"/>
      <c r="L112" s="12">
        <f t="shared" si="63"/>
        <v>3.65</v>
      </c>
      <c r="M112" s="12">
        <f t="shared" si="70"/>
        <v>0</v>
      </c>
      <c r="N112" s="12">
        <f t="shared" si="71"/>
        <v>0</v>
      </c>
      <c r="O112" s="12">
        <f t="shared" si="72"/>
        <v>0</v>
      </c>
      <c r="P112" s="12">
        <f t="shared" si="73"/>
        <v>0</v>
      </c>
      <c r="Q112" s="12">
        <f t="shared" si="74"/>
        <v>131.4</v>
      </c>
      <c r="R112" s="12">
        <f t="shared" si="75"/>
        <v>0</v>
      </c>
    </row>
    <row r="113" spans="1:18" x14ac:dyDescent="0.25">
      <c r="A113" s="26"/>
      <c r="B113" s="25" t="s">
        <v>91</v>
      </c>
      <c r="C113" s="15">
        <v>20</v>
      </c>
      <c r="D113" s="16">
        <v>250</v>
      </c>
      <c r="E113" s="15">
        <v>2</v>
      </c>
      <c r="F113" s="11">
        <v>1</v>
      </c>
      <c r="G113" s="11">
        <f>+ROUND(3650/D113+1,0)</f>
        <v>16</v>
      </c>
      <c r="H113" s="12"/>
      <c r="I113" s="12">
        <v>4.3449999999999998</v>
      </c>
      <c r="J113" s="22"/>
      <c r="K113" s="22"/>
      <c r="L113" s="12">
        <f t="shared" si="63"/>
        <v>4.3449999999999998</v>
      </c>
      <c r="M113" s="12">
        <f t="shared" si="70"/>
        <v>0</v>
      </c>
      <c r="N113" s="12">
        <f t="shared" si="71"/>
        <v>0</v>
      </c>
      <c r="O113" s="12">
        <f t="shared" si="72"/>
        <v>0</v>
      </c>
      <c r="P113" s="12">
        <f t="shared" si="73"/>
        <v>0</v>
      </c>
      <c r="Q113" s="12">
        <f t="shared" si="74"/>
        <v>139.04</v>
      </c>
      <c r="R113" s="12">
        <f t="shared" si="75"/>
        <v>0</v>
      </c>
    </row>
    <row r="114" spans="1:18" x14ac:dyDescent="0.25">
      <c r="A114" s="26"/>
      <c r="B114" s="25" t="s">
        <v>92</v>
      </c>
      <c r="C114" s="15">
        <v>12</v>
      </c>
      <c r="D114" s="16">
        <v>250</v>
      </c>
      <c r="E114" s="15">
        <v>2</v>
      </c>
      <c r="F114" s="11">
        <v>1</v>
      </c>
      <c r="G114" s="11">
        <f>+ROUND(2050/D114+1,0)</f>
        <v>9</v>
      </c>
      <c r="H114" s="12"/>
      <c r="I114" s="12">
        <v>1.915</v>
      </c>
      <c r="J114" s="22"/>
      <c r="K114" s="22"/>
      <c r="L114" s="12">
        <f t="shared" si="63"/>
        <v>1.915</v>
      </c>
      <c r="M114" s="12">
        <f t="shared" si="70"/>
        <v>0</v>
      </c>
      <c r="N114" s="12">
        <f t="shared" si="71"/>
        <v>0</v>
      </c>
      <c r="O114" s="12">
        <f t="shared" si="72"/>
        <v>34.47</v>
      </c>
      <c r="P114" s="12">
        <f t="shared" si="73"/>
        <v>0</v>
      </c>
      <c r="Q114" s="12">
        <f t="shared" si="74"/>
        <v>0</v>
      </c>
      <c r="R114" s="12">
        <f t="shared" si="75"/>
        <v>0</v>
      </c>
    </row>
    <row r="115" spans="1:18" x14ac:dyDescent="0.25">
      <c r="A115" s="26"/>
      <c r="B115" s="25" t="s">
        <v>93</v>
      </c>
      <c r="C115" s="15">
        <v>20</v>
      </c>
      <c r="D115" s="16">
        <v>250</v>
      </c>
      <c r="E115" s="15">
        <v>2</v>
      </c>
      <c r="F115" s="11">
        <v>1</v>
      </c>
      <c r="G115" s="11">
        <f>+ROUND(1915/D115+1,0)</f>
        <v>9</v>
      </c>
      <c r="H115" s="12"/>
      <c r="I115" s="12">
        <v>2.0499999999999998</v>
      </c>
      <c r="J115" s="22"/>
      <c r="K115" s="22"/>
      <c r="L115" s="12">
        <f t="shared" si="63"/>
        <v>2.0499999999999998</v>
      </c>
      <c r="M115" s="12">
        <f t="shared" si="70"/>
        <v>0</v>
      </c>
      <c r="N115" s="12">
        <f t="shared" si="71"/>
        <v>0</v>
      </c>
      <c r="O115" s="12">
        <f t="shared" si="72"/>
        <v>0</v>
      </c>
      <c r="P115" s="12">
        <f t="shared" si="73"/>
        <v>0</v>
      </c>
      <c r="Q115" s="12">
        <f t="shared" si="74"/>
        <v>36.9</v>
      </c>
      <c r="R115" s="12">
        <f t="shared" si="75"/>
        <v>0</v>
      </c>
    </row>
    <row r="116" spans="1:18" x14ac:dyDescent="0.25">
      <c r="A116" s="26"/>
      <c r="B116" s="25" t="s">
        <v>94</v>
      </c>
      <c r="C116" s="15">
        <v>20</v>
      </c>
      <c r="D116" s="16">
        <v>250</v>
      </c>
      <c r="E116" s="15">
        <v>2</v>
      </c>
      <c r="F116" s="11">
        <v>1</v>
      </c>
      <c r="G116" s="11">
        <f>+ROUND(2400/D116+1,0)</f>
        <v>11</v>
      </c>
      <c r="H116" s="12"/>
      <c r="I116" s="12">
        <v>6.01</v>
      </c>
      <c r="J116" s="22"/>
      <c r="K116" s="22"/>
      <c r="L116" s="12">
        <f t="shared" si="63"/>
        <v>6.01</v>
      </c>
      <c r="M116" s="12">
        <f t="shared" si="70"/>
        <v>0</v>
      </c>
      <c r="N116" s="12">
        <f t="shared" si="71"/>
        <v>0</v>
      </c>
      <c r="O116" s="12">
        <f t="shared" si="72"/>
        <v>0</v>
      </c>
      <c r="P116" s="12">
        <f t="shared" si="73"/>
        <v>0</v>
      </c>
      <c r="Q116" s="12">
        <f t="shared" si="74"/>
        <v>132.22</v>
      </c>
      <c r="R116" s="12">
        <f t="shared" si="75"/>
        <v>0</v>
      </c>
    </row>
    <row r="117" spans="1:18" x14ac:dyDescent="0.25">
      <c r="A117" s="26"/>
      <c r="B117" s="25" t="s">
        <v>94</v>
      </c>
      <c r="C117" s="15">
        <v>20</v>
      </c>
      <c r="D117" s="16">
        <v>250</v>
      </c>
      <c r="E117" s="15">
        <v>2</v>
      </c>
      <c r="F117" s="11">
        <v>1</v>
      </c>
      <c r="G117" s="11">
        <f>+ROUND(6010/D117+1,0)</f>
        <v>25</v>
      </c>
      <c r="H117" s="12"/>
      <c r="I117" s="12">
        <v>2.4</v>
      </c>
      <c r="J117" s="22"/>
      <c r="K117" s="22"/>
      <c r="L117" s="12">
        <f t="shared" si="63"/>
        <v>2.4</v>
      </c>
      <c r="M117" s="12">
        <f t="shared" si="70"/>
        <v>0</v>
      </c>
      <c r="N117" s="12">
        <f t="shared" si="71"/>
        <v>0</v>
      </c>
      <c r="O117" s="12">
        <f t="shared" si="72"/>
        <v>0</v>
      </c>
      <c r="P117" s="12">
        <f t="shared" si="73"/>
        <v>0</v>
      </c>
      <c r="Q117" s="12">
        <f t="shared" si="74"/>
        <v>120</v>
      </c>
      <c r="R117" s="12">
        <f t="shared" si="75"/>
        <v>0</v>
      </c>
    </row>
    <row r="118" spans="1:18" x14ac:dyDescent="0.25">
      <c r="A118" s="26"/>
      <c r="B118" s="25" t="s">
        <v>95</v>
      </c>
      <c r="C118" s="15">
        <v>20</v>
      </c>
      <c r="D118" s="16">
        <v>250</v>
      </c>
      <c r="E118" s="15">
        <v>2</v>
      </c>
      <c r="F118" s="11">
        <v>1</v>
      </c>
      <c r="G118" s="11">
        <f>+ROUND(3100/D118+1,0)</f>
        <v>13</v>
      </c>
      <c r="H118" s="12"/>
      <c r="I118" s="12">
        <v>2.2999999999999998</v>
      </c>
      <c r="J118" s="22"/>
      <c r="K118" s="22"/>
      <c r="L118" s="12">
        <f t="shared" si="63"/>
        <v>2.2999999999999998</v>
      </c>
      <c r="M118" s="12">
        <f t="shared" si="70"/>
        <v>0</v>
      </c>
      <c r="N118" s="12">
        <f t="shared" si="71"/>
        <v>0</v>
      </c>
      <c r="O118" s="12">
        <f t="shared" si="72"/>
        <v>0</v>
      </c>
      <c r="P118" s="12">
        <f t="shared" si="73"/>
        <v>0</v>
      </c>
      <c r="Q118" s="12">
        <f t="shared" si="74"/>
        <v>59.8</v>
      </c>
      <c r="R118" s="12">
        <f t="shared" si="75"/>
        <v>0</v>
      </c>
    </row>
    <row r="119" spans="1:18" x14ac:dyDescent="0.25">
      <c r="A119" s="26"/>
      <c r="B119" s="25" t="s">
        <v>96</v>
      </c>
      <c r="C119" s="15">
        <v>25</v>
      </c>
      <c r="D119" s="16">
        <v>250</v>
      </c>
      <c r="E119" s="15">
        <v>2</v>
      </c>
      <c r="F119" s="11">
        <v>1</v>
      </c>
      <c r="G119" s="11">
        <f>+ROUND(2300/D119+1,0)</f>
        <v>10</v>
      </c>
      <c r="H119" s="12"/>
      <c r="I119" s="12">
        <v>3.1</v>
      </c>
      <c r="J119" s="22"/>
      <c r="K119" s="22"/>
      <c r="L119" s="12">
        <f t="shared" si="63"/>
        <v>3.1</v>
      </c>
      <c r="M119" s="12">
        <f t="shared" si="70"/>
        <v>0</v>
      </c>
      <c r="N119" s="12">
        <f t="shared" si="71"/>
        <v>0</v>
      </c>
      <c r="O119" s="12">
        <f t="shared" si="72"/>
        <v>0</v>
      </c>
      <c r="P119" s="12">
        <f t="shared" si="73"/>
        <v>0</v>
      </c>
      <c r="Q119" s="12">
        <f t="shared" si="74"/>
        <v>0</v>
      </c>
      <c r="R119" s="12">
        <f t="shared" si="75"/>
        <v>62</v>
      </c>
    </row>
    <row r="120" spans="1:18" x14ac:dyDescent="0.25">
      <c r="A120" s="26"/>
      <c r="B120" s="25" t="s">
        <v>97</v>
      </c>
      <c r="C120" s="15">
        <v>20</v>
      </c>
      <c r="D120" s="16">
        <v>250</v>
      </c>
      <c r="E120" s="15">
        <v>2</v>
      </c>
      <c r="F120" s="11">
        <v>1</v>
      </c>
      <c r="G120" s="11">
        <f>+ROUND(2800/D120+1,0)</f>
        <v>12</v>
      </c>
      <c r="H120" s="12"/>
      <c r="I120" s="12">
        <v>2.2000000000000002</v>
      </c>
      <c r="J120" s="22"/>
      <c r="K120" s="22"/>
      <c r="L120" s="12">
        <f t="shared" si="63"/>
        <v>2.2000000000000002</v>
      </c>
      <c r="M120" s="12">
        <f t="shared" si="70"/>
        <v>0</v>
      </c>
      <c r="N120" s="12">
        <f t="shared" si="71"/>
        <v>0</v>
      </c>
      <c r="O120" s="12">
        <f t="shared" si="72"/>
        <v>0</v>
      </c>
      <c r="P120" s="12">
        <f t="shared" si="73"/>
        <v>0</v>
      </c>
      <c r="Q120" s="12">
        <f t="shared" si="74"/>
        <v>52.8</v>
      </c>
      <c r="R120" s="12">
        <f t="shared" si="75"/>
        <v>0</v>
      </c>
    </row>
    <row r="121" spans="1:18" x14ac:dyDescent="0.25">
      <c r="A121" s="26"/>
      <c r="B121" s="25" t="s">
        <v>98</v>
      </c>
      <c r="C121" s="15">
        <v>25</v>
      </c>
      <c r="D121" s="16">
        <v>250</v>
      </c>
      <c r="E121" s="15">
        <v>2</v>
      </c>
      <c r="F121" s="11">
        <v>1</v>
      </c>
      <c r="G121" s="11">
        <f>+ROUND(2200/D121+1,0)</f>
        <v>10</v>
      </c>
      <c r="H121" s="12"/>
      <c r="I121" s="12">
        <v>2.8</v>
      </c>
      <c r="J121" s="22"/>
      <c r="K121" s="22"/>
      <c r="L121" s="12">
        <f t="shared" si="63"/>
        <v>2.8</v>
      </c>
      <c r="M121" s="12">
        <f t="shared" si="70"/>
        <v>0</v>
      </c>
      <c r="N121" s="12">
        <f t="shared" si="71"/>
        <v>0</v>
      </c>
      <c r="O121" s="12">
        <f t="shared" si="72"/>
        <v>0</v>
      </c>
      <c r="P121" s="12">
        <f t="shared" si="73"/>
        <v>0</v>
      </c>
      <c r="Q121" s="12">
        <f t="shared" si="74"/>
        <v>0</v>
      </c>
      <c r="R121" s="12">
        <f t="shared" si="75"/>
        <v>56</v>
      </c>
    </row>
    <row r="122" spans="1:18" x14ac:dyDescent="0.25">
      <c r="A122" s="26"/>
      <c r="B122" s="25" t="s">
        <v>99</v>
      </c>
      <c r="C122" s="15">
        <v>20</v>
      </c>
      <c r="D122" s="16">
        <v>250</v>
      </c>
      <c r="E122" s="15">
        <v>2</v>
      </c>
      <c r="F122" s="11">
        <v>1</v>
      </c>
      <c r="G122" s="11">
        <f>+ROUND(2800/D122+1,0)</f>
        <v>12</v>
      </c>
      <c r="H122" s="12"/>
      <c r="I122" s="12">
        <v>2.6</v>
      </c>
      <c r="J122" s="22"/>
      <c r="K122" s="22"/>
      <c r="L122" s="12">
        <f t="shared" si="63"/>
        <v>2.6</v>
      </c>
      <c r="M122" s="12">
        <f t="shared" si="70"/>
        <v>0</v>
      </c>
      <c r="N122" s="12">
        <f t="shared" si="71"/>
        <v>0</v>
      </c>
      <c r="O122" s="12">
        <f t="shared" si="72"/>
        <v>0</v>
      </c>
      <c r="P122" s="12">
        <f t="shared" si="73"/>
        <v>0</v>
      </c>
      <c r="Q122" s="12">
        <f t="shared" si="74"/>
        <v>62.4</v>
      </c>
      <c r="R122" s="12">
        <f t="shared" si="75"/>
        <v>0</v>
      </c>
    </row>
    <row r="123" spans="1:18" x14ac:dyDescent="0.25">
      <c r="A123" s="26"/>
      <c r="B123" s="25" t="s">
        <v>100</v>
      </c>
      <c r="C123" s="15">
        <v>25</v>
      </c>
      <c r="D123" s="16">
        <v>250</v>
      </c>
      <c r="E123" s="15">
        <v>2</v>
      </c>
      <c r="F123" s="11">
        <v>1</v>
      </c>
      <c r="G123" s="11">
        <f>+ROUND(2600/D123+1,0)</f>
        <v>11</v>
      </c>
      <c r="H123" s="12"/>
      <c r="I123" s="12">
        <v>2.8</v>
      </c>
      <c r="J123" s="22"/>
      <c r="K123" s="22"/>
      <c r="L123" s="12">
        <f t="shared" si="63"/>
        <v>2.8</v>
      </c>
      <c r="M123" s="12">
        <f t="shared" si="70"/>
        <v>0</v>
      </c>
      <c r="N123" s="12">
        <f t="shared" si="71"/>
        <v>0</v>
      </c>
      <c r="O123" s="12">
        <f t="shared" si="72"/>
        <v>0</v>
      </c>
      <c r="P123" s="12">
        <f t="shared" si="73"/>
        <v>0</v>
      </c>
      <c r="Q123" s="12">
        <f t="shared" si="74"/>
        <v>0</v>
      </c>
      <c r="R123" s="12">
        <f t="shared" si="75"/>
        <v>61.6</v>
      </c>
    </row>
    <row r="124" spans="1:18" x14ac:dyDescent="0.25">
      <c r="A124" s="26"/>
      <c r="B124" s="25" t="s">
        <v>101</v>
      </c>
      <c r="C124" s="15">
        <v>25</v>
      </c>
      <c r="D124" s="16">
        <v>250</v>
      </c>
      <c r="E124" s="15">
        <v>2</v>
      </c>
      <c r="F124" s="11">
        <v>1</v>
      </c>
      <c r="G124" s="11">
        <f>+ROUND(3100/D124+1,0)</f>
        <v>13</v>
      </c>
      <c r="H124" s="12"/>
      <c r="I124" s="12">
        <v>2.8</v>
      </c>
      <c r="J124" s="22"/>
      <c r="K124" s="22"/>
      <c r="L124" s="12">
        <f t="shared" si="63"/>
        <v>2.8</v>
      </c>
      <c r="M124" s="12">
        <f t="shared" ref="M124:M137" si="76">+ROUND(IF(C124=8,PRODUCT(E124,F124,G124,L124),0),2)</f>
        <v>0</v>
      </c>
      <c r="N124" s="12">
        <f t="shared" ref="N124:N137" si="77">+ROUND(IF(C124=10,PRODUCT(E124,F124,G124,L124),0),2)</f>
        <v>0</v>
      </c>
      <c r="O124" s="12">
        <f t="shared" ref="O124:O137" si="78">+ROUND(IF(C124=12,PRODUCT(E124,F124,G124,L124),0),2)</f>
        <v>0</v>
      </c>
      <c r="P124" s="12">
        <f t="shared" ref="P124:P137" si="79">+ROUND(IF(C124=16,PRODUCT(E124,F124,G124,L124),0),2)</f>
        <v>0</v>
      </c>
      <c r="Q124" s="12">
        <f t="shared" ref="Q124:Q137" si="80">+ROUND(IF(C124=20,PRODUCT(E124,F124,G124,L124),0),2)</f>
        <v>0</v>
      </c>
      <c r="R124" s="12">
        <f t="shared" ref="R124:R137" si="81">+ROUND(IF(C124=25,PRODUCT(E124,F124,G124,L124),0),2)</f>
        <v>72.8</v>
      </c>
    </row>
    <row r="125" spans="1:18" x14ac:dyDescent="0.25">
      <c r="A125" s="26"/>
      <c r="B125" s="25" t="s">
        <v>101</v>
      </c>
      <c r="C125" s="15">
        <v>25</v>
      </c>
      <c r="D125" s="16">
        <v>250</v>
      </c>
      <c r="E125" s="15">
        <v>2</v>
      </c>
      <c r="F125" s="11">
        <v>1</v>
      </c>
      <c r="G125" s="11">
        <f>+ROUND(2800/D125+1,0)</f>
        <v>12</v>
      </c>
      <c r="H125" s="12"/>
      <c r="I125" s="12">
        <v>3.1</v>
      </c>
      <c r="J125" s="22"/>
      <c r="K125" s="22"/>
      <c r="L125" s="12">
        <f t="shared" si="63"/>
        <v>3.1</v>
      </c>
      <c r="M125" s="12">
        <f t="shared" si="76"/>
        <v>0</v>
      </c>
      <c r="N125" s="12">
        <f t="shared" si="77"/>
        <v>0</v>
      </c>
      <c r="O125" s="12">
        <f t="shared" si="78"/>
        <v>0</v>
      </c>
      <c r="P125" s="12">
        <f t="shared" si="79"/>
        <v>0</v>
      </c>
      <c r="Q125" s="12">
        <f t="shared" si="80"/>
        <v>0</v>
      </c>
      <c r="R125" s="12">
        <f t="shared" si="81"/>
        <v>74.400000000000006</v>
      </c>
    </row>
    <row r="126" spans="1:18" x14ac:dyDescent="0.25">
      <c r="A126" s="26"/>
      <c r="B126" s="25" t="s">
        <v>104</v>
      </c>
      <c r="C126" s="15">
        <v>25</v>
      </c>
      <c r="D126" s="16">
        <v>250</v>
      </c>
      <c r="E126" s="15">
        <v>2</v>
      </c>
      <c r="F126" s="11">
        <v>2</v>
      </c>
      <c r="G126" s="11">
        <f>+ROUND(2600/D126+1,0)</f>
        <v>11</v>
      </c>
      <c r="H126" s="12"/>
      <c r="I126" s="12">
        <v>2.2999999999999998</v>
      </c>
      <c r="J126" s="22"/>
      <c r="K126" s="22"/>
      <c r="L126" s="12">
        <f t="shared" si="63"/>
        <v>2.2999999999999998</v>
      </c>
      <c r="M126" s="12">
        <f t="shared" si="76"/>
        <v>0</v>
      </c>
      <c r="N126" s="12">
        <f t="shared" si="77"/>
        <v>0</v>
      </c>
      <c r="O126" s="12">
        <f t="shared" si="78"/>
        <v>0</v>
      </c>
      <c r="P126" s="12">
        <f t="shared" si="79"/>
        <v>0</v>
      </c>
      <c r="Q126" s="12">
        <f t="shared" si="80"/>
        <v>0</v>
      </c>
      <c r="R126" s="12">
        <f t="shared" si="81"/>
        <v>101.2</v>
      </c>
    </row>
    <row r="127" spans="1:18" x14ac:dyDescent="0.25">
      <c r="A127" s="26"/>
      <c r="B127" s="25" t="s">
        <v>105</v>
      </c>
      <c r="C127" s="15">
        <v>20</v>
      </c>
      <c r="D127" s="16">
        <v>250</v>
      </c>
      <c r="E127" s="15">
        <v>2</v>
      </c>
      <c r="F127" s="11">
        <v>2</v>
      </c>
      <c r="G127" s="11">
        <f>+ROUND(2300/D127+1,0)</f>
        <v>10</v>
      </c>
      <c r="H127" s="12"/>
      <c r="I127" s="12">
        <v>2.6</v>
      </c>
      <c r="J127" s="22"/>
      <c r="K127" s="22"/>
      <c r="L127" s="12">
        <f t="shared" si="63"/>
        <v>2.6</v>
      </c>
      <c r="M127" s="12">
        <f t="shared" si="76"/>
        <v>0</v>
      </c>
      <c r="N127" s="12">
        <f t="shared" si="77"/>
        <v>0</v>
      </c>
      <c r="O127" s="12">
        <f t="shared" si="78"/>
        <v>0</v>
      </c>
      <c r="P127" s="12">
        <f t="shared" si="79"/>
        <v>0</v>
      </c>
      <c r="Q127" s="12">
        <f t="shared" si="80"/>
        <v>104</v>
      </c>
      <c r="R127" s="12">
        <f t="shared" si="81"/>
        <v>0</v>
      </c>
    </row>
    <row r="128" spans="1:18" x14ac:dyDescent="0.25">
      <c r="A128" s="26"/>
      <c r="B128" s="25" t="s">
        <v>102</v>
      </c>
      <c r="C128" s="15">
        <v>25</v>
      </c>
      <c r="D128" s="16">
        <v>250</v>
      </c>
      <c r="E128" s="15">
        <v>2</v>
      </c>
      <c r="F128" s="11">
        <v>2</v>
      </c>
      <c r="G128" s="11">
        <f>+ROUND(2600/D128+1,0)</f>
        <v>11</v>
      </c>
      <c r="H128" s="12"/>
      <c r="I128" s="12">
        <v>2.8</v>
      </c>
      <c r="J128" s="22"/>
      <c r="K128" s="22"/>
      <c r="L128" s="12">
        <f t="shared" si="63"/>
        <v>2.8</v>
      </c>
      <c r="M128" s="12">
        <f t="shared" si="76"/>
        <v>0</v>
      </c>
      <c r="N128" s="12">
        <f t="shared" si="77"/>
        <v>0</v>
      </c>
      <c r="O128" s="12">
        <f t="shared" si="78"/>
        <v>0</v>
      </c>
      <c r="P128" s="12">
        <f t="shared" si="79"/>
        <v>0</v>
      </c>
      <c r="Q128" s="12">
        <f t="shared" si="80"/>
        <v>0</v>
      </c>
      <c r="R128" s="12">
        <f t="shared" si="81"/>
        <v>123.2</v>
      </c>
    </row>
    <row r="129" spans="1:18" x14ac:dyDescent="0.25">
      <c r="A129" s="26"/>
      <c r="B129" s="25" t="s">
        <v>103</v>
      </c>
      <c r="C129" s="15">
        <v>20</v>
      </c>
      <c r="D129" s="16">
        <v>250</v>
      </c>
      <c r="E129" s="15">
        <v>2</v>
      </c>
      <c r="F129" s="11">
        <v>2</v>
      </c>
      <c r="G129" s="11">
        <f>+ROUND(2800/D129+1,0)</f>
        <v>12</v>
      </c>
      <c r="H129" s="12"/>
      <c r="I129" s="12">
        <v>2.6</v>
      </c>
      <c r="J129" s="22"/>
      <c r="K129" s="22"/>
      <c r="L129" s="12">
        <f t="shared" si="63"/>
        <v>2.6</v>
      </c>
      <c r="M129" s="12">
        <f t="shared" si="76"/>
        <v>0</v>
      </c>
      <c r="N129" s="12">
        <f t="shared" si="77"/>
        <v>0</v>
      </c>
      <c r="O129" s="12">
        <f t="shared" si="78"/>
        <v>0</v>
      </c>
      <c r="P129" s="12">
        <f t="shared" si="79"/>
        <v>0</v>
      </c>
      <c r="Q129" s="12">
        <f t="shared" si="80"/>
        <v>124.8</v>
      </c>
      <c r="R129" s="12">
        <f t="shared" si="81"/>
        <v>0</v>
      </c>
    </row>
    <row r="130" spans="1:18" x14ac:dyDescent="0.25">
      <c r="A130" s="26"/>
      <c r="B130" s="25" t="s">
        <v>106</v>
      </c>
      <c r="C130" s="15">
        <v>20</v>
      </c>
      <c r="D130" s="16">
        <v>250</v>
      </c>
      <c r="E130" s="15">
        <v>2</v>
      </c>
      <c r="F130" s="11">
        <v>2</v>
      </c>
      <c r="G130" s="11">
        <f>+ROUND(4725/D130+1,0)</f>
        <v>20</v>
      </c>
      <c r="H130" s="12"/>
      <c r="I130" s="12">
        <v>5.6</v>
      </c>
      <c r="J130" s="22"/>
      <c r="K130" s="22"/>
      <c r="L130" s="12">
        <f t="shared" si="63"/>
        <v>5.6</v>
      </c>
      <c r="M130" s="12">
        <f t="shared" si="76"/>
        <v>0</v>
      </c>
      <c r="N130" s="12">
        <f t="shared" si="77"/>
        <v>0</v>
      </c>
      <c r="O130" s="12">
        <f t="shared" si="78"/>
        <v>0</v>
      </c>
      <c r="P130" s="12">
        <f t="shared" si="79"/>
        <v>0</v>
      </c>
      <c r="Q130" s="12">
        <f t="shared" si="80"/>
        <v>448</v>
      </c>
      <c r="R130" s="12">
        <f t="shared" si="81"/>
        <v>0</v>
      </c>
    </row>
    <row r="131" spans="1:18" x14ac:dyDescent="0.25">
      <c r="A131" s="26"/>
      <c r="B131" s="25" t="s">
        <v>107</v>
      </c>
      <c r="C131" s="15">
        <v>25</v>
      </c>
      <c r="D131" s="16">
        <v>250</v>
      </c>
      <c r="E131" s="15">
        <v>2</v>
      </c>
      <c r="F131" s="11">
        <v>2</v>
      </c>
      <c r="G131" s="11">
        <f>+ROUND(5600/D131+1,0)</f>
        <v>23</v>
      </c>
      <c r="H131" s="12"/>
      <c r="I131" s="12">
        <v>4.7249999999999996</v>
      </c>
      <c r="J131" s="22"/>
      <c r="K131" s="22"/>
      <c r="L131" s="12">
        <f t="shared" si="63"/>
        <v>4.7249999999999996</v>
      </c>
      <c r="M131" s="12">
        <f t="shared" si="76"/>
        <v>0</v>
      </c>
      <c r="N131" s="12">
        <f t="shared" si="77"/>
        <v>0</v>
      </c>
      <c r="O131" s="12">
        <f t="shared" si="78"/>
        <v>0</v>
      </c>
      <c r="P131" s="12">
        <f t="shared" si="79"/>
        <v>0</v>
      </c>
      <c r="Q131" s="12">
        <f t="shared" si="80"/>
        <v>0</v>
      </c>
      <c r="R131" s="12">
        <f t="shared" si="81"/>
        <v>434.7</v>
      </c>
    </row>
    <row r="132" spans="1:18" x14ac:dyDescent="0.25">
      <c r="A132" s="26"/>
      <c r="B132" s="25" t="s">
        <v>108</v>
      </c>
      <c r="C132" s="15">
        <v>25</v>
      </c>
      <c r="D132" s="16">
        <v>250</v>
      </c>
      <c r="E132" s="15">
        <v>2</v>
      </c>
      <c r="F132" s="11">
        <v>2</v>
      </c>
      <c r="G132" s="11">
        <f>+ROUND(3100/D132+1,0)</f>
        <v>13</v>
      </c>
      <c r="H132" s="12"/>
      <c r="I132" s="12">
        <v>2.2999999999999998</v>
      </c>
      <c r="J132" s="22"/>
      <c r="K132" s="22"/>
      <c r="L132" s="12">
        <f t="shared" si="63"/>
        <v>2.2999999999999998</v>
      </c>
      <c r="M132" s="12">
        <f t="shared" si="76"/>
        <v>0</v>
      </c>
      <c r="N132" s="12">
        <f t="shared" si="77"/>
        <v>0</v>
      </c>
      <c r="O132" s="12">
        <f t="shared" si="78"/>
        <v>0</v>
      </c>
      <c r="P132" s="12">
        <f t="shared" si="79"/>
        <v>0</v>
      </c>
      <c r="Q132" s="12">
        <f t="shared" si="80"/>
        <v>0</v>
      </c>
      <c r="R132" s="12">
        <f t="shared" si="81"/>
        <v>119.6</v>
      </c>
    </row>
    <row r="133" spans="1:18" x14ac:dyDescent="0.25">
      <c r="A133" s="26"/>
      <c r="B133" s="25" t="s">
        <v>108</v>
      </c>
      <c r="C133" s="15">
        <v>25</v>
      </c>
      <c r="D133" s="16">
        <v>250</v>
      </c>
      <c r="E133" s="15">
        <v>2</v>
      </c>
      <c r="F133" s="11">
        <v>2</v>
      </c>
      <c r="G133" s="11">
        <f>+ROUND(2300/D133+1,0)</f>
        <v>10</v>
      </c>
      <c r="H133" s="12"/>
      <c r="I133" s="12">
        <v>3.1</v>
      </c>
      <c r="J133" s="22"/>
      <c r="K133" s="22"/>
      <c r="L133" s="12">
        <f t="shared" si="63"/>
        <v>3.1</v>
      </c>
      <c r="M133" s="12">
        <f t="shared" si="76"/>
        <v>0</v>
      </c>
      <c r="N133" s="12">
        <f t="shared" si="77"/>
        <v>0</v>
      </c>
      <c r="O133" s="12">
        <f t="shared" si="78"/>
        <v>0</v>
      </c>
      <c r="P133" s="12">
        <f t="shared" si="79"/>
        <v>0</v>
      </c>
      <c r="Q133" s="12">
        <f t="shared" si="80"/>
        <v>0</v>
      </c>
      <c r="R133" s="12">
        <f t="shared" si="81"/>
        <v>124</v>
      </c>
    </row>
    <row r="134" spans="1:18" x14ac:dyDescent="0.25">
      <c r="A134" s="26"/>
      <c r="B134" s="25" t="s">
        <v>109</v>
      </c>
      <c r="C134" s="15">
        <v>25</v>
      </c>
      <c r="D134" s="16">
        <v>250</v>
      </c>
      <c r="E134" s="15">
        <v>2</v>
      </c>
      <c r="F134" s="11">
        <v>2</v>
      </c>
      <c r="G134" s="11">
        <f>+ROUND(3100/D134+1,0)</f>
        <v>13</v>
      </c>
      <c r="H134" s="12"/>
      <c r="I134" s="12">
        <v>2.8</v>
      </c>
      <c r="J134" s="22"/>
      <c r="K134" s="22"/>
      <c r="L134" s="12">
        <f t="shared" si="63"/>
        <v>2.8</v>
      </c>
      <c r="M134" s="12">
        <f t="shared" si="76"/>
        <v>0</v>
      </c>
      <c r="N134" s="12">
        <f t="shared" si="77"/>
        <v>0</v>
      </c>
      <c r="O134" s="12">
        <f t="shared" si="78"/>
        <v>0</v>
      </c>
      <c r="P134" s="12">
        <f t="shared" si="79"/>
        <v>0</v>
      </c>
      <c r="Q134" s="12">
        <f t="shared" si="80"/>
        <v>0</v>
      </c>
      <c r="R134" s="12">
        <f t="shared" si="81"/>
        <v>145.6</v>
      </c>
    </row>
    <row r="135" spans="1:18" x14ac:dyDescent="0.25">
      <c r="A135" s="26"/>
      <c r="B135" s="25" t="s">
        <v>109</v>
      </c>
      <c r="C135" s="15">
        <v>25</v>
      </c>
      <c r="D135" s="16">
        <v>250</v>
      </c>
      <c r="E135" s="15">
        <v>2</v>
      </c>
      <c r="F135" s="11">
        <v>2</v>
      </c>
      <c r="G135" s="11">
        <f>+ROUND(2800/D135+1,0)</f>
        <v>12</v>
      </c>
      <c r="H135" s="12"/>
      <c r="I135" s="12">
        <v>3.1</v>
      </c>
      <c r="J135" s="22"/>
      <c r="K135" s="22"/>
      <c r="L135" s="12">
        <f t="shared" si="63"/>
        <v>3.1</v>
      </c>
      <c r="M135" s="12">
        <f t="shared" si="76"/>
        <v>0</v>
      </c>
      <c r="N135" s="12">
        <f t="shared" si="77"/>
        <v>0</v>
      </c>
      <c r="O135" s="12">
        <f t="shared" si="78"/>
        <v>0</v>
      </c>
      <c r="P135" s="12">
        <f t="shared" si="79"/>
        <v>0</v>
      </c>
      <c r="Q135" s="12">
        <f t="shared" si="80"/>
        <v>0</v>
      </c>
      <c r="R135" s="12">
        <f t="shared" si="81"/>
        <v>148.80000000000001</v>
      </c>
    </row>
    <row r="136" spans="1:18" x14ac:dyDescent="0.25">
      <c r="A136" s="26"/>
      <c r="B136" s="25" t="s">
        <v>110</v>
      </c>
      <c r="C136" s="15">
        <v>25</v>
      </c>
      <c r="D136" s="16">
        <v>250</v>
      </c>
      <c r="E136" s="15">
        <v>1</v>
      </c>
      <c r="F136" s="11">
        <v>1</v>
      </c>
      <c r="G136" s="11">
        <f>+ROUND(2730/D136+1,0)</f>
        <v>12</v>
      </c>
      <c r="H136" s="12"/>
      <c r="I136" s="12">
        <v>6.1</v>
      </c>
      <c r="J136" s="22"/>
      <c r="K136" s="22"/>
      <c r="L136" s="12">
        <f t="shared" si="63"/>
        <v>6.1</v>
      </c>
      <c r="M136" s="12">
        <f t="shared" si="76"/>
        <v>0</v>
      </c>
      <c r="N136" s="12">
        <f t="shared" si="77"/>
        <v>0</v>
      </c>
      <c r="O136" s="12">
        <f t="shared" si="78"/>
        <v>0</v>
      </c>
      <c r="P136" s="12">
        <f t="shared" si="79"/>
        <v>0</v>
      </c>
      <c r="Q136" s="12">
        <f t="shared" si="80"/>
        <v>0</v>
      </c>
      <c r="R136" s="12">
        <f t="shared" si="81"/>
        <v>73.2</v>
      </c>
    </row>
    <row r="137" spans="1:18" x14ac:dyDescent="0.25">
      <c r="A137" s="26"/>
      <c r="B137" s="25" t="s">
        <v>110</v>
      </c>
      <c r="C137" s="15">
        <v>25</v>
      </c>
      <c r="D137" s="16">
        <v>250</v>
      </c>
      <c r="E137" s="15">
        <v>1</v>
      </c>
      <c r="F137" s="11">
        <v>1</v>
      </c>
      <c r="G137" s="11">
        <f>+ROUND(6100/D137+1,0)</f>
        <v>25</v>
      </c>
      <c r="H137" s="12"/>
      <c r="I137" s="12">
        <v>2.73</v>
      </c>
      <c r="J137" s="22"/>
      <c r="K137" s="22"/>
      <c r="L137" s="12">
        <f t="shared" si="63"/>
        <v>2.73</v>
      </c>
      <c r="M137" s="12">
        <f t="shared" si="76"/>
        <v>0</v>
      </c>
      <c r="N137" s="12">
        <f t="shared" si="77"/>
        <v>0</v>
      </c>
      <c r="O137" s="12">
        <f t="shared" si="78"/>
        <v>0</v>
      </c>
      <c r="P137" s="12">
        <f t="shared" si="79"/>
        <v>0</v>
      </c>
      <c r="Q137" s="12">
        <f t="shared" si="80"/>
        <v>0</v>
      </c>
      <c r="R137" s="12">
        <f t="shared" si="81"/>
        <v>68.25</v>
      </c>
    </row>
    <row r="138" spans="1:18" x14ac:dyDescent="0.25">
      <c r="A138" s="26"/>
      <c r="B138" s="45" t="s">
        <v>111</v>
      </c>
      <c r="C138" s="15"/>
      <c r="D138" s="16"/>
      <c r="E138" s="15"/>
      <c r="F138" s="11"/>
      <c r="G138" s="11"/>
      <c r="H138" s="12"/>
      <c r="I138" s="12"/>
      <c r="J138" s="22"/>
      <c r="K138" s="22"/>
      <c r="L138" s="12">
        <f t="shared" si="63"/>
        <v>0</v>
      </c>
      <c r="M138" s="12">
        <f t="shared" si="33"/>
        <v>0</v>
      </c>
      <c r="N138" s="12">
        <f t="shared" si="34"/>
        <v>0</v>
      </c>
      <c r="O138" s="12">
        <f t="shared" si="35"/>
        <v>0</v>
      </c>
      <c r="P138" s="12">
        <f t="shared" si="36"/>
        <v>0</v>
      </c>
      <c r="Q138" s="12">
        <f t="shared" si="37"/>
        <v>0</v>
      </c>
      <c r="R138" s="12">
        <f t="shared" si="38"/>
        <v>0</v>
      </c>
    </row>
    <row r="139" spans="1:18" x14ac:dyDescent="0.25">
      <c r="A139" s="26"/>
      <c r="B139" s="25" t="s">
        <v>115</v>
      </c>
      <c r="C139" s="15">
        <v>12</v>
      </c>
      <c r="D139" s="16">
        <v>250</v>
      </c>
      <c r="E139" s="15">
        <v>2</v>
      </c>
      <c r="F139" s="11">
        <v>2</v>
      </c>
      <c r="G139" s="11">
        <f>+ROUND(2560/D139+1,0)</f>
        <v>11</v>
      </c>
      <c r="H139" s="12"/>
      <c r="I139" s="12">
        <v>4.1900000000000004</v>
      </c>
      <c r="J139" s="22"/>
      <c r="K139" s="22"/>
      <c r="L139" s="12">
        <f t="shared" si="63"/>
        <v>4.1900000000000004</v>
      </c>
      <c r="M139" s="12">
        <f t="shared" ref="M139:M159" si="82">+ROUND(IF(C139=8,PRODUCT(E139,F139,G139,L139),0),2)</f>
        <v>0</v>
      </c>
      <c r="N139" s="12">
        <f t="shared" ref="N139:N159" si="83">+ROUND(IF(C139=10,PRODUCT(E139,F139,G139,L139),0),2)</f>
        <v>0</v>
      </c>
      <c r="O139" s="12">
        <f t="shared" ref="O139:O159" si="84">+ROUND(IF(C139=12,PRODUCT(E139,F139,G139,L139),0),2)</f>
        <v>184.36</v>
      </c>
      <c r="P139" s="12">
        <f t="shared" ref="P139:P159" si="85">+ROUND(IF(C139=16,PRODUCT(E139,F139,G139,L139),0),2)</f>
        <v>0</v>
      </c>
      <c r="Q139" s="12">
        <f t="shared" ref="Q139:Q159" si="86">+ROUND(IF(C139=20,PRODUCT(E139,F139,G139,L139),0),2)</f>
        <v>0</v>
      </c>
      <c r="R139" s="12">
        <f t="shared" ref="R139:R159" si="87">+ROUND(IF(C139=25,PRODUCT(E139,F139,G139,L139),0),2)</f>
        <v>0</v>
      </c>
    </row>
    <row r="140" spans="1:18" x14ac:dyDescent="0.25">
      <c r="A140" s="26"/>
      <c r="B140" s="25" t="s">
        <v>116</v>
      </c>
      <c r="C140" s="15">
        <v>20</v>
      </c>
      <c r="D140" s="16">
        <v>250</v>
      </c>
      <c r="E140" s="15">
        <v>2</v>
      </c>
      <c r="F140" s="11">
        <v>2</v>
      </c>
      <c r="G140" s="11">
        <f>+ROUND(8230/D140+1,0)</f>
        <v>34</v>
      </c>
      <c r="H140" s="12"/>
      <c r="I140" s="12">
        <v>4.12</v>
      </c>
      <c r="J140" s="22"/>
      <c r="K140" s="22"/>
      <c r="L140" s="12">
        <f t="shared" si="63"/>
        <v>4.12</v>
      </c>
      <c r="M140" s="12">
        <f t="shared" si="82"/>
        <v>0</v>
      </c>
      <c r="N140" s="12">
        <f t="shared" si="83"/>
        <v>0</v>
      </c>
      <c r="O140" s="12">
        <f t="shared" si="84"/>
        <v>0</v>
      </c>
      <c r="P140" s="12">
        <f t="shared" si="85"/>
        <v>0</v>
      </c>
      <c r="Q140" s="12">
        <f t="shared" si="86"/>
        <v>560.32000000000005</v>
      </c>
      <c r="R140" s="12">
        <f t="shared" si="87"/>
        <v>0</v>
      </c>
    </row>
    <row r="141" spans="1:18" x14ac:dyDescent="0.25">
      <c r="A141" s="26"/>
      <c r="B141" s="25" t="s">
        <v>117</v>
      </c>
      <c r="C141" s="15">
        <v>16</v>
      </c>
      <c r="D141" s="16">
        <v>250</v>
      </c>
      <c r="E141" s="15">
        <v>2</v>
      </c>
      <c r="F141" s="11">
        <v>2</v>
      </c>
      <c r="G141" s="11">
        <f>+ROUND(5470/D141+1,0)</f>
        <v>23</v>
      </c>
      <c r="H141" s="12"/>
      <c r="I141" s="12">
        <v>2.92</v>
      </c>
      <c r="J141" s="22"/>
      <c r="K141" s="22"/>
      <c r="L141" s="12">
        <f t="shared" si="63"/>
        <v>2.92</v>
      </c>
      <c r="M141" s="12">
        <f t="shared" si="82"/>
        <v>0</v>
      </c>
      <c r="N141" s="12">
        <f t="shared" si="83"/>
        <v>0</v>
      </c>
      <c r="O141" s="12">
        <f t="shared" si="84"/>
        <v>0</v>
      </c>
      <c r="P141" s="12">
        <f t="shared" si="85"/>
        <v>268.64</v>
      </c>
      <c r="Q141" s="12">
        <f t="shared" si="86"/>
        <v>0</v>
      </c>
      <c r="R141" s="12">
        <f t="shared" si="87"/>
        <v>0</v>
      </c>
    </row>
    <row r="142" spans="1:18" x14ac:dyDescent="0.25">
      <c r="A142" s="26"/>
      <c r="B142" s="25" t="s">
        <v>118</v>
      </c>
      <c r="C142" s="15">
        <v>20</v>
      </c>
      <c r="D142" s="16">
        <v>250</v>
      </c>
      <c r="E142" s="15">
        <v>2</v>
      </c>
      <c r="F142" s="11">
        <v>2</v>
      </c>
      <c r="G142" s="11">
        <f>+ROUND(3165/D142+1,0)</f>
        <v>14</v>
      </c>
      <c r="H142" s="12"/>
      <c r="I142" s="12">
        <v>3.12</v>
      </c>
      <c r="J142" s="22"/>
      <c r="K142" s="22"/>
      <c r="L142" s="12">
        <f t="shared" si="63"/>
        <v>3.12</v>
      </c>
      <c r="M142" s="12">
        <f t="shared" si="82"/>
        <v>0</v>
      </c>
      <c r="N142" s="12">
        <f t="shared" si="83"/>
        <v>0</v>
      </c>
      <c r="O142" s="12">
        <f t="shared" si="84"/>
        <v>0</v>
      </c>
      <c r="P142" s="12">
        <f t="shared" si="85"/>
        <v>0</v>
      </c>
      <c r="Q142" s="12">
        <f t="shared" si="86"/>
        <v>174.72</v>
      </c>
      <c r="R142" s="12">
        <f t="shared" si="87"/>
        <v>0</v>
      </c>
    </row>
    <row r="143" spans="1:18" x14ac:dyDescent="0.25">
      <c r="A143" s="26"/>
      <c r="B143" s="25" t="s">
        <v>113</v>
      </c>
      <c r="C143" s="15">
        <v>16</v>
      </c>
      <c r="D143" s="16">
        <v>250</v>
      </c>
      <c r="E143" s="15">
        <v>1</v>
      </c>
      <c r="F143" s="11">
        <v>1</v>
      </c>
      <c r="G143" s="11">
        <f>+ROUND(3460/D143+1,0)</f>
        <v>15</v>
      </c>
      <c r="H143" s="12"/>
      <c r="I143" s="12">
        <v>5.7450000000000001</v>
      </c>
      <c r="J143" s="22"/>
      <c r="K143" s="22"/>
      <c r="L143" s="12">
        <f t="shared" si="63"/>
        <v>5.7450000000000001</v>
      </c>
      <c r="M143" s="12">
        <f t="shared" si="82"/>
        <v>0</v>
      </c>
      <c r="N143" s="12">
        <f t="shared" si="83"/>
        <v>0</v>
      </c>
      <c r="O143" s="12">
        <f t="shared" si="84"/>
        <v>0</v>
      </c>
      <c r="P143" s="12">
        <f t="shared" si="85"/>
        <v>86.18</v>
      </c>
      <c r="Q143" s="12">
        <f t="shared" si="86"/>
        <v>0</v>
      </c>
      <c r="R143" s="12">
        <f t="shared" si="87"/>
        <v>0</v>
      </c>
    </row>
    <row r="144" spans="1:18" x14ac:dyDescent="0.25">
      <c r="A144" s="26"/>
      <c r="B144" s="25" t="s">
        <v>112</v>
      </c>
      <c r="C144" s="15">
        <v>20</v>
      </c>
      <c r="D144" s="16">
        <v>250</v>
      </c>
      <c r="E144" s="15">
        <v>1</v>
      </c>
      <c r="F144" s="11">
        <v>1</v>
      </c>
      <c r="G144" s="11">
        <f>+ROUND(5745/D144+1,0)</f>
        <v>24</v>
      </c>
      <c r="H144" s="12"/>
      <c r="I144" s="12">
        <v>3.46</v>
      </c>
      <c r="J144" s="22"/>
      <c r="K144" s="22"/>
      <c r="L144" s="12">
        <f t="shared" si="63"/>
        <v>3.46</v>
      </c>
      <c r="M144" s="12">
        <f t="shared" si="82"/>
        <v>0</v>
      </c>
      <c r="N144" s="12">
        <f t="shared" si="83"/>
        <v>0</v>
      </c>
      <c r="O144" s="12">
        <f t="shared" si="84"/>
        <v>0</v>
      </c>
      <c r="P144" s="12">
        <f t="shared" si="85"/>
        <v>0</v>
      </c>
      <c r="Q144" s="12">
        <f t="shared" si="86"/>
        <v>83.04</v>
      </c>
      <c r="R144" s="12">
        <f t="shared" si="87"/>
        <v>0</v>
      </c>
    </row>
    <row r="145" spans="1:18" x14ac:dyDescent="0.25">
      <c r="A145" s="26"/>
      <c r="B145" s="25" t="s">
        <v>114</v>
      </c>
      <c r="C145" s="15">
        <v>20</v>
      </c>
      <c r="D145" s="16">
        <v>250</v>
      </c>
      <c r="E145" s="15">
        <v>1</v>
      </c>
      <c r="F145" s="11">
        <v>1</v>
      </c>
      <c r="G145" s="11">
        <f>+ROUND(3165/D145+1,0)</f>
        <v>14</v>
      </c>
      <c r="H145" s="12"/>
      <c r="I145" s="12">
        <v>2.5</v>
      </c>
      <c r="J145" s="22"/>
      <c r="K145" s="22"/>
      <c r="L145" s="12">
        <f t="shared" si="63"/>
        <v>2.5</v>
      </c>
      <c r="M145" s="12">
        <f t="shared" si="82"/>
        <v>0</v>
      </c>
      <c r="N145" s="12">
        <f t="shared" si="83"/>
        <v>0</v>
      </c>
      <c r="O145" s="12">
        <f t="shared" si="84"/>
        <v>0</v>
      </c>
      <c r="P145" s="12">
        <f t="shared" si="85"/>
        <v>0</v>
      </c>
      <c r="Q145" s="12">
        <f t="shared" si="86"/>
        <v>35</v>
      </c>
      <c r="R145" s="12">
        <f t="shared" si="87"/>
        <v>0</v>
      </c>
    </row>
    <row r="146" spans="1:18" x14ac:dyDescent="0.25">
      <c r="A146" s="26"/>
      <c r="B146" s="25" t="s">
        <v>119</v>
      </c>
      <c r="C146" s="15">
        <v>12</v>
      </c>
      <c r="D146" s="16">
        <v>250</v>
      </c>
      <c r="E146" s="15">
        <v>2</v>
      </c>
      <c r="F146" s="11">
        <v>2</v>
      </c>
      <c r="G146" s="11">
        <f>+ROUND(2635/D146+1,0)</f>
        <v>12</v>
      </c>
      <c r="H146" s="12"/>
      <c r="I146" s="12">
        <v>7.71</v>
      </c>
      <c r="J146" s="22"/>
      <c r="K146" s="22"/>
      <c r="L146" s="12">
        <f t="shared" si="63"/>
        <v>7.71</v>
      </c>
      <c r="M146" s="12">
        <f t="shared" si="82"/>
        <v>0</v>
      </c>
      <c r="N146" s="12">
        <f t="shared" si="83"/>
        <v>0</v>
      </c>
      <c r="O146" s="12">
        <f t="shared" si="84"/>
        <v>370.08</v>
      </c>
      <c r="P146" s="12">
        <f t="shared" si="85"/>
        <v>0</v>
      </c>
      <c r="Q146" s="12">
        <f t="shared" si="86"/>
        <v>0</v>
      </c>
      <c r="R146" s="12">
        <f t="shared" si="87"/>
        <v>0</v>
      </c>
    </row>
    <row r="147" spans="1:18" x14ac:dyDescent="0.25">
      <c r="A147" s="26"/>
      <c r="B147" s="25" t="s">
        <v>120</v>
      </c>
      <c r="C147" s="15">
        <v>12</v>
      </c>
      <c r="D147" s="16">
        <v>250</v>
      </c>
      <c r="E147" s="15">
        <v>2</v>
      </c>
      <c r="F147" s="11">
        <v>1</v>
      </c>
      <c r="G147" s="11">
        <f>+ROUND(2615/D147+1,0)</f>
        <v>11</v>
      </c>
      <c r="H147" s="12"/>
      <c r="I147" s="12">
        <v>2.7850000000000001</v>
      </c>
      <c r="J147" s="22"/>
      <c r="K147" s="22"/>
      <c r="L147" s="12">
        <f t="shared" si="63"/>
        <v>2.7850000000000001</v>
      </c>
      <c r="M147" s="12">
        <f t="shared" si="82"/>
        <v>0</v>
      </c>
      <c r="N147" s="12">
        <f t="shared" si="83"/>
        <v>0</v>
      </c>
      <c r="O147" s="12">
        <f t="shared" si="84"/>
        <v>61.27</v>
      </c>
      <c r="P147" s="12">
        <f t="shared" si="85"/>
        <v>0</v>
      </c>
      <c r="Q147" s="12">
        <f t="shared" si="86"/>
        <v>0</v>
      </c>
      <c r="R147" s="12">
        <f t="shared" si="87"/>
        <v>0</v>
      </c>
    </row>
    <row r="148" spans="1:18" x14ac:dyDescent="0.25">
      <c r="A148" s="26"/>
      <c r="B148" s="25" t="s">
        <v>121</v>
      </c>
      <c r="C148" s="15">
        <v>20</v>
      </c>
      <c r="D148" s="16">
        <v>250</v>
      </c>
      <c r="E148" s="15">
        <v>2</v>
      </c>
      <c r="F148" s="11">
        <v>1</v>
      </c>
      <c r="G148" s="11">
        <f>+ROUND(2785/D148+1,0)</f>
        <v>12</v>
      </c>
      <c r="H148" s="12"/>
      <c r="I148" s="12">
        <v>2.6150000000000002</v>
      </c>
      <c r="J148" s="22"/>
      <c r="K148" s="22"/>
      <c r="L148" s="12">
        <f t="shared" si="63"/>
        <v>2.6150000000000002</v>
      </c>
      <c r="M148" s="12">
        <f t="shared" si="82"/>
        <v>0</v>
      </c>
      <c r="N148" s="12">
        <f t="shared" si="83"/>
        <v>0</v>
      </c>
      <c r="O148" s="12">
        <f t="shared" si="84"/>
        <v>0</v>
      </c>
      <c r="P148" s="12">
        <f t="shared" si="85"/>
        <v>0</v>
      </c>
      <c r="Q148" s="12">
        <f t="shared" si="86"/>
        <v>62.76</v>
      </c>
      <c r="R148" s="12">
        <f t="shared" si="87"/>
        <v>0</v>
      </c>
    </row>
    <row r="149" spans="1:18" x14ac:dyDescent="0.25">
      <c r="A149" s="26"/>
      <c r="B149" s="25" t="s">
        <v>122</v>
      </c>
      <c r="C149" s="15">
        <v>16</v>
      </c>
      <c r="D149" s="16">
        <v>250</v>
      </c>
      <c r="E149" s="15">
        <v>2</v>
      </c>
      <c r="F149" s="11">
        <v>1</v>
      </c>
      <c r="G149" s="11">
        <f>+ROUND(5000/D149+1,0)</f>
        <v>21</v>
      </c>
      <c r="H149" s="12"/>
      <c r="I149" s="12">
        <v>4.5449999999999999</v>
      </c>
      <c r="J149" s="22"/>
      <c r="K149" s="22"/>
      <c r="L149" s="12">
        <f t="shared" si="63"/>
        <v>4.5449999999999999</v>
      </c>
      <c r="M149" s="12">
        <f t="shared" si="82"/>
        <v>0</v>
      </c>
      <c r="N149" s="12">
        <f t="shared" si="83"/>
        <v>0</v>
      </c>
      <c r="O149" s="12">
        <f t="shared" si="84"/>
        <v>0</v>
      </c>
      <c r="P149" s="12">
        <f t="shared" si="85"/>
        <v>190.89</v>
      </c>
      <c r="Q149" s="12">
        <f t="shared" si="86"/>
        <v>0</v>
      </c>
      <c r="R149" s="12">
        <f t="shared" si="87"/>
        <v>0</v>
      </c>
    </row>
    <row r="150" spans="1:18" x14ac:dyDescent="0.25">
      <c r="A150" s="26"/>
      <c r="B150" s="25" t="s">
        <v>122</v>
      </c>
      <c r="C150" s="15">
        <v>16</v>
      </c>
      <c r="D150" s="16">
        <v>250</v>
      </c>
      <c r="E150" s="15">
        <v>2</v>
      </c>
      <c r="F150" s="11">
        <v>1</v>
      </c>
      <c r="G150" s="11">
        <f>+ROUND(4545/D150+1,0)</f>
        <v>19</v>
      </c>
      <c r="H150" s="12"/>
      <c r="I150" s="12">
        <v>5</v>
      </c>
      <c r="J150" s="22"/>
      <c r="K150" s="22"/>
      <c r="L150" s="12">
        <f t="shared" si="63"/>
        <v>5</v>
      </c>
      <c r="M150" s="12">
        <f t="shared" si="82"/>
        <v>0</v>
      </c>
      <c r="N150" s="12">
        <f t="shared" si="83"/>
        <v>0</v>
      </c>
      <c r="O150" s="12">
        <f t="shared" si="84"/>
        <v>0</v>
      </c>
      <c r="P150" s="12">
        <f t="shared" si="85"/>
        <v>190</v>
      </c>
      <c r="Q150" s="12">
        <f t="shared" si="86"/>
        <v>0</v>
      </c>
      <c r="R150" s="12">
        <f t="shared" si="87"/>
        <v>0</v>
      </c>
    </row>
    <row r="151" spans="1:18" x14ac:dyDescent="0.25">
      <c r="A151" s="26"/>
      <c r="B151" s="25" t="s">
        <v>123</v>
      </c>
      <c r="C151" s="15">
        <v>16</v>
      </c>
      <c r="D151" s="16">
        <v>250</v>
      </c>
      <c r="E151" s="15">
        <v>2</v>
      </c>
      <c r="F151" s="11">
        <v>1</v>
      </c>
      <c r="G151" s="11">
        <f>+ROUND(3045/D151+1,0)</f>
        <v>13</v>
      </c>
      <c r="H151" s="12"/>
      <c r="I151" s="12">
        <v>4.5250000000000004</v>
      </c>
      <c r="J151" s="22"/>
      <c r="K151" s="22"/>
      <c r="L151" s="12">
        <f t="shared" si="63"/>
        <v>4.5250000000000004</v>
      </c>
      <c r="M151" s="12">
        <f t="shared" si="82"/>
        <v>0</v>
      </c>
      <c r="N151" s="12">
        <f t="shared" si="83"/>
        <v>0</v>
      </c>
      <c r="O151" s="12">
        <f t="shared" si="84"/>
        <v>0</v>
      </c>
      <c r="P151" s="12">
        <f t="shared" si="85"/>
        <v>117.65</v>
      </c>
      <c r="Q151" s="12">
        <f t="shared" si="86"/>
        <v>0</v>
      </c>
      <c r="R151" s="12">
        <f t="shared" si="87"/>
        <v>0</v>
      </c>
    </row>
    <row r="152" spans="1:18" x14ac:dyDescent="0.25">
      <c r="A152" s="26"/>
      <c r="B152" s="25" t="s">
        <v>124</v>
      </c>
      <c r="C152" s="15">
        <v>20</v>
      </c>
      <c r="D152" s="16">
        <v>250</v>
      </c>
      <c r="E152" s="15">
        <v>2</v>
      </c>
      <c r="F152" s="11">
        <v>1</v>
      </c>
      <c r="G152" s="11">
        <f>+ROUND(4525/D152+1,0)</f>
        <v>19</v>
      </c>
      <c r="H152" s="12"/>
      <c r="I152" s="12">
        <v>3.0449999999999999</v>
      </c>
      <c r="J152" s="22"/>
      <c r="K152" s="22"/>
      <c r="L152" s="12">
        <f t="shared" si="63"/>
        <v>3.0449999999999999</v>
      </c>
      <c r="M152" s="12">
        <f t="shared" si="82"/>
        <v>0</v>
      </c>
      <c r="N152" s="12">
        <f t="shared" si="83"/>
        <v>0</v>
      </c>
      <c r="O152" s="12">
        <f t="shared" si="84"/>
        <v>0</v>
      </c>
      <c r="P152" s="12">
        <f t="shared" si="85"/>
        <v>0</v>
      </c>
      <c r="Q152" s="12">
        <f t="shared" si="86"/>
        <v>115.71</v>
      </c>
      <c r="R152" s="12">
        <f t="shared" si="87"/>
        <v>0</v>
      </c>
    </row>
    <row r="153" spans="1:18" x14ac:dyDescent="0.25">
      <c r="A153" s="26"/>
      <c r="B153" s="25" t="s">
        <v>125</v>
      </c>
      <c r="C153" s="15">
        <v>20</v>
      </c>
      <c r="D153" s="16">
        <v>250</v>
      </c>
      <c r="E153" s="15">
        <v>2</v>
      </c>
      <c r="F153" s="11">
        <v>1</v>
      </c>
      <c r="G153" s="11">
        <f>+ROUND(4500/D153+1,0)</f>
        <v>19</v>
      </c>
      <c r="H153" s="12"/>
      <c r="I153" s="12">
        <v>3.915</v>
      </c>
      <c r="J153" s="22"/>
      <c r="K153" s="22"/>
      <c r="L153" s="12">
        <f t="shared" si="63"/>
        <v>3.915</v>
      </c>
      <c r="M153" s="12">
        <f t="shared" si="82"/>
        <v>0</v>
      </c>
      <c r="N153" s="12">
        <f t="shared" si="83"/>
        <v>0</v>
      </c>
      <c r="O153" s="12">
        <f t="shared" si="84"/>
        <v>0</v>
      </c>
      <c r="P153" s="12">
        <f t="shared" si="85"/>
        <v>0</v>
      </c>
      <c r="Q153" s="12">
        <f t="shared" si="86"/>
        <v>148.77000000000001</v>
      </c>
      <c r="R153" s="12">
        <f t="shared" si="87"/>
        <v>0</v>
      </c>
    </row>
    <row r="154" spans="1:18" x14ac:dyDescent="0.25">
      <c r="A154" s="26"/>
      <c r="B154" s="25" t="s">
        <v>126</v>
      </c>
      <c r="C154" s="15">
        <v>16</v>
      </c>
      <c r="D154" s="16">
        <v>250</v>
      </c>
      <c r="E154" s="15">
        <v>2</v>
      </c>
      <c r="F154" s="11">
        <v>1</v>
      </c>
      <c r="G154" s="11">
        <f>+ROUND(3915/D154+1,0)</f>
        <v>17</v>
      </c>
      <c r="H154" s="12"/>
      <c r="I154" s="12">
        <v>4.5</v>
      </c>
      <c r="J154" s="22"/>
      <c r="K154" s="22"/>
      <c r="L154" s="12">
        <f t="shared" ref="L154:L188" si="88">SUM(H154:J154)+K154</f>
        <v>4.5</v>
      </c>
      <c r="M154" s="12">
        <f t="shared" si="82"/>
        <v>0</v>
      </c>
      <c r="N154" s="12">
        <f t="shared" si="83"/>
        <v>0</v>
      </c>
      <c r="O154" s="12">
        <f t="shared" si="84"/>
        <v>0</v>
      </c>
      <c r="P154" s="12">
        <f t="shared" si="85"/>
        <v>153</v>
      </c>
      <c r="Q154" s="12">
        <f t="shared" si="86"/>
        <v>0</v>
      </c>
      <c r="R154" s="12">
        <f t="shared" si="87"/>
        <v>0</v>
      </c>
    </row>
    <row r="155" spans="1:18" x14ac:dyDescent="0.25">
      <c r="A155" s="26"/>
      <c r="B155" s="25" t="s">
        <v>127</v>
      </c>
      <c r="C155" s="15">
        <v>16</v>
      </c>
      <c r="D155" s="16">
        <v>250</v>
      </c>
      <c r="E155" s="15">
        <v>2</v>
      </c>
      <c r="F155" s="11">
        <v>1</v>
      </c>
      <c r="G155" s="11">
        <f>+ROUND(3975/D155+1,0)</f>
        <v>17</v>
      </c>
      <c r="H155" s="12"/>
      <c r="I155" s="12">
        <v>6.08</v>
      </c>
      <c r="J155" s="22"/>
      <c r="K155" s="22"/>
      <c r="L155" s="12">
        <f t="shared" si="88"/>
        <v>6.08</v>
      </c>
      <c r="M155" s="12">
        <f t="shared" si="82"/>
        <v>0</v>
      </c>
      <c r="N155" s="12">
        <f t="shared" si="83"/>
        <v>0</v>
      </c>
      <c r="O155" s="12">
        <f t="shared" si="84"/>
        <v>0</v>
      </c>
      <c r="P155" s="12">
        <f t="shared" si="85"/>
        <v>206.72</v>
      </c>
      <c r="Q155" s="12">
        <f t="shared" si="86"/>
        <v>0</v>
      </c>
      <c r="R155" s="12">
        <f t="shared" si="87"/>
        <v>0</v>
      </c>
    </row>
    <row r="156" spans="1:18" x14ac:dyDescent="0.25">
      <c r="A156" s="26"/>
      <c r="B156" s="25" t="s">
        <v>128</v>
      </c>
      <c r="C156" s="15">
        <v>25</v>
      </c>
      <c r="D156" s="16">
        <v>250</v>
      </c>
      <c r="E156" s="15">
        <v>2</v>
      </c>
      <c r="F156" s="11">
        <v>1</v>
      </c>
      <c r="G156" s="11">
        <f>+ROUND(6080/D156+1,0)</f>
        <v>25</v>
      </c>
      <c r="H156" s="12"/>
      <c r="I156" s="12">
        <v>3.9750000000000001</v>
      </c>
      <c r="J156" s="22"/>
      <c r="K156" s="22"/>
      <c r="L156" s="12">
        <f t="shared" si="88"/>
        <v>3.9750000000000001</v>
      </c>
      <c r="M156" s="12">
        <f t="shared" si="82"/>
        <v>0</v>
      </c>
      <c r="N156" s="12">
        <f t="shared" si="83"/>
        <v>0</v>
      </c>
      <c r="O156" s="12">
        <f t="shared" si="84"/>
        <v>0</v>
      </c>
      <c r="P156" s="12">
        <f t="shared" si="85"/>
        <v>0</v>
      </c>
      <c r="Q156" s="12">
        <f t="shared" si="86"/>
        <v>0</v>
      </c>
      <c r="R156" s="12">
        <f t="shared" si="87"/>
        <v>198.75</v>
      </c>
    </row>
    <row r="157" spans="1:18" x14ac:dyDescent="0.25">
      <c r="A157" s="26"/>
      <c r="B157" s="25" t="s">
        <v>129</v>
      </c>
      <c r="C157" s="15">
        <v>12</v>
      </c>
      <c r="D157" s="16">
        <v>250</v>
      </c>
      <c r="E157" s="15">
        <v>2</v>
      </c>
      <c r="F157" s="11">
        <v>1</v>
      </c>
      <c r="G157" s="11">
        <f>+ROUND(6080/D157+1,0)</f>
        <v>25</v>
      </c>
      <c r="H157" s="12"/>
      <c r="I157" s="12">
        <v>1.95</v>
      </c>
      <c r="J157" s="22"/>
      <c r="K157" s="22"/>
      <c r="L157" s="12">
        <f t="shared" si="88"/>
        <v>1.95</v>
      </c>
      <c r="M157" s="12">
        <f t="shared" si="82"/>
        <v>0</v>
      </c>
      <c r="N157" s="12">
        <f t="shared" si="83"/>
        <v>0</v>
      </c>
      <c r="O157" s="12">
        <f t="shared" si="84"/>
        <v>97.5</v>
      </c>
      <c r="P157" s="12">
        <f t="shared" si="85"/>
        <v>0</v>
      </c>
      <c r="Q157" s="12">
        <f t="shared" si="86"/>
        <v>0</v>
      </c>
      <c r="R157" s="12">
        <f t="shared" si="87"/>
        <v>0</v>
      </c>
    </row>
    <row r="158" spans="1:18" x14ac:dyDescent="0.25">
      <c r="A158" s="26"/>
      <c r="B158" s="25" t="s">
        <v>129</v>
      </c>
      <c r="C158" s="15">
        <v>12</v>
      </c>
      <c r="D158" s="16">
        <v>250</v>
      </c>
      <c r="E158" s="15">
        <v>2</v>
      </c>
      <c r="F158" s="11">
        <v>1</v>
      </c>
      <c r="G158" s="11">
        <f>+ROUND(1950/D158+1,0)</f>
        <v>9</v>
      </c>
      <c r="H158" s="12"/>
      <c r="I158" s="12">
        <v>6.08</v>
      </c>
      <c r="J158" s="22"/>
      <c r="K158" s="22"/>
      <c r="L158" s="12">
        <f t="shared" si="88"/>
        <v>6.08</v>
      </c>
      <c r="M158" s="12">
        <f t="shared" si="82"/>
        <v>0</v>
      </c>
      <c r="N158" s="12">
        <f t="shared" si="83"/>
        <v>0</v>
      </c>
      <c r="O158" s="12">
        <f t="shared" si="84"/>
        <v>109.44</v>
      </c>
      <c r="P158" s="12">
        <f t="shared" si="85"/>
        <v>0</v>
      </c>
      <c r="Q158" s="12">
        <f t="shared" si="86"/>
        <v>0</v>
      </c>
      <c r="R158" s="12">
        <f t="shared" si="87"/>
        <v>0</v>
      </c>
    </row>
    <row r="159" spans="1:18" x14ac:dyDescent="0.25">
      <c r="A159" s="26"/>
      <c r="B159" s="25" t="s">
        <v>130</v>
      </c>
      <c r="C159" s="15">
        <v>20</v>
      </c>
      <c r="D159" s="16">
        <v>250</v>
      </c>
      <c r="E159" s="15">
        <v>2</v>
      </c>
      <c r="F159" s="11">
        <v>1</v>
      </c>
      <c r="G159" s="11">
        <f>+ROUND(5600/D159+1,0)</f>
        <v>23</v>
      </c>
      <c r="H159" s="12"/>
      <c r="I159" s="12">
        <v>2.4249999999999998</v>
      </c>
      <c r="J159" s="22"/>
      <c r="K159" s="22"/>
      <c r="L159" s="12">
        <f t="shared" si="88"/>
        <v>2.4249999999999998</v>
      </c>
      <c r="M159" s="12">
        <f t="shared" si="82"/>
        <v>0</v>
      </c>
      <c r="N159" s="12">
        <f t="shared" si="83"/>
        <v>0</v>
      </c>
      <c r="O159" s="12">
        <f t="shared" si="84"/>
        <v>0</v>
      </c>
      <c r="P159" s="12">
        <f t="shared" si="85"/>
        <v>0</v>
      </c>
      <c r="Q159" s="12">
        <f t="shared" si="86"/>
        <v>111.55</v>
      </c>
      <c r="R159" s="12">
        <f t="shared" si="87"/>
        <v>0</v>
      </c>
    </row>
    <row r="160" spans="1:18" x14ac:dyDescent="0.25">
      <c r="A160" s="26"/>
      <c r="B160" s="25" t="s">
        <v>131</v>
      </c>
      <c r="C160" s="15">
        <v>16</v>
      </c>
      <c r="D160" s="16">
        <v>250</v>
      </c>
      <c r="E160" s="15">
        <v>2</v>
      </c>
      <c r="F160" s="11">
        <v>1</v>
      </c>
      <c r="G160" s="11">
        <f>+ROUND(2425/D160+1,0)</f>
        <v>11</v>
      </c>
      <c r="H160" s="12"/>
      <c r="I160" s="12">
        <v>3.95</v>
      </c>
      <c r="J160" s="22"/>
      <c r="K160" s="22"/>
      <c r="L160" s="12">
        <f t="shared" si="88"/>
        <v>3.95</v>
      </c>
      <c r="M160" s="12">
        <f t="shared" ref="M160:M185" si="89">+ROUND(IF(C160=8,PRODUCT(E160,F160,G160,L160),0),2)</f>
        <v>0</v>
      </c>
      <c r="N160" s="12">
        <f t="shared" ref="N160:N185" si="90">+ROUND(IF(C160=10,PRODUCT(E160,F160,G160,L160),0),2)</f>
        <v>0</v>
      </c>
      <c r="O160" s="12">
        <f t="shared" ref="O160:O185" si="91">+ROUND(IF(C160=12,PRODUCT(E160,F160,G160,L160),0),2)</f>
        <v>0</v>
      </c>
      <c r="P160" s="12">
        <f t="shared" ref="P160:P185" si="92">+ROUND(IF(C160=16,PRODUCT(E160,F160,G160,L160),0),2)</f>
        <v>86.9</v>
      </c>
      <c r="Q160" s="12">
        <f t="shared" ref="Q160:Q185" si="93">+ROUND(IF(C160=20,PRODUCT(E160,F160,G160,L160),0),2)</f>
        <v>0</v>
      </c>
      <c r="R160" s="12">
        <f t="shared" ref="R160:R185" si="94">+ROUND(IF(C160=25,PRODUCT(E160,F160,G160,L160),0),2)</f>
        <v>0</v>
      </c>
    </row>
    <row r="161" spans="1:18" x14ac:dyDescent="0.25">
      <c r="A161" s="26"/>
      <c r="B161" s="25" t="s">
        <v>133</v>
      </c>
      <c r="C161" s="15">
        <v>10</v>
      </c>
      <c r="D161" s="16">
        <v>250</v>
      </c>
      <c r="E161" s="15">
        <v>2</v>
      </c>
      <c r="F161" s="11">
        <v>1</v>
      </c>
      <c r="G161" s="11">
        <f>+ROUND(6165/D161+1,0)</f>
        <v>26</v>
      </c>
      <c r="H161" s="12"/>
      <c r="I161" s="12">
        <v>2.2000000000000002</v>
      </c>
      <c r="J161" s="22"/>
      <c r="K161" s="22"/>
      <c r="L161" s="12">
        <f t="shared" si="88"/>
        <v>2.2000000000000002</v>
      </c>
      <c r="M161" s="12">
        <f t="shared" si="89"/>
        <v>0</v>
      </c>
      <c r="N161" s="12">
        <f t="shared" si="90"/>
        <v>114.4</v>
      </c>
      <c r="O161" s="12">
        <f t="shared" si="91"/>
        <v>0</v>
      </c>
      <c r="P161" s="12">
        <f t="shared" si="92"/>
        <v>0</v>
      </c>
      <c r="Q161" s="12">
        <f t="shared" si="93"/>
        <v>0</v>
      </c>
      <c r="R161" s="12">
        <f t="shared" si="94"/>
        <v>0</v>
      </c>
    </row>
    <row r="162" spans="1:18" x14ac:dyDescent="0.25">
      <c r="A162" s="26"/>
      <c r="B162" s="25" t="s">
        <v>132</v>
      </c>
      <c r="C162" s="15">
        <v>16</v>
      </c>
      <c r="D162" s="16">
        <v>250</v>
      </c>
      <c r="E162" s="15">
        <v>2</v>
      </c>
      <c r="F162" s="11">
        <v>1</v>
      </c>
      <c r="G162" s="11">
        <f>+ROUND(2200/D162+1,0)</f>
        <v>10</v>
      </c>
      <c r="H162" s="12"/>
      <c r="I162" s="12">
        <v>6.165</v>
      </c>
      <c r="J162" s="22"/>
      <c r="K162" s="22"/>
      <c r="L162" s="12">
        <f t="shared" si="88"/>
        <v>6.165</v>
      </c>
      <c r="M162" s="12">
        <f t="shared" si="89"/>
        <v>0</v>
      </c>
      <c r="N162" s="12">
        <f t="shared" si="90"/>
        <v>0</v>
      </c>
      <c r="O162" s="12">
        <f t="shared" si="91"/>
        <v>0</v>
      </c>
      <c r="P162" s="12">
        <f t="shared" si="92"/>
        <v>123.3</v>
      </c>
      <c r="Q162" s="12">
        <f t="shared" si="93"/>
        <v>0</v>
      </c>
      <c r="R162" s="12">
        <f t="shared" si="94"/>
        <v>0</v>
      </c>
    </row>
    <row r="163" spans="1:18" x14ac:dyDescent="0.25">
      <c r="A163" s="26"/>
      <c r="B163" s="25" t="s">
        <v>134</v>
      </c>
      <c r="C163" s="15">
        <v>12</v>
      </c>
      <c r="D163" s="16">
        <v>250</v>
      </c>
      <c r="E163" s="15">
        <v>2</v>
      </c>
      <c r="F163" s="11">
        <v>1</v>
      </c>
      <c r="G163" s="11">
        <f>+ROUND(3120/D163+1,0)</f>
        <v>13</v>
      </c>
      <c r="H163" s="12"/>
      <c r="I163" s="12">
        <v>4.5199999999999996</v>
      </c>
      <c r="J163" s="22"/>
      <c r="K163" s="22"/>
      <c r="L163" s="12">
        <f t="shared" si="88"/>
        <v>4.5199999999999996</v>
      </c>
      <c r="M163" s="12">
        <f t="shared" si="89"/>
        <v>0</v>
      </c>
      <c r="N163" s="12">
        <f t="shared" si="90"/>
        <v>0</v>
      </c>
      <c r="O163" s="12">
        <f t="shared" si="91"/>
        <v>117.52</v>
      </c>
      <c r="P163" s="12">
        <f t="shared" si="92"/>
        <v>0</v>
      </c>
      <c r="Q163" s="12">
        <f t="shared" si="93"/>
        <v>0</v>
      </c>
      <c r="R163" s="12">
        <f t="shared" si="94"/>
        <v>0</v>
      </c>
    </row>
    <row r="164" spans="1:18" x14ac:dyDescent="0.25">
      <c r="A164" s="26"/>
      <c r="B164" s="25" t="s">
        <v>135</v>
      </c>
      <c r="C164" s="15">
        <v>12</v>
      </c>
      <c r="D164" s="16">
        <v>250</v>
      </c>
      <c r="E164" s="15">
        <v>2</v>
      </c>
      <c r="F164" s="11">
        <v>1</v>
      </c>
      <c r="G164" s="11">
        <f>+ROUND(2275/D164+1,0)</f>
        <v>10</v>
      </c>
      <c r="H164" s="12"/>
      <c r="I164" s="12">
        <v>5.3550000000000004</v>
      </c>
      <c r="J164" s="22"/>
      <c r="K164" s="22"/>
      <c r="L164" s="12">
        <f t="shared" si="88"/>
        <v>5.3550000000000004</v>
      </c>
      <c r="M164" s="12">
        <f t="shared" si="89"/>
        <v>0</v>
      </c>
      <c r="N164" s="12">
        <f t="shared" si="90"/>
        <v>0</v>
      </c>
      <c r="O164" s="12">
        <f t="shared" si="91"/>
        <v>107.1</v>
      </c>
      <c r="P164" s="12">
        <f t="shared" si="92"/>
        <v>0</v>
      </c>
      <c r="Q164" s="12">
        <f t="shared" si="93"/>
        <v>0</v>
      </c>
      <c r="R164" s="12">
        <f t="shared" si="94"/>
        <v>0</v>
      </c>
    </row>
    <row r="165" spans="1:18" x14ac:dyDescent="0.25">
      <c r="A165" s="26"/>
      <c r="B165" s="25" t="s">
        <v>136</v>
      </c>
      <c r="C165" s="15">
        <v>10</v>
      </c>
      <c r="D165" s="16">
        <v>250</v>
      </c>
      <c r="E165" s="15">
        <v>2</v>
      </c>
      <c r="F165" s="11">
        <v>1</v>
      </c>
      <c r="G165" s="11">
        <f>+ROUND(5355/D165+1,0)</f>
        <v>22</v>
      </c>
      <c r="H165" s="12"/>
      <c r="I165" s="12">
        <v>2.2749999999999999</v>
      </c>
      <c r="J165" s="22"/>
      <c r="K165" s="22"/>
      <c r="L165" s="12">
        <f t="shared" si="88"/>
        <v>2.2749999999999999</v>
      </c>
      <c r="M165" s="12">
        <f t="shared" si="89"/>
        <v>0</v>
      </c>
      <c r="N165" s="12">
        <f t="shared" si="90"/>
        <v>100.1</v>
      </c>
      <c r="O165" s="12">
        <f t="shared" si="91"/>
        <v>0</v>
      </c>
      <c r="P165" s="12">
        <f t="shared" si="92"/>
        <v>0</v>
      </c>
      <c r="Q165" s="12">
        <f t="shared" si="93"/>
        <v>0</v>
      </c>
      <c r="R165" s="12">
        <f t="shared" si="94"/>
        <v>0</v>
      </c>
    </row>
    <row r="166" spans="1:18" x14ac:dyDescent="0.25">
      <c r="A166" s="26"/>
      <c r="B166" s="25" t="s">
        <v>137</v>
      </c>
      <c r="C166" s="15">
        <v>12</v>
      </c>
      <c r="D166" s="16">
        <v>250</v>
      </c>
      <c r="E166" s="15">
        <v>2</v>
      </c>
      <c r="F166" s="11">
        <v>1</v>
      </c>
      <c r="G166" s="11">
        <f>+ROUND(4060/D166+1,0)</f>
        <v>17</v>
      </c>
      <c r="H166" s="12"/>
      <c r="I166" s="12">
        <v>2.5150000000000001</v>
      </c>
      <c r="J166" s="22"/>
      <c r="K166" s="22"/>
      <c r="L166" s="12">
        <f t="shared" si="88"/>
        <v>2.5150000000000001</v>
      </c>
      <c r="M166" s="12">
        <f t="shared" si="89"/>
        <v>0</v>
      </c>
      <c r="N166" s="12">
        <f t="shared" si="90"/>
        <v>0</v>
      </c>
      <c r="O166" s="12">
        <f t="shared" si="91"/>
        <v>85.51</v>
      </c>
      <c r="P166" s="12">
        <f t="shared" si="92"/>
        <v>0</v>
      </c>
      <c r="Q166" s="12">
        <f t="shared" si="93"/>
        <v>0</v>
      </c>
      <c r="R166" s="12">
        <f t="shared" si="94"/>
        <v>0</v>
      </c>
    </row>
    <row r="167" spans="1:18" x14ac:dyDescent="0.25">
      <c r="A167" s="26"/>
      <c r="B167" s="25" t="s">
        <v>138</v>
      </c>
      <c r="C167" s="15">
        <v>12</v>
      </c>
      <c r="D167" s="16">
        <v>250</v>
      </c>
      <c r="E167" s="15">
        <v>2</v>
      </c>
      <c r="F167" s="11">
        <v>1</v>
      </c>
      <c r="G167" s="11">
        <f>+ROUND(4305/D167+1,0)</f>
        <v>18</v>
      </c>
      <c r="H167" s="12"/>
      <c r="I167" s="12">
        <v>2.54</v>
      </c>
      <c r="J167" s="22"/>
      <c r="K167" s="22"/>
      <c r="L167" s="12">
        <f t="shared" si="88"/>
        <v>2.54</v>
      </c>
      <c r="M167" s="12">
        <f t="shared" si="89"/>
        <v>0</v>
      </c>
      <c r="N167" s="12">
        <f t="shared" si="90"/>
        <v>0</v>
      </c>
      <c r="O167" s="12">
        <f t="shared" si="91"/>
        <v>91.44</v>
      </c>
      <c r="P167" s="12">
        <f t="shared" si="92"/>
        <v>0</v>
      </c>
      <c r="Q167" s="12">
        <f t="shared" si="93"/>
        <v>0</v>
      </c>
      <c r="R167" s="12">
        <f t="shared" si="94"/>
        <v>0</v>
      </c>
    </row>
    <row r="168" spans="1:18" x14ac:dyDescent="0.25">
      <c r="A168" s="26"/>
      <c r="B168" s="25" t="s">
        <v>139</v>
      </c>
      <c r="C168" s="15">
        <v>10</v>
      </c>
      <c r="D168" s="16">
        <v>250</v>
      </c>
      <c r="E168" s="15">
        <v>2</v>
      </c>
      <c r="F168" s="11">
        <v>1</v>
      </c>
      <c r="G168" s="11">
        <f>+ROUND(2830/D168+1,0)</f>
        <v>12</v>
      </c>
      <c r="H168" s="12"/>
      <c r="I168" s="12">
        <v>4.375</v>
      </c>
      <c r="J168" s="22"/>
      <c r="K168" s="22"/>
      <c r="L168" s="12">
        <f t="shared" si="88"/>
        <v>4.375</v>
      </c>
      <c r="M168" s="12">
        <f t="shared" si="89"/>
        <v>0</v>
      </c>
      <c r="N168" s="12">
        <f t="shared" si="90"/>
        <v>105</v>
      </c>
      <c r="O168" s="12">
        <f t="shared" si="91"/>
        <v>0</v>
      </c>
      <c r="P168" s="12">
        <f t="shared" si="92"/>
        <v>0</v>
      </c>
      <c r="Q168" s="12">
        <f t="shared" si="93"/>
        <v>0</v>
      </c>
      <c r="R168" s="12">
        <f t="shared" si="94"/>
        <v>0</v>
      </c>
    </row>
    <row r="169" spans="1:18" x14ac:dyDescent="0.25">
      <c r="A169" s="26"/>
      <c r="B169" s="25" t="s">
        <v>140</v>
      </c>
      <c r="C169" s="15">
        <v>16</v>
      </c>
      <c r="D169" s="16">
        <v>250</v>
      </c>
      <c r="E169" s="15">
        <v>2</v>
      </c>
      <c r="F169" s="11">
        <v>1</v>
      </c>
      <c r="G169" s="11">
        <f>+ROUND(5030/D169+1,0)</f>
        <v>21</v>
      </c>
      <c r="H169" s="12"/>
      <c r="I169" s="12">
        <v>5.24</v>
      </c>
      <c r="J169" s="22"/>
      <c r="K169" s="22"/>
      <c r="L169" s="12">
        <f t="shared" si="88"/>
        <v>5.24</v>
      </c>
      <c r="M169" s="12">
        <f t="shared" si="89"/>
        <v>0</v>
      </c>
      <c r="N169" s="12">
        <f t="shared" si="90"/>
        <v>0</v>
      </c>
      <c r="O169" s="12">
        <f t="shared" si="91"/>
        <v>0</v>
      </c>
      <c r="P169" s="12">
        <f t="shared" si="92"/>
        <v>220.08</v>
      </c>
      <c r="Q169" s="12">
        <f t="shared" si="93"/>
        <v>0</v>
      </c>
      <c r="R169" s="12">
        <f t="shared" si="94"/>
        <v>0</v>
      </c>
    </row>
    <row r="170" spans="1:18" x14ac:dyDescent="0.25">
      <c r="A170" s="26"/>
      <c r="B170" s="25" t="s">
        <v>141</v>
      </c>
      <c r="C170" s="15">
        <v>10</v>
      </c>
      <c r="D170" s="16">
        <v>250</v>
      </c>
      <c r="E170" s="15">
        <v>2</v>
      </c>
      <c r="F170" s="11">
        <v>1</v>
      </c>
      <c r="G170" s="11">
        <f>+ROUND(4500/D170+1,0)</f>
        <v>19</v>
      </c>
      <c r="H170" s="12"/>
      <c r="I170" s="12">
        <v>4.55</v>
      </c>
      <c r="J170" s="22"/>
      <c r="K170" s="22"/>
      <c r="L170" s="12">
        <f t="shared" si="88"/>
        <v>4.55</v>
      </c>
      <c r="M170" s="12">
        <f t="shared" si="89"/>
        <v>0</v>
      </c>
      <c r="N170" s="12">
        <f t="shared" si="90"/>
        <v>172.9</v>
      </c>
      <c r="O170" s="12">
        <f t="shared" si="91"/>
        <v>0</v>
      </c>
      <c r="P170" s="12">
        <f t="shared" si="92"/>
        <v>0</v>
      </c>
      <c r="Q170" s="12">
        <f t="shared" si="93"/>
        <v>0</v>
      </c>
      <c r="R170" s="12">
        <f t="shared" si="94"/>
        <v>0</v>
      </c>
    </row>
    <row r="171" spans="1:18" x14ac:dyDescent="0.25">
      <c r="A171" s="26"/>
      <c r="B171" s="25" t="s">
        <v>142</v>
      </c>
      <c r="C171" s="15">
        <v>12</v>
      </c>
      <c r="D171" s="16">
        <v>250</v>
      </c>
      <c r="E171" s="15">
        <v>2</v>
      </c>
      <c r="F171" s="11">
        <v>1</v>
      </c>
      <c r="G171" s="11">
        <f>+ROUND(2635/D171+1,0)</f>
        <v>12</v>
      </c>
      <c r="H171" s="12"/>
      <c r="I171" s="12">
        <v>7.71</v>
      </c>
      <c r="J171" s="22"/>
      <c r="K171" s="22"/>
      <c r="L171" s="12">
        <f t="shared" si="88"/>
        <v>7.71</v>
      </c>
      <c r="M171" s="12">
        <f t="shared" si="89"/>
        <v>0</v>
      </c>
      <c r="N171" s="12">
        <f t="shared" si="90"/>
        <v>0</v>
      </c>
      <c r="O171" s="12">
        <f t="shared" si="91"/>
        <v>185.04</v>
      </c>
      <c r="P171" s="12">
        <f t="shared" si="92"/>
        <v>0</v>
      </c>
      <c r="Q171" s="12">
        <f t="shared" si="93"/>
        <v>0</v>
      </c>
      <c r="R171" s="12">
        <f t="shared" si="94"/>
        <v>0</v>
      </c>
    </row>
    <row r="172" spans="1:18" x14ac:dyDescent="0.25">
      <c r="A172" s="26"/>
      <c r="B172" s="25" t="s">
        <v>143</v>
      </c>
      <c r="C172" s="15">
        <v>10</v>
      </c>
      <c r="D172" s="16">
        <v>250</v>
      </c>
      <c r="E172" s="15">
        <v>2</v>
      </c>
      <c r="F172" s="11">
        <v>1</v>
      </c>
      <c r="G172" s="11">
        <f>+ROUND(4120/D172+1,0)</f>
        <v>17</v>
      </c>
      <c r="H172" s="12"/>
      <c r="I172" s="12">
        <v>2.85</v>
      </c>
      <c r="J172" s="22"/>
      <c r="K172" s="22"/>
      <c r="L172" s="12">
        <f t="shared" si="88"/>
        <v>2.85</v>
      </c>
      <c r="M172" s="12">
        <f t="shared" si="89"/>
        <v>0</v>
      </c>
      <c r="N172" s="12">
        <f t="shared" si="90"/>
        <v>96.9</v>
      </c>
      <c r="O172" s="12">
        <f t="shared" si="91"/>
        <v>0</v>
      </c>
      <c r="P172" s="12">
        <f t="shared" si="92"/>
        <v>0</v>
      </c>
      <c r="Q172" s="12">
        <f t="shared" si="93"/>
        <v>0</v>
      </c>
      <c r="R172" s="12">
        <f t="shared" si="94"/>
        <v>0</v>
      </c>
    </row>
    <row r="173" spans="1:18" x14ac:dyDescent="0.25">
      <c r="A173" s="26"/>
      <c r="B173" s="25" t="s">
        <v>144</v>
      </c>
      <c r="C173" s="15">
        <v>20</v>
      </c>
      <c r="D173" s="16">
        <v>250</v>
      </c>
      <c r="E173" s="15">
        <v>2</v>
      </c>
      <c r="F173" s="11">
        <v>1</v>
      </c>
      <c r="G173" s="11">
        <f>+ROUND(8160/D173+1,0)</f>
        <v>34</v>
      </c>
      <c r="H173" s="12"/>
      <c r="I173" s="12">
        <v>5.47</v>
      </c>
      <c r="J173" s="22"/>
      <c r="K173" s="22"/>
      <c r="L173" s="12">
        <f t="shared" si="88"/>
        <v>5.47</v>
      </c>
      <c r="M173" s="12">
        <f t="shared" si="89"/>
        <v>0</v>
      </c>
      <c r="N173" s="12">
        <f t="shared" si="90"/>
        <v>0</v>
      </c>
      <c r="O173" s="12">
        <f t="shared" si="91"/>
        <v>0</v>
      </c>
      <c r="P173" s="12">
        <f t="shared" si="92"/>
        <v>0</v>
      </c>
      <c r="Q173" s="12">
        <f t="shared" si="93"/>
        <v>371.96</v>
      </c>
      <c r="R173" s="12">
        <f t="shared" si="94"/>
        <v>0</v>
      </c>
    </row>
    <row r="174" spans="1:18" x14ac:dyDescent="0.25">
      <c r="A174" s="26"/>
      <c r="B174" s="25" t="s">
        <v>145</v>
      </c>
      <c r="C174" s="15">
        <v>16</v>
      </c>
      <c r="D174" s="16">
        <v>250</v>
      </c>
      <c r="E174" s="15">
        <v>2</v>
      </c>
      <c r="F174" s="11">
        <v>1</v>
      </c>
      <c r="G174" s="11">
        <f>+ROUND(2560/D174+1,0)</f>
        <v>11</v>
      </c>
      <c r="H174" s="12"/>
      <c r="I174" s="12">
        <v>4.1900000000000004</v>
      </c>
      <c r="J174" s="22"/>
      <c r="K174" s="22"/>
      <c r="L174" s="12">
        <f t="shared" si="88"/>
        <v>4.1900000000000004</v>
      </c>
      <c r="M174" s="12">
        <f t="shared" si="89"/>
        <v>0</v>
      </c>
      <c r="N174" s="12">
        <f t="shared" si="90"/>
        <v>0</v>
      </c>
      <c r="O174" s="12">
        <f t="shared" si="91"/>
        <v>0</v>
      </c>
      <c r="P174" s="12">
        <f t="shared" si="92"/>
        <v>92.18</v>
      </c>
      <c r="Q174" s="12">
        <f t="shared" si="93"/>
        <v>0</v>
      </c>
      <c r="R174" s="12">
        <f t="shared" si="94"/>
        <v>0</v>
      </c>
    </row>
    <row r="175" spans="1:18" x14ac:dyDescent="0.25">
      <c r="A175" s="26"/>
      <c r="B175" s="25" t="s">
        <v>146</v>
      </c>
      <c r="C175" s="15">
        <v>12</v>
      </c>
      <c r="D175" s="16">
        <v>250</v>
      </c>
      <c r="E175" s="15">
        <v>2</v>
      </c>
      <c r="F175" s="11">
        <v>1</v>
      </c>
      <c r="G175" s="11">
        <f>+ROUND(2330/D175+1,0)</f>
        <v>10</v>
      </c>
      <c r="H175" s="12"/>
      <c r="I175" s="12">
        <v>2.4500000000000002</v>
      </c>
      <c r="J175" s="22"/>
      <c r="K175" s="22"/>
      <c r="L175" s="12">
        <f t="shared" si="88"/>
        <v>2.4500000000000002</v>
      </c>
      <c r="M175" s="12">
        <f t="shared" si="89"/>
        <v>0</v>
      </c>
      <c r="N175" s="12">
        <f t="shared" si="90"/>
        <v>0</v>
      </c>
      <c r="O175" s="12">
        <f t="shared" si="91"/>
        <v>49</v>
      </c>
      <c r="P175" s="12">
        <f t="shared" si="92"/>
        <v>0</v>
      </c>
      <c r="Q175" s="12">
        <f t="shared" si="93"/>
        <v>0</v>
      </c>
      <c r="R175" s="12">
        <f t="shared" si="94"/>
        <v>0</v>
      </c>
    </row>
    <row r="176" spans="1:18" x14ac:dyDescent="0.25">
      <c r="A176" s="26"/>
      <c r="B176" s="25" t="s">
        <v>147</v>
      </c>
      <c r="C176" s="15">
        <v>12</v>
      </c>
      <c r="D176" s="16">
        <v>250</v>
      </c>
      <c r="E176" s="15">
        <v>2</v>
      </c>
      <c r="F176" s="11">
        <v>1</v>
      </c>
      <c r="G176" s="11">
        <f>+ROUND(15800/D176+1,0)</f>
        <v>64</v>
      </c>
      <c r="H176" s="12"/>
      <c r="I176" s="12">
        <v>3.64</v>
      </c>
      <c r="J176" s="22"/>
      <c r="K176" s="22"/>
      <c r="L176" s="12">
        <f t="shared" si="88"/>
        <v>3.64</v>
      </c>
      <c r="M176" s="12">
        <f t="shared" si="89"/>
        <v>0</v>
      </c>
      <c r="N176" s="12">
        <f t="shared" si="90"/>
        <v>0</v>
      </c>
      <c r="O176" s="12">
        <f t="shared" si="91"/>
        <v>465.92</v>
      </c>
      <c r="P176" s="12">
        <f t="shared" si="92"/>
        <v>0</v>
      </c>
      <c r="Q176" s="12">
        <f t="shared" si="93"/>
        <v>0</v>
      </c>
      <c r="R176" s="12">
        <f t="shared" si="94"/>
        <v>0</v>
      </c>
    </row>
    <row r="177" spans="1:18" x14ac:dyDescent="0.25">
      <c r="A177" s="26"/>
      <c r="B177" s="25" t="s">
        <v>148</v>
      </c>
      <c r="C177" s="15">
        <v>10</v>
      </c>
      <c r="D177" s="16">
        <v>250</v>
      </c>
      <c r="E177" s="15">
        <v>2</v>
      </c>
      <c r="F177" s="11">
        <v>1</v>
      </c>
      <c r="G177" s="11">
        <f>+ROUND(2330/D177+1,0)</f>
        <v>10</v>
      </c>
      <c r="H177" s="12"/>
      <c r="I177" s="12">
        <v>2.4500000000000002</v>
      </c>
      <c r="J177" s="22"/>
      <c r="K177" s="22"/>
      <c r="L177" s="12">
        <f t="shared" si="88"/>
        <v>2.4500000000000002</v>
      </c>
      <c r="M177" s="12">
        <f t="shared" si="89"/>
        <v>0</v>
      </c>
      <c r="N177" s="12">
        <f t="shared" si="90"/>
        <v>49</v>
      </c>
      <c r="O177" s="12">
        <f t="shared" si="91"/>
        <v>0</v>
      </c>
      <c r="P177" s="12">
        <f t="shared" si="92"/>
        <v>0</v>
      </c>
      <c r="Q177" s="12">
        <f t="shared" si="93"/>
        <v>0</v>
      </c>
      <c r="R177" s="12">
        <f t="shared" si="94"/>
        <v>0</v>
      </c>
    </row>
    <row r="178" spans="1:18" x14ac:dyDescent="0.25">
      <c r="A178" s="26"/>
      <c r="B178" s="25" t="s">
        <v>149</v>
      </c>
      <c r="C178" s="15">
        <v>12</v>
      </c>
      <c r="D178" s="16">
        <v>250</v>
      </c>
      <c r="E178" s="15">
        <v>2</v>
      </c>
      <c r="F178" s="11">
        <v>1</v>
      </c>
      <c r="G178" s="11">
        <f>+ROUND(5800/D178+1,0)</f>
        <v>24</v>
      </c>
      <c r="H178" s="12"/>
      <c r="I178" s="12">
        <v>4.09</v>
      </c>
      <c r="J178" s="22"/>
      <c r="K178" s="22"/>
      <c r="L178" s="12">
        <f t="shared" si="88"/>
        <v>4.09</v>
      </c>
      <c r="M178" s="12">
        <f t="shared" si="89"/>
        <v>0</v>
      </c>
      <c r="N178" s="12">
        <f t="shared" si="90"/>
        <v>0</v>
      </c>
      <c r="O178" s="12">
        <f t="shared" si="91"/>
        <v>196.32</v>
      </c>
      <c r="P178" s="12">
        <f t="shared" si="92"/>
        <v>0</v>
      </c>
      <c r="Q178" s="12">
        <f t="shared" si="93"/>
        <v>0</v>
      </c>
      <c r="R178" s="12">
        <f t="shared" si="94"/>
        <v>0</v>
      </c>
    </row>
    <row r="179" spans="1:18" x14ac:dyDescent="0.25">
      <c r="A179" s="26"/>
      <c r="B179" s="25" t="s">
        <v>150</v>
      </c>
      <c r="C179" s="15">
        <v>10</v>
      </c>
      <c r="D179" s="16">
        <v>250</v>
      </c>
      <c r="E179" s="15">
        <v>2</v>
      </c>
      <c r="F179" s="11">
        <v>1</v>
      </c>
      <c r="G179" s="11">
        <f>+ROUND(4090/D179+1,0)</f>
        <v>17</v>
      </c>
      <c r="H179" s="12"/>
      <c r="I179" s="12">
        <v>3.8</v>
      </c>
      <c r="J179" s="22"/>
      <c r="K179" s="22"/>
      <c r="L179" s="12">
        <f t="shared" si="88"/>
        <v>3.8</v>
      </c>
      <c r="M179" s="12">
        <f t="shared" si="89"/>
        <v>0</v>
      </c>
      <c r="N179" s="12">
        <f t="shared" si="90"/>
        <v>129.19999999999999</v>
      </c>
      <c r="O179" s="12">
        <f t="shared" si="91"/>
        <v>0</v>
      </c>
      <c r="P179" s="12">
        <f t="shared" si="92"/>
        <v>0</v>
      </c>
      <c r="Q179" s="12">
        <f t="shared" si="93"/>
        <v>0</v>
      </c>
      <c r="R179" s="12">
        <f t="shared" si="94"/>
        <v>0</v>
      </c>
    </row>
    <row r="180" spans="1:18" x14ac:dyDescent="0.25">
      <c r="A180" s="26"/>
      <c r="B180" s="25" t="s">
        <v>151</v>
      </c>
      <c r="C180" s="15">
        <v>10</v>
      </c>
      <c r="D180" s="16">
        <v>250</v>
      </c>
      <c r="E180" s="15">
        <v>2</v>
      </c>
      <c r="F180" s="11">
        <v>1</v>
      </c>
      <c r="G180" s="11">
        <f>+ROUND(4090/D180+1,0)</f>
        <v>17</v>
      </c>
      <c r="H180" s="12"/>
      <c r="I180" s="12">
        <v>3.8</v>
      </c>
      <c r="J180" s="22"/>
      <c r="K180" s="22"/>
      <c r="L180" s="12">
        <f t="shared" si="88"/>
        <v>3.8</v>
      </c>
      <c r="M180" s="12">
        <f t="shared" si="89"/>
        <v>0</v>
      </c>
      <c r="N180" s="12">
        <f t="shared" si="90"/>
        <v>129.19999999999999</v>
      </c>
      <c r="O180" s="12">
        <f t="shared" si="91"/>
        <v>0</v>
      </c>
      <c r="P180" s="12">
        <f t="shared" si="92"/>
        <v>0</v>
      </c>
      <c r="Q180" s="12">
        <f t="shared" si="93"/>
        <v>0</v>
      </c>
      <c r="R180" s="12">
        <f t="shared" si="94"/>
        <v>0</v>
      </c>
    </row>
    <row r="181" spans="1:18" x14ac:dyDescent="0.25">
      <c r="A181" s="26"/>
      <c r="B181" s="25" t="s">
        <v>152</v>
      </c>
      <c r="C181" s="15">
        <v>16</v>
      </c>
      <c r="D181" s="16">
        <v>250</v>
      </c>
      <c r="E181" s="15">
        <v>2</v>
      </c>
      <c r="F181" s="11">
        <v>1</v>
      </c>
      <c r="G181" s="11">
        <f>+ROUND(6400/D181+1,0)</f>
        <v>27</v>
      </c>
      <c r="H181" s="12"/>
      <c r="I181" s="12">
        <v>5.33</v>
      </c>
      <c r="J181" s="22"/>
      <c r="K181" s="22"/>
      <c r="L181" s="12">
        <f t="shared" si="88"/>
        <v>5.33</v>
      </c>
      <c r="M181" s="12">
        <f t="shared" si="89"/>
        <v>0</v>
      </c>
      <c r="N181" s="12">
        <f t="shared" si="90"/>
        <v>0</v>
      </c>
      <c r="O181" s="12">
        <f t="shared" si="91"/>
        <v>0</v>
      </c>
      <c r="P181" s="12">
        <f t="shared" si="92"/>
        <v>287.82</v>
      </c>
      <c r="Q181" s="12">
        <f t="shared" si="93"/>
        <v>0</v>
      </c>
      <c r="R181" s="12">
        <f t="shared" si="94"/>
        <v>0</v>
      </c>
    </row>
    <row r="182" spans="1:18" x14ac:dyDescent="0.25">
      <c r="A182" s="26"/>
      <c r="B182" s="25" t="s">
        <v>153</v>
      </c>
      <c r="C182" s="15">
        <v>10</v>
      </c>
      <c r="D182" s="16">
        <v>250</v>
      </c>
      <c r="E182" s="15">
        <v>2</v>
      </c>
      <c r="F182" s="11">
        <v>1</v>
      </c>
      <c r="G182" s="11">
        <f>+ROUND(5330/D182+1,0)</f>
        <v>22</v>
      </c>
      <c r="H182" s="12"/>
      <c r="I182" s="12">
        <v>6.4</v>
      </c>
      <c r="J182" s="22"/>
      <c r="K182" s="22"/>
      <c r="L182" s="12">
        <f t="shared" si="88"/>
        <v>6.4</v>
      </c>
      <c r="M182" s="12">
        <f t="shared" si="89"/>
        <v>0</v>
      </c>
      <c r="N182" s="12">
        <f t="shared" si="90"/>
        <v>281.60000000000002</v>
      </c>
      <c r="O182" s="12">
        <f t="shared" si="91"/>
        <v>0</v>
      </c>
      <c r="P182" s="12">
        <f t="shared" si="92"/>
        <v>0</v>
      </c>
      <c r="Q182" s="12">
        <f t="shared" si="93"/>
        <v>0</v>
      </c>
      <c r="R182" s="12">
        <f t="shared" si="94"/>
        <v>0</v>
      </c>
    </row>
    <row r="183" spans="1:18" x14ac:dyDescent="0.25">
      <c r="A183" s="26"/>
      <c r="B183" s="25" t="s">
        <v>154</v>
      </c>
      <c r="C183" s="15">
        <v>20</v>
      </c>
      <c r="D183" s="16">
        <v>250</v>
      </c>
      <c r="E183" s="15">
        <v>1</v>
      </c>
      <c r="F183" s="11">
        <v>1</v>
      </c>
      <c r="G183" s="11">
        <f>+ROUND(5800/D183+1,0)</f>
        <v>24</v>
      </c>
      <c r="H183" s="12"/>
      <c r="I183" s="12">
        <v>5.7</v>
      </c>
      <c r="J183" s="22"/>
      <c r="K183" s="22"/>
      <c r="L183" s="12">
        <f t="shared" si="88"/>
        <v>5.7</v>
      </c>
      <c r="M183" s="12">
        <f t="shared" si="89"/>
        <v>0</v>
      </c>
      <c r="N183" s="12">
        <f t="shared" si="90"/>
        <v>0</v>
      </c>
      <c r="O183" s="12">
        <f t="shared" si="91"/>
        <v>0</v>
      </c>
      <c r="P183" s="12">
        <f t="shared" si="92"/>
        <v>0</v>
      </c>
      <c r="Q183" s="12">
        <f t="shared" si="93"/>
        <v>136.80000000000001</v>
      </c>
      <c r="R183" s="12">
        <f t="shared" si="94"/>
        <v>0</v>
      </c>
    </row>
    <row r="184" spans="1:18" x14ac:dyDescent="0.25">
      <c r="A184" s="26"/>
      <c r="B184" s="25" t="s">
        <v>155</v>
      </c>
      <c r="C184" s="15">
        <v>10</v>
      </c>
      <c r="D184" s="16">
        <v>250</v>
      </c>
      <c r="E184" s="15">
        <v>1</v>
      </c>
      <c r="F184" s="11">
        <v>1</v>
      </c>
      <c r="G184" s="11">
        <f>+ROUND(5700/D184+1,0)</f>
        <v>24</v>
      </c>
      <c r="H184" s="12"/>
      <c r="I184" s="12">
        <v>3.8</v>
      </c>
      <c r="J184" s="22"/>
      <c r="K184" s="22"/>
      <c r="L184" s="12">
        <f t="shared" si="88"/>
        <v>3.8</v>
      </c>
      <c r="M184" s="12">
        <f t="shared" si="89"/>
        <v>0</v>
      </c>
      <c r="N184" s="12">
        <f t="shared" si="90"/>
        <v>91.2</v>
      </c>
      <c r="O184" s="12">
        <f t="shared" si="91"/>
        <v>0</v>
      </c>
      <c r="P184" s="12">
        <f t="shared" si="92"/>
        <v>0</v>
      </c>
      <c r="Q184" s="12">
        <f t="shared" si="93"/>
        <v>0</v>
      </c>
      <c r="R184" s="12">
        <f t="shared" si="94"/>
        <v>0</v>
      </c>
    </row>
    <row r="185" spans="1:18" x14ac:dyDescent="0.25">
      <c r="A185" s="26"/>
      <c r="B185" s="25" t="s">
        <v>156</v>
      </c>
      <c r="C185" s="15">
        <v>20</v>
      </c>
      <c r="D185" s="16">
        <v>250</v>
      </c>
      <c r="E185" s="15">
        <v>1</v>
      </c>
      <c r="F185" s="11">
        <v>1</v>
      </c>
      <c r="G185" s="11">
        <f>+ROUND(5800/D185+1,0)</f>
        <v>24</v>
      </c>
      <c r="H185" s="12"/>
      <c r="I185" s="12">
        <v>5.7</v>
      </c>
      <c r="J185" s="22"/>
      <c r="K185" s="22"/>
      <c r="L185" s="12">
        <f t="shared" si="88"/>
        <v>5.7</v>
      </c>
      <c r="M185" s="12">
        <f t="shared" si="89"/>
        <v>0</v>
      </c>
      <c r="N185" s="12">
        <f t="shared" si="90"/>
        <v>0</v>
      </c>
      <c r="O185" s="12">
        <f t="shared" si="91"/>
        <v>0</v>
      </c>
      <c r="P185" s="12">
        <f t="shared" si="92"/>
        <v>0</v>
      </c>
      <c r="Q185" s="12">
        <f t="shared" si="93"/>
        <v>136.80000000000001</v>
      </c>
      <c r="R185" s="12">
        <f t="shared" si="94"/>
        <v>0</v>
      </c>
    </row>
    <row r="186" spans="1:18" x14ac:dyDescent="0.25">
      <c r="A186" s="26"/>
      <c r="B186" s="25" t="s">
        <v>157</v>
      </c>
      <c r="C186" s="15">
        <v>12</v>
      </c>
      <c r="D186" s="16">
        <v>250</v>
      </c>
      <c r="E186" s="15">
        <v>1</v>
      </c>
      <c r="F186" s="11">
        <v>1</v>
      </c>
      <c r="G186" s="11">
        <f>+ROUND(5700/D186+1,0)</f>
        <v>24</v>
      </c>
      <c r="H186" s="12"/>
      <c r="I186" s="12">
        <v>3.8</v>
      </c>
      <c r="J186" s="22"/>
      <c r="K186" s="22"/>
      <c r="L186" s="12">
        <f t="shared" si="88"/>
        <v>3.8</v>
      </c>
      <c r="M186" s="12">
        <f t="shared" ref="M186" si="95">+ROUND(IF(C186=8,PRODUCT(E186,F186,G186,L186),0),2)</f>
        <v>0</v>
      </c>
      <c r="N186" s="12">
        <f t="shared" ref="N186" si="96">+ROUND(IF(C186=10,PRODUCT(E186,F186,G186,L186),0),2)</f>
        <v>0</v>
      </c>
      <c r="O186" s="12">
        <f t="shared" ref="O186" si="97">+ROUND(IF(C186=12,PRODUCT(E186,F186,G186,L186),0),2)</f>
        <v>91.2</v>
      </c>
      <c r="P186" s="12">
        <f t="shared" ref="P186" si="98">+ROUND(IF(C186=16,PRODUCT(E186,F186,G186,L186),0),2)</f>
        <v>0</v>
      </c>
      <c r="Q186" s="12">
        <f t="shared" ref="Q186" si="99">+ROUND(IF(C186=20,PRODUCT(E186,F186,G186,L186),0),2)</f>
        <v>0</v>
      </c>
      <c r="R186" s="12">
        <f t="shared" ref="R186" si="100">+ROUND(IF(C186=25,PRODUCT(E186,F186,G186,L186),0),2)</f>
        <v>0</v>
      </c>
    </row>
    <row r="187" spans="1:18" x14ac:dyDescent="0.25">
      <c r="A187" s="26"/>
      <c r="B187" s="25" t="s">
        <v>158</v>
      </c>
      <c r="C187" s="15">
        <v>16</v>
      </c>
      <c r="D187" s="16">
        <v>250</v>
      </c>
      <c r="E187" s="15">
        <v>1</v>
      </c>
      <c r="F187" s="11">
        <v>1</v>
      </c>
      <c r="G187" s="11">
        <f>+ROUND(2250/D187+1,0)</f>
        <v>10</v>
      </c>
      <c r="H187" s="12"/>
      <c r="I187" s="12">
        <v>5.7</v>
      </c>
      <c r="J187" s="22"/>
      <c r="K187" s="22"/>
      <c r="L187" s="12">
        <f t="shared" si="88"/>
        <v>5.7</v>
      </c>
      <c r="M187" s="12">
        <f t="shared" si="33"/>
        <v>0</v>
      </c>
      <c r="N187" s="12">
        <f t="shared" si="34"/>
        <v>0</v>
      </c>
      <c r="O187" s="12">
        <f t="shared" si="35"/>
        <v>0</v>
      </c>
      <c r="P187" s="12">
        <f t="shared" si="36"/>
        <v>57</v>
      </c>
      <c r="Q187" s="12">
        <f t="shared" si="37"/>
        <v>0</v>
      </c>
      <c r="R187" s="12">
        <f t="shared" si="38"/>
        <v>0</v>
      </c>
    </row>
    <row r="188" spans="1:18" x14ac:dyDescent="0.25">
      <c r="A188" s="26"/>
      <c r="B188" s="25"/>
      <c r="C188" s="15"/>
      <c r="D188" s="16"/>
      <c r="E188" s="15"/>
      <c r="F188" s="11"/>
      <c r="G188" s="11"/>
      <c r="H188" s="12"/>
      <c r="I188" s="12"/>
      <c r="J188" s="22"/>
      <c r="K188" s="22"/>
      <c r="L188" s="12">
        <f t="shared" si="88"/>
        <v>0</v>
      </c>
      <c r="M188" s="12">
        <f t="shared" ref="M188" si="101">+ROUND(IF(C188=8,PRODUCT(E188,F188,G188,L188),0),2)</f>
        <v>0</v>
      </c>
      <c r="N188" s="12">
        <f t="shared" ref="N188" si="102">+ROUND(IF(C188=10,PRODUCT(E188,F188,G188,L188),0),2)</f>
        <v>0</v>
      </c>
      <c r="O188" s="12">
        <f t="shared" ref="O188" si="103">+ROUND(IF(C188=12,PRODUCT(E188,F188,G188,L188),0),2)</f>
        <v>0</v>
      </c>
      <c r="P188" s="12">
        <f t="shared" ref="P188" si="104">+ROUND(IF(C188=16,PRODUCT(E188,F188,G188,L188),0),2)</f>
        <v>0</v>
      </c>
      <c r="Q188" s="12">
        <f t="shared" ref="Q188" si="105">+ROUND(IF(C188=20,PRODUCT(E188,F188,G188,L188),0),2)</f>
        <v>0</v>
      </c>
      <c r="R188" s="12">
        <f t="shared" ref="R188" si="106">+ROUND(IF(C188=25,PRODUCT(E188,F188,G188,L188),0),2)</f>
        <v>0</v>
      </c>
    </row>
    <row r="189" spans="1:18" x14ac:dyDescent="0.25">
      <c r="A189" s="26"/>
      <c r="B189" s="25"/>
      <c r="C189" s="15"/>
      <c r="D189" s="16"/>
      <c r="E189" s="15"/>
      <c r="F189" s="11"/>
      <c r="G189" s="11"/>
      <c r="H189" s="12"/>
      <c r="I189" s="12"/>
      <c r="J189" s="22"/>
      <c r="K189" s="22"/>
      <c r="L189" s="12">
        <f t="shared" ref="L189:L191" si="107">SUM(H189:J189)+K189</f>
        <v>0</v>
      </c>
      <c r="M189" s="12">
        <f t="shared" ref="M189:M191" si="108">+ROUND(IF(C189=8,PRODUCT(E189,F189,G189,L189),0),2)</f>
        <v>0</v>
      </c>
      <c r="N189" s="12">
        <f t="shared" ref="N189:N191" si="109">+ROUND(IF(C189=10,PRODUCT(E189,F189,G189,L189),0),2)</f>
        <v>0</v>
      </c>
      <c r="O189" s="12">
        <f t="shared" ref="O189:O191" si="110">+ROUND(IF(C189=12,PRODUCT(E189,F189,G189,L189),0),2)</f>
        <v>0</v>
      </c>
      <c r="P189" s="12">
        <f t="shared" ref="P189:P191" si="111">+ROUND(IF(C189=16,PRODUCT(E189,F189,G189,L189),0),2)</f>
        <v>0</v>
      </c>
      <c r="Q189" s="12">
        <f t="shared" ref="Q189:Q191" si="112">+ROUND(IF(C189=20,PRODUCT(E189,F189,G189,L189),0),2)</f>
        <v>0</v>
      </c>
      <c r="R189" s="12">
        <f t="shared" ref="R189:R191" si="113">+ROUND(IF(C189=25,PRODUCT(E189,F189,G189,L189),0),2)</f>
        <v>0</v>
      </c>
    </row>
    <row r="190" spans="1:18" x14ac:dyDescent="0.25">
      <c r="A190" s="26"/>
      <c r="B190" s="25"/>
      <c r="C190" s="15"/>
      <c r="D190" s="16"/>
      <c r="E190" s="15"/>
      <c r="F190" s="11"/>
      <c r="G190" s="11"/>
      <c r="H190" s="12"/>
      <c r="I190" s="12"/>
      <c r="J190" s="22"/>
      <c r="K190" s="22"/>
      <c r="L190" s="12">
        <f t="shared" si="107"/>
        <v>0</v>
      </c>
      <c r="M190" s="12">
        <f t="shared" si="108"/>
        <v>0</v>
      </c>
      <c r="N190" s="12">
        <f t="shared" si="109"/>
        <v>0</v>
      </c>
      <c r="O190" s="12">
        <f t="shared" si="110"/>
        <v>0</v>
      </c>
      <c r="P190" s="12">
        <f t="shared" si="111"/>
        <v>0</v>
      </c>
      <c r="Q190" s="12">
        <f t="shared" si="112"/>
        <v>0</v>
      </c>
      <c r="R190" s="12">
        <f t="shared" si="113"/>
        <v>0</v>
      </c>
    </row>
    <row r="191" spans="1:18" x14ac:dyDescent="0.25">
      <c r="A191" s="26"/>
      <c r="B191" s="25"/>
      <c r="C191" s="30"/>
      <c r="D191" s="28"/>
      <c r="E191" s="31"/>
      <c r="F191" s="29"/>
      <c r="G191" s="29"/>
      <c r="H191" s="22"/>
      <c r="I191" s="23"/>
      <c r="J191" s="22"/>
      <c r="K191" s="22"/>
      <c r="L191" s="12">
        <f t="shared" si="107"/>
        <v>0</v>
      </c>
      <c r="M191" s="12">
        <f t="shared" si="108"/>
        <v>0</v>
      </c>
      <c r="N191" s="12">
        <f t="shared" si="109"/>
        <v>0</v>
      </c>
      <c r="O191" s="12">
        <f t="shared" si="110"/>
        <v>0</v>
      </c>
      <c r="P191" s="12">
        <f t="shared" si="111"/>
        <v>0</v>
      </c>
      <c r="Q191" s="12">
        <f t="shared" si="112"/>
        <v>0</v>
      </c>
      <c r="R191" s="12">
        <f t="shared" si="113"/>
        <v>0</v>
      </c>
    </row>
    <row r="192" spans="1:18" x14ac:dyDescent="0.25">
      <c r="A192" s="32"/>
      <c r="B192" s="24" t="s">
        <v>19</v>
      </c>
      <c r="C192" s="33"/>
      <c r="D192" s="34"/>
      <c r="E192" s="33"/>
      <c r="F192" s="35"/>
      <c r="G192" s="35"/>
      <c r="H192" s="36"/>
      <c r="I192" s="36"/>
      <c r="J192" s="36"/>
      <c r="K192" s="36"/>
      <c r="L192" s="36"/>
      <c r="M192" s="37">
        <f t="shared" ref="M192:R192" si="114">SUM(M4:M191)</f>
        <v>0</v>
      </c>
      <c r="N192" s="37">
        <f t="shared" si="114"/>
        <v>1269.5000000000002</v>
      </c>
      <c r="O192" s="37">
        <f t="shared" si="114"/>
        <v>2464.85</v>
      </c>
      <c r="P192" s="37">
        <f t="shared" si="114"/>
        <v>35299.520000000011</v>
      </c>
      <c r="Q192" s="37">
        <f t="shared" si="114"/>
        <v>7040.8900000000021</v>
      </c>
      <c r="R192" s="37">
        <f t="shared" si="114"/>
        <v>4367.4199999999992</v>
      </c>
    </row>
    <row r="193" spans="1:18" x14ac:dyDescent="0.25">
      <c r="A193" s="26"/>
      <c r="B193" s="17"/>
      <c r="C193" s="20"/>
      <c r="D193" s="21"/>
      <c r="E193" s="20"/>
      <c r="F193" s="11"/>
      <c r="G193" s="11"/>
      <c r="H193" s="12"/>
      <c r="I193" s="12"/>
      <c r="J193" s="12"/>
      <c r="K193" s="12"/>
      <c r="L193" s="12"/>
      <c r="M193" s="12">
        <f>+M192*0.395</f>
        <v>0</v>
      </c>
      <c r="N193" s="12">
        <f>+N192*0.617</f>
        <v>783.28150000000016</v>
      </c>
      <c r="O193" s="12">
        <f>+O192*0.889</f>
        <v>2191.2516500000002</v>
      </c>
      <c r="P193" s="12">
        <f>+P192*1.58</f>
        <v>55773.241600000023</v>
      </c>
      <c r="Q193" s="12">
        <f>+Q192*2.46</f>
        <v>17320.589400000004</v>
      </c>
      <c r="R193" s="13">
        <f>+R192*3.85</f>
        <v>16814.566999999995</v>
      </c>
    </row>
    <row r="194" spans="1:18" x14ac:dyDescent="0.25">
      <c r="A194" s="7"/>
      <c r="B194" s="8" t="s">
        <v>20</v>
      </c>
      <c r="C194" s="15"/>
      <c r="D194" s="16"/>
      <c r="E194" s="15"/>
      <c r="F194" s="11"/>
      <c r="G194" s="11"/>
      <c r="H194" s="12"/>
      <c r="I194" s="12"/>
      <c r="J194" s="12"/>
      <c r="K194" s="12"/>
      <c r="L194" s="12"/>
      <c r="M194" s="38">
        <f>+SUM(M193:R193)</f>
        <v>92882.931150000033</v>
      </c>
      <c r="N194" s="38"/>
      <c r="O194" s="12"/>
      <c r="P194" s="12"/>
      <c r="Q194" s="12"/>
      <c r="R194" s="13"/>
    </row>
    <row r="195" spans="1:18" x14ac:dyDescent="0.25">
      <c r="A195" s="7"/>
      <c r="B195" s="13"/>
      <c r="C195" s="15"/>
      <c r="D195" s="16"/>
      <c r="E195" s="15"/>
      <c r="F195" s="11"/>
      <c r="G195" s="11"/>
      <c r="H195" s="7"/>
      <c r="I195" s="7"/>
      <c r="J195" s="7"/>
      <c r="K195" s="7"/>
      <c r="L195" s="7"/>
      <c r="M195" s="22"/>
      <c r="N195" s="22"/>
      <c r="O195" s="22"/>
      <c r="P195" s="22"/>
      <c r="Q195" s="22"/>
      <c r="R195" s="22"/>
    </row>
    <row r="196" spans="1:18" x14ac:dyDescent="0.25">
      <c r="A196" s="7"/>
      <c r="B196" s="13"/>
      <c r="C196" s="15"/>
      <c r="D196" s="16"/>
      <c r="E196" s="15"/>
      <c r="F196" s="11"/>
      <c r="G196" s="11"/>
      <c r="H196" s="7"/>
      <c r="I196" s="7"/>
      <c r="J196" s="7"/>
      <c r="K196" s="7"/>
      <c r="L196" s="7"/>
      <c r="M196" s="22"/>
      <c r="N196" s="22"/>
      <c r="O196" s="22"/>
      <c r="P196" s="22"/>
      <c r="Q196" s="22"/>
      <c r="R196" s="22"/>
    </row>
    <row r="197" spans="1:18" x14ac:dyDescent="0.25">
      <c r="A197" s="7"/>
      <c r="B197" s="22"/>
      <c r="C197" s="29"/>
      <c r="D197" s="39"/>
      <c r="E197" s="29"/>
      <c r="F197" s="11"/>
      <c r="G197" s="11"/>
      <c r="H197" s="7"/>
      <c r="I197" s="7"/>
      <c r="J197" s="7"/>
      <c r="K197" s="7"/>
      <c r="L197" s="7"/>
      <c r="M197" s="38"/>
      <c r="N197" s="7"/>
      <c r="O197" s="7"/>
      <c r="P197" s="7"/>
      <c r="Q197" s="7"/>
      <c r="R197" s="22"/>
    </row>
    <row r="198" spans="1:18" x14ac:dyDescent="0.25">
      <c r="A198" s="40"/>
      <c r="F198" s="43"/>
      <c r="G198" s="43"/>
      <c r="H198" s="40"/>
      <c r="I198" s="40"/>
      <c r="J198" s="40"/>
      <c r="K198" s="40"/>
      <c r="L198" s="40"/>
      <c r="M198" s="44"/>
      <c r="N198" s="40"/>
      <c r="O198" s="40"/>
      <c r="P198" s="40"/>
      <c r="Q198" s="40"/>
    </row>
    <row r="199" spans="1:18" x14ac:dyDescent="0.25">
      <c r="C199" s="3"/>
      <c r="D199" s="3"/>
      <c r="E199" s="3"/>
      <c r="F199" s="3"/>
      <c r="G199" s="3"/>
      <c r="M199" s="27"/>
      <c r="N199" s="27"/>
      <c r="O199" s="27"/>
      <c r="P199" s="27"/>
      <c r="Q199" s="27"/>
      <c r="R199" s="27"/>
    </row>
    <row r="200" spans="1:18" x14ac:dyDescent="0.25">
      <c r="C200" s="3"/>
      <c r="D200" s="3"/>
      <c r="E200" s="3"/>
      <c r="F200" s="3"/>
      <c r="G200" s="3"/>
      <c r="M200" s="27"/>
    </row>
  </sheetData>
  <mergeCells count="11">
    <mergeCell ref="G2:G3"/>
    <mergeCell ref="H2:J2"/>
    <mergeCell ref="K2:K3"/>
    <mergeCell ref="L2:L3"/>
    <mergeCell ref="M2:R2"/>
    <mergeCell ref="F2:F3"/>
    <mergeCell ref="A2:A3"/>
    <mergeCell ref="B2:B3"/>
    <mergeCell ref="C2:C3"/>
    <mergeCell ref="D2:D3"/>
    <mergeCell ref="E2:E3"/>
  </mergeCells>
  <conditionalFormatting sqref="M6:R191">
    <cfRule type="cellIs" dxfId="1251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1119"/>
  <sheetViews>
    <sheetView zoomScale="85" zoomScaleNormal="85" workbookViewId="0">
      <pane ySplit="3" topLeftCell="A320" activePane="bottomLeft" state="frozen"/>
      <selection pane="bottomLeft" activeCell="M549" sqref="M549:R549"/>
    </sheetView>
  </sheetViews>
  <sheetFormatPr defaultRowHeight="15" x14ac:dyDescent="0.25"/>
  <cols>
    <col min="1" max="1" width="9.140625" style="3"/>
    <col min="2" max="2" width="36.28515625" style="3" customWidth="1"/>
    <col min="3" max="3" width="6.85546875" style="41" customWidth="1"/>
    <col min="4" max="4" width="6.85546875" style="42" customWidth="1"/>
    <col min="5" max="5" width="7.7109375" style="41" customWidth="1"/>
    <col min="6" max="6" width="9.140625" style="41"/>
    <col min="7" max="7" width="8.7109375" style="41" customWidth="1"/>
    <col min="8" max="12" width="8.7109375" style="3" customWidth="1"/>
    <col min="13" max="13" width="9.5703125" style="3" bestFit="1" customWidth="1"/>
    <col min="14" max="16384" width="9.140625" style="3"/>
  </cols>
  <sheetData>
    <row r="1" spans="1:18" ht="2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133" t="s">
        <v>1</v>
      </c>
      <c r="B2" s="133" t="s">
        <v>283</v>
      </c>
      <c r="C2" s="131" t="s">
        <v>3</v>
      </c>
      <c r="D2" s="131" t="s">
        <v>4</v>
      </c>
      <c r="E2" s="131" t="s">
        <v>5</v>
      </c>
      <c r="F2" s="131" t="s">
        <v>5</v>
      </c>
      <c r="G2" s="131" t="s">
        <v>6</v>
      </c>
      <c r="H2" s="135" t="s">
        <v>7</v>
      </c>
      <c r="I2" s="135"/>
      <c r="J2" s="135"/>
      <c r="K2" s="133" t="s">
        <v>21</v>
      </c>
      <c r="L2" s="133" t="s">
        <v>8</v>
      </c>
      <c r="M2" s="136" t="s">
        <v>9</v>
      </c>
      <c r="N2" s="136"/>
      <c r="O2" s="136"/>
      <c r="P2" s="136"/>
      <c r="Q2" s="136"/>
      <c r="R2" s="136"/>
    </row>
    <row r="3" spans="1:18" x14ac:dyDescent="0.25">
      <c r="A3" s="134"/>
      <c r="B3" s="134"/>
      <c r="C3" s="132"/>
      <c r="D3" s="132"/>
      <c r="E3" s="132"/>
      <c r="F3" s="132"/>
      <c r="G3" s="132"/>
      <c r="H3" s="4" t="s">
        <v>10</v>
      </c>
      <c r="I3" s="4" t="s">
        <v>11</v>
      </c>
      <c r="J3" s="4" t="s">
        <v>12</v>
      </c>
      <c r="K3" s="134"/>
      <c r="L3" s="134"/>
      <c r="M3" s="46" t="s">
        <v>13</v>
      </c>
      <c r="N3" s="46" t="s">
        <v>14</v>
      </c>
      <c r="O3" s="46" t="s">
        <v>15</v>
      </c>
      <c r="P3" s="46" t="s">
        <v>16</v>
      </c>
      <c r="Q3" s="46" t="s">
        <v>17</v>
      </c>
      <c r="R3" s="6" t="s">
        <v>18</v>
      </c>
    </row>
    <row r="4" spans="1:18" x14ac:dyDescent="0.25">
      <c r="A4" s="7"/>
      <c r="B4" s="8"/>
      <c r="C4" s="9"/>
      <c r="D4" s="10"/>
      <c r="E4" s="9"/>
      <c r="F4" s="11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3"/>
    </row>
    <row r="5" spans="1:18" x14ac:dyDescent="0.25">
      <c r="A5" s="26"/>
      <c r="B5" s="45" t="s">
        <v>159</v>
      </c>
      <c r="C5" s="15"/>
      <c r="D5" s="16"/>
      <c r="E5" s="15"/>
      <c r="F5" s="11"/>
      <c r="G5" s="11"/>
      <c r="H5" s="12"/>
      <c r="I5" s="12"/>
      <c r="J5" s="22"/>
      <c r="K5" s="47"/>
      <c r="L5" s="12"/>
      <c r="M5" s="12"/>
      <c r="N5" s="12"/>
      <c r="O5" s="12"/>
      <c r="P5" s="12"/>
      <c r="Q5" s="12"/>
      <c r="R5" s="12"/>
    </row>
    <row r="6" spans="1:18" x14ac:dyDescent="0.25">
      <c r="A6" s="26"/>
      <c r="B6" s="45" t="s">
        <v>162</v>
      </c>
      <c r="C6" s="15">
        <v>16</v>
      </c>
      <c r="D6" s="16"/>
      <c r="E6" s="15">
        <v>32</v>
      </c>
      <c r="F6" s="11">
        <v>1</v>
      </c>
      <c r="G6" s="11">
        <v>8</v>
      </c>
      <c r="H6" s="12">
        <v>0.3</v>
      </c>
      <c r="I6" s="12">
        <f>100.3-97.06-0.075</f>
        <v>3.1649999999999947</v>
      </c>
      <c r="J6" s="22"/>
      <c r="K6" s="22">
        <f>40*C6/1000</f>
        <v>0.64</v>
      </c>
      <c r="L6" s="12">
        <f>SUM(H6:J6)+K6</f>
        <v>4.1049999999999942</v>
      </c>
      <c r="M6" s="12">
        <f t="shared" ref="M6:M55" si="0">+ROUND(IF(C6=8,PRODUCT(E6,F6,G6,L6),0),2)</f>
        <v>0</v>
      </c>
      <c r="N6" s="12">
        <f t="shared" ref="N6:N55" si="1">+ROUND(IF(C6=10,PRODUCT(E6,F6,G6,L6),0),2)</f>
        <v>0</v>
      </c>
      <c r="O6" s="12">
        <f t="shared" ref="O6:O55" si="2">+ROUND(IF(C6=12,PRODUCT(E6,F6,G6,L6),0),2)</f>
        <v>0</v>
      </c>
      <c r="P6" s="12">
        <f t="shared" ref="P6:P55" si="3">+ROUND(IF(C6=16,PRODUCT(E6,F6,G6,L6),0),2)</f>
        <v>1050.8800000000001</v>
      </c>
      <c r="Q6" s="12">
        <f t="shared" ref="Q6:Q55" si="4">+ROUND(IF(C6=20,PRODUCT(E6,F6,G6,L6),0),2)</f>
        <v>0</v>
      </c>
      <c r="R6" s="12">
        <f t="shared" ref="R6:R55" si="5">+ROUND(IF(C6=25,PRODUCT(E6,F6,G6,L6),0),2)</f>
        <v>0</v>
      </c>
    </row>
    <row r="7" spans="1:18" x14ac:dyDescent="0.25">
      <c r="A7" s="26"/>
      <c r="B7" s="25"/>
      <c r="C7" s="15">
        <v>12</v>
      </c>
      <c r="D7" s="16"/>
      <c r="E7" s="15">
        <f>+E6</f>
        <v>32</v>
      </c>
      <c r="F7" s="11">
        <v>1</v>
      </c>
      <c r="G7" s="11">
        <v>6</v>
      </c>
      <c r="H7" s="12">
        <v>0.3</v>
      </c>
      <c r="I7" s="12">
        <f>100.3-97.06-0.075</f>
        <v>3.1649999999999947</v>
      </c>
      <c r="J7" s="22"/>
      <c r="K7" s="22">
        <f>40*C7/1000</f>
        <v>0.48</v>
      </c>
      <c r="L7" s="12">
        <f t="shared" ref="L7:L33" si="6">SUM(H7:J7)+K7</f>
        <v>3.9449999999999945</v>
      </c>
      <c r="M7" s="12">
        <f t="shared" si="0"/>
        <v>0</v>
      </c>
      <c r="N7" s="12">
        <f t="shared" si="1"/>
        <v>0</v>
      </c>
      <c r="O7" s="12">
        <f t="shared" si="2"/>
        <v>757.44</v>
      </c>
      <c r="P7" s="12">
        <f t="shared" si="3"/>
        <v>0</v>
      </c>
      <c r="Q7" s="12">
        <f t="shared" si="4"/>
        <v>0</v>
      </c>
      <c r="R7" s="12">
        <f t="shared" si="5"/>
        <v>0</v>
      </c>
    </row>
    <row r="8" spans="1:18" x14ac:dyDescent="0.25">
      <c r="A8" s="26"/>
      <c r="B8" s="25" t="s">
        <v>160</v>
      </c>
      <c r="C8" s="15">
        <v>10</v>
      </c>
      <c r="D8" s="16">
        <v>75</v>
      </c>
      <c r="E8" s="15">
        <f>+E7</f>
        <v>32</v>
      </c>
      <c r="F8" s="11">
        <v>2</v>
      </c>
      <c r="G8" s="11">
        <f>+ROUND(600/D8,0)</f>
        <v>8</v>
      </c>
      <c r="H8" s="12"/>
      <c r="I8" s="12">
        <f>2*(0.2+0.5)+24*0.01</f>
        <v>1.64</v>
      </c>
      <c r="J8" s="22"/>
      <c r="K8" s="22"/>
      <c r="L8" s="12">
        <f t="shared" si="6"/>
        <v>1.64</v>
      </c>
      <c r="M8" s="12">
        <f t="shared" si="0"/>
        <v>0</v>
      </c>
      <c r="N8" s="12">
        <f t="shared" si="1"/>
        <v>839.68</v>
      </c>
      <c r="O8" s="12">
        <f t="shared" si="2"/>
        <v>0</v>
      </c>
      <c r="P8" s="12">
        <f t="shared" si="3"/>
        <v>0</v>
      </c>
      <c r="Q8" s="12">
        <f t="shared" si="4"/>
        <v>0</v>
      </c>
      <c r="R8" s="12">
        <f t="shared" si="5"/>
        <v>0</v>
      </c>
    </row>
    <row r="9" spans="1:18" x14ac:dyDescent="0.25">
      <c r="A9" s="26"/>
      <c r="B9" s="25"/>
      <c r="C9" s="15">
        <v>10</v>
      </c>
      <c r="D9" s="16">
        <v>75</v>
      </c>
      <c r="E9" s="15">
        <f t="shared" ref="E9:E13" si="7">+E8</f>
        <v>32</v>
      </c>
      <c r="F9" s="11">
        <v>2</v>
      </c>
      <c r="G9" s="11">
        <f t="shared" ref="G9:G10" si="8">+ROUND(600/D9,0)</f>
        <v>8</v>
      </c>
      <c r="H9" s="12"/>
      <c r="I9" s="12">
        <f>2*(0.2+0.115)+24*0.01</f>
        <v>0.87</v>
      </c>
      <c r="J9" s="22"/>
      <c r="K9" s="22"/>
      <c r="L9" s="12">
        <f t="shared" si="6"/>
        <v>0.87</v>
      </c>
      <c r="M9" s="12">
        <f t="shared" si="0"/>
        <v>0</v>
      </c>
      <c r="N9" s="12">
        <f t="shared" si="1"/>
        <v>445.44</v>
      </c>
      <c r="O9" s="12">
        <f t="shared" si="2"/>
        <v>0</v>
      </c>
      <c r="P9" s="12">
        <f t="shared" si="3"/>
        <v>0</v>
      </c>
      <c r="Q9" s="12">
        <f t="shared" si="4"/>
        <v>0</v>
      </c>
      <c r="R9" s="12">
        <f t="shared" si="5"/>
        <v>0</v>
      </c>
    </row>
    <row r="10" spans="1:18" x14ac:dyDescent="0.25">
      <c r="A10" s="26"/>
      <c r="B10" s="25"/>
      <c r="C10" s="15">
        <v>10</v>
      </c>
      <c r="D10" s="16">
        <v>75</v>
      </c>
      <c r="E10" s="15">
        <f t="shared" si="7"/>
        <v>32</v>
      </c>
      <c r="F10" s="11">
        <f>2*2</f>
        <v>4</v>
      </c>
      <c r="G10" s="11">
        <f t="shared" si="8"/>
        <v>8</v>
      </c>
      <c r="H10" s="12"/>
      <c r="I10" s="12">
        <f>+(0.168+0.168+0.2)+20*0.01</f>
        <v>0.73599999999999999</v>
      </c>
      <c r="J10" s="22"/>
      <c r="K10" s="22"/>
      <c r="L10" s="12">
        <f t="shared" si="6"/>
        <v>0.73599999999999999</v>
      </c>
      <c r="M10" s="12">
        <f t="shared" si="0"/>
        <v>0</v>
      </c>
      <c r="N10" s="12">
        <f t="shared" si="1"/>
        <v>753.66</v>
      </c>
      <c r="O10" s="12">
        <f t="shared" si="2"/>
        <v>0</v>
      </c>
      <c r="P10" s="12">
        <f t="shared" si="3"/>
        <v>0</v>
      </c>
      <c r="Q10" s="12">
        <f t="shared" si="4"/>
        <v>0</v>
      </c>
      <c r="R10" s="12">
        <f t="shared" si="5"/>
        <v>0</v>
      </c>
    </row>
    <row r="11" spans="1:18" x14ac:dyDescent="0.25">
      <c r="A11" s="26"/>
      <c r="B11" s="25" t="s">
        <v>161</v>
      </c>
      <c r="C11" s="15">
        <v>8</v>
      </c>
      <c r="D11" s="16">
        <v>150</v>
      </c>
      <c r="E11" s="15">
        <f t="shared" si="7"/>
        <v>32</v>
      </c>
      <c r="F11" s="11">
        <v>1</v>
      </c>
      <c r="G11" s="11">
        <f>+ROUND(450/D11+1,0)</f>
        <v>4</v>
      </c>
      <c r="H11" s="12"/>
      <c r="I11" s="12">
        <f>2*(0.204+0.504)+24*0.008</f>
        <v>1.6079999999999999</v>
      </c>
      <c r="J11" s="22"/>
      <c r="K11" s="22"/>
      <c r="L11" s="12">
        <f t="shared" si="6"/>
        <v>1.6079999999999999</v>
      </c>
      <c r="M11" s="12">
        <f t="shared" si="0"/>
        <v>205.82</v>
      </c>
      <c r="N11" s="12">
        <f t="shared" si="1"/>
        <v>0</v>
      </c>
      <c r="O11" s="12">
        <f t="shared" si="2"/>
        <v>0</v>
      </c>
      <c r="P11" s="12">
        <f t="shared" si="3"/>
        <v>0</v>
      </c>
      <c r="Q11" s="12">
        <f t="shared" si="4"/>
        <v>0</v>
      </c>
      <c r="R11" s="12">
        <f t="shared" si="5"/>
        <v>0</v>
      </c>
    </row>
    <row r="12" spans="1:18" x14ac:dyDescent="0.25">
      <c r="A12" s="26"/>
      <c r="B12" s="25"/>
      <c r="C12" s="15">
        <v>8</v>
      </c>
      <c r="D12" s="16">
        <v>150</v>
      </c>
      <c r="E12" s="15">
        <f t="shared" si="7"/>
        <v>32</v>
      </c>
      <c r="F12" s="11">
        <v>1</v>
      </c>
      <c r="G12" s="11">
        <f t="shared" ref="G12:G13" si="9">+ROUND(450/D12+1,0)</f>
        <v>4</v>
      </c>
      <c r="H12" s="12"/>
      <c r="I12" s="12">
        <f>2*(0.204+0.115)+24*0.008</f>
        <v>0.83000000000000007</v>
      </c>
      <c r="J12" s="22"/>
      <c r="K12" s="22"/>
      <c r="L12" s="12">
        <f t="shared" si="6"/>
        <v>0.83000000000000007</v>
      </c>
      <c r="M12" s="12">
        <f t="shared" si="0"/>
        <v>106.24</v>
      </c>
      <c r="N12" s="12">
        <f t="shared" si="1"/>
        <v>0</v>
      </c>
      <c r="O12" s="12">
        <f t="shared" si="2"/>
        <v>0</v>
      </c>
      <c r="P12" s="12">
        <f t="shared" si="3"/>
        <v>0</v>
      </c>
      <c r="Q12" s="12">
        <f t="shared" si="4"/>
        <v>0</v>
      </c>
      <c r="R12" s="12">
        <f t="shared" si="5"/>
        <v>0</v>
      </c>
    </row>
    <row r="13" spans="1:18" x14ac:dyDescent="0.25">
      <c r="A13" s="26"/>
      <c r="B13" s="25"/>
      <c r="C13" s="15">
        <v>8</v>
      </c>
      <c r="D13" s="16">
        <v>150</v>
      </c>
      <c r="E13" s="15">
        <f t="shared" si="7"/>
        <v>32</v>
      </c>
      <c r="F13" s="11">
        <v>2</v>
      </c>
      <c r="G13" s="11">
        <f t="shared" si="9"/>
        <v>4</v>
      </c>
      <c r="H13" s="12"/>
      <c r="I13" s="12">
        <f>+(0.168+0.168+0.204)+20*0.008</f>
        <v>0.70000000000000007</v>
      </c>
      <c r="J13" s="22"/>
      <c r="K13" s="22"/>
      <c r="L13" s="12">
        <f t="shared" si="6"/>
        <v>0.70000000000000007</v>
      </c>
      <c r="M13" s="12">
        <f t="shared" si="0"/>
        <v>179.2</v>
      </c>
      <c r="N13" s="12">
        <f t="shared" si="1"/>
        <v>0</v>
      </c>
      <c r="O13" s="12">
        <f t="shared" si="2"/>
        <v>0</v>
      </c>
      <c r="P13" s="12">
        <f t="shared" si="3"/>
        <v>0</v>
      </c>
      <c r="Q13" s="12">
        <f t="shared" si="4"/>
        <v>0</v>
      </c>
      <c r="R13" s="12">
        <f t="shared" si="5"/>
        <v>0</v>
      </c>
    </row>
    <row r="14" spans="1:18" x14ac:dyDescent="0.25">
      <c r="A14" s="26"/>
      <c r="B14" s="45" t="s">
        <v>163</v>
      </c>
      <c r="C14" s="15">
        <v>20</v>
      </c>
      <c r="D14" s="16"/>
      <c r="E14" s="15">
        <v>22</v>
      </c>
      <c r="F14" s="11">
        <v>1</v>
      </c>
      <c r="G14" s="11">
        <v>6</v>
      </c>
      <c r="H14" s="12">
        <v>0.3</v>
      </c>
      <c r="I14" s="12">
        <f>100.3-97.06-0.075</f>
        <v>3.1649999999999947</v>
      </c>
      <c r="J14" s="22"/>
      <c r="K14" s="22">
        <f t="shared" ref="K14:K15" si="10">40*C14/1000</f>
        <v>0.8</v>
      </c>
      <c r="L14" s="12">
        <f t="shared" si="6"/>
        <v>4.2649999999999944</v>
      </c>
      <c r="M14" s="12">
        <f t="shared" si="0"/>
        <v>0</v>
      </c>
      <c r="N14" s="12">
        <f t="shared" si="1"/>
        <v>0</v>
      </c>
      <c r="O14" s="12">
        <f t="shared" si="2"/>
        <v>0</v>
      </c>
      <c r="P14" s="12">
        <f t="shared" si="3"/>
        <v>0</v>
      </c>
      <c r="Q14" s="12">
        <f t="shared" si="4"/>
        <v>562.98</v>
      </c>
      <c r="R14" s="12">
        <f t="shared" si="5"/>
        <v>0</v>
      </c>
    </row>
    <row r="15" spans="1:18" x14ac:dyDescent="0.25">
      <c r="A15" s="26"/>
      <c r="B15" s="25"/>
      <c r="C15" s="15">
        <v>16</v>
      </c>
      <c r="D15" s="16"/>
      <c r="E15" s="15">
        <f>+E14</f>
        <v>22</v>
      </c>
      <c r="F15" s="11">
        <v>1</v>
      </c>
      <c r="G15" s="11">
        <v>8</v>
      </c>
      <c r="H15" s="12">
        <v>0.3</v>
      </c>
      <c r="I15" s="12">
        <f>100.3-97.06-0.075</f>
        <v>3.1649999999999947</v>
      </c>
      <c r="J15" s="22"/>
      <c r="K15" s="22">
        <f t="shared" si="10"/>
        <v>0.64</v>
      </c>
      <c r="L15" s="12">
        <f t="shared" si="6"/>
        <v>4.1049999999999942</v>
      </c>
      <c r="M15" s="12">
        <f t="shared" si="0"/>
        <v>0</v>
      </c>
      <c r="N15" s="12">
        <f t="shared" si="1"/>
        <v>0</v>
      </c>
      <c r="O15" s="12">
        <f t="shared" si="2"/>
        <v>0</v>
      </c>
      <c r="P15" s="12">
        <f t="shared" si="3"/>
        <v>722.48</v>
      </c>
      <c r="Q15" s="12">
        <f t="shared" si="4"/>
        <v>0</v>
      </c>
      <c r="R15" s="12">
        <f t="shared" si="5"/>
        <v>0</v>
      </c>
    </row>
    <row r="16" spans="1:18" x14ac:dyDescent="0.25">
      <c r="A16" s="26"/>
      <c r="B16" s="25" t="s">
        <v>160</v>
      </c>
      <c r="C16" s="15">
        <v>10</v>
      </c>
      <c r="D16" s="16">
        <v>75</v>
      </c>
      <c r="E16" s="15">
        <f>+E15</f>
        <v>22</v>
      </c>
      <c r="F16" s="11">
        <v>2</v>
      </c>
      <c r="G16" s="11">
        <f>+ROUND(600/D16,0)</f>
        <v>8</v>
      </c>
      <c r="H16" s="12"/>
      <c r="I16" s="12">
        <f>2*(0.2+0.5)+24*0.01</f>
        <v>1.64</v>
      </c>
      <c r="J16" s="22"/>
      <c r="K16" s="22"/>
      <c r="L16" s="12">
        <f t="shared" si="6"/>
        <v>1.64</v>
      </c>
      <c r="M16" s="12">
        <f t="shared" si="0"/>
        <v>0</v>
      </c>
      <c r="N16" s="12">
        <f t="shared" si="1"/>
        <v>577.28</v>
      </c>
      <c r="O16" s="12">
        <f t="shared" si="2"/>
        <v>0</v>
      </c>
      <c r="P16" s="12">
        <f t="shared" si="3"/>
        <v>0</v>
      </c>
      <c r="Q16" s="12">
        <f t="shared" si="4"/>
        <v>0</v>
      </c>
      <c r="R16" s="12">
        <f t="shared" si="5"/>
        <v>0</v>
      </c>
    </row>
    <row r="17" spans="1:18" x14ac:dyDescent="0.25">
      <c r="A17" s="26"/>
      <c r="B17" s="25"/>
      <c r="C17" s="15">
        <v>10</v>
      </c>
      <c r="D17" s="16">
        <v>75</v>
      </c>
      <c r="E17" s="15">
        <f t="shared" ref="E17:E21" si="11">+E16</f>
        <v>22</v>
      </c>
      <c r="F17" s="11">
        <v>2</v>
      </c>
      <c r="G17" s="11">
        <f t="shared" ref="G17:G18" si="12">+ROUND(600/D17,0)</f>
        <v>8</v>
      </c>
      <c r="H17" s="12"/>
      <c r="I17" s="12">
        <f>2*(0.2+0.115)+24*0.01</f>
        <v>0.87</v>
      </c>
      <c r="J17" s="22"/>
      <c r="K17" s="22"/>
      <c r="L17" s="12">
        <f t="shared" si="6"/>
        <v>0.87</v>
      </c>
      <c r="M17" s="12">
        <f t="shared" si="0"/>
        <v>0</v>
      </c>
      <c r="N17" s="12">
        <f t="shared" si="1"/>
        <v>306.24</v>
      </c>
      <c r="O17" s="12">
        <f t="shared" si="2"/>
        <v>0</v>
      </c>
      <c r="P17" s="12">
        <f t="shared" si="3"/>
        <v>0</v>
      </c>
      <c r="Q17" s="12">
        <f t="shared" si="4"/>
        <v>0</v>
      </c>
      <c r="R17" s="12">
        <f t="shared" si="5"/>
        <v>0</v>
      </c>
    </row>
    <row r="18" spans="1:18" x14ac:dyDescent="0.25">
      <c r="A18" s="26"/>
      <c r="B18" s="25"/>
      <c r="C18" s="15">
        <v>10</v>
      </c>
      <c r="D18" s="16">
        <v>75</v>
      </c>
      <c r="E18" s="15">
        <f t="shared" si="11"/>
        <v>22</v>
      </c>
      <c r="F18" s="11">
        <f>2*2</f>
        <v>4</v>
      </c>
      <c r="G18" s="11">
        <f t="shared" si="12"/>
        <v>8</v>
      </c>
      <c r="H18" s="12"/>
      <c r="I18" s="12">
        <f>+(0.168+0.168+0.2)+20*0.01</f>
        <v>0.73599999999999999</v>
      </c>
      <c r="J18" s="22"/>
      <c r="K18" s="22"/>
      <c r="L18" s="12">
        <f t="shared" si="6"/>
        <v>0.73599999999999999</v>
      </c>
      <c r="M18" s="12">
        <f t="shared" si="0"/>
        <v>0</v>
      </c>
      <c r="N18" s="12">
        <f t="shared" si="1"/>
        <v>518.14</v>
      </c>
      <c r="O18" s="12">
        <f t="shared" si="2"/>
        <v>0</v>
      </c>
      <c r="P18" s="12">
        <f t="shared" si="3"/>
        <v>0</v>
      </c>
      <c r="Q18" s="12">
        <f t="shared" si="4"/>
        <v>0</v>
      </c>
      <c r="R18" s="12">
        <f t="shared" si="5"/>
        <v>0</v>
      </c>
    </row>
    <row r="19" spans="1:18" x14ac:dyDescent="0.25">
      <c r="A19" s="26"/>
      <c r="B19" s="25" t="s">
        <v>161</v>
      </c>
      <c r="C19" s="15">
        <v>8</v>
      </c>
      <c r="D19" s="16">
        <v>150</v>
      </c>
      <c r="E19" s="15">
        <f t="shared" si="11"/>
        <v>22</v>
      </c>
      <c r="F19" s="11">
        <v>1</v>
      </c>
      <c r="G19" s="11">
        <f>+ROUND(450/D19+1,0)</f>
        <v>4</v>
      </c>
      <c r="H19" s="12"/>
      <c r="I19" s="12">
        <f>2*(0.204+0.504)+24*0.008</f>
        <v>1.6079999999999999</v>
      </c>
      <c r="J19" s="22"/>
      <c r="K19" s="22"/>
      <c r="L19" s="12">
        <f t="shared" si="6"/>
        <v>1.6079999999999999</v>
      </c>
      <c r="M19" s="12">
        <f t="shared" si="0"/>
        <v>141.5</v>
      </c>
      <c r="N19" s="12">
        <f t="shared" si="1"/>
        <v>0</v>
      </c>
      <c r="O19" s="12">
        <f t="shared" si="2"/>
        <v>0</v>
      </c>
      <c r="P19" s="12">
        <f t="shared" si="3"/>
        <v>0</v>
      </c>
      <c r="Q19" s="12">
        <f t="shared" si="4"/>
        <v>0</v>
      </c>
      <c r="R19" s="12">
        <f t="shared" si="5"/>
        <v>0</v>
      </c>
    </row>
    <row r="20" spans="1:18" x14ac:dyDescent="0.25">
      <c r="A20" s="26"/>
      <c r="B20" s="25"/>
      <c r="C20" s="15">
        <v>8</v>
      </c>
      <c r="D20" s="16">
        <v>150</v>
      </c>
      <c r="E20" s="15">
        <f t="shared" si="11"/>
        <v>22</v>
      </c>
      <c r="F20" s="11">
        <v>1</v>
      </c>
      <c r="G20" s="11">
        <f t="shared" ref="G20:G21" si="13">+ROUND(450/D20+1,0)</f>
        <v>4</v>
      </c>
      <c r="H20" s="12"/>
      <c r="I20" s="12">
        <f>2*(0.204+0.115)+24*0.008</f>
        <v>0.83000000000000007</v>
      </c>
      <c r="J20" s="22"/>
      <c r="K20" s="22"/>
      <c r="L20" s="12">
        <f t="shared" si="6"/>
        <v>0.83000000000000007</v>
      </c>
      <c r="M20" s="12">
        <f t="shared" si="0"/>
        <v>73.040000000000006</v>
      </c>
      <c r="N20" s="12">
        <f t="shared" si="1"/>
        <v>0</v>
      </c>
      <c r="O20" s="12">
        <f t="shared" si="2"/>
        <v>0</v>
      </c>
      <c r="P20" s="12">
        <f t="shared" si="3"/>
        <v>0</v>
      </c>
      <c r="Q20" s="12">
        <f t="shared" si="4"/>
        <v>0</v>
      </c>
      <c r="R20" s="12">
        <f t="shared" si="5"/>
        <v>0</v>
      </c>
    </row>
    <row r="21" spans="1:18" x14ac:dyDescent="0.25">
      <c r="A21" s="26"/>
      <c r="B21" s="25"/>
      <c r="C21" s="15">
        <v>8</v>
      </c>
      <c r="D21" s="16">
        <v>150</v>
      </c>
      <c r="E21" s="15">
        <f t="shared" si="11"/>
        <v>22</v>
      </c>
      <c r="F21" s="11">
        <v>2</v>
      </c>
      <c r="G21" s="11">
        <f t="shared" si="13"/>
        <v>4</v>
      </c>
      <c r="H21" s="12"/>
      <c r="I21" s="12">
        <f>+(0.168+0.168+0.204)+20*0.008</f>
        <v>0.70000000000000007</v>
      </c>
      <c r="J21" s="22"/>
      <c r="K21" s="22"/>
      <c r="L21" s="12">
        <f t="shared" si="6"/>
        <v>0.70000000000000007</v>
      </c>
      <c r="M21" s="12">
        <f t="shared" si="0"/>
        <v>123.2</v>
      </c>
      <c r="N21" s="12">
        <f t="shared" si="1"/>
        <v>0</v>
      </c>
      <c r="O21" s="12">
        <f t="shared" si="2"/>
        <v>0</v>
      </c>
      <c r="P21" s="12">
        <f t="shared" si="3"/>
        <v>0</v>
      </c>
      <c r="Q21" s="12">
        <f t="shared" si="4"/>
        <v>0</v>
      </c>
      <c r="R21" s="12">
        <f t="shared" si="5"/>
        <v>0</v>
      </c>
    </row>
    <row r="22" spans="1:18" x14ac:dyDescent="0.25">
      <c r="A22" s="26"/>
      <c r="B22" s="45" t="s">
        <v>164</v>
      </c>
      <c r="C22" s="15">
        <v>25</v>
      </c>
      <c r="D22" s="16"/>
      <c r="E22" s="15">
        <v>4</v>
      </c>
      <c r="F22" s="11">
        <v>1</v>
      </c>
      <c r="G22" s="11">
        <v>10</v>
      </c>
      <c r="H22" s="12">
        <v>0.3</v>
      </c>
      <c r="I22" s="12">
        <f>100.3-97.06-0.075</f>
        <v>3.1649999999999947</v>
      </c>
      <c r="J22" s="22"/>
      <c r="K22" s="22">
        <f t="shared" ref="K22:K23" si="14">40*C22/1000</f>
        <v>1</v>
      </c>
      <c r="L22" s="12">
        <f t="shared" si="6"/>
        <v>4.4649999999999945</v>
      </c>
      <c r="M22" s="12">
        <f t="shared" si="0"/>
        <v>0</v>
      </c>
      <c r="N22" s="12">
        <f t="shared" si="1"/>
        <v>0</v>
      </c>
      <c r="O22" s="12">
        <f t="shared" si="2"/>
        <v>0</v>
      </c>
      <c r="P22" s="12">
        <f t="shared" si="3"/>
        <v>0</v>
      </c>
      <c r="Q22" s="12">
        <f t="shared" si="4"/>
        <v>0</v>
      </c>
      <c r="R22" s="12">
        <f t="shared" si="5"/>
        <v>178.6</v>
      </c>
    </row>
    <row r="23" spans="1:18" x14ac:dyDescent="0.25">
      <c r="A23" s="26"/>
      <c r="B23" s="25"/>
      <c r="C23" s="15">
        <v>20</v>
      </c>
      <c r="D23" s="16"/>
      <c r="E23" s="15">
        <f>+E22</f>
        <v>4</v>
      </c>
      <c r="F23" s="11">
        <v>1</v>
      </c>
      <c r="G23" s="11">
        <v>4</v>
      </c>
      <c r="H23" s="12">
        <v>0.3</v>
      </c>
      <c r="I23" s="12">
        <f>100.3-97.06-0.075</f>
        <v>3.1649999999999947</v>
      </c>
      <c r="J23" s="22"/>
      <c r="K23" s="22">
        <f t="shared" si="14"/>
        <v>0.8</v>
      </c>
      <c r="L23" s="12">
        <f t="shared" si="6"/>
        <v>4.2649999999999944</v>
      </c>
      <c r="M23" s="12">
        <f t="shared" si="0"/>
        <v>0</v>
      </c>
      <c r="N23" s="12">
        <f t="shared" si="1"/>
        <v>0</v>
      </c>
      <c r="O23" s="12">
        <f t="shared" si="2"/>
        <v>0</v>
      </c>
      <c r="P23" s="12">
        <f t="shared" si="3"/>
        <v>0</v>
      </c>
      <c r="Q23" s="12">
        <f t="shared" si="4"/>
        <v>68.239999999999995</v>
      </c>
      <c r="R23" s="12">
        <f t="shared" si="5"/>
        <v>0</v>
      </c>
    </row>
    <row r="24" spans="1:18" x14ac:dyDescent="0.25">
      <c r="A24" s="26"/>
      <c r="B24" s="25" t="s">
        <v>160</v>
      </c>
      <c r="C24" s="15">
        <v>10</v>
      </c>
      <c r="D24" s="16">
        <v>75</v>
      </c>
      <c r="E24" s="15">
        <f>+E23</f>
        <v>4</v>
      </c>
      <c r="F24" s="11">
        <v>2</v>
      </c>
      <c r="G24" s="11">
        <f>+ROUND(600/D24,0)</f>
        <v>8</v>
      </c>
      <c r="H24" s="12"/>
      <c r="I24" s="12">
        <f>2*(0.2+0.5)+24*0.01</f>
        <v>1.64</v>
      </c>
      <c r="J24" s="22"/>
      <c r="K24" s="22"/>
      <c r="L24" s="12">
        <f t="shared" si="6"/>
        <v>1.64</v>
      </c>
      <c r="M24" s="12">
        <f t="shared" si="0"/>
        <v>0</v>
      </c>
      <c r="N24" s="12">
        <f t="shared" si="1"/>
        <v>104.96</v>
      </c>
      <c r="O24" s="12">
        <f t="shared" si="2"/>
        <v>0</v>
      </c>
      <c r="P24" s="12">
        <f t="shared" si="3"/>
        <v>0</v>
      </c>
      <c r="Q24" s="12">
        <f t="shared" si="4"/>
        <v>0</v>
      </c>
      <c r="R24" s="12">
        <f t="shared" si="5"/>
        <v>0</v>
      </c>
    </row>
    <row r="25" spans="1:18" x14ac:dyDescent="0.25">
      <c r="A25" s="26"/>
      <c r="B25" s="25"/>
      <c r="C25" s="15">
        <v>10</v>
      </c>
      <c r="D25" s="16">
        <v>75</v>
      </c>
      <c r="E25" s="15">
        <f t="shared" ref="E25:E29" si="15">+E24</f>
        <v>4</v>
      </c>
      <c r="F25" s="11">
        <v>2</v>
      </c>
      <c r="G25" s="11">
        <f t="shared" ref="G25:G26" si="16">+ROUND(600/D25,0)</f>
        <v>8</v>
      </c>
      <c r="H25" s="12"/>
      <c r="I25" s="12">
        <f>2*(0.2+0.115)+24*0.01</f>
        <v>0.87</v>
      </c>
      <c r="J25" s="22"/>
      <c r="K25" s="22"/>
      <c r="L25" s="12">
        <f t="shared" si="6"/>
        <v>0.87</v>
      </c>
      <c r="M25" s="12">
        <f t="shared" si="0"/>
        <v>0</v>
      </c>
      <c r="N25" s="12">
        <f t="shared" si="1"/>
        <v>55.68</v>
      </c>
      <c r="O25" s="12">
        <f t="shared" si="2"/>
        <v>0</v>
      </c>
      <c r="P25" s="12">
        <f t="shared" si="3"/>
        <v>0</v>
      </c>
      <c r="Q25" s="12">
        <f t="shared" si="4"/>
        <v>0</v>
      </c>
      <c r="R25" s="12">
        <f t="shared" si="5"/>
        <v>0</v>
      </c>
    </row>
    <row r="26" spans="1:18" x14ac:dyDescent="0.25">
      <c r="A26" s="26"/>
      <c r="B26" s="25"/>
      <c r="C26" s="15">
        <v>10</v>
      </c>
      <c r="D26" s="16">
        <v>75</v>
      </c>
      <c r="E26" s="15">
        <f t="shared" si="15"/>
        <v>4</v>
      </c>
      <c r="F26" s="11">
        <f>2*2</f>
        <v>4</v>
      </c>
      <c r="G26" s="11">
        <f t="shared" si="16"/>
        <v>8</v>
      </c>
      <c r="H26" s="12"/>
      <c r="I26" s="12">
        <f>+(0.168+0.168+0.2)+20*0.01</f>
        <v>0.73599999999999999</v>
      </c>
      <c r="J26" s="22"/>
      <c r="K26" s="22"/>
      <c r="L26" s="12">
        <f t="shared" si="6"/>
        <v>0.73599999999999999</v>
      </c>
      <c r="M26" s="12">
        <f t="shared" si="0"/>
        <v>0</v>
      </c>
      <c r="N26" s="12">
        <f t="shared" si="1"/>
        <v>94.21</v>
      </c>
      <c r="O26" s="12">
        <f t="shared" si="2"/>
        <v>0</v>
      </c>
      <c r="P26" s="12">
        <f t="shared" si="3"/>
        <v>0</v>
      </c>
      <c r="Q26" s="12">
        <f t="shared" si="4"/>
        <v>0</v>
      </c>
      <c r="R26" s="12">
        <f t="shared" si="5"/>
        <v>0</v>
      </c>
    </row>
    <row r="27" spans="1:18" x14ac:dyDescent="0.25">
      <c r="A27" s="26"/>
      <c r="B27" s="25" t="s">
        <v>161</v>
      </c>
      <c r="C27" s="15">
        <v>8</v>
      </c>
      <c r="D27" s="16">
        <v>150</v>
      </c>
      <c r="E27" s="15">
        <f t="shared" si="15"/>
        <v>4</v>
      </c>
      <c r="F27" s="11">
        <v>1</v>
      </c>
      <c r="G27" s="11">
        <f>+ROUND(450/D27+1,0)</f>
        <v>4</v>
      </c>
      <c r="H27" s="12"/>
      <c r="I27" s="12">
        <f>2*(0.204+0.504)+24*0.008</f>
        <v>1.6079999999999999</v>
      </c>
      <c r="J27" s="22"/>
      <c r="K27" s="22"/>
      <c r="L27" s="12">
        <f t="shared" si="6"/>
        <v>1.6079999999999999</v>
      </c>
      <c r="M27" s="12">
        <f t="shared" si="0"/>
        <v>25.73</v>
      </c>
      <c r="N27" s="12">
        <f t="shared" si="1"/>
        <v>0</v>
      </c>
      <c r="O27" s="12">
        <f t="shared" si="2"/>
        <v>0</v>
      </c>
      <c r="P27" s="12">
        <f t="shared" si="3"/>
        <v>0</v>
      </c>
      <c r="Q27" s="12">
        <f t="shared" si="4"/>
        <v>0</v>
      </c>
      <c r="R27" s="12">
        <f t="shared" si="5"/>
        <v>0</v>
      </c>
    </row>
    <row r="28" spans="1:18" x14ac:dyDescent="0.25">
      <c r="A28" s="26"/>
      <c r="B28" s="25"/>
      <c r="C28" s="15">
        <v>8</v>
      </c>
      <c r="D28" s="16">
        <v>150</v>
      </c>
      <c r="E28" s="15">
        <f t="shared" si="15"/>
        <v>4</v>
      </c>
      <c r="F28" s="11">
        <v>1</v>
      </c>
      <c r="G28" s="11">
        <f t="shared" ref="G28:G29" si="17">+ROUND(450/D28+1,0)</f>
        <v>4</v>
      </c>
      <c r="H28" s="12"/>
      <c r="I28" s="12">
        <f>2*(0.204+0.115)+24*0.008</f>
        <v>0.83000000000000007</v>
      </c>
      <c r="J28" s="22"/>
      <c r="K28" s="22"/>
      <c r="L28" s="12">
        <f t="shared" si="6"/>
        <v>0.83000000000000007</v>
      </c>
      <c r="M28" s="12">
        <f t="shared" si="0"/>
        <v>13.28</v>
      </c>
      <c r="N28" s="12">
        <f t="shared" si="1"/>
        <v>0</v>
      </c>
      <c r="O28" s="12">
        <f t="shared" si="2"/>
        <v>0</v>
      </c>
      <c r="P28" s="12">
        <f t="shared" si="3"/>
        <v>0</v>
      </c>
      <c r="Q28" s="12">
        <f t="shared" si="4"/>
        <v>0</v>
      </c>
      <c r="R28" s="12">
        <f t="shared" si="5"/>
        <v>0</v>
      </c>
    </row>
    <row r="29" spans="1:18" x14ac:dyDescent="0.25">
      <c r="A29" s="26"/>
      <c r="B29" s="25"/>
      <c r="C29" s="15">
        <v>8</v>
      </c>
      <c r="D29" s="16">
        <v>150</v>
      </c>
      <c r="E29" s="15">
        <f t="shared" si="15"/>
        <v>4</v>
      </c>
      <c r="F29" s="11">
        <v>2</v>
      </c>
      <c r="G29" s="11">
        <f t="shared" si="17"/>
        <v>4</v>
      </c>
      <c r="H29" s="12"/>
      <c r="I29" s="12">
        <f>+(0.168+0.168+0.204)+20*0.008</f>
        <v>0.70000000000000007</v>
      </c>
      <c r="J29" s="22"/>
      <c r="K29" s="22"/>
      <c r="L29" s="12">
        <f t="shared" si="6"/>
        <v>0.70000000000000007</v>
      </c>
      <c r="M29" s="12">
        <f t="shared" si="0"/>
        <v>22.4</v>
      </c>
      <c r="N29" s="12">
        <f t="shared" si="1"/>
        <v>0</v>
      </c>
      <c r="O29" s="12">
        <f t="shared" si="2"/>
        <v>0</v>
      </c>
      <c r="P29" s="12">
        <f t="shared" si="3"/>
        <v>0</v>
      </c>
      <c r="Q29" s="12">
        <f t="shared" si="4"/>
        <v>0</v>
      </c>
      <c r="R29" s="12">
        <f t="shared" si="5"/>
        <v>0</v>
      </c>
    </row>
    <row r="30" spans="1:18" x14ac:dyDescent="0.25">
      <c r="A30" s="26"/>
      <c r="B30" s="45" t="s">
        <v>165</v>
      </c>
      <c r="C30" s="15">
        <v>20</v>
      </c>
      <c r="D30" s="16"/>
      <c r="E30" s="15">
        <v>16</v>
      </c>
      <c r="F30" s="11">
        <v>1</v>
      </c>
      <c r="G30" s="11">
        <v>16</v>
      </c>
      <c r="H30" s="12">
        <v>0.3</v>
      </c>
      <c r="I30" s="12">
        <f>100.3-97.06-0.075</f>
        <v>3.1649999999999947</v>
      </c>
      <c r="J30" s="22"/>
      <c r="K30" s="22">
        <f>40*C30/1000</f>
        <v>0.8</v>
      </c>
      <c r="L30" s="12">
        <f t="shared" si="6"/>
        <v>4.2649999999999944</v>
      </c>
      <c r="M30" s="12">
        <f t="shared" si="0"/>
        <v>0</v>
      </c>
      <c r="N30" s="12">
        <f t="shared" si="1"/>
        <v>0</v>
      </c>
      <c r="O30" s="12">
        <f t="shared" si="2"/>
        <v>0</v>
      </c>
      <c r="P30" s="12">
        <f t="shared" si="3"/>
        <v>0</v>
      </c>
      <c r="Q30" s="12">
        <f t="shared" si="4"/>
        <v>1091.8399999999999</v>
      </c>
      <c r="R30" s="12">
        <f t="shared" si="5"/>
        <v>0</v>
      </c>
    </row>
    <row r="31" spans="1:18" x14ac:dyDescent="0.25">
      <c r="A31" s="26"/>
      <c r="B31" s="25" t="s">
        <v>160</v>
      </c>
      <c r="C31" s="15">
        <v>10</v>
      </c>
      <c r="D31" s="16">
        <v>75</v>
      </c>
      <c r="E31" s="15">
        <f>+E30</f>
        <v>16</v>
      </c>
      <c r="F31" s="11">
        <v>2</v>
      </c>
      <c r="G31" s="11">
        <f>+ROUND(750/D31,0)</f>
        <v>10</v>
      </c>
      <c r="H31" s="12"/>
      <c r="I31" s="12">
        <f>2*(0.2+0.65)+24*0.01</f>
        <v>1.9400000000000002</v>
      </c>
      <c r="J31" s="22"/>
      <c r="K31" s="22"/>
      <c r="L31" s="12">
        <f t="shared" si="6"/>
        <v>1.9400000000000002</v>
      </c>
      <c r="M31" s="12">
        <f t="shared" si="0"/>
        <v>0</v>
      </c>
      <c r="N31" s="12">
        <f t="shared" si="1"/>
        <v>620.79999999999995</v>
      </c>
      <c r="O31" s="12">
        <f t="shared" si="2"/>
        <v>0</v>
      </c>
      <c r="P31" s="12">
        <f t="shared" si="3"/>
        <v>0</v>
      </c>
      <c r="Q31" s="12">
        <f t="shared" si="4"/>
        <v>0</v>
      </c>
      <c r="R31" s="12">
        <f t="shared" si="5"/>
        <v>0</v>
      </c>
    </row>
    <row r="32" spans="1:18" x14ac:dyDescent="0.25">
      <c r="A32" s="26"/>
      <c r="B32" s="25"/>
      <c r="C32" s="15">
        <v>10</v>
      </c>
      <c r="D32" s="16">
        <v>75</v>
      </c>
      <c r="E32" s="15">
        <f t="shared" ref="E32:E38" si="18">+E31</f>
        <v>16</v>
      </c>
      <c r="F32" s="11">
        <v>2</v>
      </c>
      <c r="G32" s="11">
        <f t="shared" ref="G32:G34" si="19">+ROUND(750/D32,0)</f>
        <v>10</v>
      </c>
      <c r="H32" s="12"/>
      <c r="I32" s="12">
        <f>2*(0.2+0.23)+24*0.01</f>
        <v>1.1000000000000001</v>
      </c>
      <c r="J32" s="22"/>
      <c r="K32" s="22"/>
      <c r="L32" s="12">
        <f t="shared" si="6"/>
        <v>1.1000000000000001</v>
      </c>
      <c r="M32" s="12">
        <f t="shared" si="0"/>
        <v>0</v>
      </c>
      <c r="N32" s="12">
        <f t="shared" si="1"/>
        <v>352</v>
      </c>
      <c r="O32" s="12">
        <f t="shared" si="2"/>
        <v>0</v>
      </c>
      <c r="P32" s="12">
        <f t="shared" si="3"/>
        <v>0</v>
      </c>
      <c r="Q32" s="12">
        <f t="shared" si="4"/>
        <v>0</v>
      </c>
      <c r="R32" s="12">
        <f t="shared" si="5"/>
        <v>0</v>
      </c>
    </row>
    <row r="33" spans="1:18" x14ac:dyDescent="0.25">
      <c r="A33" s="26"/>
      <c r="B33" s="25"/>
      <c r="C33" s="15">
        <v>10</v>
      </c>
      <c r="D33" s="16">
        <v>75</v>
      </c>
      <c r="E33" s="15">
        <f t="shared" si="18"/>
        <v>16</v>
      </c>
      <c r="F33" s="11">
        <f>2*2</f>
        <v>4</v>
      </c>
      <c r="G33" s="11">
        <f t="shared" si="19"/>
        <v>10</v>
      </c>
      <c r="H33" s="12"/>
      <c r="I33" s="12">
        <f>+(0.168+0.168+0.2)+20*0.01</f>
        <v>0.73599999999999999</v>
      </c>
      <c r="J33" s="22"/>
      <c r="K33" s="22"/>
      <c r="L33" s="12">
        <f t="shared" si="6"/>
        <v>0.73599999999999999</v>
      </c>
      <c r="M33" s="12">
        <f t="shared" si="0"/>
        <v>0</v>
      </c>
      <c r="N33" s="12">
        <f t="shared" si="1"/>
        <v>471.04</v>
      </c>
      <c r="O33" s="12">
        <f t="shared" si="2"/>
        <v>0</v>
      </c>
      <c r="P33" s="12">
        <f t="shared" si="3"/>
        <v>0</v>
      </c>
      <c r="Q33" s="12">
        <f t="shared" si="4"/>
        <v>0</v>
      </c>
      <c r="R33" s="12">
        <f t="shared" si="5"/>
        <v>0</v>
      </c>
    </row>
    <row r="34" spans="1:18" x14ac:dyDescent="0.25">
      <c r="A34" s="26"/>
      <c r="B34" s="25"/>
      <c r="C34" s="15">
        <v>10</v>
      </c>
      <c r="D34" s="16">
        <v>75</v>
      </c>
      <c r="E34" s="15">
        <f t="shared" si="18"/>
        <v>16</v>
      </c>
      <c r="F34" s="11">
        <v>2</v>
      </c>
      <c r="G34" s="11">
        <f t="shared" si="19"/>
        <v>10</v>
      </c>
      <c r="H34" s="12"/>
      <c r="I34" s="12">
        <f>0.2+2*10*0.01</f>
        <v>0.4</v>
      </c>
      <c r="J34" s="22"/>
      <c r="K34" s="22"/>
      <c r="L34" s="12">
        <f t="shared" ref="L34:L97" si="20">SUM(H34:J34)+K34</f>
        <v>0.4</v>
      </c>
      <c r="M34" s="12">
        <f t="shared" si="0"/>
        <v>0</v>
      </c>
      <c r="N34" s="12">
        <f t="shared" si="1"/>
        <v>128</v>
      </c>
      <c r="O34" s="12">
        <f t="shared" si="2"/>
        <v>0</v>
      </c>
      <c r="P34" s="12">
        <f t="shared" si="3"/>
        <v>0</v>
      </c>
      <c r="Q34" s="12">
        <f t="shared" si="4"/>
        <v>0</v>
      </c>
      <c r="R34" s="12">
        <f t="shared" si="5"/>
        <v>0</v>
      </c>
    </row>
    <row r="35" spans="1:18" x14ac:dyDescent="0.25">
      <c r="A35" s="26"/>
      <c r="B35" s="25" t="s">
        <v>161</v>
      </c>
      <c r="C35" s="15">
        <v>8</v>
      </c>
      <c r="D35" s="16">
        <v>150</v>
      </c>
      <c r="E35" s="15">
        <f t="shared" si="18"/>
        <v>16</v>
      </c>
      <c r="F35" s="11">
        <v>1</v>
      </c>
      <c r="G35" s="11">
        <f>+ROUND(150/D35+1,0)</f>
        <v>2</v>
      </c>
      <c r="H35" s="12"/>
      <c r="I35" s="12">
        <f>2*(0.204+0.654)+24*0.01</f>
        <v>1.956</v>
      </c>
      <c r="J35" s="22"/>
      <c r="K35" s="22"/>
      <c r="L35" s="12">
        <f t="shared" si="20"/>
        <v>1.956</v>
      </c>
      <c r="M35" s="12">
        <f t="shared" si="0"/>
        <v>62.59</v>
      </c>
      <c r="N35" s="12">
        <f t="shared" si="1"/>
        <v>0</v>
      </c>
      <c r="O35" s="12">
        <f t="shared" si="2"/>
        <v>0</v>
      </c>
      <c r="P35" s="12">
        <f t="shared" si="3"/>
        <v>0</v>
      </c>
      <c r="Q35" s="12">
        <f t="shared" si="4"/>
        <v>0</v>
      </c>
      <c r="R35" s="12">
        <f t="shared" si="5"/>
        <v>0</v>
      </c>
    </row>
    <row r="36" spans="1:18" x14ac:dyDescent="0.25">
      <c r="A36" s="26"/>
      <c r="B36" s="25"/>
      <c r="C36" s="15">
        <v>8</v>
      </c>
      <c r="D36" s="16">
        <v>150</v>
      </c>
      <c r="E36" s="15">
        <f t="shared" si="18"/>
        <v>16</v>
      </c>
      <c r="F36" s="11">
        <v>1</v>
      </c>
      <c r="G36" s="11">
        <f t="shared" ref="G36:G38" si="21">+ROUND(150/D36+1,0)</f>
        <v>2</v>
      </c>
      <c r="H36" s="12"/>
      <c r="I36" s="12">
        <f>2*(0.204+0.232)+24*0.01</f>
        <v>1.1120000000000001</v>
      </c>
      <c r="J36" s="22"/>
      <c r="K36" s="22"/>
      <c r="L36" s="12">
        <f t="shared" si="20"/>
        <v>1.1120000000000001</v>
      </c>
      <c r="M36" s="12">
        <f t="shared" si="0"/>
        <v>35.58</v>
      </c>
      <c r="N36" s="12">
        <f t="shared" si="1"/>
        <v>0</v>
      </c>
      <c r="O36" s="12">
        <f t="shared" si="2"/>
        <v>0</v>
      </c>
      <c r="P36" s="12">
        <f t="shared" si="3"/>
        <v>0</v>
      </c>
      <c r="Q36" s="12">
        <f t="shared" si="4"/>
        <v>0</v>
      </c>
      <c r="R36" s="12">
        <f t="shared" si="5"/>
        <v>0</v>
      </c>
    </row>
    <row r="37" spans="1:18" x14ac:dyDescent="0.25">
      <c r="A37" s="26"/>
      <c r="B37" s="25"/>
      <c r="C37" s="15">
        <v>8</v>
      </c>
      <c r="D37" s="16">
        <v>150</v>
      </c>
      <c r="E37" s="15">
        <f t="shared" si="18"/>
        <v>16</v>
      </c>
      <c r="F37" s="11">
        <v>2</v>
      </c>
      <c r="G37" s="11">
        <f t="shared" si="21"/>
        <v>2</v>
      </c>
      <c r="H37" s="12"/>
      <c r="I37" s="12">
        <f>+(0.168+0.168+0.204)+20*0.01</f>
        <v>0.74</v>
      </c>
      <c r="J37" s="22"/>
      <c r="K37" s="22"/>
      <c r="L37" s="12">
        <f t="shared" si="20"/>
        <v>0.74</v>
      </c>
      <c r="M37" s="12">
        <f t="shared" si="0"/>
        <v>47.36</v>
      </c>
      <c r="N37" s="12">
        <f t="shared" si="1"/>
        <v>0</v>
      </c>
      <c r="O37" s="12">
        <f t="shared" si="2"/>
        <v>0</v>
      </c>
      <c r="P37" s="12">
        <f t="shared" si="3"/>
        <v>0</v>
      </c>
      <c r="Q37" s="12">
        <f t="shared" si="4"/>
        <v>0</v>
      </c>
      <c r="R37" s="12">
        <f t="shared" si="5"/>
        <v>0</v>
      </c>
    </row>
    <row r="38" spans="1:18" x14ac:dyDescent="0.25">
      <c r="A38" s="26"/>
      <c r="B38" s="25"/>
      <c r="C38" s="15">
        <v>8</v>
      </c>
      <c r="D38" s="16">
        <v>150</v>
      </c>
      <c r="E38" s="15">
        <f t="shared" si="18"/>
        <v>16</v>
      </c>
      <c r="F38" s="11">
        <v>1</v>
      </c>
      <c r="G38" s="11">
        <f t="shared" si="21"/>
        <v>2</v>
      </c>
      <c r="H38" s="12"/>
      <c r="I38" s="12">
        <f>0.204+2*10*0.01</f>
        <v>0.40400000000000003</v>
      </c>
      <c r="J38" s="22"/>
      <c r="K38" s="22"/>
      <c r="L38" s="12">
        <f t="shared" si="20"/>
        <v>0.40400000000000003</v>
      </c>
      <c r="M38" s="12">
        <f t="shared" si="0"/>
        <v>12.93</v>
      </c>
      <c r="N38" s="12">
        <f t="shared" si="1"/>
        <v>0</v>
      </c>
      <c r="O38" s="12">
        <f t="shared" si="2"/>
        <v>0</v>
      </c>
      <c r="P38" s="12">
        <f t="shared" si="3"/>
        <v>0</v>
      </c>
      <c r="Q38" s="12">
        <f t="shared" si="4"/>
        <v>0</v>
      </c>
      <c r="R38" s="12">
        <f t="shared" si="5"/>
        <v>0</v>
      </c>
    </row>
    <row r="39" spans="1:18" x14ac:dyDescent="0.25">
      <c r="A39" s="26"/>
      <c r="B39" s="45" t="s">
        <v>166</v>
      </c>
      <c r="C39" s="15">
        <v>20</v>
      </c>
      <c r="D39" s="16"/>
      <c r="E39" s="15">
        <v>14</v>
      </c>
      <c r="F39" s="11">
        <v>1</v>
      </c>
      <c r="G39" s="11">
        <v>4</v>
      </c>
      <c r="H39" s="12">
        <v>0.3</v>
      </c>
      <c r="I39" s="12">
        <f t="shared" ref="I39:I40" si="22">100.3-97.06-0.075</f>
        <v>3.1649999999999947</v>
      </c>
      <c r="J39" s="22"/>
      <c r="K39" s="22">
        <f t="shared" ref="K39:K40" si="23">40*C39/1000</f>
        <v>0.8</v>
      </c>
      <c r="L39" s="12">
        <f t="shared" si="20"/>
        <v>4.2649999999999944</v>
      </c>
      <c r="M39" s="12">
        <f t="shared" si="0"/>
        <v>0</v>
      </c>
      <c r="N39" s="12">
        <f t="shared" si="1"/>
        <v>0</v>
      </c>
      <c r="O39" s="12">
        <f t="shared" si="2"/>
        <v>0</v>
      </c>
      <c r="P39" s="12">
        <f t="shared" si="3"/>
        <v>0</v>
      </c>
      <c r="Q39" s="12">
        <f t="shared" si="4"/>
        <v>238.84</v>
      </c>
      <c r="R39" s="12">
        <f t="shared" si="5"/>
        <v>0</v>
      </c>
    </row>
    <row r="40" spans="1:18" x14ac:dyDescent="0.25">
      <c r="A40" s="26"/>
      <c r="B40" s="25"/>
      <c r="C40" s="15">
        <v>16</v>
      </c>
      <c r="D40" s="16"/>
      <c r="E40" s="15">
        <f>+E39</f>
        <v>14</v>
      </c>
      <c r="F40" s="11">
        <v>1</v>
      </c>
      <c r="G40" s="11">
        <v>12</v>
      </c>
      <c r="H40" s="12">
        <v>0.3</v>
      </c>
      <c r="I40" s="12">
        <f t="shared" si="22"/>
        <v>3.1649999999999947</v>
      </c>
      <c r="J40" s="22"/>
      <c r="K40" s="22">
        <f t="shared" si="23"/>
        <v>0.64</v>
      </c>
      <c r="L40" s="12">
        <f t="shared" si="20"/>
        <v>4.1049999999999942</v>
      </c>
      <c r="M40" s="12">
        <f t="shared" si="0"/>
        <v>0</v>
      </c>
      <c r="N40" s="12">
        <f t="shared" si="1"/>
        <v>0</v>
      </c>
      <c r="O40" s="12">
        <f t="shared" si="2"/>
        <v>0</v>
      </c>
      <c r="P40" s="12">
        <f t="shared" si="3"/>
        <v>689.64</v>
      </c>
      <c r="Q40" s="12">
        <f t="shared" si="4"/>
        <v>0</v>
      </c>
      <c r="R40" s="12">
        <f t="shared" si="5"/>
        <v>0</v>
      </c>
    </row>
    <row r="41" spans="1:18" x14ac:dyDescent="0.25">
      <c r="A41" s="26"/>
      <c r="B41" s="25" t="s">
        <v>160</v>
      </c>
      <c r="C41" s="15">
        <v>10</v>
      </c>
      <c r="D41" s="16">
        <v>75</v>
      </c>
      <c r="E41" s="15">
        <f t="shared" ref="E41:E48" si="24">+E40</f>
        <v>14</v>
      </c>
      <c r="F41" s="11">
        <v>2</v>
      </c>
      <c r="G41" s="11">
        <f>+ROUND(750/D41,0)</f>
        <v>10</v>
      </c>
      <c r="H41" s="12"/>
      <c r="I41" s="12">
        <f>2*(0.2+0.65)+24*0.01</f>
        <v>1.9400000000000002</v>
      </c>
      <c r="J41" s="22"/>
      <c r="K41" s="22"/>
      <c r="L41" s="12">
        <f t="shared" si="20"/>
        <v>1.9400000000000002</v>
      </c>
      <c r="M41" s="12">
        <f t="shared" si="0"/>
        <v>0</v>
      </c>
      <c r="N41" s="12">
        <f t="shared" si="1"/>
        <v>543.20000000000005</v>
      </c>
      <c r="O41" s="12">
        <f t="shared" si="2"/>
        <v>0</v>
      </c>
      <c r="P41" s="12">
        <f t="shared" si="3"/>
        <v>0</v>
      </c>
      <c r="Q41" s="12">
        <f t="shared" si="4"/>
        <v>0</v>
      </c>
      <c r="R41" s="12">
        <f t="shared" si="5"/>
        <v>0</v>
      </c>
    </row>
    <row r="42" spans="1:18" x14ac:dyDescent="0.25">
      <c r="A42" s="26"/>
      <c r="B42" s="25"/>
      <c r="C42" s="15">
        <v>10</v>
      </c>
      <c r="D42" s="16">
        <v>75</v>
      </c>
      <c r="E42" s="15">
        <f t="shared" si="24"/>
        <v>14</v>
      </c>
      <c r="F42" s="11">
        <v>2</v>
      </c>
      <c r="G42" s="11">
        <f t="shared" ref="G42:G44" si="25">+ROUND(750/D42,0)</f>
        <v>10</v>
      </c>
      <c r="H42" s="12"/>
      <c r="I42" s="12">
        <f>2*(0.2+0.23)+24*0.01</f>
        <v>1.1000000000000001</v>
      </c>
      <c r="J42" s="22"/>
      <c r="K42" s="22"/>
      <c r="L42" s="12">
        <f t="shared" si="20"/>
        <v>1.1000000000000001</v>
      </c>
      <c r="M42" s="12">
        <f t="shared" si="0"/>
        <v>0</v>
      </c>
      <c r="N42" s="12">
        <f t="shared" si="1"/>
        <v>308</v>
      </c>
      <c r="O42" s="12">
        <f t="shared" si="2"/>
        <v>0</v>
      </c>
      <c r="P42" s="12">
        <f t="shared" si="3"/>
        <v>0</v>
      </c>
      <c r="Q42" s="12">
        <f t="shared" si="4"/>
        <v>0</v>
      </c>
      <c r="R42" s="12">
        <f t="shared" si="5"/>
        <v>0</v>
      </c>
    </row>
    <row r="43" spans="1:18" x14ac:dyDescent="0.25">
      <c r="A43" s="26"/>
      <c r="B43" s="25"/>
      <c r="C43" s="15">
        <v>10</v>
      </c>
      <c r="D43" s="16">
        <v>75</v>
      </c>
      <c r="E43" s="15">
        <f t="shared" si="24"/>
        <v>14</v>
      </c>
      <c r="F43" s="11">
        <f>2*2</f>
        <v>4</v>
      </c>
      <c r="G43" s="11">
        <f t="shared" si="25"/>
        <v>10</v>
      </c>
      <c r="H43" s="12"/>
      <c r="I43" s="12">
        <f>+(0.168+0.168+0.2)+20*0.01</f>
        <v>0.73599999999999999</v>
      </c>
      <c r="J43" s="22"/>
      <c r="K43" s="22"/>
      <c r="L43" s="12">
        <f t="shared" si="20"/>
        <v>0.73599999999999999</v>
      </c>
      <c r="M43" s="12">
        <f t="shared" si="0"/>
        <v>0</v>
      </c>
      <c r="N43" s="12">
        <f t="shared" si="1"/>
        <v>412.16</v>
      </c>
      <c r="O43" s="12">
        <f t="shared" si="2"/>
        <v>0</v>
      </c>
      <c r="P43" s="12">
        <f t="shared" si="3"/>
        <v>0</v>
      </c>
      <c r="Q43" s="12">
        <f t="shared" si="4"/>
        <v>0</v>
      </c>
      <c r="R43" s="12">
        <f t="shared" si="5"/>
        <v>0</v>
      </c>
    </row>
    <row r="44" spans="1:18" x14ac:dyDescent="0.25">
      <c r="A44" s="26"/>
      <c r="B44" s="25"/>
      <c r="C44" s="15">
        <v>10</v>
      </c>
      <c r="D44" s="16">
        <v>75</v>
      </c>
      <c r="E44" s="15">
        <f t="shared" si="24"/>
        <v>14</v>
      </c>
      <c r="F44" s="11">
        <v>2</v>
      </c>
      <c r="G44" s="11">
        <f t="shared" si="25"/>
        <v>10</v>
      </c>
      <c r="H44" s="12"/>
      <c r="I44" s="12">
        <f>0.2+2*10*0.01</f>
        <v>0.4</v>
      </c>
      <c r="J44" s="22"/>
      <c r="K44" s="22"/>
      <c r="L44" s="12">
        <f t="shared" si="20"/>
        <v>0.4</v>
      </c>
      <c r="M44" s="12">
        <f t="shared" si="0"/>
        <v>0</v>
      </c>
      <c r="N44" s="12">
        <f t="shared" si="1"/>
        <v>112</v>
      </c>
      <c r="O44" s="12">
        <f t="shared" si="2"/>
        <v>0</v>
      </c>
      <c r="P44" s="12">
        <f t="shared" si="3"/>
        <v>0</v>
      </c>
      <c r="Q44" s="12">
        <f t="shared" si="4"/>
        <v>0</v>
      </c>
      <c r="R44" s="12">
        <f t="shared" si="5"/>
        <v>0</v>
      </c>
    </row>
    <row r="45" spans="1:18" x14ac:dyDescent="0.25">
      <c r="A45" s="26"/>
      <c r="B45" s="25" t="s">
        <v>161</v>
      </c>
      <c r="C45" s="15">
        <v>8</v>
      </c>
      <c r="D45" s="16">
        <v>150</v>
      </c>
      <c r="E45" s="15">
        <f t="shared" si="24"/>
        <v>14</v>
      </c>
      <c r="F45" s="11">
        <v>1</v>
      </c>
      <c r="G45" s="11">
        <f>+ROUND(150/D45+1,0)</f>
        <v>2</v>
      </c>
      <c r="H45" s="12"/>
      <c r="I45" s="12">
        <f>2*(0.204+0.654)+24*0.01</f>
        <v>1.956</v>
      </c>
      <c r="J45" s="22"/>
      <c r="K45" s="22"/>
      <c r="L45" s="12">
        <f t="shared" si="20"/>
        <v>1.956</v>
      </c>
      <c r="M45" s="12">
        <f t="shared" si="0"/>
        <v>54.77</v>
      </c>
      <c r="N45" s="12">
        <f t="shared" si="1"/>
        <v>0</v>
      </c>
      <c r="O45" s="12">
        <f t="shared" si="2"/>
        <v>0</v>
      </c>
      <c r="P45" s="12">
        <f t="shared" si="3"/>
        <v>0</v>
      </c>
      <c r="Q45" s="12">
        <f t="shared" si="4"/>
        <v>0</v>
      </c>
      <c r="R45" s="12">
        <f t="shared" si="5"/>
        <v>0</v>
      </c>
    </row>
    <row r="46" spans="1:18" x14ac:dyDescent="0.25">
      <c r="A46" s="26"/>
      <c r="B46" s="25"/>
      <c r="C46" s="15">
        <v>8</v>
      </c>
      <c r="D46" s="16">
        <v>150</v>
      </c>
      <c r="E46" s="15">
        <f t="shared" si="24"/>
        <v>14</v>
      </c>
      <c r="F46" s="11">
        <v>1</v>
      </c>
      <c r="G46" s="11">
        <f t="shared" ref="G46:G48" si="26">+ROUND(150/D46+1,0)</f>
        <v>2</v>
      </c>
      <c r="H46" s="12"/>
      <c r="I46" s="12">
        <f>2*(0.204+0.232)+24*0.01</f>
        <v>1.1120000000000001</v>
      </c>
      <c r="J46" s="22"/>
      <c r="K46" s="22"/>
      <c r="L46" s="12">
        <f t="shared" si="20"/>
        <v>1.1120000000000001</v>
      </c>
      <c r="M46" s="12">
        <f t="shared" si="0"/>
        <v>31.14</v>
      </c>
      <c r="N46" s="12">
        <f t="shared" si="1"/>
        <v>0</v>
      </c>
      <c r="O46" s="12">
        <f t="shared" si="2"/>
        <v>0</v>
      </c>
      <c r="P46" s="12">
        <f t="shared" si="3"/>
        <v>0</v>
      </c>
      <c r="Q46" s="12">
        <f t="shared" si="4"/>
        <v>0</v>
      </c>
      <c r="R46" s="12">
        <f t="shared" si="5"/>
        <v>0</v>
      </c>
    </row>
    <row r="47" spans="1:18" x14ac:dyDescent="0.25">
      <c r="A47" s="26"/>
      <c r="B47" s="25"/>
      <c r="C47" s="15">
        <v>8</v>
      </c>
      <c r="D47" s="16">
        <v>150</v>
      </c>
      <c r="E47" s="15">
        <f t="shared" si="24"/>
        <v>14</v>
      </c>
      <c r="F47" s="11">
        <v>2</v>
      </c>
      <c r="G47" s="11">
        <f t="shared" si="26"/>
        <v>2</v>
      </c>
      <c r="H47" s="12"/>
      <c r="I47" s="12">
        <f>+(0.168+0.168+0.204)+20*0.01</f>
        <v>0.74</v>
      </c>
      <c r="J47" s="22"/>
      <c r="K47" s="22"/>
      <c r="L47" s="12">
        <f t="shared" si="20"/>
        <v>0.74</v>
      </c>
      <c r="M47" s="12">
        <f t="shared" si="0"/>
        <v>41.44</v>
      </c>
      <c r="N47" s="12">
        <f t="shared" si="1"/>
        <v>0</v>
      </c>
      <c r="O47" s="12">
        <f t="shared" si="2"/>
        <v>0</v>
      </c>
      <c r="P47" s="12">
        <f t="shared" si="3"/>
        <v>0</v>
      </c>
      <c r="Q47" s="12">
        <f t="shared" si="4"/>
        <v>0</v>
      </c>
      <c r="R47" s="12">
        <f t="shared" si="5"/>
        <v>0</v>
      </c>
    </row>
    <row r="48" spans="1:18" x14ac:dyDescent="0.25">
      <c r="A48" s="26"/>
      <c r="B48" s="25"/>
      <c r="C48" s="15">
        <v>8</v>
      </c>
      <c r="D48" s="16">
        <v>150</v>
      </c>
      <c r="E48" s="15">
        <f t="shared" si="24"/>
        <v>14</v>
      </c>
      <c r="F48" s="11">
        <v>1</v>
      </c>
      <c r="G48" s="11">
        <f t="shared" si="26"/>
        <v>2</v>
      </c>
      <c r="H48" s="12"/>
      <c r="I48" s="12">
        <f>0.204+2*10*0.01</f>
        <v>0.40400000000000003</v>
      </c>
      <c r="J48" s="22"/>
      <c r="K48" s="22"/>
      <c r="L48" s="12">
        <f t="shared" si="20"/>
        <v>0.40400000000000003</v>
      </c>
      <c r="M48" s="12">
        <f t="shared" si="0"/>
        <v>11.31</v>
      </c>
      <c r="N48" s="12">
        <f t="shared" si="1"/>
        <v>0</v>
      </c>
      <c r="O48" s="12">
        <f t="shared" si="2"/>
        <v>0</v>
      </c>
      <c r="P48" s="12">
        <f t="shared" si="3"/>
        <v>0</v>
      </c>
      <c r="Q48" s="12">
        <f t="shared" si="4"/>
        <v>0</v>
      </c>
      <c r="R48" s="12">
        <f t="shared" si="5"/>
        <v>0</v>
      </c>
    </row>
    <row r="49" spans="1:18" x14ac:dyDescent="0.25">
      <c r="A49" s="26"/>
      <c r="B49" s="45" t="s">
        <v>167</v>
      </c>
      <c r="C49" s="15">
        <v>16</v>
      </c>
      <c r="D49" s="16"/>
      <c r="E49" s="15">
        <v>14</v>
      </c>
      <c r="F49" s="11">
        <v>1</v>
      </c>
      <c r="G49" s="11">
        <v>4</v>
      </c>
      <c r="H49" s="12">
        <v>0.3</v>
      </c>
      <c r="I49" s="12">
        <f t="shared" ref="I49:I50" si="27">100.3-97.06-0.075</f>
        <v>3.1649999999999947</v>
      </c>
      <c r="J49" s="22"/>
      <c r="K49" s="22">
        <f t="shared" ref="K49:K50" si="28">40*C49/1000</f>
        <v>0.64</v>
      </c>
      <c r="L49" s="12">
        <f t="shared" si="20"/>
        <v>4.1049999999999942</v>
      </c>
      <c r="M49" s="12">
        <f t="shared" si="0"/>
        <v>0</v>
      </c>
      <c r="N49" s="12">
        <f t="shared" si="1"/>
        <v>0</v>
      </c>
      <c r="O49" s="12">
        <f t="shared" si="2"/>
        <v>0</v>
      </c>
      <c r="P49" s="12">
        <f t="shared" si="3"/>
        <v>229.88</v>
      </c>
      <c r="Q49" s="12">
        <f t="shared" si="4"/>
        <v>0</v>
      </c>
      <c r="R49" s="12">
        <f t="shared" si="5"/>
        <v>0</v>
      </c>
    </row>
    <row r="50" spans="1:18" x14ac:dyDescent="0.25">
      <c r="A50" s="26"/>
      <c r="B50" s="25"/>
      <c r="C50" s="15">
        <v>12</v>
      </c>
      <c r="D50" s="16"/>
      <c r="E50" s="15">
        <f>+E49</f>
        <v>14</v>
      </c>
      <c r="F50" s="11">
        <v>1</v>
      </c>
      <c r="G50" s="11">
        <v>12</v>
      </c>
      <c r="H50" s="12">
        <v>0.3</v>
      </c>
      <c r="I50" s="12">
        <f t="shared" si="27"/>
        <v>3.1649999999999947</v>
      </c>
      <c r="J50" s="22"/>
      <c r="K50" s="22">
        <f t="shared" si="28"/>
        <v>0.48</v>
      </c>
      <c r="L50" s="12">
        <f t="shared" si="20"/>
        <v>3.9449999999999945</v>
      </c>
      <c r="M50" s="12">
        <f t="shared" si="0"/>
        <v>0</v>
      </c>
      <c r="N50" s="12">
        <f t="shared" si="1"/>
        <v>0</v>
      </c>
      <c r="O50" s="12">
        <f t="shared" si="2"/>
        <v>662.76</v>
      </c>
      <c r="P50" s="12">
        <f t="shared" si="3"/>
        <v>0</v>
      </c>
      <c r="Q50" s="12">
        <f t="shared" si="4"/>
        <v>0</v>
      </c>
      <c r="R50" s="12">
        <f t="shared" si="5"/>
        <v>0</v>
      </c>
    </row>
    <row r="51" spans="1:18" x14ac:dyDescent="0.25">
      <c r="A51" s="26"/>
      <c r="B51" s="25" t="s">
        <v>160</v>
      </c>
      <c r="C51" s="15">
        <v>10</v>
      </c>
      <c r="D51" s="16">
        <v>75</v>
      </c>
      <c r="E51" s="15">
        <f t="shared" ref="E51:E58" si="29">+E50</f>
        <v>14</v>
      </c>
      <c r="F51" s="11">
        <v>2</v>
      </c>
      <c r="G51" s="11">
        <f>+ROUND(715/D51,0)</f>
        <v>10</v>
      </c>
      <c r="H51" s="12"/>
      <c r="I51" s="12">
        <f>2*(0.2+0.615)+24*0.01</f>
        <v>1.8699999999999999</v>
      </c>
      <c r="J51" s="22"/>
      <c r="K51" s="22"/>
      <c r="L51" s="12">
        <f t="shared" si="20"/>
        <v>1.8699999999999999</v>
      </c>
      <c r="M51" s="12">
        <f t="shared" si="0"/>
        <v>0</v>
      </c>
      <c r="N51" s="12">
        <f t="shared" si="1"/>
        <v>523.6</v>
      </c>
      <c r="O51" s="12">
        <f t="shared" si="2"/>
        <v>0</v>
      </c>
      <c r="P51" s="12">
        <f t="shared" si="3"/>
        <v>0</v>
      </c>
      <c r="Q51" s="12">
        <f t="shared" si="4"/>
        <v>0</v>
      </c>
      <c r="R51" s="12">
        <f t="shared" si="5"/>
        <v>0</v>
      </c>
    </row>
    <row r="52" spans="1:18" x14ac:dyDescent="0.25">
      <c r="A52" s="26"/>
      <c r="B52" s="25"/>
      <c r="C52" s="15">
        <v>10</v>
      </c>
      <c r="D52" s="16">
        <v>75</v>
      </c>
      <c r="E52" s="15">
        <f t="shared" si="29"/>
        <v>14</v>
      </c>
      <c r="F52" s="11">
        <v>2</v>
      </c>
      <c r="G52" s="11">
        <f t="shared" ref="G52:G54" si="30">+ROUND(715/D52,0)</f>
        <v>10</v>
      </c>
      <c r="H52" s="12"/>
      <c r="I52" s="12">
        <f>2*(0.2+0.216)+24*0.01</f>
        <v>1.0720000000000001</v>
      </c>
      <c r="J52" s="22"/>
      <c r="K52" s="22"/>
      <c r="L52" s="12">
        <f t="shared" si="20"/>
        <v>1.0720000000000001</v>
      </c>
      <c r="M52" s="12">
        <f t="shared" si="0"/>
        <v>0</v>
      </c>
      <c r="N52" s="12">
        <f t="shared" si="1"/>
        <v>300.16000000000003</v>
      </c>
      <c r="O52" s="12">
        <f t="shared" si="2"/>
        <v>0</v>
      </c>
      <c r="P52" s="12">
        <f t="shared" si="3"/>
        <v>0</v>
      </c>
      <c r="Q52" s="12">
        <f t="shared" si="4"/>
        <v>0</v>
      </c>
      <c r="R52" s="12">
        <f t="shared" si="5"/>
        <v>0</v>
      </c>
    </row>
    <row r="53" spans="1:18" x14ac:dyDescent="0.25">
      <c r="A53" s="26"/>
      <c r="B53" s="25"/>
      <c r="C53" s="15">
        <v>10</v>
      </c>
      <c r="D53" s="16">
        <v>75</v>
      </c>
      <c r="E53" s="15">
        <f t="shared" si="29"/>
        <v>14</v>
      </c>
      <c r="F53" s="11">
        <f>2*2</f>
        <v>4</v>
      </c>
      <c r="G53" s="11">
        <f t="shared" si="30"/>
        <v>10</v>
      </c>
      <c r="H53" s="12"/>
      <c r="I53" s="12">
        <f>+(0.168+0.168+0.2)+20*0.01</f>
        <v>0.73599999999999999</v>
      </c>
      <c r="J53" s="22"/>
      <c r="K53" s="22"/>
      <c r="L53" s="12">
        <f t="shared" si="20"/>
        <v>0.73599999999999999</v>
      </c>
      <c r="M53" s="12">
        <f t="shared" si="0"/>
        <v>0</v>
      </c>
      <c r="N53" s="12">
        <f t="shared" si="1"/>
        <v>412.16</v>
      </c>
      <c r="O53" s="12">
        <f t="shared" si="2"/>
        <v>0</v>
      </c>
      <c r="P53" s="12">
        <f t="shared" si="3"/>
        <v>0</v>
      </c>
      <c r="Q53" s="12">
        <f t="shared" si="4"/>
        <v>0</v>
      </c>
      <c r="R53" s="12">
        <f t="shared" si="5"/>
        <v>0</v>
      </c>
    </row>
    <row r="54" spans="1:18" x14ac:dyDescent="0.25">
      <c r="A54" s="26"/>
      <c r="B54" s="25"/>
      <c r="C54" s="15">
        <v>10</v>
      </c>
      <c r="D54" s="16">
        <v>75</v>
      </c>
      <c r="E54" s="15">
        <f t="shared" si="29"/>
        <v>14</v>
      </c>
      <c r="F54" s="11">
        <v>2</v>
      </c>
      <c r="G54" s="11">
        <f t="shared" si="30"/>
        <v>10</v>
      </c>
      <c r="H54" s="12"/>
      <c r="I54" s="12">
        <f>0.2+2*10*0.01</f>
        <v>0.4</v>
      </c>
      <c r="J54" s="22"/>
      <c r="K54" s="22"/>
      <c r="L54" s="12">
        <f t="shared" si="20"/>
        <v>0.4</v>
      </c>
      <c r="M54" s="12">
        <f t="shared" si="0"/>
        <v>0</v>
      </c>
      <c r="N54" s="12">
        <f t="shared" si="1"/>
        <v>112</v>
      </c>
      <c r="O54" s="12">
        <f t="shared" si="2"/>
        <v>0</v>
      </c>
      <c r="P54" s="12">
        <f t="shared" si="3"/>
        <v>0</v>
      </c>
      <c r="Q54" s="12">
        <f t="shared" si="4"/>
        <v>0</v>
      </c>
      <c r="R54" s="12">
        <f t="shared" si="5"/>
        <v>0</v>
      </c>
    </row>
    <row r="55" spans="1:18" x14ac:dyDescent="0.25">
      <c r="A55" s="26"/>
      <c r="B55" s="25" t="s">
        <v>161</v>
      </c>
      <c r="C55" s="15">
        <v>8</v>
      </c>
      <c r="D55" s="16">
        <v>150</v>
      </c>
      <c r="E55" s="15">
        <f t="shared" si="29"/>
        <v>14</v>
      </c>
      <c r="F55" s="11">
        <v>1</v>
      </c>
      <c r="G55" s="11">
        <f>+ROUND(250/D55+1,0)</f>
        <v>3</v>
      </c>
      <c r="H55" s="12"/>
      <c r="I55" s="12">
        <f>2*(0.204+0.619)+24*0.01</f>
        <v>1.8859999999999999</v>
      </c>
      <c r="J55" s="22"/>
      <c r="K55" s="22"/>
      <c r="L55" s="12">
        <f t="shared" si="20"/>
        <v>1.8859999999999999</v>
      </c>
      <c r="M55" s="12">
        <f t="shared" si="0"/>
        <v>79.209999999999994</v>
      </c>
      <c r="N55" s="12">
        <f t="shared" si="1"/>
        <v>0</v>
      </c>
      <c r="O55" s="12">
        <f t="shared" si="2"/>
        <v>0</v>
      </c>
      <c r="P55" s="12">
        <f t="shared" si="3"/>
        <v>0</v>
      </c>
      <c r="Q55" s="12">
        <f t="shared" si="4"/>
        <v>0</v>
      </c>
      <c r="R55" s="12">
        <f t="shared" si="5"/>
        <v>0</v>
      </c>
    </row>
    <row r="56" spans="1:18" x14ac:dyDescent="0.25">
      <c r="A56" s="26"/>
      <c r="B56" s="25"/>
      <c r="C56" s="15">
        <v>8</v>
      </c>
      <c r="D56" s="16">
        <v>150</v>
      </c>
      <c r="E56" s="15">
        <f t="shared" si="29"/>
        <v>14</v>
      </c>
      <c r="F56" s="11">
        <v>1</v>
      </c>
      <c r="G56" s="11">
        <f t="shared" ref="G56:G58" si="31">+ROUND(250/D56+1,0)</f>
        <v>3</v>
      </c>
      <c r="H56" s="12"/>
      <c r="I56" s="12">
        <f>2*(0.204+0.217)+24*0.01</f>
        <v>1.0819999999999999</v>
      </c>
      <c r="J56" s="22"/>
      <c r="K56" s="22"/>
      <c r="L56" s="12">
        <f t="shared" si="20"/>
        <v>1.0819999999999999</v>
      </c>
      <c r="M56" s="12">
        <f t="shared" ref="M56:M110" si="32">+ROUND(IF(C56=8,PRODUCT(E56,F56,G56,L56),0),2)</f>
        <v>45.44</v>
      </c>
      <c r="N56" s="12">
        <f t="shared" ref="N56:N119" si="33">+ROUND(IF(C56=10,PRODUCT(E56,F56,G56,L56),0),2)</f>
        <v>0</v>
      </c>
      <c r="O56" s="12">
        <f t="shared" ref="O56:O119" si="34">+ROUND(IF(C56=12,PRODUCT(E56,F56,G56,L56),0),2)</f>
        <v>0</v>
      </c>
      <c r="P56" s="12">
        <f t="shared" ref="P56:P119" si="35">+ROUND(IF(C56=16,PRODUCT(E56,F56,G56,L56),0),2)</f>
        <v>0</v>
      </c>
      <c r="Q56" s="12">
        <f t="shared" ref="Q56:Q119" si="36">+ROUND(IF(C56=20,PRODUCT(E56,F56,G56,L56),0),2)</f>
        <v>0</v>
      </c>
      <c r="R56" s="12">
        <f t="shared" ref="R56:R119" si="37">+ROUND(IF(C56=25,PRODUCT(E56,F56,G56,L56),0),2)</f>
        <v>0</v>
      </c>
    </row>
    <row r="57" spans="1:18" x14ac:dyDescent="0.25">
      <c r="A57" s="26"/>
      <c r="B57" s="25"/>
      <c r="C57" s="15">
        <v>8</v>
      </c>
      <c r="D57" s="16">
        <v>150</v>
      </c>
      <c r="E57" s="15">
        <f t="shared" si="29"/>
        <v>14</v>
      </c>
      <c r="F57" s="11">
        <v>2</v>
      </c>
      <c r="G57" s="11">
        <f t="shared" si="31"/>
        <v>3</v>
      </c>
      <c r="H57" s="12"/>
      <c r="I57" s="12">
        <f>+(0.168+0.168+0.204)+20*0.01</f>
        <v>0.74</v>
      </c>
      <c r="J57" s="22"/>
      <c r="K57" s="22"/>
      <c r="L57" s="12">
        <f t="shared" si="20"/>
        <v>0.74</v>
      </c>
      <c r="M57" s="12">
        <f t="shared" si="32"/>
        <v>62.16</v>
      </c>
      <c r="N57" s="12">
        <f t="shared" si="33"/>
        <v>0</v>
      </c>
      <c r="O57" s="12">
        <f t="shared" si="34"/>
        <v>0</v>
      </c>
      <c r="P57" s="12">
        <f t="shared" si="35"/>
        <v>0</v>
      </c>
      <c r="Q57" s="12">
        <f t="shared" si="36"/>
        <v>0</v>
      </c>
      <c r="R57" s="12">
        <f t="shared" si="37"/>
        <v>0</v>
      </c>
    </row>
    <row r="58" spans="1:18" x14ac:dyDescent="0.25">
      <c r="A58" s="26"/>
      <c r="B58" s="25"/>
      <c r="C58" s="15">
        <v>8</v>
      </c>
      <c r="D58" s="16">
        <v>150</v>
      </c>
      <c r="E58" s="15">
        <f t="shared" si="29"/>
        <v>14</v>
      </c>
      <c r="F58" s="11">
        <v>1</v>
      </c>
      <c r="G58" s="11">
        <f t="shared" si="31"/>
        <v>3</v>
      </c>
      <c r="H58" s="12"/>
      <c r="I58" s="12">
        <f>0.204+2*10*0.01</f>
        <v>0.40400000000000003</v>
      </c>
      <c r="J58" s="22"/>
      <c r="K58" s="22"/>
      <c r="L58" s="12">
        <f t="shared" si="20"/>
        <v>0.40400000000000003</v>
      </c>
      <c r="M58" s="12">
        <f t="shared" si="32"/>
        <v>16.97</v>
      </c>
      <c r="N58" s="12">
        <f t="shared" si="33"/>
        <v>0</v>
      </c>
      <c r="O58" s="12">
        <f t="shared" si="34"/>
        <v>0</v>
      </c>
      <c r="P58" s="12">
        <f t="shared" si="35"/>
        <v>0</v>
      </c>
      <c r="Q58" s="12">
        <f t="shared" si="36"/>
        <v>0</v>
      </c>
      <c r="R58" s="12">
        <f t="shared" si="37"/>
        <v>0</v>
      </c>
    </row>
    <row r="59" spans="1:18" x14ac:dyDescent="0.25">
      <c r="A59" s="26"/>
      <c r="B59" s="45" t="s">
        <v>168</v>
      </c>
      <c r="C59" s="15">
        <v>16</v>
      </c>
      <c r="D59" s="16"/>
      <c r="E59" s="15">
        <v>4</v>
      </c>
      <c r="F59" s="11">
        <v>1</v>
      </c>
      <c r="G59" s="11">
        <v>4</v>
      </c>
      <c r="H59" s="12">
        <v>0.3</v>
      </c>
      <c r="I59" s="12">
        <f t="shared" ref="I59:I60" si="38">100.3-97.06-0.075</f>
        <v>3.1649999999999947</v>
      </c>
      <c r="J59" s="22"/>
      <c r="K59" s="22">
        <f t="shared" ref="K59:K60" si="39">40*C59/1000</f>
        <v>0.64</v>
      </c>
      <c r="L59" s="12">
        <f t="shared" si="20"/>
        <v>4.1049999999999942</v>
      </c>
      <c r="M59" s="12">
        <f t="shared" si="32"/>
        <v>0</v>
      </c>
      <c r="N59" s="12">
        <f t="shared" si="33"/>
        <v>0</v>
      </c>
      <c r="O59" s="12">
        <f t="shared" si="34"/>
        <v>0</v>
      </c>
      <c r="P59" s="12">
        <f t="shared" si="35"/>
        <v>65.680000000000007</v>
      </c>
      <c r="Q59" s="12">
        <f t="shared" si="36"/>
        <v>0</v>
      </c>
      <c r="R59" s="12">
        <f t="shared" si="37"/>
        <v>0</v>
      </c>
    </row>
    <row r="60" spans="1:18" x14ac:dyDescent="0.25">
      <c r="A60" s="26"/>
      <c r="B60" s="25"/>
      <c r="C60" s="15">
        <v>12</v>
      </c>
      <c r="D60" s="16"/>
      <c r="E60" s="15">
        <f>+E59</f>
        <v>4</v>
      </c>
      <c r="F60" s="11">
        <v>1</v>
      </c>
      <c r="G60" s="11">
        <v>12</v>
      </c>
      <c r="H60" s="12">
        <v>0.3</v>
      </c>
      <c r="I60" s="12">
        <f t="shared" si="38"/>
        <v>3.1649999999999947</v>
      </c>
      <c r="J60" s="22"/>
      <c r="K60" s="22">
        <f t="shared" si="39"/>
        <v>0.48</v>
      </c>
      <c r="L60" s="12">
        <f t="shared" si="20"/>
        <v>3.9449999999999945</v>
      </c>
      <c r="M60" s="12">
        <f t="shared" si="32"/>
        <v>0</v>
      </c>
      <c r="N60" s="12">
        <f t="shared" si="33"/>
        <v>0</v>
      </c>
      <c r="O60" s="12">
        <f t="shared" si="34"/>
        <v>189.36</v>
      </c>
      <c r="P60" s="12">
        <f t="shared" si="35"/>
        <v>0</v>
      </c>
      <c r="Q60" s="12">
        <f t="shared" si="36"/>
        <v>0</v>
      </c>
      <c r="R60" s="12">
        <f t="shared" si="37"/>
        <v>0</v>
      </c>
    </row>
    <row r="61" spans="1:18" x14ac:dyDescent="0.25">
      <c r="A61" s="26"/>
      <c r="B61" s="25" t="s">
        <v>160</v>
      </c>
      <c r="C61" s="15">
        <v>10</v>
      </c>
      <c r="D61" s="16">
        <v>75</v>
      </c>
      <c r="E61" s="15">
        <f t="shared" ref="E61:E66" si="40">+E60</f>
        <v>4</v>
      </c>
      <c r="F61" s="11">
        <v>2</v>
      </c>
      <c r="G61" s="11">
        <f>+ROUND(800/D61,0)</f>
        <v>11</v>
      </c>
      <c r="H61" s="12"/>
      <c r="I61" s="12">
        <f>2*(0.2+0.7)+24*0.01</f>
        <v>2.04</v>
      </c>
      <c r="J61" s="22"/>
      <c r="K61" s="22"/>
      <c r="L61" s="12">
        <f t="shared" si="20"/>
        <v>2.04</v>
      </c>
      <c r="M61" s="12">
        <f t="shared" si="32"/>
        <v>0</v>
      </c>
      <c r="N61" s="12">
        <f t="shared" si="33"/>
        <v>179.52</v>
      </c>
      <c r="O61" s="12">
        <f t="shared" si="34"/>
        <v>0</v>
      </c>
      <c r="P61" s="12">
        <f t="shared" si="35"/>
        <v>0</v>
      </c>
      <c r="Q61" s="12">
        <f t="shared" si="36"/>
        <v>0</v>
      </c>
      <c r="R61" s="12">
        <f t="shared" si="37"/>
        <v>0</v>
      </c>
    </row>
    <row r="62" spans="1:18" x14ac:dyDescent="0.25">
      <c r="A62" s="26"/>
      <c r="B62" s="25"/>
      <c r="C62" s="15">
        <v>10</v>
      </c>
      <c r="D62" s="16">
        <v>75</v>
      </c>
      <c r="E62" s="15">
        <f t="shared" si="40"/>
        <v>4</v>
      </c>
      <c r="F62" s="11">
        <f>2*2</f>
        <v>4</v>
      </c>
      <c r="G62" s="11">
        <f t="shared" ref="G62:G63" si="41">+ROUND(800/D62,0)</f>
        <v>11</v>
      </c>
      <c r="H62" s="12"/>
      <c r="I62" s="12">
        <f>2*(0.2+0.115)+24*0.01</f>
        <v>0.87</v>
      </c>
      <c r="J62" s="22"/>
      <c r="K62" s="22"/>
      <c r="L62" s="12">
        <f t="shared" si="20"/>
        <v>0.87</v>
      </c>
      <c r="M62" s="12">
        <f t="shared" si="32"/>
        <v>0</v>
      </c>
      <c r="N62" s="12">
        <f t="shared" si="33"/>
        <v>153.12</v>
      </c>
      <c r="O62" s="12">
        <f t="shared" si="34"/>
        <v>0</v>
      </c>
      <c r="P62" s="12">
        <f t="shared" si="35"/>
        <v>0</v>
      </c>
      <c r="Q62" s="12">
        <f t="shared" si="36"/>
        <v>0</v>
      </c>
      <c r="R62" s="12">
        <f t="shared" si="37"/>
        <v>0</v>
      </c>
    </row>
    <row r="63" spans="1:18" x14ac:dyDescent="0.25">
      <c r="A63" s="26"/>
      <c r="B63" s="25"/>
      <c r="C63" s="15">
        <v>10</v>
      </c>
      <c r="D63" s="16">
        <v>75</v>
      </c>
      <c r="E63" s="15">
        <f t="shared" si="40"/>
        <v>4</v>
      </c>
      <c r="F63" s="11">
        <f>2*2</f>
        <v>4</v>
      </c>
      <c r="G63" s="11">
        <f t="shared" si="41"/>
        <v>11</v>
      </c>
      <c r="H63" s="12"/>
      <c r="I63" s="12">
        <f>+(0.168+0.168+0.2)+20*0.01</f>
        <v>0.73599999999999999</v>
      </c>
      <c r="J63" s="22"/>
      <c r="K63" s="22"/>
      <c r="L63" s="12">
        <f t="shared" si="20"/>
        <v>0.73599999999999999</v>
      </c>
      <c r="M63" s="12">
        <f t="shared" si="32"/>
        <v>0</v>
      </c>
      <c r="N63" s="12">
        <f t="shared" si="33"/>
        <v>129.54</v>
      </c>
      <c r="O63" s="12">
        <f t="shared" si="34"/>
        <v>0</v>
      </c>
      <c r="P63" s="12">
        <f t="shared" si="35"/>
        <v>0</v>
      </c>
      <c r="Q63" s="12">
        <f t="shared" si="36"/>
        <v>0</v>
      </c>
      <c r="R63" s="12">
        <f t="shared" si="37"/>
        <v>0</v>
      </c>
    </row>
    <row r="64" spans="1:18" x14ac:dyDescent="0.25">
      <c r="A64" s="26"/>
      <c r="B64" s="25" t="s">
        <v>161</v>
      </c>
      <c r="C64" s="15">
        <v>8</v>
      </c>
      <c r="D64" s="16">
        <v>150</v>
      </c>
      <c r="E64" s="15">
        <f t="shared" si="40"/>
        <v>4</v>
      </c>
      <c r="F64" s="11">
        <v>1</v>
      </c>
      <c r="G64" s="11">
        <f>+ROUND(50/D64+1,0)</f>
        <v>1</v>
      </c>
      <c r="H64" s="12"/>
      <c r="I64" s="12">
        <f>2*(0.204+0.704)+24*0.008</f>
        <v>2.008</v>
      </c>
      <c r="J64" s="22"/>
      <c r="K64" s="22"/>
      <c r="L64" s="12">
        <f t="shared" si="20"/>
        <v>2.008</v>
      </c>
      <c r="M64" s="12">
        <f t="shared" si="32"/>
        <v>8.0299999999999994</v>
      </c>
      <c r="N64" s="12">
        <f t="shared" si="33"/>
        <v>0</v>
      </c>
      <c r="O64" s="12">
        <f t="shared" si="34"/>
        <v>0</v>
      </c>
      <c r="P64" s="12">
        <f t="shared" si="35"/>
        <v>0</v>
      </c>
      <c r="Q64" s="12">
        <f t="shared" si="36"/>
        <v>0</v>
      </c>
      <c r="R64" s="12">
        <f t="shared" si="37"/>
        <v>0</v>
      </c>
    </row>
    <row r="65" spans="1:18" x14ac:dyDescent="0.25">
      <c r="A65" s="26"/>
      <c r="B65" s="25"/>
      <c r="C65" s="15">
        <v>8</v>
      </c>
      <c r="D65" s="16">
        <v>150</v>
      </c>
      <c r="E65" s="15">
        <f t="shared" si="40"/>
        <v>4</v>
      </c>
      <c r="F65" s="11">
        <v>2</v>
      </c>
      <c r="G65" s="11">
        <f t="shared" ref="G65:G66" si="42">+ROUND(50/D65+1,0)</f>
        <v>1</v>
      </c>
      <c r="H65" s="12"/>
      <c r="I65" s="12">
        <f>2*(0.204+0.115)+24*0.008</f>
        <v>0.83000000000000007</v>
      </c>
      <c r="J65" s="22"/>
      <c r="K65" s="22"/>
      <c r="L65" s="12">
        <f t="shared" si="20"/>
        <v>0.83000000000000007</v>
      </c>
      <c r="M65" s="12">
        <f t="shared" si="32"/>
        <v>6.64</v>
      </c>
      <c r="N65" s="12">
        <f t="shared" si="33"/>
        <v>0</v>
      </c>
      <c r="O65" s="12">
        <f t="shared" si="34"/>
        <v>0</v>
      </c>
      <c r="P65" s="12">
        <f t="shared" si="35"/>
        <v>0</v>
      </c>
      <c r="Q65" s="12">
        <f t="shared" si="36"/>
        <v>0</v>
      </c>
      <c r="R65" s="12">
        <f t="shared" si="37"/>
        <v>0</v>
      </c>
    </row>
    <row r="66" spans="1:18" x14ac:dyDescent="0.25">
      <c r="A66" s="26"/>
      <c r="B66" s="25"/>
      <c r="C66" s="15">
        <v>8</v>
      </c>
      <c r="D66" s="16">
        <v>150</v>
      </c>
      <c r="E66" s="15">
        <f t="shared" si="40"/>
        <v>4</v>
      </c>
      <c r="F66" s="11">
        <v>2</v>
      </c>
      <c r="G66" s="11">
        <f t="shared" si="42"/>
        <v>1</v>
      </c>
      <c r="H66" s="12"/>
      <c r="I66" s="12">
        <f>+(0.168+0.168+0.204)+20*0.008</f>
        <v>0.70000000000000007</v>
      </c>
      <c r="J66" s="22"/>
      <c r="K66" s="22"/>
      <c r="L66" s="12">
        <f t="shared" si="20"/>
        <v>0.70000000000000007</v>
      </c>
      <c r="M66" s="12">
        <f t="shared" si="32"/>
        <v>5.6</v>
      </c>
      <c r="N66" s="12">
        <f t="shared" si="33"/>
        <v>0</v>
      </c>
      <c r="O66" s="12">
        <f t="shared" si="34"/>
        <v>0</v>
      </c>
      <c r="P66" s="12">
        <f t="shared" si="35"/>
        <v>0</v>
      </c>
      <c r="Q66" s="12">
        <f t="shared" si="36"/>
        <v>0</v>
      </c>
      <c r="R66" s="12">
        <f t="shared" si="37"/>
        <v>0</v>
      </c>
    </row>
    <row r="67" spans="1:18" x14ac:dyDescent="0.25">
      <c r="A67" s="26"/>
      <c r="B67" s="45" t="s">
        <v>169</v>
      </c>
      <c r="C67" s="15">
        <v>20</v>
      </c>
      <c r="D67" s="16"/>
      <c r="E67" s="15">
        <v>4</v>
      </c>
      <c r="F67" s="11">
        <v>1</v>
      </c>
      <c r="G67" s="11">
        <v>14</v>
      </c>
      <c r="H67" s="12">
        <v>0.3</v>
      </c>
      <c r="I67" s="12">
        <f>100.3-97.06-0.075</f>
        <v>3.1649999999999947</v>
      </c>
      <c r="J67" s="22"/>
      <c r="K67" s="22">
        <f>40*C67/1000</f>
        <v>0.8</v>
      </c>
      <c r="L67" s="12">
        <f t="shared" si="20"/>
        <v>4.2649999999999944</v>
      </c>
      <c r="M67" s="12">
        <f t="shared" si="32"/>
        <v>0</v>
      </c>
      <c r="N67" s="12">
        <f t="shared" si="33"/>
        <v>0</v>
      </c>
      <c r="O67" s="12">
        <f t="shared" si="34"/>
        <v>0</v>
      </c>
      <c r="P67" s="12">
        <f t="shared" si="35"/>
        <v>0</v>
      </c>
      <c r="Q67" s="12">
        <f t="shared" si="36"/>
        <v>238.84</v>
      </c>
      <c r="R67" s="12">
        <f t="shared" si="37"/>
        <v>0</v>
      </c>
    </row>
    <row r="68" spans="1:18" x14ac:dyDescent="0.25">
      <c r="A68" s="26"/>
      <c r="B68" s="25" t="s">
        <v>160</v>
      </c>
      <c r="C68" s="15">
        <v>10</v>
      </c>
      <c r="D68" s="16">
        <v>75</v>
      </c>
      <c r="E68" s="15">
        <f>+E67</f>
        <v>4</v>
      </c>
      <c r="F68" s="11">
        <v>2</v>
      </c>
      <c r="G68" s="11">
        <f>+ROUND(600/D68,0)</f>
        <v>8</v>
      </c>
      <c r="H68" s="12"/>
      <c r="I68" s="12">
        <f>2*(0.2+0.5)+24*0.01</f>
        <v>1.64</v>
      </c>
      <c r="J68" s="22"/>
      <c r="K68" s="22"/>
      <c r="L68" s="12">
        <f t="shared" si="20"/>
        <v>1.64</v>
      </c>
      <c r="M68" s="12">
        <f t="shared" si="32"/>
        <v>0</v>
      </c>
      <c r="N68" s="12">
        <f t="shared" si="33"/>
        <v>104.96</v>
      </c>
      <c r="O68" s="12">
        <f t="shared" si="34"/>
        <v>0</v>
      </c>
      <c r="P68" s="12">
        <f t="shared" si="35"/>
        <v>0</v>
      </c>
      <c r="Q68" s="12">
        <f t="shared" si="36"/>
        <v>0</v>
      </c>
      <c r="R68" s="12">
        <f t="shared" si="37"/>
        <v>0</v>
      </c>
    </row>
    <row r="69" spans="1:18" x14ac:dyDescent="0.25">
      <c r="A69" s="26"/>
      <c r="B69" s="25"/>
      <c r="C69" s="15">
        <v>10</v>
      </c>
      <c r="D69" s="16">
        <v>75</v>
      </c>
      <c r="E69" s="15">
        <f t="shared" ref="E69:E73" si="43">+E68</f>
        <v>4</v>
      </c>
      <c r="F69" s="11">
        <v>2</v>
      </c>
      <c r="G69" s="11">
        <f t="shared" ref="G69:G70" si="44">+ROUND(600/D69,0)</f>
        <v>8</v>
      </c>
      <c r="H69" s="12"/>
      <c r="I69" s="12">
        <f>2*(0.2+0.115)+24*0.01</f>
        <v>0.87</v>
      </c>
      <c r="J69" s="22"/>
      <c r="K69" s="22"/>
      <c r="L69" s="12">
        <f t="shared" si="20"/>
        <v>0.87</v>
      </c>
      <c r="M69" s="12">
        <f t="shared" si="32"/>
        <v>0</v>
      </c>
      <c r="N69" s="12">
        <f t="shared" si="33"/>
        <v>55.68</v>
      </c>
      <c r="O69" s="12">
        <f t="shared" si="34"/>
        <v>0</v>
      </c>
      <c r="P69" s="12">
        <f t="shared" si="35"/>
        <v>0</v>
      </c>
      <c r="Q69" s="12">
        <f t="shared" si="36"/>
        <v>0</v>
      </c>
      <c r="R69" s="12">
        <f t="shared" si="37"/>
        <v>0</v>
      </c>
    </row>
    <row r="70" spans="1:18" x14ac:dyDescent="0.25">
      <c r="A70" s="26"/>
      <c r="B70" s="25"/>
      <c r="C70" s="15">
        <v>10</v>
      </c>
      <c r="D70" s="16">
        <v>75</v>
      </c>
      <c r="E70" s="15">
        <f t="shared" si="43"/>
        <v>4</v>
      </c>
      <c r="F70" s="11">
        <f>2*2</f>
        <v>4</v>
      </c>
      <c r="G70" s="11">
        <f t="shared" si="44"/>
        <v>8</v>
      </c>
      <c r="H70" s="12"/>
      <c r="I70" s="12">
        <f>+(0.168+0.168+0.2)+20*0.01</f>
        <v>0.73599999999999999</v>
      </c>
      <c r="J70" s="22"/>
      <c r="K70" s="22"/>
      <c r="L70" s="12">
        <f t="shared" si="20"/>
        <v>0.73599999999999999</v>
      </c>
      <c r="M70" s="12">
        <f t="shared" si="32"/>
        <v>0</v>
      </c>
      <c r="N70" s="12">
        <f t="shared" si="33"/>
        <v>94.21</v>
      </c>
      <c r="O70" s="12">
        <f t="shared" si="34"/>
        <v>0</v>
      </c>
      <c r="P70" s="12">
        <f t="shared" si="35"/>
        <v>0</v>
      </c>
      <c r="Q70" s="12">
        <f t="shared" si="36"/>
        <v>0</v>
      </c>
      <c r="R70" s="12">
        <f t="shared" si="37"/>
        <v>0</v>
      </c>
    </row>
    <row r="71" spans="1:18" x14ac:dyDescent="0.25">
      <c r="A71" s="26"/>
      <c r="B71" s="25" t="s">
        <v>161</v>
      </c>
      <c r="C71" s="15">
        <v>8</v>
      </c>
      <c r="D71" s="16">
        <v>150</v>
      </c>
      <c r="E71" s="15">
        <f t="shared" si="43"/>
        <v>4</v>
      </c>
      <c r="F71" s="11">
        <v>1</v>
      </c>
      <c r="G71" s="11">
        <f>+ROUND(450/D71+1,0)</f>
        <v>4</v>
      </c>
      <c r="H71" s="12"/>
      <c r="I71" s="12">
        <f>2*(0.204+0.504)+24*0.008</f>
        <v>1.6079999999999999</v>
      </c>
      <c r="J71" s="22"/>
      <c r="K71" s="22"/>
      <c r="L71" s="12">
        <f t="shared" si="20"/>
        <v>1.6079999999999999</v>
      </c>
      <c r="M71" s="12">
        <f t="shared" si="32"/>
        <v>25.73</v>
      </c>
      <c r="N71" s="12">
        <f t="shared" si="33"/>
        <v>0</v>
      </c>
      <c r="O71" s="12">
        <f t="shared" si="34"/>
        <v>0</v>
      </c>
      <c r="P71" s="12">
        <f t="shared" si="35"/>
        <v>0</v>
      </c>
      <c r="Q71" s="12">
        <f t="shared" si="36"/>
        <v>0</v>
      </c>
      <c r="R71" s="12">
        <f t="shared" si="37"/>
        <v>0</v>
      </c>
    </row>
    <row r="72" spans="1:18" x14ac:dyDescent="0.25">
      <c r="A72" s="26"/>
      <c r="B72" s="25"/>
      <c r="C72" s="15">
        <v>8</v>
      </c>
      <c r="D72" s="16">
        <v>150</v>
      </c>
      <c r="E72" s="15">
        <f t="shared" si="43"/>
        <v>4</v>
      </c>
      <c r="F72" s="11">
        <v>1</v>
      </c>
      <c r="G72" s="11">
        <f t="shared" ref="G72:G73" si="45">+ROUND(450/D72+1,0)</f>
        <v>4</v>
      </c>
      <c r="H72" s="12"/>
      <c r="I72" s="12">
        <f>2*(0.204+0.115)+24*0.008</f>
        <v>0.83000000000000007</v>
      </c>
      <c r="J72" s="22"/>
      <c r="K72" s="22"/>
      <c r="L72" s="12">
        <f t="shared" si="20"/>
        <v>0.83000000000000007</v>
      </c>
      <c r="M72" s="12">
        <f t="shared" si="32"/>
        <v>13.28</v>
      </c>
      <c r="N72" s="12">
        <f t="shared" si="33"/>
        <v>0</v>
      </c>
      <c r="O72" s="12">
        <f t="shared" si="34"/>
        <v>0</v>
      </c>
      <c r="P72" s="12">
        <f t="shared" si="35"/>
        <v>0</v>
      </c>
      <c r="Q72" s="12">
        <f t="shared" si="36"/>
        <v>0</v>
      </c>
      <c r="R72" s="12">
        <f t="shared" si="37"/>
        <v>0</v>
      </c>
    </row>
    <row r="73" spans="1:18" x14ac:dyDescent="0.25">
      <c r="A73" s="26"/>
      <c r="B73" s="25"/>
      <c r="C73" s="15">
        <v>8</v>
      </c>
      <c r="D73" s="16">
        <v>150</v>
      </c>
      <c r="E73" s="15">
        <f t="shared" si="43"/>
        <v>4</v>
      </c>
      <c r="F73" s="11">
        <v>2</v>
      </c>
      <c r="G73" s="11">
        <f t="shared" si="45"/>
        <v>4</v>
      </c>
      <c r="H73" s="12"/>
      <c r="I73" s="12">
        <f>+(0.168+0.168+0.204)+20*0.008</f>
        <v>0.70000000000000007</v>
      </c>
      <c r="J73" s="22"/>
      <c r="K73" s="22"/>
      <c r="L73" s="12">
        <f t="shared" si="20"/>
        <v>0.70000000000000007</v>
      </c>
      <c r="M73" s="12">
        <f t="shared" si="32"/>
        <v>22.4</v>
      </c>
      <c r="N73" s="12">
        <f t="shared" si="33"/>
        <v>0</v>
      </c>
      <c r="O73" s="12">
        <f t="shared" si="34"/>
        <v>0</v>
      </c>
      <c r="P73" s="12">
        <f t="shared" si="35"/>
        <v>0</v>
      </c>
      <c r="Q73" s="12">
        <f t="shared" si="36"/>
        <v>0</v>
      </c>
      <c r="R73" s="12">
        <f t="shared" si="37"/>
        <v>0</v>
      </c>
    </row>
    <row r="74" spans="1:18" x14ac:dyDescent="0.25">
      <c r="A74" s="26"/>
      <c r="B74" s="45" t="s">
        <v>170</v>
      </c>
      <c r="C74" s="15"/>
      <c r="D74" s="16"/>
      <c r="E74" s="15"/>
      <c r="F74" s="11"/>
      <c r="G74" s="11"/>
      <c r="H74" s="12"/>
      <c r="I74" s="12"/>
      <c r="J74" s="22"/>
      <c r="K74" s="22"/>
      <c r="L74" s="12">
        <f t="shared" si="20"/>
        <v>0</v>
      </c>
      <c r="M74" s="12">
        <f t="shared" si="32"/>
        <v>0</v>
      </c>
      <c r="N74" s="12">
        <f t="shared" si="33"/>
        <v>0</v>
      </c>
      <c r="O74" s="12">
        <f t="shared" si="34"/>
        <v>0</v>
      </c>
      <c r="P74" s="12">
        <f t="shared" si="35"/>
        <v>0</v>
      </c>
      <c r="Q74" s="12">
        <f t="shared" si="36"/>
        <v>0</v>
      </c>
      <c r="R74" s="12">
        <f t="shared" si="37"/>
        <v>0</v>
      </c>
    </row>
    <row r="75" spans="1:18" x14ac:dyDescent="0.25">
      <c r="A75" s="26"/>
      <c r="B75" s="45" t="s">
        <v>171</v>
      </c>
      <c r="C75" s="15">
        <v>16</v>
      </c>
      <c r="D75" s="16"/>
      <c r="E75" s="15">
        <v>2</v>
      </c>
      <c r="F75" s="11">
        <v>1</v>
      </c>
      <c r="G75" s="11">
        <v>8</v>
      </c>
      <c r="H75" s="12">
        <v>0.3</v>
      </c>
      <c r="I75" s="12">
        <f t="shared" ref="I75:I77" si="46">100.3-97.06-0.075</f>
        <v>3.1649999999999947</v>
      </c>
      <c r="J75" s="22"/>
      <c r="K75" s="22">
        <f t="shared" ref="K75:K77" si="47">40*C75/1000</f>
        <v>0.64</v>
      </c>
      <c r="L75" s="12">
        <f t="shared" si="20"/>
        <v>4.1049999999999942</v>
      </c>
      <c r="M75" s="12">
        <f t="shared" si="32"/>
        <v>0</v>
      </c>
      <c r="N75" s="12">
        <f t="shared" si="33"/>
        <v>0</v>
      </c>
      <c r="O75" s="12">
        <f t="shared" si="34"/>
        <v>0</v>
      </c>
      <c r="P75" s="12">
        <f t="shared" si="35"/>
        <v>65.680000000000007</v>
      </c>
      <c r="Q75" s="12">
        <f t="shared" si="36"/>
        <v>0</v>
      </c>
      <c r="R75" s="12">
        <f t="shared" si="37"/>
        <v>0</v>
      </c>
    </row>
    <row r="76" spans="1:18" x14ac:dyDescent="0.25">
      <c r="A76" s="26"/>
      <c r="B76" s="25"/>
      <c r="C76" s="15">
        <v>12</v>
      </c>
      <c r="D76" s="16"/>
      <c r="E76" s="15">
        <v>2</v>
      </c>
      <c r="F76" s="11">
        <v>1</v>
      </c>
      <c r="G76" s="11">
        <v>16</v>
      </c>
      <c r="H76" s="12">
        <v>0.3</v>
      </c>
      <c r="I76" s="12">
        <f t="shared" si="46"/>
        <v>3.1649999999999947</v>
      </c>
      <c r="J76" s="22"/>
      <c r="K76" s="22">
        <f t="shared" si="47"/>
        <v>0.48</v>
      </c>
      <c r="L76" s="12">
        <f t="shared" si="20"/>
        <v>3.9449999999999945</v>
      </c>
      <c r="M76" s="12">
        <f t="shared" si="32"/>
        <v>0</v>
      </c>
      <c r="N76" s="12">
        <f t="shared" si="33"/>
        <v>0</v>
      </c>
      <c r="O76" s="12">
        <f t="shared" si="34"/>
        <v>126.24</v>
      </c>
      <c r="P76" s="12">
        <f t="shared" si="35"/>
        <v>0</v>
      </c>
      <c r="Q76" s="12">
        <f t="shared" si="36"/>
        <v>0</v>
      </c>
      <c r="R76" s="12">
        <f t="shared" si="37"/>
        <v>0</v>
      </c>
    </row>
    <row r="77" spans="1:18" x14ac:dyDescent="0.25">
      <c r="A77" s="26"/>
      <c r="B77" s="25"/>
      <c r="C77" s="15">
        <v>10</v>
      </c>
      <c r="D77" s="16"/>
      <c r="E77" s="15">
        <v>2</v>
      </c>
      <c r="F77" s="11">
        <v>1</v>
      </c>
      <c r="G77" s="11">
        <v>8</v>
      </c>
      <c r="H77" s="12">
        <v>0.3</v>
      </c>
      <c r="I77" s="12">
        <f t="shared" si="46"/>
        <v>3.1649999999999947</v>
      </c>
      <c r="J77" s="22"/>
      <c r="K77" s="22">
        <f t="shared" si="47"/>
        <v>0.4</v>
      </c>
      <c r="L77" s="12">
        <f t="shared" si="20"/>
        <v>3.8649999999999944</v>
      </c>
      <c r="M77" s="12">
        <f t="shared" si="32"/>
        <v>0</v>
      </c>
      <c r="N77" s="12">
        <f t="shared" si="33"/>
        <v>61.84</v>
      </c>
      <c r="O77" s="12">
        <f t="shared" si="34"/>
        <v>0</v>
      </c>
      <c r="P77" s="12">
        <f t="shared" si="35"/>
        <v>0</v>
      </c>
      <c r="Q77" s="12">
        <f t="shared" si="36"/>
        <v>0</v>
      </c>
      <c r="R77" s="12">
        <f t="shared" si="37"/>
        <v>0</v>
      </c>
    </row>
    <row r="78" spans="1:18" x14ac:dyDescent="0.25">
      <c r="A78" s="26"/>
      <c r="B78" s="25" t="s">
        <v>172</v>
      </c>
      <c r="C78" s="15"/>
      <c r="D78" s="16"/>
      <c r="E78" s="15"/>
      <c r="F78" s="11"/>
      <c r="G78" s="11"/>
      <c r="H78" s="12"/>
      <c r="I78" s="12"/>
      <c r="J78" s="22"/>
      <c r="K78" s="22"/>
      <c r="L78" s="12">
        <f t="shared" si="20"/>
        <v>0</v>
      </c>
      <c r="M78" s="12">
        <f t="shared" si="32"/>
        <v>0</v>
      </c>
      <c r="N78" s="12">
        <f t="shared" si="33"/>
        <v>0</v>
      </c>
      <c r="O78" s="12">
        <f t="shared" si="34"/>
        <v>0</v>
      </c>
      <c r="P78" s="12">
        <f t="shared" si="35"/>
        <v>0</v>
      </c>
      <c r="Q78" s="12">
        <f t="shared" si="36"/>
        <v>0</v>
      </c>
      <c r="R78" s="12">
        <f t="shared" si="37"/>
        <v>0</v>
      </c>
    </row>
    <row r="79" spans="1:18" x14ac:dyDescent="0.25">
      <c r="A79" s="26"/>
      <c r="B79" s="25" t="s">
        <v>730</v>
      </c>
      <c r="C79" s="15">
        <v>8</v>
      </c>
      <c r="D79" s="16">
        <v>100</v>
      </c>
      <c r="E79" s="15">
        <v>2</v>
      </c>
      <c r="F79" s="11">
        <v>1</v>
      </c>
      <c r="G79" s="11">
        <f t="shared" ref="G79:G86" si="48">+ROUND(1650/D79+1,0)</f>
        <v>18</v>
      </c>
      <c r="H79" s="12"/>
      <c r="I79" s="12">
        <f>2*(0.164+0.584)+24*C79/1000</f>
        <v>1.6879999999999999</v>
      </c>
      <c r="J79" s="22"/>
      <c r="K79" s="22"/>
      <c r="L79" s="12">
        <f t="shared" si="20"/>
        <v>1.6879999999999999</v>
      </c>
      <c r="M79" s="12">
        <f t="shared" si="32"/>
        <v>60.77</v>
      </c>
      <c r="N79" s="12">
        <f t="shared" si="33"/>
        <v>0</v>
      </c>
      <c r="O79" s="12">
        <f t="shared" si="34"/>
        <v>0</v>
      </c>
      <c r="P79" s="12">
        <f t="shared" si="35"/>
        <v>0</v>
      </c>
      <c r="Q79" s="12">
        <f t="shared" si="36"/>
        <v>0</v>
      </c>
      <c r="R79" s="12">
        <f t="shared" si="37"/>
        <v>0</v>
      </c>
    </row>
    <row r="80" spans="1:18" x14ac:dyDescent="0.25">
      <c r="A80" s="26"/>
      <c r="B80" s="25" t="s">
        <v>731</v>
      </c>
      <c r="C80" s="15">
        <v>8</v>
      </c>
      <c r="D80" s="16">
        <v>100</v>
      </c>
      <c r="E80" s="15">
        <v>2</v>
      </c>
      <c r="F80" s="11">
        <v>1</v>
      </c>
      <c r="G80" s="11">
        <f t="shared" si="48"/>
        <v>18</v>
      </c>
      <c r="H80" s="12"/>
      <c r="I80" s="12">
        <f>2*(0.164+0.248)+24*C80/1000</f>
        <v>1.016</v>
      </c>
      <c r="J80" s="22"/>
      <c r="K80" s="22"/>
      <c r="L80" s="12">
        <f t="shared" si="20"/>
        <v>1.016</v>
      </c>
      <c r="M80" s="12">
        <f t="shared" si="32"/>
        <v>36.58</v>
      </c>
      <c r="N80" s="12">
        <f t="shared" si="33"/>
        <v>0</v>
      </c>
      <c r="O80" s="12">
        <f t="shared" si="34"/>
        <v>0</v>
      </c>
      <c r="P80" s="12">
        <f t="shared" si="35"/>
        <v>0</v>
      </c>
      <c r="Q80" s="12">
        <f t="shared" si="36"/>
        <v>0</v>
      </c>
      <c r="R80" s="12">
        <f t="shared" si="37"/>
        <v>0</v>
      </c>
    </row>
    <row r="81" spans="1:18" x14ac:dyDescent="0.25">
      <c r="A81" s="26"/>
      <c r="B81" s="25" t="s">
        <v>173</v>
      </c>
      <c r="C81" s="15">
        <v>8</v>
      </c>
      <c r="D81" s="16">
        <v>100</v>
      </c>
      <c r="E81" s="15">
        <v>2</v>
      </c>
      <c r="F81" s="11">
        <v>1</v>
      </c>
      <c r="G81" s="11">
        <f t="shared" si="48"/>
        <v>18</v>
      </c>
      <c r="H81" s="12"/>
      <c r="I81" s="12">
        <f>0.18+(20*C81/1000)</f>
        <v>0.33999999999999997</v>
      </c>
      <c r="J81" s="22"/>
      <c r="K81" s="22"/>
      <c r="L81" s="12">
        <f t="shared" si="20"/>
        <v>0.33999999999999997</v>
      </c>
      <c r="M81" s="12">
        <f t="shared" si="32"/>
        <v>12.24</v>
      </c>
      <c r="N81" s="12">
        <f t="shared" si="33"/>
        <v>0</v>
      </c>
      <c r="O81" s="12">
        <f t="shared" si="34"/>
        <v>0</v>
      </c>
      <c r="P81" s="12">
        <f t="shared" si="35"/>
        <v>0</v>
      </c>
      <c r="Q81" s="12">
        <f t="shared" si="36"/>
        <v>0</v>
      </c>
      <c r="R81" s="12">
        <f t="shared" si="37"/>
        <v>0</v>
      </c>
    </row>
    <row r="82" spans="1:18" x14ac:dyDescent="0.25">
      <c r="A82" s="26"/>
      <c r="B82" s="25" t="s">
        <v>732</v>
      </c>
      <c r="C82" s="15">
        <v>8</v>
      </c>
      <c r="D82" s="16">
        <v>100</v>
      </c>
      <c r="E82" s="15">
        <v>2</v>
      </c>
      <c r="F82" s="11">
        <v>2</v>
      </c>
      <c r="G82" s="11">
        <f t="shared" si="48"/>
        <v>18</v>
      </c>
      <c r="H82" s="12"/>
      <c r="I82" s="12">
        <f>2*(0.164+0.375)+24*C82/1000</f>
        <v>1.27</v>
      </c>
      <c r="J82" s="22"/>
      <c r="K82" s="22"/>
      <c r="L82" s="12">
        <f t="shared" si="20"/>
        <v>1.27</v>
      </c>
      <c r="M82" s="12">
        <f t="shared" si="32"/>
        <v>91.44</v>
      </c>
      <c r="N82" s="12">
        <f t="shared" si="33"/>
        <v>0</v>
      </c>
      <c r="O82" s="12">
        <f t="shared" si="34"/>
        <v>0</v>
      </c>
      <c r="P82" s="12">
        <f t="shared" si="35"/>
        <v>0</v>
      </c>
      <c r="Q82" s="12">
        <f t="shared" si="36"/>
        <v>0</v>
      </c>
      <c r="R82" s="12">
        <f t="shared" si="37"/>
        <v>0</v>
      </c>
    </row>
    <row r="83" spans="1:18" x14ac:dyDescent="0.25">
      <c r="A83" s="26"/>
      <c r="B83" s="25" t="s">
        <v>733</v>
      </c>
      <c r="C83" s="15">
        <v>8</v>
      </c>
      <c r="D83" s="16">
        <v>100</v>
      </c>
      <c r="E83" s="15">
        <v>2</v>
      </c>
      <c r="F83" s="11">
        <v>1</v>
      </c>
      <c r="G83" s="11">
        <f t="shared" si="48"/>
        <v>18</v>
      </c>
      <c r="H83" s="12"/>
      <c r="I83" s="12">
        <f>2*(0.164+0.268)+24*C83/1000</f>
        <v>1.056</v>
      </c>
      <c r="J83" s="22"/>
      <c r="K83" s="22"/>
      <c r="L83" s="12">
        <f t="shared" si="20"/>
        <v>1.056</v>
      </c>
      <c r="M83" s="12">
        <f t="shared" si="32"/>
        <v>38.020000000000003</v>
      </c>
      <c r="N83" s="12">
        <f t="shared" si="33"/>
        <v>0</v>
      </c>
      <c r="O83" s="12">
        <f t="shared" si="34"/>
        <v>0</v>
      </c>
      <c r="P83" s="12">
        <f t="shared" si="35"/>
        <v>0</v>
      </c>
      <c r="Q83" s="12">
        <f t="shared" si="36"/>
        <v>0</v>
      </c>
      <c r="R83" s="12">
        <f t="shared" si="37"/>
        <v>0</v>
      </c>
    </row>
    <row r="84" spans="1:18" x14ac:dyDescent="0.25">
      <c r="A84" s="26"/>
      <c r="B84" s="25" t="s">
        <v>173</v>
      </c>
      <c r="C84" s="15">
        <v>8</v>
      </c>
      <c r="D84" s="16">
        <v>100</v>
      </c>
      <c r="E84" s="15">
        <v>2</v>
      </c>
      <c r="F84" s="11">
        <v>1</v>
      </c>
      <c r="G84" s="11">
        <f t="shared" si="48"/>
        <v>18</v>
      </c>
      <c r="H84" s="12"/>
      <c r="I84" s="12">
        <f>0.18+(20*C84/1000)</f>
        <v>0.33999999999999997</v>
      </c>
      <c r="J84" s="22"/>
      <c r="K84" s="22"/>
      <c r="L84" s="12">
        <f t="shared" si="20"/>
        <v>0.33999999999999997</v>
      </c>
      <c r="M84" s="12">
        <f t="shared" si="32"/>
        <v>12.24</v>
      </c>
      <c r="N84" s="12">
        <f t="shared" si="33"/>
        <v>0</v>
      </c>
      <c r="O84" s="12">
        <f t="shared" si="34"/>
        <v>0</v>
      </c>
      <c r="P84" s="12">
        <f t="shared" si="35"/>
        <v>0</v>
      </c>
      <c r="Q84" s="12">
        <f t="shared" si="36"/>
        <v>0</v>
      </c>
      <c r="R84" s="12">
        <f t="shared" si="37"/>
        <v>0</v>
      </c>
    </row>
    <row r="85" spans="1:18" x14ac:dyDescent="0.25">
      <c r="A85" s="26"/>
      <c r="B85" s="25" t="s">
        <v>734</v>
      </c>
      <c r="C85" s="15">
        <v>8</v>
      </c>
      <c r="D85" s="16">
        <v>200</v>
      </c>
      <c r="E85" s="15">
        <v>2</v>
      </c>
      <c r="F85" s="11">
        <v>1</v>
      </c>
      <c r="G85" s="11">
        <f t="shared" si="48"/>
        <v>9</v>
      </c>
      <c r="H85" s="12"/>
      <c r="I85" s="12">
        <f>2*(0.164+0.866)+24*C85/1000</f>
        <v>2.2520000000000002</v>
      </c>
      <c r="J85" s="22"/>
      <c r="K85" s="22"/>
      <c r="L85" s="12">
        <f t="shared" si="20"/>
        <v>2.2520000000000002</v>
      </c>
      <c r="M85" s="12">
        <f t="shared" si="32"/>
        <v>40.54</v>
      </c>
      <c r="N85" s="12">
        <f t="shared" si="33"/>
        <v>0</v>
      </c>
      <c r="O85" s="12">
        <f t="shared" si="34"/>
        <v>0</v>
      </c>
      <c r="P85" s="12">
        <f t="shared" si="35"/>
        <v>0</v>
      </c>
      <c r="Q85" s="12">
        <f t="shared" si="36"/>
        <v>0</v>
      </c>
      <c r="R85" s="12">
        <f t="shared" si="37"/>
        <v>0</v>
      </c>
    </row>
    <row r="86" spans="1:18" x14ac:dyDescent="0.25">
      <c r="A86" s="26"/>
      <c r="B86" s="25" t="s">
        <v>177</v>
      </c>
      <c r="C86" s="15">
        <v>8</v>
      </c>
      <c r="D86" s="16">
        <v>400</v>
      </c>
      <c r="E86" s="15">
        <v>2</v>
      </c>
      <c r="F86" s="11">
        <v>2</v>
      </c>
      <c r="G86" s="11">
        <f t="shared" si="48"/>
        <v>5</v>
      </c>
      <c r="H86" s="12"/>
      <c r="I86" s="12">
        <f>0.18+(20*C86/1000)</f>
        <v>0.33999999999999997</v>
      </c>
      <c r="J86" s="22"/>
      <c r="K86" s="22"/>
      <c r="L86" s="12">
        <f t="shared" si="20"/>
        <v>0.33999999999999997</v>
      </c>
      <c r="M86" s="12">
        <f t="shared" si="32"/>
        <v>6.8</v>
      </c>
      <c r="N86" s="12">
        <f t="shared" si="33"/>
        <v>0</v>
      </c>
      <c r="O86" s="12">
        <f t="shared" si="34"/>
        <v>0</v>
      </c>
      <c r="P86" s="12">
        <f t="shared" si="35"/>
        <v>0</v>
      </c>
      <c r="Q86" s="12">
        <f t="shared" si="36"/>
        <v>0</v>
      </c>
      <c r="R86" s="12">
        <f t="shared" si="37"/>
        <v>0</v>
      </c>
    </row>
    <row r="87" spans="1:18" x14ac:dyDescent="0.25">
      <c r="A87" s="26"/>
      <c r="B87" s="45" t="s">
        <v>178</v>
      </c>
      <c r="C87" s="15">
        <v>16</v>
      </c>
      <c r="D87" s="16"/>
      <c r="E87" s="15">
        <v>2</v>
      </c>
      <c r="F87" s="11">
        <v>1</v>
      </c>
      <c r="G87" s="11">
        <v>8</v>
      </c>
      <c r="H87" s="12">
        <v>0.3</v>
      </c>
      <c r="I87" s="12">
        <f t="shared" ref="I87:I89" si="49">100.3-97.06-0.075</f>
        <v>3.1649999999999947</v>
      </c>
      <c r="J87" s="22"/>
      <c r="K87" s="22">
        <f t="shared" ref="K87:K89" si="50">40*C87/1000</f>
        <v>0.64</v>
      </c>
      <c r="L87" s="12">
        <f t="shared" si="20"/>
        <v>4.1049999999999942</v>
      </c>
      <c r="M87" s="12">
        <f t="shared" si="32"/>
        <v>0</v>
      </c>
      <c r="N87" s="12">
        <f t="shared" si="33"/>
        <v>0</v>
      </c>
      <c r="O87" s="12">
        <f t="shared" si="34"/>
        <v>0</v>
      </c>
      <c r="P87" s="12">
        <f t="shared" si="35"/>
        <v>65.680000000000007</v>
      </c>
      <c r="Q87" s="12">
        <f t="shared" si="36"/>
        <v>0</v>
      </c>
      <c r="R87" s="12">
        <f t="shared" si="37"/>
        <v>0</v>
      </c>
    </row>
    <row r="88" spans="1:18" x14ac:dyDescent="0.25">
      <c r="A88" s="26"/>
      <c r="B88" s="25"/>
      <c r="C88" s="15">
        <v>12</v>
      </c>
      <c r="D88" s="16"/>
      <c r="E88" s="15">
        <v>2</v>
      </c>
      <c r="F88" s="11">
        <v>1</v>
      </c>
      <c r="G88" s="11">
        <v>16</v>
      </c>
      <c r="H88" s="12">
        <v>0.3</v>
      </c>
      <c r="I88" s="12">
        <f t="shared" si="49"/>
        <v>3.1649999999999947</v>
      </c>
      <c r="J88" s="22"/>
      <c r="K88" s="22">
        <f t="shared" si="50"/>
        <v>0.48</v>
      </c>
      <c r="L88" s="12">
        <f t="shared" si="20"/>
        <v>3.9449999999999945</v>
      </c>
      <c r="M88" s="12">
        <f t="shared" si="32"/>
        <v>0</v>
      </c>
      <c r="N88" s="12">
        <f t="shared" si="33"/>
        <v>0</v>
      </c>
      <c r="O88" s="12">
        <f t="shared" si="34"/>
        <v>126.24</v>
      </c>
      <c r="P88" s="12">
        <f t="shared" si="35"/>
        <v>0</v>
      </c>
      <c r="Q88" s="12">
        <f t="shared" si="36"/>
        <v>0</v>
      </c>
      <c r="R88" s="12">
        <f t="shared" si="37"/>
        <v>0</v>
      </c>
    </row>
    <row r="89" spans="1:18" x14ac:dyDescent="0.25">
      <c r="A89" s="26"/>
      <c r="B89" s="25"/>
      <c r="C89" s="15">
        <v>10</v>
      </c>
      <c r="D89" s="16"/>
      <c r="E89" s="15">
        <v>2</v>
      </c>
      <c r="F89" s="11">
        <v>1</v>
      </c>
      <c r="G89" s="11">
        <v>10</v>
      </c>
      <c r="H89" s="12">
        <v>0.3</v>
      </c>
      <c r="I89" s="12">
        <f t="shared" si="49"/>
        <v>3.1649999999999947</v>
      </c>
      <c r="J89" s="22"/>
      <c r="K89" s="22">
        <f t="shared" si="50"/>
        <v>0.4</v>
      </c>
      <c r="L89" s="12">
        <f t="shared" si="20"/>
        <v>3.8649999999999944</v>
      </c>
      <c r="M89" s="12">
        <f t="shared" si="32"/>
        <v>0</v>
      </c>
      <c r="N89" s="12">
        <f t="shared" si="33"/>
        <v>77.3</v>
      </c>
      <c r="O89" s="12">
        <f t="shared" si="34"/>
        <v>0</v>
      </c>
      <c r="P89" s="12">
        <f t="shared" si="35"/>
        <v>0</v>
      </c>
      <c r="Q89" s="12">
        <f t="shared" si="36"/>
        <v>0</v>
      </c>
      <c r="R89" s="12">
        <f t="shared" si="37"/>
        <v>0</v>
      </c>
    </row>
    <row r="90" spans="1:18" x14ac:dyDescent="0.25">
      <c r="A90" s="26"/>
      <c r="B90" s="25" t="s">
        <v>172</v>
      </c>
      <c r="C90" s="15"/>
      <c r="D90" s="16"/>
      <c r="E90" s="15"/>
      <c r="F90" s="11"/>
      <c r="G90" s="11"/>
      <c r="H90" s="12"/>
      <c r="I90" s="12"/>
      <c r="J90" s="22"/>
      <c r="K90" s="22"/>
      <c r="L90" s="12">
        <f t="shared" si="20"/>
        <v>0</v>
      </c>
      <c r="M90" s="12">
        <f t="shared" si="32"/>
        <v>0</v>
      </c>
      <c r="N90" s="12">
        <f t="shared" si="33"/>
        <v>0</v>
      </c>
      <c r="O90" s="12">
        <f t="shared" si="34"/>
        <v>0</v>
      </c>
      <c r="P90" s="12">
        <f t="shared" si="35"/>
        <v>0</v>
      </c>
      <c r="Q90" s="12">
        <f t="shared" si="36"/>
        <v>0</v>
      </c>
      <c r="R90" s="12">
        <f t="shared" si="37"/>
        <v>0</v>
      </c>
    </row>
    <row r="91" spans="1:18" x14ac:dyDescent="0.25">
      <c r="A91" s="26"/>
      <c r="B91" s="25" t="s">
        <v>730</v>
      </c>
      <c r="C91" s="15">
        <v>8</v>
      </c>
      <c r="D91" s="16">
        <v>100</v>
      </c>
      <c r="E91" s="15">
        <v>2</v>
      </c>
      <c r="F91" s="11">
        <v>1</v>
      </c>
      <c r="G91" s="11">
        <f t="shared" ref="G91:G98" si="51">+ROUND(1650/D91+1,0)</f>
        <v>18</v>
      </c>
      <c r="H91" s="12"/>
      <c r="I91" s="12">
        <f>2*(0.164+0.584)+24*C91/1000</f>
        <v>1.6879999999999999</v>
      </c>
      <c r="J91" s="22"/>
      <c r="K91" s="22"/>
      <c r="L91" s="12">
        <f t="shared" si="20"/>
        <v>1.6879999999999999</v>
      </c>
      <c r="M91" s="12">
        <f t="shared" si="32"/>
        <v>60.77</v>
      </c>
      <c r="N91" s="12">
        <f t="shared" si="33"/>
        <v>0</v>
      </c>
      <c r="O91" s="12">
        <f t="shared" si="34"/>
        <v>0</v>
      </c>
      <c r="P91" s="12">
        <f t="shared" si="35"/>
        <v>0</v>
      </c>
      <c r="Q91" s="12">
        <f t="shared" si="36"/>
        <v>0</v>
      </c>
      <c r="R91" s="12">
        <f t="shared" si="37"/>
        <v>0</v>
      </c>
    </row>
    <row r="92" spans="1:18" x14ac:dyDescent="0.25">
      <c r="A92" s="26"/>
      <c r="B92" s="25" t="s">
        <v>731</v>
      </c>
      <c r="C92" s="15">
        <v>8</v>
      </c>
      <c r="D92" s="16">
        <v>100</v>
      </c>
      <c r="E92" s="15">
        <v>2</v>
      </c>
      <c r="F92" s="11">
        <v>1</v>
      </c>
      <c r="G92" s="11">
        <f t="shared" si="51"/>
        <v>18</v>
      </c>
      <c r="H92" s="12"/>
      <c r="I92" s="12">
        <f>2*(0.164+0.248)+24*C92/1000</f>
        <v>1.016</v>
      </c>
      <c r="J92" s="22"/>
      <c r="K92" s="22"/>
      <c r="L92" s="12">
        <f t="shared" si="20"/>
        <v>1.016</v>
      </c>
      <c r="M92" s="12">
        <f t="shared" si="32"/>
        <v>36.58</v>
      </c>
      <c r="N92" s="12">
        <f t="shared" si="33"/>
        <v>0</v>
      </c>
      <c r="O92" s="12">
        <f t="shared" si="34"/>
        <v>0</v>
      </c>
      <c r="P92" s="12">
        <f t="shared" si="35"/>
        <v>0</v>
      </c>
      <c r="Q92" s="12">
        <f t="shared" si="36"/>
        <v>0</v>
      </c>
      <c r="R92" s="12">
        <f t="shared" si="37"/>
        <v>0</v>
      </c>
    </row>
    <row r="93" spans="1:18" x14ac:dyDescent="0.25">
      <c r="A93" s="26"/>
      <c r="B93" s="25" t="s">
        <v>173</v>
      </c>
      <c r="C93" s="15">
        <v>8</v>
      </c>
      <c r="D93" s="16">
        <v>100</v>
      </c>
      <c r="E93" s="15">
        <v>2</v>
      </c>
      <c r="F93" s="11">
        <v>1</v>
      </c>
      <c r="G93" s="11">
        <f t="shared" si="51"/>
        <v>18</v>
      </c>
      <c r="H93" s="12"/>
      <c r="I93" s="12">
        <f>0.18+(20*C93/1000)</f>
        <v>0.33999999999999997</v>
      </c>
      <c r="J93" s="22"/>
      <c r="K93" s="22"/>
      <c r="L93" s="12">
        <f t="shared" si="20"/>
        <v>0.33999999999999997</v>
      </c>
      <c r="M93" s="12">
        <f t="shared" si="32"/>
        <v>12.24</v>
      </c>
      <c r="N93" s="12">
        <f t="shared" si="33"/>
        <v>0</v>
      </c>
      <c r="O93" s="12">
        <f t="shared" si="34"/>
        <v>0</v>
      </c>
      <c r="P93" s="12">
        <f t="shared" si="35"/>
        <v>0</v>
      </c>
      <c r="Q93" s="12">
        <f t="shared" si="36"/>
        <v>0</v>
      </c>
      <c r="R93" s="12">
        <f t="shared" si="37"/>
        <v>0</v>
      </c>
    </row>
    <row r="94" spans="1:18" x14ac:dyDescent="0.25">
      <c r="A94" s="26"/>
      <c r="B94" s="25" t="s">
        <v>732</v>
      </c>
      <c r="C94" s="15">
        <v>8</v>
      </c>
      <c r="D94" s="16">
        <v>100</v>
      </c>
      <c r="E94" s="15">
        <v>2</v>
      </c>
      <c r="F94" s="11">
        <v>2</v>
      </c>
      <c r="G94" s="11">
        <f t="shared" si="51"/>
        <v>18</v>
      </c>
      <c r="H94" s="12"/>
      <c r="I94" s="12">
        <f>2*(0.164+0.375)+24*C94/1000</f>
        <v>1.27</v>
      </c>
      <c r="J94" s="22"/>
      <c r="K94" s="22"/>
      <c r="L94" s="12">
        <f t="shared" si="20"/>
        <v>1.27</v>
      </c>
      <c r="M94" s="12">
        <f t="shared" si="32"/>
        <v>91.44</v>
      </c>
      <c r="N94" s="12">
        <f t="shared" si="33"/>
        <v>0</v>
      </c>
      <c r="O94" s="12">
        <f t="shared" si="34"/>
        <v>0</v>
      </c>
      <c r="P94" s="12">
        <f t="shared" si="35"/>
        <v>0</v>
      </c>
      <c r="Q94" s="12">
        <f t="shared" si="36"/>
        <v>0</v>
      </c>
      <c r="R94" s="12">
        <f t="shared" si="37"/>
        <v>0</v>
      </c>
    </row>
    <row r="95" spans="1:18" x14ac:dyDescent="0.25">
      <c r="A95" s="26"/>
      <c r="B95" s="25" t="s">
        <v>733</v>
      </c>
      <c r="C95" s="15">
        <v>8</v>
      </c>
      <c r="D95" s="16">
        <v>100</v>
      </c>
      <c r="E95" s="15">
        <v>2</v>
      </c>
      <c r="F95" s="11">
        <v>1</v>
      </c>
      <c r="G95" s="11">
        <f t="shared" si="51"/>
        <v>18</v>
      </c>
      <c r="H95" s="12"/>
      <c r="I95" s="12">
        <f>2*(0.164+0.268)+24*C95/1000</f>
        <v>1.056</v>
      </c>
      <c r="J95" s="22"/>
      <c r="K95" s="22"/>
      <c r="L95" s="12">
        <f t="shared" si="20"/>
        <v>1.056</v>
      </c>
      <c r="M95" s="12">
        <f t="shared" si="32"/>
        <v>38.020000000000003</v>
      </c>
      <c r="N95" s="12">
        <f t="shared" si="33"/>
        <v>0</v>
      </c>
      <c r="O95" s="12">
        <f t="shared" si="34"/>
        <v>0</v>
      </c>
      <c r="P95" s="12">
        <f t="shared" si="35"/>
        <v>0</v>
      </c>
      <c r="Q95" s="12">
        <f t="shared" si="36"/>
        <v>0</v>
      </c>
      <c r="R95" s="12">
        <f t="shared" si="37"/>
        <v>0</v>
      </c>
    </row>
    <row r="96" spans="1:18" x14ac:dyDescent="0.25">
      <c r="A96" s="26"/>
      <c r="B96" s="25" t="s">
        <v>173</v>
      </c>
      <c r="C96" s="15">
        <v>8</v>
      </c>
      <c r="D96" s="16">
        <v>100</v>
      </c>
      <c r="E96" s="15">
        <v>2</v>
      </c>
      <c r="F96" s="11">
        <v>1</v>
      </c>
      <c r="G96" s="11">
        <f t="shared" si="51"/>
        <v>18</v>
      </c>
      <c r="H96" s="12"/>
      <c r="I96" s="12">
        <f>0.18+(20*C96/1000)</f>
        <v>0.33999999999999997</v>
      </c>
      <c r="J96" s="22"/>
      <c r="K96" s="22"/>
      <c r="L96" s="12">
        <f t="shared" si="20"/>
        <v>0.33999999999999997</v>
      </c>
      <c r="M96" s="12">
        <f t="shared" si="32"/>
        <v>12.24</v>
      </c>
      <c r="N96" s="12">
        <f t="shared" si="33"/>
        <v>0</v>
      </c>
      <c r="O96" s="12">
        <f t="shared" si="34"/>
        <v>0</v>
      </c>
      <c r="P96" s="12">
        <f t="shared" si="35"/>
        <v>0</v>
      </c>
      <c r="Q96" s="12">
        <f t="shared" si="36"/>
        <v>0</v>
      </c>
      <c r="R96" s="12">
        <f t="shared" si="37"/>
        <v>0</v>
      </c>
    </row>
    <row r="97" spans="1:18" x14ac:dyDescent="0.25">
      <c r="A97" s="26"/>
      <c r="B97" s="25" t="s">
        <v>735</v>
      </c>
      <c r="C97" s="15">
        <v>8</v>
      </c>
      <c r="D97" s="16">
        <v>200</v>
      </c>
      <c r="E97" s="15">
        <v>2</v>
      </c>
      <c r="F97" s="11">
        <v>1</v>
      </c>
      <c r="G97" s="11">
        <f t="shared" si="51"/>
        <v>9</v>
      </c>
      <c r="H97" s="12"/>
      <c r="I97" s="12">
        <f>2*(0.164+1.066)+24*C97/1000</f>
        <v>2.6520000000000001</v>
      </c>
      <c r="J97" s="22"/>
      <c r="K97" s="22"/>
      <c r="L97" s="12">
        <f t="shared" si="20"/>
        <v>2.6520000000000001</v>
      </c>
      <c r="M97" s="12">
        <f t="shared" si="32"/>
        <v>47.74</v>
      </c>
      <c r="N97" s="12">
        <f t="shared" si="33"/>
        <v>0</v>
      </c>
      <c r="O97" s="12">
        <f t="shared" si="34"/>
        <v>0</v>
      </c>
      <c r="P97" s="12">
        <f t="shared" si="35"/>
        <v>0</v>
      </c>
      <c r="Q97" s="12">
        <f t="shared" si="36"/>
        <v>0</v>
      </c>
      <c r="R97" s="12">
        <f t="shared" si="37"/>
        <v>0</v>
      </c>
    </row>
    <row r="98" spans="1:18" x14ac:dyDescent="0.25">
      <c r="A98" s="26"/>
      <c r="B98" s="25" t="s">
        <v>177</v>
      </c>
      <c r="C98" s="15">
        <v>8</v>
      </c>
      <c r="D98" s="16">
        <v>400</v>
      </c>
      <c r="E98" s="15">
        <v>2</v>
      </c>
      <c r="F98" s="11">
        <v>2</v>
      </c>
      <c r="G98" s="11">
        <f t="shared" si="51"/>
        <v>5</v>
      </c>
      <c r="H98" s="12"/>
      <c r="I98" s="12">
        <f>0.18+(20*C98/1000)</f>
        <v>0.33999999999999997</v>
      </c>
      <c r="J98" s="22"/>
      <c r="K98" s="22"/>
      <c r="L98" s="12">
        <f t="shared" ref="L98:L364" si="52">SUM(H98:J98)+K98</f>
        <v>0.33999999999999997</v>
      </c>
      <c r="M98" s="12">
        <f t="shared" si="32"/>
        <v>6.8</v>
      </c>
      <c r="N98" s="12">
        <f t="shared" si="33"/>
        <v>0</v>
      </c>
      <c r="O98" s="12">
        <f t="shared" si="34"/>
        <v>0</v>
      </c>
      <c r="P98" s="12">
        <f t="shared" si="35"/>
        <v>0</v>
      </c>
      <c r="Q98" s="12">
        <f t="shared" si="36"/>
        <v>0</v>
      </c>
      <c r="R98" s="12">
        <f t="shared" si="37"/>
        <v>0</v>
      </c>
    </row>
    <row r="99" spans="1:18" x14ac:dyDescent="0.25">
      <c r="A99" s="26"/>
      <c r="B99" s="45" t="s">
        <v>180</v>
      </c>
      <c r="C99" s="15">
        <v>16</v>
      </c>
      <c r="D99" s="16"/>
      <c r="E99" s="15">
        <v>2</v>
      </c>
      <c r="F99" s="11">
        <v>1</v>
      </c>
      <c r="G99" s="11">
        <v>4</v>
      </c>
      <c r="H99" s="12">
        <v>0.3</v>
      </c>
      <c r="I99" s="12">
        <f t="shared" ref="I99:I100" si="53">100.3-97.06-0.075</f>
        <v>3.1649999999999947</v>
      </c>
      <c r="J99" s="22"/>
      <c r="K99" s="22">
        <f t="shared" ref="K99:K100" si="54">40*C99/1000</f>
        <v>0.64</v>
      </c>
      <c r="L99" s="12">
        <f t="shared" si="52"/>
        <v>4.1049999999999942</v>
      </c>
      <c r="M99" s="12">
        <f t="shared" si="32"/>
        <v>0</v>
      </c>
      <c r="N99" s="12">
        <f t="shared" si="33"/>
        <v>0</v>
      </c>
      <c r="O99" s="12">
        <f t="shared" si="34"/>
        <v>0</v>
      </c>
      <c r="P99" s="12">
        <f t="shared" si="35"/>
        <v>32.840000000000003</v>
      </c>
      <c r="Q99" s="12">
        <f t="shared" si="36"/>
        <v>0</v>
      </c>
      <c r="R99" s="12">
        <f t="shared" si="37"/>
        <v>0</v>
      </c>
    </row>
    <row r="100" spans="1:18" x14ac:dyDescent="0.25">
      <c r="A100" s="26"/>
      <c r="B100" s="25"/>
      <c r="C100" s="15">
        <v>12</v>
      </c>
      <c r="D100" s="16"/>
      <c r="E100" s="15">
        <v>2</v>
      </c>
      <c r="F100" s="11">
        <v>1</v>
      </c>
      <c r="G100" s="11">
        <v>16</v>
      </c>
      <c r="H100" s="12">
        <v>0.3</v>
      </c>
      <c r="I100" s="12">
        <f t="shared" si="53"/>
        <v>3.1649999999999947</v>
      </c>
      <c r="J100" s="22"/>
      <c r="K100" s="22">
        <f t="shared" si="54"/>
        <v>0.48</v>
      </c>
      <c r="L100" s="12">
        <f t="shared" si="52"/>
        <v>3.9449999999999945</v>
      </c>
      <c r="M100" s="12">
        <f t="shared" si="32"/>
        <v>0</v>
      </c>
      <c r="N100" s="12">
        <f t="shared" si="33"/>
        <v>0</v>
      </c>
      <c r="O100" s="12">
        <f t="shared" si="34"/>
        <v>126.24</v>
      </c>
      <c r="P100" s="12">
        <f t="shared" si="35"/>
        <v>0</v>
      </c>
      <c r="Q100" s="12">
        <f t="shared" si="36"/>
        <v>0</v>
      </c>
      <c r="R100" s="12">
        <f t="shared" si="37"/>
        <v>0</v>
      </c>
    </row>
    <row r="101" spans="1:18" x14ac:dyDescent="0.25">
      <c r="A101" s="26"/>
      <c r="B101" s="25" t="s">
        <v>172</v>
      </c>
      <c r="C101" s="15"/>
      <c r="D101" s="16"/>
      <c r="E101" s="15"/>
      <c r="F101" s="11"/>
      <c r="G101" s="11"/>
      <c r="H101" s="12"/>
      <c r="I101" s="12"/>
      <c r="J101" s="22"/>
      <c r="K101" s="22"/>
      <c r="L101" s="12">
        <f t="shared" si="52"/>
        <v>0</v>
      </c>
      <c r="M101" s="12">
        <f t="shared" si="32"/>
        <v>0</v>
      </c>
      <c r="N101" s="12">
        <f t="shared" si="33"/>
        <v>0</v>
      </c>
      <c r="O101" s="12">
        <f t="shared" si="34"/>
        <v>0</v>
      </c>
      <c r="P101" s="12">
        <f t="shared" si="35"/>
        <v>0</v>
      </c>
      <c r="Q101" s="12">
        <f t="shared" si="36"/>
        <v>0</v>
      </c>
      <c r="R101" s="12">
        <f t="shared" si="37"/>
        <v>0</v>
      </c>
    </row>
    <row r="102" spans="1:18" x14ac:dyDescent="0.25">
      <c r="A102" s="26"/>
      <c r="B102" s="25" t="s">
        <v>738</v>
      </c>
      <c r="C102" s="15">
        <v>8</v>
      </c>
      <c r="D102" s="16">
        <v>100</v>
      </c>
      <c r="E102" s="15">
        <v>2</v>
      </c>
      <c r="F102" s="11">
        <v>1</v>
      </c>
      <c r="G102" s="11">
        <f>+ROUND(1650/D102+1,0)</f>
        <v>18</v>
      </c>
      <c r="H102" s="12"/>
      <c r="I102" s="12">
        <f>2*(0.164+0.934)+24*C102/1000</f>
        <v>2.3880000000000003</v>
      </c>
      <c r="J102" s="22"/>
      <c r="K102" s="22"/>
      <c r="L102" s="12">
        <f t="shared" si="52"/>
        <v>2.3880000000000003</v>
      </c>
      <c r="M102" s="12">
        <f t="shared" si="32"/>
        <v>85.97</v>
      </c>
      <c r="N102" s="12">
        <f t="shared" si="33"/>
        <v>0</v>
      </c>
      <c r="O102" s="12">
        <f t="shared" si="34"/>
        <v>0</v>
      </c>
      <c r="P102" s="12">
        <f t="shared" si="35"/>
        <v>0</v>
      </c>
      <c r="Q102" s="12">
        <f t="shared" si="36"/>
        <v>0</v>
      </c>
      <c r="R102" s="12">
        <f t="shared" si="37"/>
        <v>0</v>
      </c>
    </row>
    <row r="103" spans="1:18" x14ac:dyDescent="0.25">
      <c r="A103" s="26"/>
      <c r="B103" s="25" t="s">
        <v>736</v>
      </c>
      <c r="C103" s="15">
        <v>8</v>
      </c>
      <c r="D103" s="16">
        <v>100</v>
      </c>
      <c r="E103" s="15">
        <v>2</v>
      </c>
      <c r="F103" s="11">
        <v>4</v>
      </c>
      <c r="G103" s="11">
        <f>+ROUND(1650/D103+1,0)</f>
        <v>18</v>
      </c>
      <c r="H103" s="12"/>
      <c r="I103" s="12">
        <f>2*(0.164+0.12)+24*C103/1000</f>
        <v>0.76</v>
      </c>
      <c r="J103" s="22"/>
      <c r="K103" s="22"/>
      <c r="L103" s="12">
        <f t="shared" si="52"/>
        <v>0.76</v>
      </c>
      <c r="M103" s="12">
        <f t="shared" si="32"/>
        <v>109.44</v>
      </c>
      <c r="N103" s="12">
        <f t="shared" si="33"/>
        <v>0</v>
      </c>
      <c r="O103" s="12">
        <f t="shared" si="34"/>
        <v>0</v>
      </c>
      <c r="P103" s="12">
        <f t="shared" si="35"/>
        <v>0</v>
      </c>
      <c r="Q103" s="12">
        <f t="shared" si="36"/>
        <v>0</v>
      </c>
      <c r="R103" s="12">
        <f t="shared" si="37"/>
        <v>0</v>
      </c>
    </row>
    <row r="104" spans="1:18" x14ac:dyDescent="0.25">
      <c r="A104" s="26"/>
      <c r="B104" s="45" t="s">
        <v>182</v>
      </c>
      <c r="C104" s="15">
        <v>16</v>
      </c>
      <c r="D104" s="16"/>
      <c r="E104" s="15">
        <v>2</v>
      </c>
      <c r="F104" s="11">
        <v>1</v>
      </c>
      <c r="G104" s="11">
        <v>4</v>
      </c>
      <c r="H104" s="12">
        <v>0.3</v>
      </c>
      <c r="I104" s="12">
        <f t="shared" ref="I104:I105" si="55">100.3-97.06-0.075</f>
        <v>3.1649999999999947</v>
      </c>
      <c r="J104" s="22"/>
      <c r="K104" s="22">
        <f t="shared" ref="K104:K105" si="56">40*C104/1000</f>
        <v>0.64</v>
      </c>
      <c r="L104" s="12">
        <f t="shared" ref="L104:L108" si="57">SUM(H104:J104)+K104</f>
        <v>4.1049999999999942</v>
      </c>
      <c r="M104" s="12">
        <f t="shared" si="32"/>
        <v>0</v>
      </c>
      <c r="N104" s="12">
        <f t="shared" si="33"/>
        <v>0</v>
      </c>
      <c r="O104" s="12">
        <f t="shared" si="34"/>
        <v>0</v>
      </c>
      <c r="P104" s="12">
        <f t="shared" si="35"/>
        <v>32.840000000000003</v>
      </c>
      <c r="Q104" s="12">
        <f t="shared" si="36"/>
        <v>0</v>
      </c>
      <c r="R104" s="12">
        <f t="shared" si="37"/>
        <v>0</v>
      </c>
    </row>
    <row r="105" spans="1:18" x14ac:dyDescent="0.25">
      <c r="A105" s="26"/>
      <c r="B105" s="25"/>
      <c r="C105" s="15">
        <v>12</v>
      </c>
      <c r="D105" s="16"/>
      <c r="E105" s="15">
        <v>2</v>
      </c>
      <c r="F105" s="11">
        <v>1</v>
      </c>
      <c r="G105" s="11">
        <v>18</v>
      </c>
      <c r="H105" s="12">
        <v>0.3</v>
      </c>
      <c r="I105" s="12">
        <f t="shared" si="55"/>
        <v>3.1649999999999947</v>
      </c>
      <c r="J105" s="22"/>
      <c r="K105" s="22">
        <f t="shared" si="56"/>
        <v>0.48</v>
      </c>
      <c r="L105" s="12">
        <f>SUM(H105:J105)+K105</f>
        <v>3.9449999999999945</v>
      </c>
      <c r="M105" s="12">
        <f>+ROUND(IF(C105=8,PRODUCT(E105,F105,G105,L105),0),2)</f>
        <v>0</v>
      </c>
      <c r="N105" s="12">
        <f t="shared" si="33"/>
        <v>0</v>
      </c>
      <c r="O105" s="12">
        <f t="shared" si="34"/>
        <v>142.02000000000001</v>
      </c>
      <c r="P105" s="12">
        <f t="shared" si="35"/>
        <v>0</v>
      </c>
      <c r="Q105" s="12">
        <f t="shared" si="36"/>
        <v>0</v>
      </c>
      <c r="R105" s="12">
        <f t="shared" si="37"/>
        <v>0</v>
      </c>
    </row>
    <row r="106" spans="1:18" x14ac:dyDescent="0.25">
      <c r="A106" s="26"/>
      <c r="B106" s="25" t="s">
        <v>172</v>
      </c>
      <c r="C106" s="15"/>
      <c r="D106" s="16"/>
      <c r="E106" s="15"/>
      <c r="F106" s="11"/>
      <c r="G106" s="11"/>
      <c r="H106" s="12"/>
      <c r="I106" s="12"/>
      <c r="J106" s="22"/>
      <c r="K106" s="22"/>
      <c r="L106" s="12">
        <f t="shared" si="57"/>
        <v>0</v>
      </c>
      <c r="M106" s="12">
        <f t="shared" si="32"/>
        <v>0</v>
      </c>
      <c r="N106" s="12">
        <f t="shared" si="33"/>
        <v>0</v>
      </c>
      <c r="O106" s="12">
        <f t="shared" si="34"/>
        <v>0</v>
      </c>
      <c r="P106" s="12">
        <f t="shared" si="35"/>
        <v>0</v>
      </c>
      <c r="Q106" s="12">
        <f t="shared" si="36"/>
        <v>0</v>
      </c>
      <c r="R106" s="12">
        <f t="shared" si="37"/>
        <v>0</v>
      </c>
    </row>
    <row r="107" spans="1:18" x14ac:dyDescent="0.25">
      <c r="A107" s="26"/>
      <c r="B107" s="25" t="s">
        <v>737</v>
      </c>
      <c r="C107" s="15">
        <v>8</v>
      </c>
      <c r="D107" s="16">
        <v>100</v>
      </c>
      <c r="E107" s="15">
        <v>2</v>
      </c>
      <c r="F107" s="11">
        <v>1</v>
      </c>
      <c r="G107" s="11">
        <f>+ROUND(1650/D107+1,0)</f>
        <v>18</v>
      </c>
      <c r="H107" s="12"/>
      <c r="I107" s="12">
        <f>2*(0.164+1.084)+24*C107/1000</f>
        <v>2.6880000000000002</v>
      </c>
      <c r="J107" s="22"/>
      <c r="K107" s="22"/>
      <c r="L107" s="12">
        <f t="shared" si="57"/>
        <v>2.6880000000000002</v>
      </c>
      <c r="M107" s="12">
        <f t="shared" si="32"/>
        <v>96.77</v>
      </c>
      <c r="N107" s="12">
        <f t="shared" si="33"/>
        <v>0</v>
      </c>
      <c r="O107" s="12">
        <f t="shared" si="34"/>
        <v>0</v>
      </c>
      <c r="P107" s="12">
        <f t="shared" si="35"/>
        <v>0</v>
      </c>
      <c r="Q107" s="12">
        <f t="shared" si="36"/>
        <v>0</v>
      </c>
      <c r="R107" s="12">
        <f t="shared" si="37"/>
        <v>0</v>
      </c>
    </row>
    <row r="108" spans="1:18" x14ac:dyDescent="0.25">
      <c r="A108" s="26"/>
      <c r="B108" s="25" t="s">
        <v>739</v>
      </c>
      <c r="C108" s="15">
        <v>8</v>
      </c>
      <c r="D108" s="16">
        <v>100</v>
      </c>
      <c r="E108" s="15">
        <v>2</v>
      </c>
      <c r="F108" s="11">
        <v>4</v>
      </c>
      <c r="G108" s="11">
        <f>+ROUND(1650/D108+1,0)</f>
        <v>18</v>
      </c>
      <c r="H108" s="12"/>
      <c r="I108" s="12">
        <f>2*(0.164+0.125)+24*C108/1000</f>
        <v>0.77</v>
      </c>
      <c r="J108" s="22"/>
      <c r="K108" s="22"/>
      <c r="L108" s="12">
        <f t="shared" si="57"/>
        <v>0.77</v>
      </c>
      <c r="M108" s="12">
        <f t="shared" si="32"/>
        <v>110.88</v>
      </c>
      <c r="N108" s="12">
        <f t="shared" si="33"/>
        <v>0</v>
      </c>
      <c r="O108" s="12">
        <f t="shared" si="34"/>
        <v>0</v>
      </c>
      <c r="P108" s="12">
        <f t="shared" si="35"/>
        <v>0</v>
      </c>
      <c r="Q108" s="12">
        <f t="shared" si="36"/>
        <v>0</v>
      </c>
      <c r="R108" s="12">
        <f t="shared" si="37"/>
        <v>0</v>
      </c>
    </row>
    <row r="109" spans="1:18" x14ac:dyDescent="0.25">
      <c r="A109" s="26"/>
      <c r="B109" s="25" t="s">
        <v>184</v>
      </c>
      <c r="C109" s="15">
        <v>8</v>
      </c>
      <c r="D109" s="16">
        <v>100</v>
      </c>
      <c r="E109" s="15">
        <v>2</v>
      </c>
      <c r="F109" s="11">
        <v>1</v>
      </c>
      <c r="G109" s="11">
        <f>+ROUND(1650/D109+1,0)</f>
        <v>18</v>
      </c>
      <c r="H109" s="12"/>
      <c r="I109" s="12">
        <f>0.18+(20*C109/1000)</f>
        <v>0.33999999999999997</v>
      </c>
      <c r="J109" s="22"/>
      <c r="K109" s="22"/>
      <c r="L109" s="12">
        <f t="shared" si="52"/>
        <v>0.33999999999999997</v>
      </c>
      <c r="M109" s="12">
        <f t="shared" si="32"/>
        <v>12.24</v>
      </c>
      <c r="N109" s="12">
        <f t="shared" si="33"/>
        <v>0</v>
      </c>
      <c r="O109" s="12">
        <f t="shared" si="34"/>
        <v>0</v>
      </c>
      <c r="P109" s="12">
        <f t="shared" si="35"/>
        <v>0</v>
      </c>
      <c r="Q109" s="12">
        <f t="shared" si="36"/>
        <v>0</v>
      </c>
      <c r="R109" s="12">
        <f t="shared" si="37"/>
        <v>0</v>
      </c>
    </row>
    <row r="110" spans="1:18" x14ac:dyDescent="0.25">
      <c r="A110" s="26"/>
      <c r="B110" s="45" t="s">
        <v>185</v>
      </c>
      <c r="C110" s="15">
        <v>20</v>
      </c>
      <c r="D110" s="16"/>
      <c r="E110" s="15">
        <v>4</v>
      </c>
      <c r="F110" s="11">
        <v>1</v>
      </c>
      <c r="G110" s="11">
        <v>12</v>
      </c>
      <c r="H110" s="12">
        <v>0.3</v>
      </c>
      <c r="I110" s="12">
        <f t="shared" ref="I110:I111" si="58">100.3-97.06-0.075</f>
        <v>3.1649999999999947</v>
      </c>
      <c r="J110" s="22"/>
      <c r="K110" s="22">
        <f t="shared" ref="K110:K111" si="59">40*C110/1000</f>
        <v>0.8</v>
      </c>
      <c r="L110" s="12">
        <f t="shared" si="52"/>
        <v>4.2649999999999944</v>
      </c>
      <c r="M110" s="12">
        <f t="shared" si="32"/>
        <v>0</v>
      </c>
      <c r="N110" s="12">
        <f t="shared" si="33"/>
        <v>0</v>
      </c>
      <c r="O110" s="12">
        <f t="shared" si="34"/>
        <v>0</v>
      </c>
      <c r="P110" s="12">
        <f t="shared" si="35"/>
        <v>0</v>
      </c>
      <c r="Q110" s="12">
        <f t="shared" si="36"/>
        <v>204.72</v>
      </c>
      <c r="R110" s="12">
        <f t="shared" si="37"/>
        <v>0</v>
      </c>
    </row>
    <row r="111" spans="1:18" x14ac:dyDescent="0.25">
      <c r="A111" s="26"/>
      <c r="B111" s="25"/>
      <c r="C111" s="15">
        <v>16</v>
      </c>
      <c r="D111" s="16"/>
      <c r="E111" s="15">
        <f>+E110</f>
        <v>4</v>
      </c>
      <c r="F111" s="11">
        <v>1</v>
      </c>
      <c r="G111" s="11">
        <v>22</v>
      </c>
      <c r="H111" s="12">
        <v>0.3</v>
      </c>
      <c r="I111" s="12">
        <f t="shared" si="58"/>
        <v>3.1649999999999947</v>
      </c>
      <c r="J111" s="22"/>
      <c r="K111" s="22">
        <f t="shared" si="59"/>
        <v>0.64</v>
      </c>
      <c r="L111" s="12">
        <f>SUM(H111:J111)+K111</f>
        <v>4.1049999999999942</v>
      </c>
      <c r="M111" s="12">
        <f>+ROUND(IF(C111=8,PRODUCT(E111,F111,G111,L111),0),2)</f>
        <v>0</v>
      </c>
      <c r="N111" s="12">
        <f t="shared" si="33"/>
        <v>0</v>
      </c>
      <c r="O111" s="12">
        <f t="shared" si="34"/>
        <v>0</v>
      </c>
      <c r="P111" s="12">
        <f t="shared" si="35"/>
        <v>361.24</v>
      </c>
      <c r="Q111" s="12">
        <f t="shared" si="36"/>
        <v>0</v>
      </c>
      <c r="R111" s="12">
        <f t="shared" si="37"/>
        <v>0</v>
      </c>
    </row>
    <row r="112" spans="1:18" x14ac:dyDescent="0.25">
      <c r="A112" s="26"/>
      <c r="B112" s="25" t="s">
        <v>172</v>
      </c>
      <c r="C112" s="15"/>
      <c r="D112" s="16"/>
      <c r="E112" s="15"/>
      <c r="F112" s="11"/>
      <c r="G112" s="11"/>
      <c r="H112" s="12"/>
      <c r="I112" s="12"/>
      <c r="J112" s="22"/>
      <c r="K112" s="22"/>
      <c r="L112" s="12">
        <f t="shared" ref="L112:L114" si="60">SUM(H112:J112)+K112</f>
        <v>0</v>
      </c>
      <c r="M112" s="12">
        <f t="shared" ref="M112:M117" si="61">+ROUND(IF(C112=8,PRODUCT(E112,F112,G112,L112),0),2)</f>
        <v>0</v>
      </c>
      <c r="N112" s="12">
        <f t="shared" si="33"/>
        <v>0</v>
      </c>
      <c r="O112" s="12">
        <f t="shared" si="34"/>
        <v>0</v>
      </c>
      <c r="P112" s="12">
        <f t="shared" si="35"/>
        <v>0</v>
      </c>
      <c r="Q112" s="12">
        <f t="shared" si="36"/>
        <v>0</v>
      </c>
      <c r="R112" s="12">
        <f t="shared" si="37"/>
        <v>0</v>
      </c>
    </row>
    <row r="113" spans="1:18" x14ac:dyDescent="0.25">
      <c r="A113" s="26"/>
      <c r="B113" s="25" t="s">
        <v>740</v>
      </c>
      <c r="C113" s="15">
        <v>8</v>
      </c>
      <c r="D113" s="16">
        <v>100</v>
      </c>
      <c r="E113" s="15">
        <v>4</v>
      </c>
      <c r="F113" s="11">
        <v>1</v>
      </c>
      <c r="G113" s="11">
        <f>+ROUND(1650/D113+1,0)</f>
        <v>18</v>
      </c>
      <c r="H113" s="12"/>
      <c r="I113" s="12">
        <f>2*(0.164+1.634)+24*C113/1000</f>
        <v>3.7879999999999998</v>
      </c>
      <c r="J113" s="22"/>
      <c r="K113" s="22"/>
      <c r="L113" s="12">
        <f t="shared" si="60"/>
        <v>3.7879999999999998</v>
      </c>
      <c r="M113" s="12">
        <f t="shared" si="61"/>
        <v>272.74</v>
      </c>
      <c r="N113" s="12">
        <f t="shared" si="33"/>
        <v>0</v>
      </c>
      <c r="O113" s="12">
        <f t="shared" si="34"/>
        <v>0</v>
      </c>
      <c r="P113" s="12">
        <f t="shared" si="35"/>
        <v>0</v>
      </c>
      <c r="Q113" s="12">
        <f t="shared" si="36"/>
        <v>0</v>
      </c>
      <c r="R113" s="12">
        <f t="shared" si="37"/>
        <v>0</v>
      </c>
    </row>
    <row r="114" spans="1:18" x14ac:dyDescent="0.25">
      <c r="A114" s="26"/>
      <c r="B114" s="25" t="s">
        <v>736</v>
      </c>
      <c r="C114" s="15">
        <v>8</v>
      </c>
      <c r="D114" s="16">
        <v>100</v>
      </c>
      <c r="E114" s="15">
        <v>4</v>
      </c>
      <c r="F114" s="11">
        <v>6</v>
      </c>
      <c r="G114" s="11">
        <f>+ROUND(1650/D114+1,0)</f>
        <v>18</v>
      </c>
      <c r="H114" s="12"/>
      <c r="I114" s="12">
        <f>2*(0.164+0.12)+24*C114/1000</f>
        <v>0.76</v>
      </c>
      <c r="J114" s="22"/>
      <c r="K114" s="22"/>
      <c r="L114" s="12">
        <f t="shared" si="60"/>
        <v>0.76</v>
      </c>
      <c r="M114" s="12">
        <f t="shared" si="61"/>
        <v>328.32</v>
      </c>
      <c r="N114" s="12">
        <f t="shared" si="33"/>
        <v>0</v>
      </c>
      <c r="O114" s="12">
        <f t="shared" si="34"/>
        <v>0</v>
      </c>
      <c r="P114" s="12">
        <f t="shared" si="35"/>
        <v>0</v>
      </c>
      <c r="Q114" s="12">
        <f t="shared" si="36"/>
        <v>0</v>
      </c>
      <c r="R114" s="12">
        <f t="shared" si="37"/>
        <v>0</v>
      </c>
    </row>
    <row r="115" spans="1:18" x14ac:dyDescent="0.25">
      <c r="A115" s="26"/>
      <c r="B115" s="25" t="s">
        <v>741</v>
      </c>
      <c r="C115" s="15">
        <v>8</v>
      </c>
      <c r="D115" s="16">
        <v>100</v>
      </c>
      <c r="E115" s="15">
        <v>4</v>
      </c>
      <c r="F115" s="11">
        <v>1</v>
      </c>
      <c r="G115" s="11">
        <f>+ROUND(1650/D115+1,0)</f>
        <v>18</v>
      </c>
      <c r="H115" s="12"/>
      <c r="I115" s="12">
        <f>2*(0.164+0.224)+24*C115/1000</f>
        <v>0.96799999999999997</v>
      </c>
      <c r="J115" s="22"/>
      <c r="K115" s="22"/>
      <c r="L115" s="12">
        <f t="shared" ref="L115" si="62">SUM(H115:J115)+K115</f>
        <v>0.96799999999999997</v>
      </c>
      <c r="M115" s="12">
        <f t="shared" si="61"/>
        <v>69.7</v>
      </c>
      <c r="N115" s="12">
        <f t="shared" si="33"/>
        <v>0</v>
      </c>
      <c r="O115" s="12">
        <f t="shared" si="34"/>
        <v>0</v>
      </c>
      <c r="P115" s="12">
        <f t="shared" si="35"/>
        <v>0</v>
      </c>
      <c r="Q115" s="12">
        <f t="shared" si="36"/>
        <v>0</v>
      </c>
      <c r="R115" s="12">
        <f t="shared" si="37"/>
        <v>0</v>
      </c>
    </row>
    <row r="116" spans="1:18" x14ac:dyDescent="0.25">
      <c r="A116" s="26"/>
      <c r="B116" s="25" t="s">
        <v>184</v>
      </c>
      <c r="C116" s="15">
        <v>8</v>
      </c>
      <c r="D116" s="16">
        <v>100</v>
      </c>
      <c r="E116" s="15">
        <v>4</v>
      </c>
      <c r="F116" s="11">
        <v>1</v>
      </c>
      <c r="G116" s="11">
        <f>+ROUND(1650/D116+1,0)</f>
        <v>18</v>
      </c>
      <c r="H116" s="12"/>
      <c r="I116" s="12">
        <f>0.18+(20*C116/1000)</f>
        <v>0.33999999999999997</v>
      </c>
      <c r="J116" s="22"/>
      <c r="K116" s="22"/>
      <c r="L116" s="12">
        <f t="shared" ref="L116" si="63">SUM(H116:J116)+K116</f>
        <v>0.33999999999999997</v>
      </c>
      <c r="M116" s="12">
        <f t="shared" si="61"/>
        <v>24.48</v>
      </c>
      <c r="N116" s="12">
        <f t="shared" si="33"/>
        <v>0</v>
      </c>
      <c r="O116" s="12">
        <f t="shared" si="34"/>
        <v>0</v>
      </c>
      <c r="P116" s="12">
        <f t="shared" si="35"/>
        <v>0</v>
      </c>
      <c r="Q116" s="12">
        <f t="shared" si="36"/>
        <v>0</v>
      </c>
      <c r="R116" s="12">
        <f t="shared" si="37"/>
        <v>0</v>
      </c>
    </row>
    <row r="117" spans="1:18" x14ac:dyDescent="0.25">
      <c r="A117" s="26"/>
      <c r="B117" s="45" t="s">
        <v>190</v>
      </c>
      <c r="C117" s="15">
        <v>16</v>
      </c>
      <c r="D117" s="16"/>
      <c r="E117" s="15">
        <v>4</v>
      </c>
      <c r="F117" s="11">
        <v>1</v>
      </c>
      <c r="G117" s="11">
        <v>12</v>
      </c>
      <c r="H117" s="12">
        <v>0.3</v>
      </c>
      <c r="I117" s="12">
        <f t="shared" ref="I117:I118" si="64">100.3-97.06-0.075</f>
        <v>3.1649999999999947</v>
      </c>
      <c r="J117" s="22"/>
      <c r="K117" s="22">
        <f t="shared" ref="K117:K118" si="65">40*C117/1000</f>
        <v>0.64</v>
      </c>
      <c r="L117" s="12">
        <f t="shared" ref="L117" si="66">SUM(H117:J117)+K117</f>
        <v>4.1049999999999942</v>
      </c>
      <c r="M117" s="12">
        <f t="shared" si="61"/>
        <v>0</v>
      </c>
      <c r="N117" s="12">
        <f t="shared" si="33"/>
        <v>0</v>
      </c>
      <c r="O117" s="12">
        <f t="shared" si="34"/>
        <v>0</v>
      </c>
      <c r="P117" s="12">
        <f t="shared" si="35"/>
        <v>197.04</v>
      </c>
      <c r="Q117" s="12">
        <f t="shared" si="36"/>
        <v>0</v>
      </c>
      <c r="R117" s="12">
        <f t="shared" si="37"/>
        <v>0</v>
      </c>
    </row>
    <row r="118" spans="1:18" x14ac:dyDescent="0.25">
      <c r="A118" s="26"/>
      <c r="B118" s="25"/>
      <c r="C118" s="15">
        <v>12</v>
      </c>
      <c r="D118" s="16"/>
      <c r="E118" s="15">
        <f>+E117</f>
        <v>4</v>
      </c>
      <c r="F118" s="11">
        <v>1</v>
      </c>
      <c r="G118" s="11">
        <v>12</v>
      </c>
      <c r="H118" s="12">
        <v>0.3</v>
      </c>
      <c r="I118" s="12">
        <f t="shared" si="64"/>
        <v>3.1649999999999947</v>
      </c>
      <c r="J118" s="22"/>
      <c r="K118" s="22">
        <f t="shared" si="65"/>
        <v>0.48</v>
      </c>
      <c r="L118" s="12">
        <f>SUM(H118:J118)+K118</f>
        <v>3.9449999999999945</v>
      </c>
      <c r="M118" s="12">
        <f>+ROUND(IF(C118=8,PRODUCT(E118,F118,G118,L118),0),2)</f>
        <v>0</v>
      </c>
      <c r="N118" s="12">
        <f t="shared" si="33"/>
        <v>0</v>
      </c>
      <c r="O118" s="12">
        <f t="shared" si="34"/>
        <v>189.36</v>
      </c>
      <c r="P118" s="12">
        <f t="shared" si="35"/>
        <v>0</v>
      </c>
      <c r="Q118" s="12">
        <f t="shared" si="36"/>
        <v>0</v>
      </c>
      <c r="R118" s="12">
        <f t="shared" si="37"/>
        <v>0</v>
      </c>
    </row>
    <row r="119" spans="1:18" x14ac:dyDescent="0.25">
      <c r="A119" s="26"/>
      <c r="B119" s="25" t="s">
        <v>172</v>
      </c>
      <c r="C119" s="15"/>
      <c r="D119" s="16"/>
      <c r="E119" s="15"/>
      <c r="F119" s="11"/>
      <c r="G119" s="11"/>
      <c r="H119" s="12"/>
      <c r="I119" s="12"/>
      <c r="J119" s="22"/>
      <c r="K119" s="22"/>
      <c r="L119" s="12">
        <f t="shared" ref="L119:L122" si="67">SUM(H119:J119)+K119</f>
        <v>0</v>
      </c>
      <c r="M119" s="12">
        <f t="shared" ref="M119:M364" si="68">+ROUND(IF(C119=8,PRODUCT(E119,F119,G119,L119),0),2)</f>
        <v>0</v>
      </c>
      <c r="N119" s="12">
        <f t="shared" si="33"/>
        <v>0</v>
      </c>
      <c r="O119" s="12">
        <f t="shared" si="34"/>
        <v>0</v>
      </c>
      <c r="P119" s="12">
        <f t="shared" si="35"/>
        <v>0</v>
      </c>
      <c r="Q119" s="12">
        <f t="shared" si="36"/>
        <v>0</v>
      </c>
      <c r="R119" s="12">
        <f t="shared" si="37"/>
        <v>0</v>
      </c>
    </row>
    <row r="120" spans="1:18" x14ac:dyDescent="0.25">
      <c r="A120" s="26"/>
      <c r="B120" s="25" t="s">
        <v>742</v>
      </c>
      <c r="C120" s="15">
        <v>8</v>
      </c>
      <c r="D120" s="16">
        <v>100</v>
      </c>
      <c r="E120" s="15">
        <v>4</v>
      </c>
      <c r="F120" s="11">
        <v>1</v>
      </c>
      <c r="G120" s="11">
        <f>+ROUND(1650/D120+1,0)</f>
        <v>18</v>
      </c>
      <c r="H120" s="12"/>
      <c r="I120" s="12">
        <f>2*(0.164+1.119)+24*C120/1000</f>
        <v>2.758</v>
      </c>
      <c r="J120" s="22"/>
      <c r="K120" s="22"/>
      <c r="L120" s="12">
        <f t="shared" si="67"/>
        <v>2.758</v>
      </c>
      <c r="M120" s="12">
        <f t="shared" si="68"/>
        <v>198.58</v>
      </c>
      <c r="N120" s="12">
        <f t="shared" ref="N120:N364" si="69">+ROUND(IF(C120=10,PRODUCT(E120,F120,G120,L120),0),2)</f>
        <v>0</v>
      </c>
      <c r="O120" s="12">
        <f t="shared" ref="O120:O364" si="70">+ROUND(IF(C120=12,PRODUCT(E120,F120,G120,L120),0),2)</f>
        <v>0</v>
      </c>
      <c r="P120" s="12">
        <f t="shared" ref="P120:P364" si="71">+ROUND(IF(C120=16,PRODUCT(E120,F120,G120,L120),0),2)</f>
        <v>0</v>
      </c>
      <c r="Q120" s="12">
        <f t="shared" ref="Q120:Q364" si="72">+ROUND(IF(C120=20,PRODUCT(E120,F120,G120,L120),0),2)</f>
        <v>0</v>
      </c>
      <c r="R120" s="12">
        <f t="shared" ref="R120:R364" si="73">+ROUND(IF(C120=25,PRODUCT(E120,F120,G120,L120),0),2)</f>
        <v>0</v>
      </c>
    </row>
    <row r="121" spans="1:18" x14ac:dyDescent="0.25">
      <c r="A121" s="26"/>
      <c r="B121" s="25" t="s">
        <v>743</v>
      </c>
      <c r="C121" s="15">
        <v>8</v>
      </c>
      <c r="D121" s="16">
        <v>100</v>
      </c>
      <c r="E121" s="15">
        <v>4</v>
      </c>
      <c r="F121" s="11">
        <v>5</v>
      </c>
      <c r="G121" s="11">
        <f>+ROUND(1650/D121+1,0)</f>
        <v>18</v>
      </c>
      <c r="H121" s="12"/>
      <c r="I121" s="12">
        <f>2*(0.164+0.118)+24*C121/1000</f>
        <v>0.75600000000000001</v>
      </c>
      <c r="J121" s="22"/>
      <c r="K121" s="22"/>
      <c r="L121" s="12">
        <f t="shared" si="67"/>
        <v>0.75600000000000001</v>
      </c>
      <c r="M121" s="12">
        <f t="shared" si="68"/>
        <v>272.16000000000003</v>
      </c>
      <c r="N121" s="12">
        <f t="shared" si="69"/>
        <v>0</v>
      </c>
      <c r="O121" s="12">
        <f t="shared" si="70"/>
        <v>0</v>
      </c>
      <c r="P121" s="12">
        <f t="shared" si="71"/>
        <v>0</v>
      </c>
      <c r="Q121" s="12">
        <f t="shared" si="72"/>
        <v>0</v>
      </c>
      <c r="R121" s="12">
        <f t="shared" si="73"/>
        <v>0</v>
      </c>
    </row>
    <row r="122" spans="1:18" x14ac:dyDescent="0.25">
      <c r="A122" s="26"/>
      <c r="B122" s="45" t="s">
        <v>193</v>
      </c>
      <c r="C122" s="15">
        <v>16</v>
      </c>
      <c r="D122" s="16"/>
      <c r="E122" s="15">
        <v>2</v>
      </c>
      <c r="F122" s="11">
        <v>1</v>
      </c>
      <c r="G122" s="11">
        <v>36</v>
      </c>
      <c r="H122" s="12">
        <v>0.3</v>
      </c>
      <c r="I122" s="12">
        <f>100.3-97.06-0.075</f>
        <v>3.1649999999999947</v>
      </c>
      <c r="J122" s="22"/>
      <c r="K122" s="22">
        <f>40*C122/1000</f>
        <v>0.64</v>
      </c>
      <c r="L122" s="12">
        <f t="shared" si="67"/>
        <v>4.1049999999999942</v>
      </c>
      <c r="M122" s="12">
        <f t="shared" si="68"/>
        <v>0</v>
      </c>
      <c r="N122" s="12">
        <f t="shared" si="69"/>
        <v>0</v>
      </c>
      <c r="O122" s="12">
        <f t="shared" si="70"/>
        <v>0</v>
      </c>
      <c r="P122" s="12">
        <f t="shared" si="71"/>
        <v>295.56</v>
      </c>
      <c r="Q122" s="12">
        <f t="shared" si="72"/>
        <v>0</v>
      </c>
      <c r="R122" s="12">
        <f t="shared" si="73"/>
        <v>0</v>
      </c>
    </row>
    <row r="123" spans="1:18" x14ac:dyDescent="0.25">
      <c r="A123" s="26"/>
      <c r="B123" s="25" t="s">
        <v>172</v>
      </c>
      <c r="C123" s="15"/>
      <c r="D123" s="16"/>
      <c r="E123" s="15"/>
      <c r="F123" s="11"/>
      <c r="G123" s="11"/>
      <c r="H123" s="12"/>
      <c r="I123" s="12"/>
      <c r="J123" s="22"/>
      <c r="K123" s="22"/>
      <c r="L123" s="12">
        <f t="shared" ref="L123:L126" si="74">SUM(H123:J123)+K123</f>
        <v>0</v>
      </c>
      <c r="M123" s="12">
        <f t="shared" si="68"/>
        <v>0</v>
      </c>
      <c r="N123" s="12">
        <f t="shared" si="69"/>
        <v>0</v>
      </c>
      <c r="O123" s="12">
        <f t="shared" si="70"/>
        <v>0</v>
      </c>
      <c r="P123" s="12">
        <f t="shared" si="71"/>
        <v>0</v>
      </c>
      <c r="Q123" s="12">
        <f t="shared" si="72"/>
        <v>0</v>
      </c>
      <c r="R123" s="12">
        <f t="shared" si="73"/>
        <v>0</v>
      </c>
    </row>
    <row r="124" spans="1:18" x14ac:dyDescent="0.25">
      <c r="A124" s="26"/>
      <c r="B124" s="25" t="s">
        <v>744</v>
      </c>
      <c r="C124" s="15">
        <v>8</v>
      </c>
      <c r="D124" s="16">
        <v>100</v>
      </c>
      <c r="E124" s="15">
        <v>2</v>
      </c>
      <c r="F124" s="11">
        <v>1</v>
      </c>
      <c r="G124" s="11">
        <f>+ROUND(1650/D124+1,0)</f>
        <v>18</v>
      </c>
      <c r="H124" s="12"/>
      <c r="I124" s="12">
        <f>2*(0.164+1.789)+24*C124/1000</f>
        <v>4.0979999999999999</v>
      </c>
      <c r="J124" s="22"/>
      <c r="K124" s="22"/>
      <c r="L124" s="12">
        <f t="shared" si="74"/>
        <v>4.0979999999999999</v>
      </c>
      <c r="M124" s="12">
        <f t="shared" si="68"/>
        <v>147.53</v>
      </c>
      <c r="N124" s="12">
        <f t="shared" si="69"/>
        <v>0</v>
      </c>
      <c r="O124" s="12">
        <f t="shared" si="70"/>
        <v>0</v>
      </c>
      <c r="P124" s="12">
        <f t="shared" si="71"/>
        <v>0</v>
      </c>
      <c r="Q124" s="12">
        <f t="shared" si="72"/>
        <v>0</v>
      </c>
      <c r="R124" s="12">
        <f t="shared" si="73"/>
        <v>0</v>
      </c>
    </row>
    <row r="125" spans="1:18" x14ac:dyDescent="0.25">
      <c r="A125" s="26"/>
      <c r="B125" s="25" t="s">
        <v>745</v>
      </c>
      <c r="C125" s="15">
        <v>8</v>
      </c>
      <c r="D125" s="16">
        <v>100</v>
      </c>
      <c r="E125" s="15">
        <v>2</v>
      </c>
      <c r="F125" s="11">
        <v>8</v>
      </c>
      <c r="G125" s="11">
        <f>+ROUND(1650/D125+1,0)</f>
        <v>18</v>
      </c>
      <c r="H125" s="12"/>
      <c r="I125" s="12">
        <f>2*(0.164+0.122)+24*C125/1000</f>
        <v>0.76400000000000001</v>
      </c>
      <c r="J125" s="22"/>
      <c r="K125" s="22"/>
      <c r="L125" s="12">
        <f t="shared" si="74"/>
        <v>0.76400000000000001</v>
      </c>
      <c r="M125" s="12">
        <f t="shared" si="68"/>
        <v>220.03</v>
      </c>
      <c r="N125" s="12">
        <f t="shared" si="69"/>
        <v>0</v>
      </c>
      <c r="O125" s="12">
        <f t="shared" si="70"/>
        <v>0</v>
      </c>
      <c r="P125" s="12">
        <f t="shared" si="71"/>
        <v>0</v>
      </c>
      <c r="Q125" s="12">
        <f t="shared" si="72"/>
        <v>0</v>
      </c>
      <c r="R125" s="12">
        <f t="shared" si="73"/>
        <v>0</v>
      </c>
    </row>
    <row r="126" spans="1:18" x14ac:dyDescent="0.25">
      <c r="A126" s="26"/>
      <c r="B126" s="45" t="s">
        <v>195</v>
      </c>
      <c r="C126" s="15">
        <v>16</v>
      </c>
      <c r="D126" s="16"/>
      <c r="E126" s="15">
        <v>1</v>
      </c>
      <c r="F126" s="11">
        <v>1</v>
      </c>
      <c r="G126" s="11">
        <v>48</v>
      </c>
      <c r="H126" s="12">
        <v>0.3</v>
      </c>
      <c r="I126" s="12">
        <f t="shared" ref="I126:I127" si="75">100.3-97.06-0.075</f>
        <v>3.1649999999999947</v>
      </c>
      <c r="J126" s="22"/>
      <c r="K126" s="22">
        <f t="shared" ref="K126:K127" si="76">40*C126/1000</f>
        <v>0.64</v>
      </c>
      <c r="L126" s="12">
        <f t="shared" si="74"/>
        <v>4.1049999999999942</v>
      </c>
      <c r="M126" s="12">
        <f t="shared" si="68"/>
        <v>0</v>
      </c>
      <c r="N126" s="12">
        <f t="shared" si="69"/>
        <v>0</v>
      </c>
      <c r="O126" s="12">
        <f t="shared" si="70"/>
        <v>0</v>
      </c>
      <c r="P126" s="12">
        <f t="shared" si="71"/>
        <v>197.04</v>
      </c>
      <c r="Q126" s="12">
        <f t="shared" si="72"/>
        <v>0</v>
      </c>
      <c r="R126" s="12">
        <f t="shared" si="73"/>
        <v>0</v>
      </c>
    </row>
    <row r="127" spans="1:18" x14ac:dyDescent="0.25">
      <c r="A127" s="26"/>
      <c r="B127" s="45"/>
      <c r="C127" s="15">
        <v>12</v>
      </c>
      <c r="D127" s="16"/>
      <c r="E127" s="15">
        <v>1</v>
      </c>
      <c r="F127" s="11">
        <v>1</v>
      </c>
      <c r="G127" s="11">
        <v>12</v>
      </c>
      <c r="H127" s="12">
        <v>0.3</v>
      </c>
      <c r="I127" s="12">
        <f t="shared" si="75"/>
        <v>3.1649999999999947</v>
      </c>
      <c r="J127" s="22"/>
      <c r="K127" s="22">
        <f t="shared" si="76"/>
        <v>0.48</v>
      </c>
      <c r="L127" s="12">
        <f t="shared" ref="L127" si="77">SUM(H127:J127)+K127</f>
        <v>3.9449999999999945</v>
      </c>
      <c r="M127" s="12">
        <f t="shared" si="68"/>
        <v>0</v>
      </c>
      <c r="N127" s="12">
        <f t="shared" si="69"/>
        <v>0</v>
      </c>
      <c r="O127" s="12">
        <f t="shared" si="70"/>
        <v>47.34</v>
      </c>
      <c r="P127" s="12">
        <f t="shared" si="71"/>
        <v>0</v>
      </c>
      <c r="Q127" s="12">
        <f t="shared" si="72"/>
        <v>0</v>
      </c>
      <c r="R127" s="12">
        <f t="shared" si="73"/>
        <v>0</v>
      </c>
    </row>
    <row r="128" spans="1:18" x14ac:dyDescent="0.25">
      <c r="A128" s="26"/>
      <c r="B128" s="25" t="s">
        <v>172</v>
      </c>
      <c r="C128" s="15"/>
      <c r="D128" s="16"/>
      <c r="E128" s="15"/>
      <c r="F128" s="11"/>
      <c r="G128" s="11"/>
      <c r="H128" s="12"/>
      <c r="I128" s="12"/>
      <c r="J128" s="22"/>
      <c r="K128" s="22"/>
      <c r="L128" s="12">
        <f t="shared" ref="L128:L130" si="78">SUM(H128:J128)+K128</f>
        <v>0</v>
      </c>
      <c r="M128" s="12">
        <f t="shared" si="68"/>
        <v>0</v>
      </c>
      <c r="N128" s="12">
        <f t="shared" si="69"/>
        <v>0</v>
      </c>
      <c r="O128" s="12">
        <f t="shared" si="70"/>
        <v>0</v>
      </c>
      <c r="P128" s="12">
        <f t="shared" si="71"/>
        <v>0</v>
      </c>
      <c r="Q128" s="12">
        <f t="shared" si="72"/>
        <v>0</v>
      </c>
      <c r="R128" s="12">
        <f t="shared" si="73"/>
        <v>0</v>
      </c>
    </row>
    <row r="129" spans="1:18" x14ac:dyDescent="0.25">
      <c r="A129" s="26"/>
      <c r="B129" s="25" t="s">
        <v>196</v>
      </c>
      <c r="C129" s="15">
        <v>8</v>
      </c>
      <c r="D129" s="16">
        <v>100</v>
      </c>
      <c r="E129" s="15">
        <v>1</v>
      </c>
      <c r="F129" s="11">
        <v>2</v>
      </c>
      <c r="G129" s="11">
        <f>+ROUND(1650/D129+1,0)</f>
        <v>18</v>
      </c>
      <c r="H129" s="12"/>
      <c r="I129" s="12">
        <f>2*(0.18+1.183)+24*C129/1000</f>
        <v>2.9180000000000001</v>
      </c>
      <c r="J129" s="22"/>
      <c r="K129" s="22"/>
      <c r="L129" s="12">
        <f t="shared" si="78"/>
        <v>2.9180000000000001</v>
      </c>
      <c r="M129" s="12">
        <f t="shared" si="68"/>
        <v>105.05</v>
      </c>
      <c r="N129" s="12">
        <f t="shared" si="69"/>
        <v>0</v>
      </c>
      <c r="O129" s="12">
        <f t="shared" si="70"/>
        <v>0</v>
      </c>
      <c r="P129" s="12">
        <f t="shared" si="71"/>
        <v>0</v>
      </c>
      <c r="Q129" s="12">
        <f t="shared" si="72"/>
        <v>0</v>
      </c>
      <c r="R129" s="12">
        <f t="shared" si="73"/>
        <v>0</v>
      </c>
    </row>
    <row r="130" spans="1:18" x14ac:dyDescent="0.25">
      <c r="A130" s="26"/>
      <c r="B130" s="25" t="s">
        <v>194</v>
      </c>
      <c r="C130" s="15">
        <v>8</v>
      </c>
      <c r="D130" s="16">
        <v>100</v>
      </c>
      <c r="E130" s="15">
        <v>1</v>
      </c>
      <c r="F130" s="11">
        <f>2*5</f>
        <v>10</v>
      </c>
      <c r="G130" s="11">
        <f>+ROUND(1650/D130+1,0)</f>
        <v>18</v>
      </c>
      <c r="H130" s="12"/>
      <c r="I130" s="12">
        <f>2*(0.18+0.122)+24*C130/1000</f>
        <v>0.79600000000000004</v>
      </c>
      <c r="J130" s="22"/>
      <c r="K130" s="22"/>
      <c r="L130" s="12">
        <f t="shared" si="78"/>
        <v>0.79600000000000004</v>
      </c>
      <c r="M130" s="12">
        <f t="shared" si="68"/>
        <v>143.28</v>
      </c>
      <c r="N130" s="12">
        <f t="shared" si="69"/>
        <v>0</v>
      </c>
      <c r="O130" s="12">
        <f t="shared" si="70"/>
        <v>0</v>
      </c>
      <c r="P130" s="12">
        <f t="shared" si="71"/>
        <v>0</v>
      </c>
      <c r="Q130" s="12">
        <f t="shared" si="72"/>
        <v>0</v>
      </c>
      <c r="R130" s="12">
        <f t="shared" si="73"/>
        <v>0</v>
      </c>
    </row>
    <row r="131" spans="1:18" x14ac:dyDescent="0.25">
      <c r="A131" s="26"/>
      <c r="B131" s="25" t="s">
        <v>197</v>
      </c>
      <c r="C131" s="15">
        <v>8</v>
      </c>
      <c r="D131" s="16">
        <v>200</v>
      </c>
      <c r="E131" s="15">
        <v>1</v>
      </c>
      <c r="F131" s="11">
        <v>1</v>
      </c>
      <c r="G131" s="11">
        <f>+ROUND(1650/D131+1,0)</f>
        <v>9</v>
      </c>
      <c r="H131" s="12"/>
      <c r="I131" s="12">
        <f>2*(0.18+1.216)+24*C131/1000</f>
        <v>2.984</v>
      </c>
      <c r="J131" s="22"/>
      <c r="K131" s="22"/>
      <c r="L131" s="12">
        <f t="shared" si="52"/>
        <v>2.984</v>
      </c>
      <c r="M131" s="12">
        <f t="shared" si="68"/>
        <v>26.86</v>
      </c>
      <c r="N131" s="12">
        <f t="shared" si="69"/>
        <v>0</v>
      </c>
      <c r="O131" s="12">
        <f t="shared" si="70"/>
        <v>0</v>
      </c>
      <c r="P131" s="12">
        <f t="shared" si="71"/>
        <v>0</v>
      </c>
      <c r="Q131" s="12">
        <f t="shared" si="72"/>
        <v>0</v>
      </c>
      <c r="R131" s="12">
        <f t="shared" si="73"/>
        <v>0</v>
      </c>
    </row>
    <row r="132" spans="1:18" x14ac:dyDescent="0.25">
      <c r="A132" s="26"/>
      <c r="B132" s="25" t="s">
        <v>177</v>
      </c>
      <c r="C132" s="15">
        <v>8</v>
      </c>
      <c r="D132" s="16">
        <v>400</v>
      </c>
      <c r="E132" s="15">
        <v>1</v>
      </c>
      <c r="F132" s="11">
        <v>3</v>
      </c>
      <c r="G132" s="11">
        <f>+ROUND(1650/D132+1,0)</f>
        <v>5</v>
      </c>
      <c r="H132" s="12"/>
      <c r="I132" s="12">
        <f>0.18+(20*C132/1000)</f>
        <v>0.33999999999999997</v>
      </c>
      <c r="J132" s="22"/>
      <c r="K132" s="22"/>
      <c r="L132" s="12">
        <f t="shared" si="52"/>
        <v>0.33999999999999997</v>
      </c>
      <c r="M132" s="12">
        <f t="shared" si="68"/>
        <v>5.0999999999999996</v>
      </c>
      <c r="N132" s="12">
        <f t="shared" si="69"/>
        <v>0</v>
      </c>
      <c r="O132" s="12">
        <f t="shared" si="70"/>
        <v>0</v>
      </c>
      <c r="P132" s="12">
        <f t="shared" si="71"/>
        <v>0</v>
      </c>
      <c r="Q132" s="12">
        <f t="shared" si="72"/>
        <v>0</v>
      </c>
      <c r="R132" s="12">
        <f t="shared" si="73"/>
        <v>0</v>
      </c>
    </row>
    <row r="133" spans="1:18" x14ac:dyDescent="0.25">
      <c r="A133" s="26"/>
      <c r="B133" s="45" t="s">
        <v>198</v>
      </c>
      <c r="C133" s="15">
        <v>16</v>
      </c>
      <c r="D133" s="16"/>
      <c r="E133" s="15">
        <v>6</v>
      </c>
      <c r="F133" s="11">
        <v>1</v>
      </c>
      <c r="G133" s="11">
        <v>24</v>
      </c>
      <c r="H133" s="12">
        <v>0.3</v>
      </c>
      <c r="I133" s="12">
        <f t="shared" ref="I133:I134" si="79">100.3-97.06-0.075</f>
        <v>3.1649999999999947</v>
      </c>
      <c r="J133" s="22"/>
      <c r="K133" s="22">
        <f t="shared" ref="K133:K134" si="80">40*C133/1000</f>
        <v>0.64</v>
      </c>
      <c r="L133" s="12">
        <f t="shared" ref="L133:L142" si="81">SUM(H133:J133)+K133</f>
        <v>4.1049999999999942</v>
      </c>
      <c r="M133" s="12">
        <f t="shared" si="68"/>
        <v>0</v>
      </c>
      <c r="N133" s="12">
        <f t="shared" si="69"/>
        <v>0</v>
      </c>
      <c r="O133" s="12">
        <f t="shared" si="70"/>
        <v>0</v>
      </c>
      <c r="P133" s="12">
        <f t="shared" si="71"/>
        <v>591.12</v>
      </c>
      <c r="Q133" s="12">
        <f t="shared" si="72"/>
        <v>0</v>
      </c>
      <c r="R133" s="12">
        <f t="shared" si="73"/>
        <v>0</v>
      </c>
    </row>
    <row r="134" spans="1:18" x14ac:dyDescent="0.25">
      <c r="A134" s="26"/>
      <c r="B134" s="25"/>
      <c r="C134" s="15">
        <v>12</v>
      </c>
      <c r="D134" s="16"/>
      <c r="E134" s="15">
        <v>6</v>
      </c>
      <c r="F134" s="11">
        <v>1</v>
      </c>
      <c r="G134" s="11">
        <v>10</v>
      </c>
      <c r="H134" s="12">
        <v>0.3</v>
      </c>
      <c r="I134" s="12">
        <f t="shared" si="79"/>
        <v>3.1649999999999947</v>
      </c>
      <c r="J134" s="22"/>
      <c r="K134" s="22">
        <f t="shared" si="80"/>
        <v>0.48</v>
      </c>
      <c r="L134" s="12">
        <f t="shared" si="81"/>
        <v>3.9449999999999945</v>
      </c>
      <c r="M134" s="12">
        <f t="shared" si="68"/>
        <v>0</v>
      </c>
      <c r="N134" s="12">
        <f t="shared" si="69"/>
        <v>0</v>
      </c>
      <c r="O134" s="12">
        <f t="shared" si="70"/>
        <v>236.7</v>
      </c>
      <c r="P134" s="12">
        <f t="shared" si="71"/>
        <v>0</v>
      </c>
      <c r="Q134" s="12">
        <f t="shared" si="72"/>
        <v>0</v>
      </c>
      <c r="R134" s="12">
        <f t="shared" si="73"/>
        <v>0</v>
      </c>
    </row>
    <row r="135" spans="1:18" x14ac:dyDescent="0.25">
      <c r="A135" s="26"/>
      <c r="B135" s="25" t="s">
        <v>172</v>
      </c>
      <c r="C135" s="15"/>
      <c r="D135" s="16"/>
      <c r="E135" s="15"/>
      <c r="F135" s="11"/>
      <c r="G135" s="11"/>
      <c r="H135" s="12"/>
      <c r="I135" s="12"/>
      <c r="J135" s="22"/>
      <c r="K135" s="22"/>
      <c r="L135" s="12">
        <f t="shared" si="81"/>
        <v>0</v>
      </c>
      <c r="M135" s="12">
        <f t="shared" si="68"/>
        <v>0</v>
      </c>
      <c r="N135" s="12">
        <f t="shared" si="69"/>
        <v>0</v>
      </c>
      <c r="O135" s="12">
        <f t="shared" si="70"/>
        <v>0</v>
      </c>
      <c r="P135" s="12">
        <f t="shared" si="71"/>
        <v>0</v>
      </c>
      <c r="Q135" s="12">
        <f t="shared" si="72"/>
        <v>0</v>
      </c>
      <c r="R135" s="12">
        <f t="shared" si="73"/>
        <v>0</v>
      </c>
    </row>
    <row r="136" spans="1:18" x14ac:dyDescent="0.25">
      <c r="A136" s="26"/>
      <c r="B136" s="25" t="s">
        <v>188</v>
      </c>
      <c r="C136" s="15">
        <v>8</v>
      </c>
      <c r="D136" s="16">
        <v>100</v>
      </c>
      <c r="E136" s="15">
        <v>6</v>
      </c>
      <c r="F136" s="11">
        <v>1</v>
      </c>
      <c r="G136" s="11">
        <f t="shared" ref="G136:G143" si="82">+ROUND(1650/D136+1,0)</f>
        <v>18</v>
      </c>
      <c r="H136" s="12"/>
      <c r="I136" s="12">
        <f>2*(0.18+0.6)+24*C136/1000</f>
        <v>1.752</v>
      </c>
      <c r="J136" s="22"/>
      <c r="K136" s="22"/>
      <c r="L136" s="12">
        <f t="shared" si="81"/>
        <v>1.752</v>
      </c>
      <c r="M136" s="12">
        <f t="shared" si="68"/>
        <v>189.22</v>
      </c>
      <c r="N136" s="12">
        <f t="shared" si="69"/>
        <v>0</v>
      </c>
      <c r="O136" s="12">
        <f t="shared" si="70"/>
        <v>0</v>
      </c>
      <c r="P136" s="12">
        <f t="shared" si="71"/>
        <v>0</v>
      </c>
      <c r="Q136" s="12">
        <f t="shared" si="72"/>
        <v>0</v>
      </c>
      <c r="R136" s="12">
        <f t="shared" si="73"/>
        <v>0</v>
      </c>
    </row>
    <row r="137" spans="1:18" x14ac:dyDescent="0.25">
      <c r="A137" s="26"/>
      <c r="B137" s="25" t="s">
        <v>174</v>
      </c>
      <c r="C137" s="15">
        <v>8</v>
      </c>
      <c r="D137" s="16">
        <v>100</v>
      </c>
      <c r="E137" s="15">
        <v>6</v>
      </c>
      <c r="F137" s="11">
        <v>1</v>
      </c>
      <c r="G137" s="11">
        <f t="shared" si="82"/>
        <v>18</v>
      </c>
      <c r="H137" s="12"/>
      <c r="I137" s="12">
        <f>2*(0.18+0.248)+24*C137/1000</f>
        <v>1.048</v>
      </c>
      <c r="J137" s="22"/>
      <c r="K137" s="22"/>
      <c r="L137" s="12">
        <f t="shared" si="81"/>
        <v>1.048</v>
      </c>
      <c r="M137" s="12">
        <f t="shared" si="68"/>
        <v>113.18</v>
      </c>
      <c r="N137" s="12">
        <f t="shared" si="69"/>
        <v>0</v>
      </c>
      <c r="O137" s="12">
        <f t="shared" si="70"/>
        <v>0</v>
      </c>
      <c r="P137" s="12">
        <f t="shared" si="71"/>
        <v>0</v>
      </c>
      <c r="Q137" s="12">
        <f t="shared" si="72"/>
        <v>0</v>
      </c>
      <c r="R137" s="12">
        <f t="shared" si="73"/>
        <v>0</v>
      </c>
    </row>
    <row r="138" spans="1:18" x14ac:dyDescent="0.25">
      <c r="A138" s="26"/>
      <c r="B138" s="25" t="s">
        <v>173</v>
      </c>
      <c r="C138" s="15">
        <v>8</v>
      </c>
      <c r="D138" s="16">
        <v>100</v>
      </c>
      <c r="E138" s="15">
        <v>6</v>
      </c>
      <c r="F138" s="11">
        <v>1</v>
      </c>
      <c r="G138" s="11">
        <f t="shared" si="82"/>
        <v>18</v>
      </c>
      <c r="H138" s="12"/>
      <c r="I138" s="12">
        <f>0.18+(20*C138/1000)</f>
        <v>0.33999999999999997</v>
      </c>
      <c r="J138" s="22"/>
      <c r="K138" s="22"/>
      <c r="L138" s="12">
        <f t="shared" si="81"/>
        <v>0.33999999999999997</v>
      </c>
      <c r="M138" s="12">
        <f t="shared" si="68"/>
        <v>36.72</v>
      </c>
      <c r="N138" s="12">
        <f t="shared" si="69"/>
        <v>0</v>
      </c>
      <c r="O138" s="12">
        <f t="shared" si="70"/>
        <v>0</v>
      </c>
      <c r="P138" s="12">
        <f t="shared" si="71"/>
        <v>0</v>
      </c>
      <c r="Q138" s="12">
        <f t="shared" si="72"/>
        <v>0</v>
      </c>
      <c r="R138" s="12">
        <f t="shared" si="73"/>
        <v>0</v>
      </c>
    </row>
    <row r="139" spans="1:18" x14ac:dyDescent="0.25">
      <c r="A139" s="26"/>
      <c r="B139" s="25" t="s">
        <v>189</v>
      </c>
      <c r="C139" s="15">
        <v>8</v>
      </c>
      <c r="D139" s="16">
        <v>100</v>
      </c>
      <c r="E139" s="15">
        <v>6</v>
      </c>
      <c r="F139" s="11">
        <v>2</v>
      </c>
      <c r="G139" s="11">
        <f t="shared" si="82"/>
        <v>18</v>
      </c>
      <c r="H139" s="12"/>
      <c r="I139" s="12">
        <f>2*(0.18+0.385)+24*C139/1000</f>
        <v>1.3219999999999998</v>
      </c>
      <c r="J139" s="22"/>
      <c r="K139" s="22"/>
      <c r="L139" s="12">
        <f t="shared" si="81"/>
        <v>1.3219999999999998</v>
      </c>
      <c r="M139" s="12">
        <f t="shared" si="68"/>
        <v>285.55</v>
      </c>
      <c r="N139" s="12">
        <f t="shared" si="69"/>
        <v>0</v>
      </c>
      <c r="O139" s="12">
        <f t="shared" si="70"/>
        <v>0</v>
      </c>
      <c r="P139" s="12">
        <f t="shared" si="71"/>
        <v>0</v>
      </c>
      <c r="Q139" s="12">
        <f t="shared" si="72"/>
        <v>0</v>
      </c>
      <c r="R139" s="12">
        <f t="shared" si="73"/>
        <v>0</v>
      </c>
    </row>
    <row r="140" spans="1:18" x14ac:dyDescent="0.25">
      <c r="A140" s="26"/>
      <c r="B140" s="25" t="s">
        <v>175</v>
      </c>
      <c r="C140" s="15">
        <v>8</v>
      </c>
      <c r="D140" s="16">
        <v>100</v>
      </c>
      <c r="E140" s="15">
        <v>6</v>
      </c>
      <c r="F140" s="11">
        <v>1</v>
      </c>
      <c r="G140" s="11">
        <f t="shared" si="82"/>
        <v>18</v>
      </c>
      <c r="H140" s="12"/>
      <c r="I140" s="12">
        <f>2*(0.18+0.268)+24*C140/1000</f>
        <v>1.0880000000000001</v>
      </c>
      <c r="J140" s="22"/>
      <c r="K140" s="22"/>
      <c r="L140" s="12">
        <f t="shared" si="81"/>
        <v>1.0880000000000001</v>
      </c>
      <c r="M140" s="12">
        <f t="shared" si="68"/>
        <v>117.5</v>
      </c>
      <c r="N140" s="12">
        <f t="shared" si="69"/>
        <v>0</v>
      </c>
      <c r="O140" s="12">
        <f t="shared" si="70"/>
        <v>0</v>
      </c>
      <c r="P140" s="12">
        <f t="shared" si="71"/>
        <v>0</v>
      </c>
      <c r="Q140" s="12">
        <f t="shared" si="72"/>
        <v>0</v>
      </c>
      <c r="R140" s="12">
        <f t="shared" si="73"/>
        <v>0</v>
      </c>
    </row>
    <row r="141" spans="1:18" x14ac:dyDescent="0.25">
      <c r="A141" s="26"/>
      <c r="B141" s="25" t="s">
        <v>173</v>
      </c>
      <c r="C141" s="15">
        <v>8</v>
      </c>
      <c r="D141" s="16">
        <v>100</v>
      </c>
      <c r="E141" s="15">
        <v>6</v>
      </c>
      <c r="F141" s="11">
        <v>1</v>
      </c>
      <c r="G141" s="11">
        <f t="shared" si="82"/>
        <v>18</v>
      </c>
      <c r="H141" s="12"/>
      <c r="I141" s="12">
        <f>0.18+(20*C141/1000)</f>
        <v>0.33999999999999997</v>
      </c>
      <c r="J141" s="22"/>
      <c r="K141" s="22"/>
      <c r="L141" s="12">
        <f t="shared" si="81"/>
        <v>0.33999999999999997</v>
      </c>
      <c r="M141" s="12">
        <f t="shared" si="68"/>
        <v>36.72</v>
      </c>
      <c r="N141" s="12">
        <f t="shared" si="69"/>
        <v>0</v>
      </c>
      <c r="O141" s="12">
        <f t="shared" si="70"/>
        <v>0</v>
      </c>
      <c r="P141" s="12">
        <f t="shared" si="71"/>
        <v>0</v>
      </c>
      <c r="Q141" s="12">
        <f t="shared" si="72"/>
        <v>0</v>
      </c>
      <c r="R141" s="12">
        <f t="shared" si="73"/>
        <v>0</v>
      </c>
    </row>
    <row r="142" spans="1:18" x14ac:dyDescent="0.25">
      <c r="A142" s="26"/>
      <c r="B142" s="25" t="s">
        <v>179</v>
      </c>
      <c r="C142" s="15">
        <v>8</v>
      </c>
      <c r="D142" s="16">
        <v>200</v>
      </c>
      <c r="E142" s="15">
        <v>6</v>
      </c>
      <c r="F142" s="11">
        <v>1</v>
      </c>
      <c r="G142" s="11">
        <f t="shared" si="82"/>
        <v>9</v>
      </c>
      <c r="H142" s="12"/>
      <c r="I142" s="12">
        <f>2*(0.18+1.066)+24*C142/1000</f>
        <v>2.6840000000000002</v>
      </c>
      <c r="J142" s="22"/>
      <c r="K142" s="22"/>
      <c r="L142" s="12">
        <f t="shared" si="81"/>
        <v>2.6840000000000002</v>
      </c>
      <c r="M142" s="12">
        <f t="shared" si="68"/>
        <v>144.94</v>
      </c>
      <c r="N142" s="12">
        <f t="shared" si="69"/>
        <v>0</v>
      </c>
      <c r="O142" s="12">
        <f t="shared" si="70"/>
        <v>0</v>
      </c>
      <c r="P142" s="12">
        <f t="shared" si="71"/>
        <v>0</v>
      </c>
      <c r="Q142" s="12">
        <f t="shared" si="72"/>
        <v>0</v>
      </c>
      <c r="R142" s="12">
        <f t="shared" si="73"/>
        <v>0</v>
      </c>
    </row>
    <row r="143" spans="1:18" x14ac:dyDescent="0.25">
      <c r="A143" s="26"/>
      <c r="B143" s="25" t="s">
        <v>177</v>
      </c>
      <c r="C143" s="15">
        <v>8</v>
      </c>
      <c r="D143" s="16">
        <v>400</v>
      </c>
      <c r="E143" s="15">
        <v>6</v>
      </c>
      <c r="F143" s="11">
        <v>2</v>
      </c>
      <c r="G143" s="11">
        <f t="shared" si="82"/>
        <v>5</v>
      </c>
      <c r="H143" s="12"/>
      <c r="I143" s="12">
        <f>0.18+(20*C143/1000)</f>
        <v>0.33999999999999997</v>
      </c>
      <c r="J143" s="22"/>
      <c r="K143" s="22"/>
      <c r="L143" s="12">
        <f t="shared" ref="L143" si="83">SUM(H143:J143)+K143</f>
        <v>0.33999999999999997</v>
      </c>
      <c r="M143" s="12">
        <f t="shared" si="68"/>
        <v>20.399999999999999</v>
      </c>
      <c r="N143" s="12">
        <f t="shared" si="69"/>
        <v>0</v>
      </c>
      <c r="O143" s="12">
        <f t="shared" si="70"/>
        <v>0</v>
      </c>
      <c r="P143" s="12">
        <f t="shared" si="71"/>
        <v>0</v>
      </c>
      <c r="Q143" s="12">
        <f t="shared" si="72"/>
        <v>0</v>
      </c>
      <c r="R143" s="12">
        <f t="shared" si="73"/>
        <v>0</v>
      </c>
    </row>
    <row r="144" spans="1:18" x14ac:dyDescent="0.25">
      <c r="A144" s="26"/>
      <c r="B144" s="45" t="s">
        <v>199</v>
      </c>
      <c r="C144" s="15">
        <v>16</v>
      </c>
      <c r="D144" s="16"/>
      <c r="E144" s="15">
        <v>2</v>
      </c>
      <c r="F144" s="11">
        <v>1</v>
      </c>
      <c r="G144" s="11">
        <v>16</v>
      </c>
      <c r="H144" s="12">
        <v>0.3</v>
      </c>
      <c r="I144" s="12">
        <f t="shared" ref="I144:I145" si="84">100.3-97.06-0.075</f>
        <v>3.1649999999999947</v>
      </c>
      <c r="J144" s="22"/>
      <c r="K144" s="22">
        <f t="shared" ref="K144:K145" si="85">40*C144/1000</f>
        <v>0.64</v>
      </c>
      <c r="L144" s="12">
        <f t="shared" ref="L144:L150" si="86">SUM(H144:J144)+K144</f>
        <v>4.1049999999999942</v>
      </c>
      <c r="M144" s="12">
        <f t="shared" si="68"/>
        <v>0</v>
      </c>
      <c r="N144" s="12">
        <f t="shared" si="69"/>
        <v>0</v>
      </c>
      <c r="O144" s="12">
        <f t="shared" si="70"/>
        <v>0</v>
      </c>
      <c r="P144" s="12">
        <f t="shared" si="71"/>
        <v>131.36000000000001</v>
      </c>
      <c r="Q144" s="12">
        <f t="shared" si="72"/>
        <v>0</v>
      </c>
      <c r="R144" s="12">
        <f t="shared" si="73"/>
        <v>0</v>
      </c>
    </row>
    <row r="145" spans="1:18" x14ac:dyDescent="0.25">
      <c r="A145" s="26"/>
      <c r="B145" s="45"/>
      <c r="C145" s="15">
        <v>12</v>
      </c>
      <c r="D145" s="16"/>
      <c r="E145" s="15">
        <v>2</v>
      </c>
      <c r="F145" s="11">
        <v>1</v>
      </c>
      <c r="G145" s="11">
        <v>32</v>
      </c>
      <c r="H145" s="12">
        <v>0.3</v>
      </c>
      <c r="I145" s="12">
        <f t="shared" si="84"/>
        <v>3.1649999999999947</v>
      </c>
      <c r="J145" s="22"/>
      <c r="K145" s="22">
        <f t="shared" si="85"/>
        <v>0.48</v>
      </c>
      <c r="L145" s="12">
        <f t="shared" si="86"/>
        <v>3.9449999999999945</v>
      </c>
      <c r="M145" s="12">
        <f t="shared" si="68"/>
        <v>0</v>
      </c>
      <c r="N145" s="12">
        <f t="shared" si="69"/>
        <v>0</v>
      </c>
      <c r="O145" s="12">
        <f t="shared" si="70"/>
        <v>252.48</v>
      </c>
      <c r="P145" s="12">
        <f t="shared" si="71"/>
        <v>0</v>
      </c>
      <c r="Q145" s="12">
        <f t="shared" si="72"/>
        <v>0</v>
      </c>
      <c r="R145" s="12">
        <f t="shared" si="73"/>
        <v>0</v>
      </c>
    </row>
    <row r="146" spans="1:18" x14ac:dyDescent="0.25">
      <c r="A146" s="26"/>
      <c r="B146" s="25" t="s">
        <v>172</v>
      </c>
      <c r="C146" s="15"/>
      <c r="D146" s="16"/>
      <c r="E146" s="15"/>
      <c r="F146" s="11"/>
      <c r="G146" s="11"/>
      <c r="H146" s="12"/>
      <c r="I146" s="12"/>
      <c r="J146" s="22"/>
      <c r="K146" s="22"/>
      <c r="L146" s="12">
        <f t="shared" si="86"/>
        <v>0</v>
      </c>
      <c r="M146" s="12">
        <f t="shared" si="68"/>
        <v>0</v>
      </c>
      <c r="N146" s="12">
        <f t="shared" si="69"/>
        <v>0</v>
      </c>
      <c r="O146" s="12">
        <f t="shared" si="70"/>
        <v>0</v>
      </c>
      <c r="P146" s="12">
        <f t="shared" si="71"/>
        <v>0</v>
      </c>
      <c r="Q146" s="12">
        <f t="shared" si="72"/>
        <v>0</v>
      </c>
      <c r="R146" s="12">
        <f t="shared" si="73"/>
        <v>0</v>
      </c>
    </row>
    <row r="147" spans="1:18" x14ac:dyDescent="0.25">
      <c r="A147" s="26"/>
      <c r="B147" s="25" t="s">
        <v>200</v>
      </c>
      <c r="C147" s="15">
        <v>8</v>
      </c>
      <c r="D147" s="16">
        <v>100</v>
      </c>
      <c r="E147" s="15">
        <v>2</v>
      </c>
      <c r="F147" s="11">
        <v>2</v>
      </c>
      <c r="G147" s="11">
        <f t="shared" ref="G147:G151" si="87">+ROUND(1650/D147+1,0)</f>
        <v>18</v>
      </c>
      <c r="H147" s="12"/>
      <c r="I147" s="12">
        <f>2*(0.18+0.683)+24*C147/1000</f>
        <v>1.9179999999999999</v>
      </c>
      <c r="J147" s="22"/>
      <c r="K147" s="22"/>
      <c r="L147" s="12">
        <f t="shared" si="86"/>
        <v>1.9179999999999999</v>
      </c>
      <c r="M147" s="12">
        <f t="shared" si="68"/>
        <v>138.1</v>
      </c>
      <c r="N147" s="12">
        <f t="shared" si="69"/>
        <v>0</v>
      </c>
      <c r="O147" s="12">
        <f t="shared" si="70"/>
        <v>0</v>
      </c>
      <c r="P147" s="12">
        <f t="shared" si="71"/>
        <v>0</v>
      </c>
      <c r="Q147" s="12">
        <f t="shared" si="72"/>
        <v>0</v>
      </c>
      <c r="R147" s="12">
        <f t="shared" si="73"/>
        <v>0</v>
      </c>
    </row>
    <row r="148" spans="1:18" x14ac:dyDescent="0.25">
      <c r="A148" s="26"/>
      <c r="B148" s="25" t="s">
        <v>201</v>
      </c>
      <c r="C148" s="15">
        <v>8</v>
      </c>
      <c r="D148" s="16">
        <v>100</v>
      </c>
      <c r="E148" s="15">
        <v>2</v>
      </c>
      <c r="F148" s="11">
        <f>2*2</f>
        <v>4</v>
      </c>
      <c r="G148" s="11">
        <f t="shared" si="87"/>
        <v>18</v>
      </c>
      <c r="H148" s="12"/>
      <c r="I148" s="12">
        <f>2*(0.18+0.128)+24*C148/1000</f>
        <v>0.80800000000000005</v>
      </c>
      <c r="J148" s="22"/>
      <c r="K148" s="22"/>
      <c r="L148" s="12">
        <f t="shared" si="86"/>
        <v>0.80800000000000005</v>
      </c>
      <c r="M148" s="12">
        <f t="shared" si="68"/>
        <v>116.35</v>
      </c>
      <c r="N148" s="12">
        <f t="shared" si="69"/>
        <v>0</v>
      </c>
      <c r="O148" s="12">
        <f t="shared" si="70"/>
        <v>0</v>
      </c>
      <c r="P148" s="12">
        <f t="shared" si="71"/>
        <v>0</v>
      </c>
      <c r="Q148" s="12">
        <f t="shared" si="72"/>
        <v>0</v>
      </c>
      <c r="R148" s="12">
        <f t="shared" si="73"/>
        <v>0</v>
      </c>
    </row>
    <row r="149" spans="1:18" x14ac:dyDescent="0.25">
      <c r="A149" s="26"/>
      <c r="B149" s="25" t="s">
        <v>173</v>
      </c>
      <c r="C149" s="15">
        <v>8</v>
      </c>
      <c r="D149" s="16">
        <v>100</v>
      </c>
      <c r="E149" s="15">
        <v>2</v>
      </c>
      <c r="F149" s="11">
        <v>2</v>
      </c>
      <c r="G149" s="11">
        <f t="shared" si="87"/>
        <v>18</v>
      </c>
      <c r="H149" s="12"/>
      <c r="I149" s="12">
        <f>0.18+(20*C149/1000)</f>
        <v>0.33999999999999997</v>
      </c>
      <c r="J149" s="22"/>
      <c r="K149" s="22"/>
      <c r="L149" s="12">
        <f t="shared" si="86"/>
        <v>0.33999999999999997</v>
      </c>
      <c r="M149" s="12">
        <f t="shared" si="68"/>
        <v>24.48</v>
      </c>
      <c r="N149" s="12">
        <f t="shared" si="69"/>
        <v>0</v>
      </c>
      <c r="O149" s="12">
        <f t="shared" si="70"/>
        <v>0</v>
      </c>
      <c r="P149" s="12">
        <f t="shared" si="71"/>
        <v>0</v>
      </c>
      <c r="Q149" s="12">
        <f t="shared" si="72"/>
        <v>0</v>
      </c>
      <c r="R149" s="12">
        <f t="shared" si="73"/>
        <v>0</v>
      </c>
    </row>
    <row r="150" spans="1:18" x14ac:dyDescent="0.25">
      <c r="A150" s="26"/>
      <c r="B150" s="25" t="s">
        <v>202</v>
      </c>
      <c r="C150" s="15">
        <v>8</v>
      </c>
      <c r="D150" s="16">
        <v>200</v>
      </c>
      <c r="E150" s="15">
        <v>2</v>
      </c>
      <c r="F150" s="11">
        <v>1</v>
      </c>
      <c r="G150" s="11">
        <f t="shared" si="87"/>
        <v>9</v>
      </c>
      <c r="H150" s="12"/>
      <c r="I150" s="12">
        <f>2*(0.18+2.061)+24*C150/1000</f>
        <v>4.6740000000000004</v>
      </c>
      <c r="J150" s="22"/>
      <c r="K150" s="22"/>
      <c r="L150" s="12">
        <f t="shared" si="86"/>
        <v>4.6740000000000004</v>
      </c>
      <c r="M150" s="12">
        <f t="shared" si="68"/>
        <v>84.13</v>
      </c>
      <c r="N150" s="12">
        <f t="shared" si="69"/>
        <v>0</v>
      </c>
      <c r="O150" s="12">
        <f t="shared" si="70"/>
        <v>0</v>
      </c>
      <c r="P150" s="12">
        <f t="shared" si="71"/>
        <v>0</v>
      </c>
      <c r="Q150" s="12">
        <f t="shared" si="72"/>
        <v>0</v>
      </c>
      <c r="R150" s="12">
        <f t="shared" si="73"/>
        <v>0</v>
      </c>
    </row>
    <row r="151" spans="1:18" x14ac:dyDescent="0.25">
      <c r="A151" s="26"/>
      <c r="B151" s="25" t="s">
        <v>177</v>
      </c>
      <c r="C151" s="15">
        <v>8</v>
      </c>
      <c r="D151" s="16">
        <v>400</v>
      </c>
      <c r="E151" s="15">
        <v>2</v>
      </c>
      <c r="F151" s="11">
        <v>5</v>
      </c>
      <c r="G151" s="11">
        <f t="shared" si="87"/>
        <v>5</v>
      </c>
      <c r="H151" s="12"/>
      <c r="I151" s="12">
        <f>0.18+(20*C151/1000)</f>
        <v>0.33999999999999997</v>
      </c>
      <c r="J151" s="22"/>
      <c r="K151" s="22"/>
      <c r="L151" s="12">
        <f t="shared" ref="L151" si="88">SUM(H151:J151)+K151</f>
        <v>0.33999999999999997</v>
      </c>
      <c r="M151" s="12">
        <f t="shared" si="68"/>
        <v>17</v>
      </c>
      <c r="N151" s="12">
        <f t="shared" si="69"/>
        <v>0</v>
      </c>
      <c r="O151" s="12">
        <f t="shared" si="70"/>
        <v>0</v>
      </c>
      <c r="P151" s="12">
        <f t="shared" si="71"/>
        <v>0</v>
      </c>
      <c r="Q151" s="12">
        <f t="shared" si="72"/>
        <v>0</v>
      </c>
      <c r="R151" s="12">
        <f t="shared" si="73"/>
        <v>0</v>
      </c>
    </row>
    <row r="152" spans="1:18" x14ac:dyDescent="0.25">
      <c r="A152" s="26"/>
      <c r="B152" s="45" t="s">
        <v>203</v>
      </c>
      <c r="C152" s="15">
        <v>16</v>
      </c>
      <c r="D152" s="16"/>
      <c r="E152" s="15">
        <v>2</v>
      </c>
      <c r="F152" s="11">
        <v>1</v>
      </c>
      <c r="G152" s="11">
        <v>16</v>
      </c>
      <c r="H152" s="12">
        <v>0.3</v>
      </c>
      <c r="I152" s="12">
        <f t="shared" ref="I152:I154" si="89">100.3-97.06-0.075</f>
        <v>3.1649999999999947</v>
      </c>
      <c r="J152" s="22"/>
      <c r="K152" s="22">
        <f t="shared" ref="K152:K154" si="90">40*C152/1000</f>
        <v>0.64</v>
      </c>
      <c r="L152" s="12">
        <f t="shared" ref="L152:L154" si="91">SUM(H152:J152)+K152</f>
        <v>4.1049999999999942</v>
      </c>
      <c r="M152" s="12">
        <f t="shared" si="68"/>
        <v>0</v>
      </c>
      <c r="N152" s="12">
        <f t="shared" si="69"/>
        <v>0</v>
      </c>
      <c r="O152" s="12">
        <f t="shared" si="70"/>
        <v>0</v>
      </c>
      <c r="P152" s="12">
        <f t="shared" si="71"/>
        <v>131.36000000000001</v>
      </c>
      <c r="Q152" s="12">
        <f t="shared" si="72"/>
        <v>0</v>
      </c>
      <c r="R152" s="12">
        <f t="shared" si="73"/>
        <v>0</v>
      </c>
    </row>
    <row r="153" spans="1:18" x14ac:dyDescent="0.25">
      <c r="A153" s="26"/>
      <c r="B153" s="45"/>
      <c r="C153" s="15">
        <v>12</v>
      </c>
      <c r="D153" s="16"/>
      <c r="E153" s="15">
        <v>2</v>
      </c>
      <c r="F153" s="11">
        <v>1</v>
      </c>
      <c r="G153" s="11">
        <v>24</v>
      </c>
      <c r="H153" s="12">
        <v>0.3</v>
      </c>
      <c r="I153" s="12">
        <f t="shared" si="89"/>
        <v>3.1649999999999947</v>
      </c>
      <c r="J153" s="22"/>
      <c r="K153" s="22">
        <f t="shared" si="90"/>
        <v>0.48</v>
      </c>
      <c r="L153" s="12">
        <f t="shared" si="91"/>
        <v>3.9449999999999945</v>
      </c>
      <c r="M153" s="12">
        <f t="shared" si="68"/>
        <v>0</v>
      </c>
      <c r="N153" s="12">
        <f t="shared" si="69"/>
        <v>0</v>
      </c>
      <c r="O153" s="12">
        <f t="shared" si="70"/>
        <v>189.36</v>
      </c>
      <c r="P153" s="12">
        <f t="shared" si="71"/>
        <v>0</v>
      </c>
      <c r="Q153" s="12">
        <f t="shared" si="72"/>
        <v>0</v>
      </c>
      <c r="R153" s="12">
        <f t="shared" si="73"/>
        <v>0</v>
      </c>
    </row>
    <row r="154" spans="1:18" x14ac:dyDescent="0.25">
      <c r="A154" s="26"/>
      <c r="B154" s="45"/>
      <c r="C154" s="15">
        <v>10</v>
      </c>
      <c r="D154" s="16"/>
      <c r="E154" s="15">
        <v>2</v>
      </c>
      <c r="F154" s="11">
        <v>1</v>
      </c>
      <c r="G154" s="11">
        <v>20</v>
      </c>
      <c r="H154" s="12">
        <v>0.3</v>
      </c>
      <c r="I154" s="12">
        <f t="shared" si="89"/>
        <v>3.1649999999999947</v>
      </c>
      <c r="J154" s="22"/>
      <c r="K154" s="22">
        <f t="shared" si="90"/>
        <v>0.4</v>
      </c>
      <c r="L154" s="12">
        <f t="shared" si="91"/>
        <v>3.8649999999999944</v>
      </c>
      <c r="M154" s="12">
        <f t="shared" si="68"/>
        <v>0</v>
      </c>
      <c r="N154" s="12">
        <f t="shared" si="69"/>
        <v>154.6</v>
      </c>
      <c r="O154" s="12">
        <f t="shared" si="70"/>
        <v>0</v>
      </c>
      <c r="P154" s="12">
        <f t="shared" si="71"/>
        <v>0</v>
      </c>
      <c r="Q154" s="12">
        <f t="shared" si="72"/>
        <v>0</v>
      </c>
      <c r="R154" s="12">
        <f t="shared" si="73"/>
        <v>0</v>
      </c>
    </row>
    <row r="155" spans="1:18" x14ac:dyDescent="0.25">
      <c r="A155" s="26"/>
      <c r="B155" s="25" t="s">
        <v>172</v>
      </c>
      <c r="C155" s="15"/>
      <c r="D155" s="16"/>
      <c r="E155" s="15"/>
      <c r="F155" s="11"/>
      <c r="G155" s="11"/>
      <c r="H155" s="12"/>
      <c r="I155" s="12"/>
      <c r="J155" s="22"/>
      <c r="K155" s="22"/>
      <c r="L155" s="12">
        <f t="shared" ref="L155:L158" si="92">SUM(H155:J155)+K155</f>
        <v>0</v>
      </c>
      <c r="M155" s="12">
        <f t="shared" si="68"/>
        <v>0</v>
      </c>
      <c r="N155" s="12">
        <f t="shared" si="69"/>
        <v>0</v>
      </c>
      <c r="O155" s="12">
        <f t="shared" si="70"/>
        <v>0</v>
      </c>
      <c r="P155" s="12">
        <f t="shared" si="71"/>
        <v>0</v>
      </c>
      <c r="Q155" s="12">
        <f t="shared" si="72"/>
        <v>0</v>
      </c>
      <c r="R155" s="12">
        <f t="shared" si="73"/>
        <v>0</v>
      </c>
    </row>
    <row r="156" spans="1:18" x14ac:dyDescent="0.25">
      <c r="A156" s="26"/>
      <c r="B156" s="25" t="s">
        <v>204</v>
      </c>
      <c r="C156" s="15">
        <v>8</v>
      </c>
      <c r="D156" s="16">
        <v>100</v>
      </c>
      <c r="E156" s="15">
        <v>2</v>
      </c>
      <c r="F156" s="11">
        <v>2</v>
      </c>
      <c r="G156" s="11">
        <f t="shared" ref="G156:G159" si="93">+ROUND(1650/D156+1,0)</f>
        <v>18</v>
      </c>
      <c r="H156" s="12"/>
      <c r="I156" s="12">
        <f>2*(0.18+0.983)+24*C156/1000</f>
        <v>2.5180000000000002</v>
      </c>
      <c r="J156" s="22"/>
      <c r="K156" s="22"/>
      <c r="L156" s="12">
        <f t="shared" si="92"/>
        <v>2.5180000000000002</v>
      </c>
      <c r="M156" s="12">
        <f t="shared" si="68"/>
        <v>181.3</v>
      </c>
      <c r="N156" s="12">
        <f t="shared" si="69"/>
        <v>0</v>
      </c>
      <c r="O156" s="12">
        <f t="shared" si="70"/>
        <v>0</v>
      </c>
      <c r="P156" s="12">
        <f t="shared" si="71"/>
        <v>0</v>
      </c>
      <c r="Q156" s="12">
        <f t="shared" si="72"/>
        <v>0</v>
      </c>
      <c r="R156" s="12">
        <f t="shared" si="73"/>
        <v>0</v>
      </c>
    </row>
    <row r="157" spans="1:18" x14ac:dyDescent="0.25">
      <c r="A157" s="26"/>
      <c r="B157" s="25" t="s">
        <v>205</v>
      </c>
      <c r="C157" s="15">
        <v>8</v>
      </c>
      <c r="D157" s="16">
        <v>100</v>
      </c>
      <c r="E157" s="15">
        <v>2</v>
      </c>
      <c r="F157" s="11">
        <f>2*4</f>
        <v>8</v>
      </c>
      <c r="G157" s="11">
        <f t="shared" si="93"/>
        <v>18</v>
      </c>
      <c r="H157" s="12"/>
      <c r="I157" s="12">
        <f>2*(0.18+0.124)+24*C157/1000</f>
        <v>0.8</v>
      </c>
      <c r="J157" s="22"/>
      <c r="K157" s="22"/>
      <c r="L157" s="12">
        <f t="shared" si="92"/>
        <v>0.8</v>
      </c>
      <c r="M157" s="12">
        <f t="shared" si="68"/>
        <v>230.4</v>
      </c>
      <c r="N157" s="12">
        <f t="shared" si="69"/>
        <v>0</v>
      </c>
      <c r="O157" s="12">
        <f t="shared" si="70"/>
        <v>0</v>
      </c>
      <c r="P157" s="12">
        <f t="shared" si="71"/>
        <v>0</v>
      </c>
      <c r="Q157" s="12">
        <f t="shared" si="72"/>
        <v>0</v>
      </c>
      <c r="R157" s="12">
        <f t="shared" si="73"/>
        <v>0</v>
      </c>
    </row>
    <row r="158" spans="1:18" x14ac:dyDescent="0.25">
      <c r="A158" s="26"/>
      <c r="B158" s="25" t="s">
        <v>206</v>
      </c>
      <c r="C158" s="15">
        <v>8</v>
      </c>
      <c r="D158" s="16">
        <v>200</v>
      </c>
      <c r="E158" s="15">
        <v>2</v>
      </c>
      <c r="F158" s="11">
        <v>1</v>
      </c>
      <c r="G158" s="11">
        <f t="shared" si="93"/>
        <v>9</v>
      </c>
      <c r="H158" s="12"/>
      <c r="I158" s="12">
        <f>2*(0.18+2.081)+24*C158/1000</f>
        <v>4.7140000000000004</v>
      </c>
      <c r="J158" s="22"/>
      <c r="K158" s="22"/>
      <c r="L158" s="12">
        <f t="shared" si="92"/>
        <v>4.7140000000000004</v>
      </c>
      <c r="M158" s="12">
        <f t="shared" si="68"/>
        <v>84.85</v>
      </c>
      <c r="N158" s="12">
        <f t="shared" si="69"/>
        <v>0</v>
      </c>
      <c r="O158" s="12">
        <f t="shared" si="70"/>
        <v>0</v>
      </c>
      <c r="P158" s="12">
        <f t="shared" si="71"/>
        <v>0</v>
      </c>
      <c r="Q158" s="12">
        <f t="shared" si="72"/>
        <v>0</v>
      </c>
      <c r="R158" s="12">
        <f t="shared" si="73"/>
        <v>0</v>
      </c>
    </row>
    <row r="159" spans="1:18" x14ac:dyDescent="0.25">
      <c r="A159" s="26"/>
      <c r="B159" s="25" t="s">
        <v>177</v>
      </c>
      <c r="C159" s="15">
        <v>8</v>
      </c>
      <c r="D159" s="16">
        <v>400</v>
      </c>
      <c r="E159" s="15">
        <v>2</v>
      </c>
      <c r="F159" s="11">
        <v>5</v>
      </c>
      <c r="G159" s="11">
        <f t="shared" si="93"/>
        <v>5</v>
      </c>
      <c r="H159" s="12"/>
      <c r="I159" s="12">
        <f>0.18+(20*C159/1000)</f>
        <v>0.33999999999999997</v>
      </c>
      <c r="J159" s="22"/>
      <c r="K159" s="22"/>
      <c r="L159" s="12">
        <f t="shared" ref="L159" si="94">SUM(H159:J159)+K159</f>
        <v>0.33999999999999997</v>
      </c>
      <c r="M159" s="12">
        <f t="shared" si="68"/>
        <v>17</v>
      </c>
      <c r="N159" s="12">
        <f t="shared" si="69"/>
        <v>0</v>
      </c>
      <c r="O159" s="12">
        <f t="shared" si="70"/>
        <v>0</v>
      </c>
      <c r="P159" s="12">
        <f t="shared" si="71"/>
        <v>0</v>
      </c>
      <c r="Q159" s="12">
        <f t="shared" si="72"/>
        <v>0</v>
      </c>
      <c r="R159" s="12">
        <f t="shared" si="73"/>
        <v>0</v>
      </c>
    </row>
    <row r="160" spans="1:18" x14ac:dyDescent="0.25">
      <c r="A160" s="26"/>
      <c r="B160" s="45" t="s">
        <v>207</v>
      </c>
      <c r="C160" s="15">
        <v>16</v>
      </c>
      <c r="D160" s="16"/>
      <c r="E160" s="15">
        <v>2</v>
      </c>
      <c r="F160" s="11">
        <v>1</v>
      </c>
      <c r="G160" s="11">
        <v>8</v>
      </c>
      <c r="H160" s="12">
        <v>0.3</v>
      </c>
      <c r="I160" s="12">
        <f t="shared" ref="I160:I162" si="95">100.3-97.06-0.075</f>
        <v>3.1649999999999947</v>
      </c>
      <c r="J160" s="22"/>
      <c r="K160" s="22">
        <f t="shared" ref="K160:K162" si="96">40*C160/1000</f>
        <v>0.64</v>
      </c>
      <c r="L160" s="12">
        <f t="shared" ref="L160:L177" si="97">SUM(H160:J160)+K160</f>
        <v>4.1049999999999942</v>
      </c>
      <c r="M160" s="12">
        <f t="shared" si="68"/>
        <v>0</v>
      </c>
      <c r="N160" s="12">
        <f t="shared" si="69"/>
        <v>0</v>
      </c>
      <c r="O160" s="12">
        <f t="shared" si="70"/>
        <v>0</v>
      </c>
      <c r="P160" s="12">
        <f t="shared" si="71"/>
        <v>65.680000000000007</v>
      </c>
      <c r="Q160" s="12">
        <f t="shared" si="72"/>
        <v>0</v>
      </c>
      <c r="R160" s="12">
        <f t="shared" si="73"/>
        <v>0</v>
      </c>
    </row>
    <row r="161" spans="1:18" x14ac:dyDescent="0.25">
      <c r="A161" s="26"/>
      <c r="B161" s="25"/>
      <c r="C161" s="15">
        <v>12</v>
      </c>
      <c r="D161" s="16"/>
      <c r="E161" s="15">
        <v>2</v>
      </c>
      <c r="F161" s="11">
        <v>1</v>
      </c>
      <c r="G161" s="11">
        <v>16</v>
      </c>
      <c r="H161" s="12">
        <v>0.3</v>
      </c>
      <c r="I161" s="12">
        <f t="shared" si="95"/>
        <v>3.1649999999999947</v>
      </c>
      <c r="J161" s="22"/>
      <c r="K161" s="22">
        <f t="shared" si="96"/>
        <v>0.48</v>
      </c>
      <c r="L161" s="12">
        <f t="shared" si="97"/>
        <v>3.9449999999999945</v>
      </c>
      <c r="M161" s="12">
        <f t="shared" si="68"/>
        <v>0</v>
      </c>
      <c r="N161" s="12">
        <f t="shared" si="69"/>
        <v>0</v>
      </c>
      <c r="O161" s="12">
        <f t="shared" si="70"/>
        <v>126.24</v>
      </c>
      <c r="P161" s="12">
        <f t="shared" si="71"/>
        <v>0</v>
      </c>
      <c r="Q161" s="12">
        <f t="shared" si="72"/>
        <v>0</v>
      </c>
      <c r="R161" s="12">
        <f t="shared" si="73"/>
        <v>0</v>
      </c>
    </row>
    <row r="162" spans="1:18" x14ac:dyDescent="0.25">
      <c r="A162" s="26"/>
      <c r="B162" s="25"/>
      <c r="C162" s="15">
        <v>10</v>
      </c>
      <c r="D162" s="16"/>
      <c r="E162" s="15">
        <v>2</v>
      </c>
      <c r="F162" s="11">
        <v>1</v>
      </c>
      <c r="G162" s="11">
        <v>6</v>
      </c>
      <c r="H162" s="12">
        <v>0.3</v>
      </c>
      <c r="I162" s="12">
        <f t="shared" si="95"/>
        <v>3.1649999999999947</v>
      </c>
      <c r="J162" s="22"/>
      <c r="K162" s="22">
        <f t="shared" si="96"/>
        <v>0.4</v>
      </c>
      <c r="L162" s="12">
        <f t="shared" si="97"/>
        <v>3.8649999999999944</v>
      </c>
      <c r="M162" s="12">
        <f t="shared" si="68"/>
        <v>0</v>
      </c>
      <c r="N162" s="12">
        <f t="shared" si="69"/>
        <v>46.38</v>
      </c>
      <c r="O162" s="12">
        <f t="shared" si="70"/>
        <v>0</v>
      </c>
      <c r="P162" s="12">
        <f t="shared" si="71"/>
        <v>0</v>
      </c>
      <c r="Q162" s="12">
        <f t="shared" si="72"/>
        <v>0</v>
      </c>
      <c r="R162" s="12">
        <f t="shared" si="73"/>
        <v>0</v>
      </c>
    </row>
    <row r="163" spans="1:18" x14ac:dyDescent="0.25">
      <c r="A163" s="26"/>
      <c r="B163" s="25" t="s">
        <v>172</v>
      </c>
      <c r="C163" s="15"/>
      <c r="D163" s="16"/>
      <c r="E163" s="15"/>
      <c r="F163" s="11"/>
      <c r="G163" s="11"/>
      <c r="H163" s="12"/>
      <c r="I163" s="12"/>
      <c r="J163" s="22"/>
      <c r="K163" s="22"/>
      <c r="L163" s="12">
        <f t="shared" si="97"/>
        <v>0</v>
      </c>
      <c r="M163" s="12">
        <f t="shared" si="68"/>
        <v>0</v>
      </c>
      <c r="N163" s="12">
        <f t="shared" si="69"/>
        <v>0</v>
      </c>
      <c r="O163" s="12">
        <f t="shared" si="70"/>
        <v>0</v>
      </c>
      <c r="P163" s="12">
        <f t="shared" si="71"/>
        <v>0</v>
      </c>
      <c r="Q163" s="12">
        <f t="shared" si="72"/>
        <v>0</v>
      </c>
      <c r="R163" s="12">
        <f t="shared" si="73"/>
        <v>0</v>
      </c>
    </row>
    <row r="164" spans="1:18" x14ac:dyDescent="0.25">
      <c r="A164" s="26"/>
      <c r="B164" s="25" t="s">
        <v>188</v>
      </c>
      <c r="C164" s="15">
        <v>8</v>
      </c>
      <c r="D164" s="16">
        <v>100</v>
      </c>
      <c r="E164" s="15">
        <v>2</v>
      </c>
      <c r="F164" s="11">
        <v>1</v>
      </c>
      <c r="G164" s="11">
        <f t="shared" ref="G164:G171" si="98">+ROUND(1650/D164+1,0)</f>
        <v>18</v>
      </c>
      <c r="H164" s="12"/>
      <c r="I164" s="12">
        <f>2*(0.18+0.6)+24*C164/1000</f>
        <v>1.752</v>
      </c>
      <c r="J164" s="22"/>
      <c r="K164" s="22"/>
      <c r="L164" s="12">
        <f t="shared" si="97"/>
        <v>1.752</v>
      </c>
      <c r="M164" s="12">
        <f t="shared" si="68"/>
        <v>63.07</v>
      </c>
      <c r="N164" s="12">
        <f t="shared" si="69"/>
        <v>0</v>
      </c>
      <c r="O164" s="12">
        <f t="shared" si="70"/>
        <v>0</v>
      </c>
      <c r="P164" s="12">
        <f t="shared" si="71"/>
        <v>0</v>
      </c>
      <c r="Q164" s="12">
        <f t="shared" si="72"/>
        <v>0</v>
      </c>
      <c r="R164" s="12">
        <f t="shared" si="73"/>
        <v>0</v>
      </c>
    </row>
    <row r="165" spans="1:18" x14ac:dyDescent="0.25">
      <c r="A165" s="26"/>
      <c r="B165" s="25" t="s">
        <v>174</v>
      </c>
      <c r="C165" s="15">
        <v>8</v>
      </c>
      <c r="D165" s="16">
        <v>100</v>
      </c>
      <c r="E165" s="15">
        <v>2</v>
      </c>
      <c r="F165" s="11">
        <v>1</v>
      </c>
      <c r="G165" s="11">
        <f t="shared" si="98"/>
        <v>18</v>
      </c>
      <c r="H165" s="12"/>
      <c r="I165" s="12">
        <f>2*(0.18+0.248)+24*C165/1000</f>
        <v>1.048</v>
      </c>
      <c r="J165" s="22"/>
      <c r="K165" s="22"/>
      <c r="L165" s="12">
        <f t="shared" si="97"/>
        <v>1.048</v>
      </c>
      <c r="M165" s="12">
        <f t="shared" si="68"/>
        <v>37.729999999999997</v>
      </c>
      <c r="N165" s="12">
        <f t="shared" si="69"/>
        <v>0</v>
      </c>
      <c r="O165" s="12">
        <f t="shared" si="70"/>
        <v>0</v>
      </c>
      <c r="P165" s="12">
        <f t="shared" si="71"/>
        <v>0</v>
      </c>
      <c r="Q165" s="12">
        <f t="shared" si="72"/>
        <v>0</v>
      </c>
      <c r="R165" s="12">
        <f t="shared" si="73"/>
        <v>0</v>
      </c>
    </row>
    <row r="166" spans="1:18" x14ac:dyDescent="0.25">
      <c r="A166" s="26"/>
      <c r="B166" s="25" t="s">
        <v>173</v>
      </c>
      <c r="C166" s="15">
        <v>8</v>
      </c>
      <c r="D166" s="16">
        <v>100</v>
      </c>
      <c r="E166" s="15">
        <v>2</v>
      </c>
      <c r="F166" s="11">
        <v>1</v>
      </c>
      <c r="G166" s="11">
        <f t="shared" si="98"/>
        <v>18</v>
      </c>
      <c r="H166" s="12"/>
      <c r="I166" s="12">
        <f>0.18+(20*C166/1000)</f>
        <v>0.33999999999999997</v>
      </c>
      <c r="J166" s="22"/>
      <c r="K166" s="22"/>
      <c r="L166" s="12">
        <f t="shared" si="97"/>
        <v>0.33999999999999997</v>
      </c>
      <c r="M166" s="12">
        <f t="shared" si="68"/>
        <v>12.24</v>
      </c>
      <c r="N166" s="12">
        <f t="shared" si="69"/>
        <v>0</v>
      </c>
      <c r="O166" s="12">
        <f t="shared" si="70"/>
        <v>0</v>
      </c>
      <c r="P166" s="12">
        <f t="shared" si="71"/>
        <v>0</v>
      </c>
      <c r="Q166" s="12">
        <f t="shared" si="72"/>
        <v>0</v>
      </c>
      <c r="R166" s="12">
        <f t="shared" si="73"/>
        <v>0</v>
      </c>
    </row>
    <row r="167" spans="1:18" x14ac:dyDescent="0.25">
      <c r="A167" s="26"/>
      <c r="B167" s="25" t="s">
        <v>189</v>
      </c>
      <c r="C167" s="15">
        <v>8</v>
      </c>
      <c r="D167" s="16">
        <v>100</v>
      </c>
      <c r="E167" s="15">
        <v>2</v>
      </c>
      <c r="F167" s="11">
        <v>2</v>
      </c>
      <c r="G167" s="11">
        <f t="shared" si="98"/>
        <v>18</v>
      </c>
      <c r="H167" s="12"/>
      <c r="I167" s="12">
        <f>2*(0.18+0.385)+24*C167/1000</f>
        <v>1.3219999999999998</v>
      </c>
      <c r="J167" s="22"/>
      <c r="K167" s="22"/>
      <c r="L167" s="12">
        <f t="shared" si="97"/>
        <v>1.3219999999999998</v>
      </c>
      <c r="M167" s="12">
        <f t="shared" si="68"/>
        <v>95.18</v>
      </c>
      <c r="N167" s="12">
        <f t="shared" si="69"/>
        <v>0</v>
      </c>
      <c r="O167" s="12">
        <f t="shared" si="70"/>
        <v>0</v>
      </c>
      <c r="P167" s="12">
        <f t="shared" si="71"/>
        <v>0</v>
      </c>
      <c r="Q167" s="12">
        <f t="shared" si="72"/>
        <v>0</v>
      </c>
      <c r="R167" s="12">
        <f t="shared" si="73"/>
        <v>0</v>
      </c>
    </row>
    <row r="168" spans="1:18" x14ac:dyDescent="0.25">
      <c r="A168" s="26"/>
      <c r="B168" s="25" t="s">
        <v>175</v>
      </c>
      <c r="C168" s="15">
        <v>8</v>
      </c>
      <c r="D168" s="16">
        <v>100</v>
      </c>
      <c r="E168" s="15">
        <v>2</v>
      </c>
      <c r="F168" s="11">
        <v>1</v>
      </c>
      <c r="G168" s="11">
        <f t="shared" si="98"/>
        <v>18</v>
      </c>
      <c r="H168" s="12"/>
      <c r="I168" s="12">
        <f>2*(0.18+0.268)+24*C168/1000</f>
        <v>1.0880000000000001</v>
      </c>
      <c r="J168" s="22"/>
      <c r="K168" s="22"/>
      <c r="L168" s="12">
        <f t="shared" si="97"/>
        <v>1.0880000000000001</v>
      </c>
      <c r="M168" s="12">
        <f t="shared" si="68"/>
        <v>39.17</v>
      </c>
      <c r="N168" s="12">
        <f t="shared" si="69"/>
        <v>0</v>
      </c>
      <c r="O168" s="12">
        <f t="shared" si="70"/>
        <v>0</v>
      </c>
      <c r="P168" s="12">
        <f t="shared" si="71"/>
        <v>0</v>
      </c>
      <c r="Q168" s="12">
        <f t="shared" si="72"/>
        <v>0</v>
      </c>
      <c r="R168" s="12">
        <f t="shared" si="73"/>
        <v>0</v>
      </c>
    </row>
    <row r="169" spans="1:18" x14ac:dyDescent="0.25">
      <c r="A169" s="26"/>
      <c r="B169" s="25" t="s">
        <v>173</v>
      </c>
      <c r="C169" s="15">
        <v>8</v>
      </c>
      <c r="D169" s="16">
        <v>100</v>
      </c>
      <c r="E169" s="15">
        <v>2</v>
      </c>
      <c r="F169" s="11">
        <v>1</v>
      </c>
      <c r="G169" s="11">
        <f t="shared" si="98"/>
        <v>18</v>
      </c>
      <c r="H169" s="12"/>
      <c r="I169" s="12">
        <f>0.18+(20*C169/1000)</f>
        <v>0.33999999999999997</v>
      </c>
      <c r="J169" s="22"/>
      <c r="K169" s="22"/>
      <c r="L169" s="12">
        <f t="shared" si="97"/>
        <v>0.33999999999999997</v>
      </c>
      <c r="M169" s="12">
        <f t="shared" si="68"/>
        <v>12.24</v>
      </c>
      <c r="N169" s="12">
        <f t="shared" si="69"/>
        <v>0</v>
      </c>
      <c r="O169" s="12">
        <f t="shared" si="70"/>
        <v>0</v>
      </c>
      <c r="P169" s="12">
        <f t="shared" si="71"/>
        <v>0</v>
      </c>
      <c r="Q169" s="12">
        <f t="shared" si="72"/>
        <v>0</v>
      </c>
      <c r="R169" s="12">
        <f t="shared" si="73"/>
        <v>0</v>
      </c>
    </row>
    <row r="170" spans="1:18" x14ac:dyDescent="0.25">
      <c r="A170" s="26"/>
      <c r="B170" s="25" t="s">
        <v>208</v>
      </c>
      <c r="C170" s="15">
        <v>8</v>
      </c>
      <c r="D170" s="16">
        <v>200</v>
      </c>
      <c r="E170" s="15">
        <v>2</v>
      </c>
      <c r="F170" s="11">
        <v>1</v>
      </c>
      <c r="G170" s="11">
        <f t="shared" si="98"/>
        <v>9</v>
      </c>
      <c r="H170" s="12"/>
      <c r="I170" s="12">
        <f>2*(0.18+0.751)+24*C170/1000</f>
        <v>2.0540000000000003</v>
      </c>
      <c r="J170" s="22"/>
      <c r="K170" s="22"/>
      <c r="L170" s="12">
        <f t="shared" si="97"/>
        <v>2.0540000000000003</v>
      </c>
      <c r="M170" s="12">
        <f t="shared" si="68"/>
        <v>36.97</v>
      </c>
      <c r="N170" s="12">
        <f t="shared" si="69"/>
        <v>0</v>
      </c>
      <c r="O170" s="12">
        <f t="shared" si="70"/>
        <v>0</v>
      </c>
      <c r="P170" s="12">
        <f t="shared" si="71"/>
        <v>0</v>
      </c>
      <c r="Q170" s="12">
        <f t="shared" si="72"/>
        <v>0</v>
      </c>
      <c r="R170" s="12">
        <f t="shared" si="73"/>
        <v>0</v>
      </c>
    </row>
    <row r="171" spans="1:18" x14ac:dyDescent="0.25">
      <c r="A171" s="26"/>
      <c r="B171" s="25" t="s">
        <v>177</v>
      </c>
      <c r="C171" s="15">
        <v>8</v>
      </c>
      <c r="D171" s="16">
        <v>400</v>
      </c>
      <c r="E171" s="15">
        <v>2</v>
      </c>
      <c r="F171" s="11">
        <v>1</v>
      </c>
      <c r="G171" s="11">
        <f t="shared" si="98"/>
        <v>5</v>
      </c>
      <c r="H171" s="12"/>
      <c r="I171" s="12">
        <f>0.18+(20*C171/1000)</f>
        <v>0.33999999999999997</v>
      </c>
      <c r="J171" s="22"/>
      <c r="K171" s="22"/>
      <c r="L171" s="12">
        <f t="shared" si="97"/>
        <v>0.33999999999999997</v>
      </c>
      <c r="M171" s="12">
        <f t="shared" si="68"/>
        <v>3.4</v>
      </c>
      <c r="N171" s="12">
        <f t="shared" si="69"/>
        <v>0</v>
      </c>
      <c r="O171" s="12">
        <f t="shared" si="70"/>
        <v>0</v>
      </c>
      <c r="P171" s="12">
        <f t="shared" si="71"/>
        <v>0</v>
      </c>
      <c r="Q171" s="12">
        <f t="shared" si="72"/>
        <v>0</v>
      </c>
      <c r="R171" s="12">
        <f t="shared" si="73"/>
        <v>0</v>
      </c>
    </row>
    <row r="172" spans="1:18" x14ac:dyDescent="0.25">
      <c r="A172" s="26"/>
      <c r="B172" s="45" t="s">
        <v>209</v>
      </c>
      <c r="C172" s="15">
        <v>16</v>
      </c>
      <c r="D172" s="16"/>
      <c r="E172" s="15">
        <v>2</v>
      </c>
      <c r="F172" s="11">
        <v>1</v>
      </c>
      <c r="G172" s="11">
        <v>8</v>
      </c>
      <c r="H172" s="12">
        <v>0.3</v>
      </c>
      <c r="I172" s="12">
        <f t="shared" ref="I172:I174" si="99">100.3-97.06-0.075</f>
        <v>3.1649999999999947</v>
      </c>
      <c r="J172" s="22"/>
      <c r="K172" s="22">
        <f t="shared" ref="K172:K174" si="100">40*C172/1000</f>
        <v>0.64</v>
      </c>
      <c r="L172" s="12">
        <f t="shared" si="97"/>
        <v>4.1049999999999942</v>
      </c>
      <c r="M172" s="12">
        <f t="shared" si="68"/>
        <v>0</v>
      </c>
      <c r="N172" s="12">
        <f t="shared" si="69"/>
        <v>0</v>
      </c>
      <c r="O172" s="12">
        <f t="shared" si="70"/>
        <v>0</v>
      </c>
      <c r="P172" s="12">
        <f t="shared" si="71"/>
        <v>65.680000000000007</v>
      </c>
      <c r="Q172" s="12">
        <f t="shared" si="72"/>
        <v>0</v>
      </c>
      <c r="R172" s="12">
        <f t="shared" si="73"/>
        <v>0</v>
      </c>
    </row>
    <row r="173" spans="1:18" x14ac:dyDescent="0.25">
      <c r="A173" s="26"/>
      <c r="B173" s="45"/>
      <c r="C173" s="15">
        <v>12</v>
      </c>
      <c r="D173" s="16"/>
      <c r="E173" s="15">
        <v>2</v>
      </c>
      <c r="F173" s="11">
        <v>1</v>
      </c>
      <c r="G173" s="11">
        <v>16</v>
      </c>
      <c r="H173" s="12">
        <v>0.3</v>
      </c>
      <c r="I173" s="12">
        <f t="shared" si="99"/>
        <v>3.1649999999999947</v>
      </c>
      <c r="J173" s="22"/>
      <c r="K173" s="22">
        <f t="shared" si="100"/>
        <v>0.48</v>
      </c>
      <c r="L173" s="12">
        <f t="shared" si="97"/>
        <v>3.9449999999999945</v>
      </c>
      <c r="M173" s="12">
        <f t="shared" si="68"/>
        <v>0</v>
      </c>
      <c r="N173" s="12">
        <f t="shared" si="69"/>
        <v>0</v>
      </c>
      <c r="O173" s="12">
        <f t="shared" si="70"/>
        <v>126.24</v>
      </c>
      <c r="P173" s="12">
        <f t="shared" si="71"/>
        <v>0</v>
      </c>
      <c r="Q173" s="12">
        <f t="shared" si="72"/>
        <v>0</v>
      </c>
      <c r="R173" s="12">
        <f t="shared" si="73"/>
        <v>0</v>
      </c>
    </row>
    <row r="174" spans="1:18" x14ac:dyDescent="0.25">
      <c r="A174" s="26"/>
      <c r="B174" s="45"/>
      <c r="C174" s="15">
        <v>10</v>
      </c>
      <c r="D174" s="16"/>
      <c r="E174" s="15">
        <v>2</v>
      </c>
      <c r="F174" s="11">
        <v>1</v>
      </c>
      <c r="G174" s="11">
        <v>22</v>
      </c>
      <c r="H174" s="12">
        <v>0.3</v>
      </c>
      <c r="I174" s="12">
        <f t="shared" si="99"/>
        <v>3.1649999999999947</v>
      </c>
      <c r="J174" s="22"/>
      <c r="K174" s="22">
        <f t="shared" si="100"/>
        <v>0.4</v>
      </c>
      <c r="L174" s="12">
        <f t="shared" si="97"/>
        <v>3.8649999999999944</v>
      </c>
      <c r="M174" s="12">
        <f t="shared" si="68"/>
        <v>0</v>
      </c>
      <c r="N174" s="12">
        <f t="shared" si="69"/>
        <v>170.06</v>
      </c>
      <c r="O174" s="12">
        <f t="shared" si="70"/>
        <v>0</v>
      </c>
      <c r="P174" s="12">
        <f t="shared" si="71"/>
        <v>0</v>
      </c>
      <c r="Q174" s="12">
        <f t="shared" si="72"/>
        <v>0</v>
      </c>
      <c r="R174" s="12">
        <f t="shared" si="73"/>
        <v>0</v>
      </c>
    </row>
    <row r="175" spans="1:18" x14ac:dyDescent="0.25">
      <c r="A175" s="26"/>
      <c r="B175" s="25" t="s">
        <v>172</v>
      </c>
      <c r="C175" s="15"/>
      <c r="D175" s="16"/>
      <c r="E175" s="15"/>
      <c r="F175" s="11"/>
      <c r="G175" s="11"/>
      <c r="H175" s="12"/>
      <c r="I175" s="12"/>
      <c r="J175" s="22"/>
      <c r="K175" s="22"/>
      <c r="L175" s="12">
        <f t="shared" si="97"/>
        <v>0</v>
      </c>
      <c r="M175" s="12">
        <f t="shared" si="68"/>
        <v>0</v>
      </c>
      <c r="N175" s="12">
        <f t="shared" si="69"/>
        <v>0</v>
      </c>
      <c r="O175" s="12">
        <f t="shared" si="70"/>
        <v>0</v>
      </c>
      <c r="P175" s="12">
        <f t="shared" si="71"/>
        <v>0</v>
      </c>
      <c r="Q175" s="12">
        <f t="shared" si="72"/>
        <v>0</v>
      </c>
      <c r="R175" s="12">
        <f t="shared" si="73"/>
        <v>0</v>
      </c>
    </row>
    <row r="176" spans="1:18" x14ac:dyDescent="0.25">
      <c r="A176" s="26"/>
      <c r="B176" s="25" t="s">
        <v>286</v>
      </c>
      <c r="C176" s="15">
        <v>8</v>
      </c>
      <c r="D176" s="16">
        <v>100</v>
      </c>
      <c r="E176" s="15">
        <v>2</v>
      </c>
      <c r="F176" s="11">
        <v>2</v>
      </c>
      <c r="G176" s="11">
        <f>+ROUND(1650/D176+1,0)</f>
        <v>18</v>
      </c>
      <c r="H176" s="12"/>
      <c r="I176" s="12">
        <f>2*(0.14+0.583)+24*C176/1000</f>
        <v>1.6379999999999999</v>
      </c>
      <c r="J176" s="22"/>
      <c r="K176" s="22"/>
      <c r="L176" s="12">
        <f t="shared" si="97"/>
        <v>1.6379999999999999</v>
      </c>
      <c r="M176" s="12">
        <f t="shared" si="68"/>
        <v>117.94</v>
      </c>
      <c r="N176" s="12">
        <f t="shared" si="69"/>
        <v>0</v>
      </c>
      <c r="O176" s="12">
        <f t="shared" si="70"/>
        <v>0</v>
      </c>
      <c r="P176" s="12">
        <f t="shared" si="71"/>
        <v>0</v>
      </c>
      <c r="Q176" s="12">
        <f t="shared" si="72"/>
        <v>0</v>
      </c>
      <c r="R176" s="12">
        <f t="shared" si="73"/>
        <v>0</v>
      </c>
    </row>
    <row r="177" spans="1:19" x14ac:dyDescent="0.25">
      <c r="A177" s="26"/>
      <c r="B177" s="25" t="s">
        <v>287</v>
      </c>
      <c r="C177" s="15">
        <v>8</v>
      </c>
      <c r="D177" s="16">
        <v>100</v>
      </c>
      <c r="E177" s="15">
        <v>2</v>
      </c>
      <c r="F177" s="11">
        <f>2*2</f>
        <v>4</v>
      </c>
      <c r="G177" s="11">
        <f>+ROUND(1650/D177+1,0)</f>
        <v>18</v>
      </c>
      <c r="H177" s="12"/>
      <c r="I177" s="12">
        <f>2*(0.14+0.133)+24*C177/1000</f>
        <v>0.73799999999999999</v>
      </c>
      <c r="J177" s="22"/>
      <c r="K177" s="22"/>
      <c r="L177" s="12">
        <f t="shared" si="97"/>
        <v>0.73799999999999999</v>
      </c>
      <c r="M177" s="12">
        <f t="shared" si="68"/>
        <v>106.27</v>
      </c>
      <c r="N177" s="12">
        <f t="shared" si="69"/>
        <v>0</v>
      </c>
      <c r="O177" s="12">
        <f t="shared" si="70"/>
        <v>0</v>
      </c>
      <c r="P177" s="12">
        <f t="shared" si="71"/>
        <v>0</v>
      </c>
      <c r="Q177" s="12">
        <f t="shared" si="72"/>
        <v>0</v>
      </c>
      <c r="R177" s="12">
        <f t="shared" si="73"/>
        <v>0</v>
      </c>
    </row>
    <row r="178" spans="1:19" x14ac:dyDescent="0.25">
      <c r="A178" s="26"/>
      <c r="B178" s="25" t="s">
        <v>288</v>
      </c>
      <c r="C178" s="15">
        <v>8</v>
      </c>
      <c r="D178" s="16">
        <v>200</v>
      </c>
      <c r="E178" s="15">
        <v>2</v>
      </c>
      <c r="F178" s="11">
        <v>1</v>
      </c>
      <c r="G178" s="11">
        <f>+ROUND(1650/D178+1,0)</f>
        <v>9</v>
      </c>
      <c r="H178" s="12"/>
      <c r="I178" s="12">
        <f>2*(0.14+2.261)+24*C178/1000</f>
        <v>4.9940000000000007</v>
      </c>
      <c r="J178" s="22"/>
      <c r="K178" s="22"/>
      <c r="L178" s="12">
        <f t="shared" ref="L178:L179" si="101">SUM(H178:J178)+K178</f>
        <v>4.9940000000000007</v>
      </c>
      <c r="M178" s="12">
        <f t="shared" si="68"/>
        <v>89.89</v>
      </c>
      <c r="N178" s="12">
        <f t="shared" si="69"/>
        <v>0</v>
      </c>
      <c r="O178" s="12">
        <f t="shared" si="70"/>
        <v>0</v>
      </c>
      <c r="P178" s="12">
        <f t="shared" si="71"/>
        <v>0</v>
      </c>
      <c r="Q178" s="12">
        <f t="shared" si="72"/>
        <v>0</v>
      </c>
      <c r="R178" s="12">
        <f t="shared" si="73"/>
        <v>0</v>
      </c>
    </row>
    <row r="179" spans="1:19" x14ac:dyDescent="0.25">
      <c r="A179" s="26"/>
      <c r="B179" s="25" t="s">
        <v>177</v>
      </c>
      <c r="C179" s="15">
        <v>8</v>
      </c>
      <c r="D179" s="16">
        <v>400</v>
      </c>
      <c r="E179" s="15">
        <v>2</v>
      </c>
      <c r="F179" s="11">
        <v>5</v>
      </c>
      <c r="G179" s="11">
        <f>+ROUND(1650/D179+1,0)</f>
        <v>5</v>
      </c>
      <c r="H179" s="12"/>
      <c r="I179" s="12">
        <f>0.14+(20*C179/1000)</f>
        <v>0.30000000000000004</v>
      </c>
      <c r="J179" s="22"/>
      <c r="K179" s="22"/>
      <c r="L179" s="12">
        <f t="shared" si="101"/>
        <v>0.30000000000000004</v>
      </c>
      <c r="M179" s="12">
        <f t="shared" si="68"/>
        <v>15</v>
      </c>
      <c r="N179" s="12">
        <f t="shared" si="69"/>
        <v>0</v>
      </c>
      <c r="O179" s="12">
        <f t="shared" si="70"/>
        <v>0</v>
      </c>
      <c r="P179" s="12">
        <f t="shared" si="71"/>
        <v>0</v>
      </c>
      <c r="Q179" s="12">
        <f t="shared" si="72"/>
        <v>0</v>
      </c>
      <c r="R179" s="12">
        <f t="shared" si="73"/>
        <v>0</v>
      </c>
    </row>
    <row r="180" spans="1:19" x14ac:dyDescent="0.25">
      <c r="A180" s="26"/>
      <c r="B180" s="48" t="s">
        <v>217</v>
      </c>
      <c r="C180" s="33"/>
      <c r="D180" s="34"/>
      <c r="E180" s="33"/>
      <c r="F180" s="35"/>
      <c r="G180" s="35"/>
      <c r="H180" s="36"/>
      <c r="I180" s="36"/>
      <c r="J180" s="49"/>
      <c r="K180" s="49"/>
      <c r="L180" s="36"/>
      <c r="M180" s="37">
        <f>SUM(M6:M179)*0.395</f>
        <v>2675.5404000000003</v>
      </c>
      <c r="N180" s="37">
        <f>SUM(N6:N179)*0.617</f>
        <v>5687.2715399999979</v>
      </c>
      <c r="O180" s="37">
        <f>SUM(O6:O179)*0.888</f>
        <v>2928.64176</v>
      </c>
      <c r="P180" s="37">
        <f>SUM(P6:P179)*1.58</f>
        <v>7886.8544000000011</v>
      </c>
      <c r="Q180" s="37">
        <f>SUM(Q6:Q179)*2.46</f>
        <v>5917.431599999999</v>
      </c>
      <c r="R180" s="37">
        <f>SUM(R6:R179)*3.85</f>
        <v>687.61</v>
      </c>
      <c r="S180" s="50">
        <f>SUM(M180:R180)</f>
        <v>25783.349699999999</v>
      </c>
    </row>
    <row r="181" spans="1:19" x14ac:dyDescent="0.25">
      <c r="A181" s="26"/>
      <c r="B181" s="25"/>
      <c r="C181" s="15"/>
      <c r="D181" s="16"/>
      <c r="E181" s="15"/>
      <c r="F181" s="11"/>
      <c r="G181" s="11"/>
      <c r="H181" s="12"/>
      <c r="I181" s="12"/>
      <c r="J181" s="22"/>
      <c r="K181" s="22"/>
      <c r="L181" s="12"/>
      <c r="M181" s="12"/>
      <c r="N181" s="12"/>
      <c r="O181" s="12"/>
      <c r="P181" s="12"/>
      <c r="Q181" s="12"/>
      <c r="R181" s="12"/>
    </row>
    <row r="182" spans="1:19" x14ac:dyDescent="0.25">
      <c r="A182" s="26"/>
      <c r="B182" s="45" t="s">
        <v>211</v>
      </c>
      <c r="C182" s="15"/>
      <c r="D182" s="16"/>
      <c r="E182" s="15"/>
      <c r="F182" s="11"/>
      <c r="G182" s="11"/>
      <c r="H182" s="12"/>
      <c r="I182" s="12"/>
      <c r="J182" s="22"/>
      <c r="K182" s="47"/>
      <c r="L182" s="12"/>
      <c r="M182" s="12"/>
      <c r="N182" s="12"/>
      <c r="O182" s="12"/>
      <c r="P182" s="12"/>
      <c r="Q182" s="12"/>
      <c r="R182" s="12"/>
    </row>
    <row r="183" spans="1:19" x14ac:dyDescent="0.25">
      <c r="A183" s="94">
        <f>+E183</f>
        <v>32</v>
      </c>
      <c r="B183" s="45" t="s">
        <v>162</v>
      </c>
      <c r="C183" s="15">
        <v>16</v>
      </c>
      <c r="D183" s="16"/>
      <c r="E183" s="15">
        <v>32</v>
      </c>
      <c r="F183" s="11">
        <v>1</v>
      </c>
      <c r="G183" s="11">
        <v>8</v>
      </c>
      <c r="H183" s="12"/>
      <c r="I183" s="12">
        <v>2.95</v>
      </c>
      <c r="J183" s="22"/>
      <c r="K183" s="22">
        <f>1*40*C183/1000</f>
        <v>0.64</v>
      </c>
      <c r="L183" s="12">
        <f>SUM(H183:J183)+K183</f>
        <v>3.5900000000000003</v>
      </c>
      <c r="M183" s="12">
        <f t="shared" ref="M183:M363" si="102">+ROUND(IF(C183=8,PRODUCT(E183,F183,G183,L183),0),2)</f>
        <v>0</v>
      </c>
      <c r="N183" s="12">
        <f t="shared" ref="N183:N363" si="103">+ROUND(IF(C183=10,PRODUCT(E183,F183,G183,L183),0),2)</f>
        <v>0</v>
      </c>
      <c r="O183" s="12">
        <f t="shared" ref="O183:O363" si="104">+ROUND(IF(C183=12,PRODUCT(E183,F183,G183,L183),0),2)</f>
        <v>0</v>
      </c>
      <c r="P183" s="12">
        <f>+ROUND(IF(C183=16,PRODUCT(E183,F183,G183,L183),0),2)</f>
        <v>919.04</v>
      </c>
      <c r="Q183" s="12">
        <f t="shared" ref="Q183:Q363" si="105">+ROUND(IF(C183=20,PRODUCT(E183,F183,G183,L183),0),2)</f>
        <v>0</v>
      </c>
      <c r="R183" s="12">
        <f t="shared" ref="R183:R363" si="106">+ROUND(IF(C183=25,PRODUCT(E183,F183,G183,L183),0),2)</f>
        <v>0</v>
      </c>
      <c r="S183" s="3">
        <f>+G183*E183</f>
        <v>256</v>
      </c>
    </row>
    <row r="184" spans="1:19" x14ac:dyDescent="0.25">
      <c r="A184" s="26"/>
      <c r="B184" s="25"/>
      <c r="C184" s="15">
        <v>12</v>
      </c>
      <c r="D184" s="16"/>
      <c r="E184" s="15">
        <f>+E183</f>
        <v>32</v>
      </c>
      <c r="F184" s="11">
        <v>1</v>
      </c>
      <c r="G184" s="11">
        <v>6</v>
      </c>
      <c r="H184" s="12"/>
      <c r="I184" s="12">
        <v>2.95</v>
      </c>
      <c r="J184" s="22"/>
      <c r="K184" s="22">
        <f>1*40*C184/1000</f>
        <v>0.48</v>
      </c>
      <c r="L184" s="12">
        <f t="shared" ref="L184:L210" si="107">SUM(H184:J184)+K184</f>
        <v>3.43</v>
      </c>
      <c r="M184" s="12">
        <f t="shared" si="102"/>
        <v>0</v>
      </c>
      <c r="N184" s="12">
        <f t="shared" si="103"/>
        <v>0</v>
      </c>
      <c r="O184" s="12">
        <f t="shared" si="104"/>
        <v>658.56</v>
      </c>
      <c r="P184" s="12">
        <f t="shared" ref="P184:P363" si="108">+ROUND(IF(C184=16,PRODUCT(E184,F184,G184,L184),0),2)</f>
        <v>0</v>
      </c>
      <c r="Q184" s="12">
        <f t="shared" si="105"/>
        <v>0</v>
      </c>
      <c r="R184" s="12">
        <f t="shared" si="106"/>
        <v>0</v>
      </c>
      <c r="S184" s="3">
        <f>+G184*E184</f>
        <v>192</v>
      </c>
    </row>
    <row r="185" spans="1:19" x14ac:dyDescent="0.25">
      <c r="A185" s="26"/>
      <c r="B185" s="25" t="s">
        <v>160</v>
      </c>
      <c r="C185" s="15">
        <v>10</v>
      </c>
      <c r="D185" s="16">
        <v>75</v>
      </c>
      <c r="E185" s="15">
        <f>+E184</f>
        <v>32</v>
      </c>
      <c r="F185" s="11">
        <v>2</v>
      </c>
      <c r="G185" s="11">
        <f>+ROUND(600/D185,0)</f>
        <v>8</v>
      </c>
      <c r="H185" s="12"/>
      <c r="I185" s="12">
        <f>2*(0.2+0.5)+24*0.01</f>
        <v>1.64</v>
      </c>
      <c r="J185" s="22"/>
      <c r="K185" s="22"/>
      <c r="L185" s="12">
        <f t="shared" si="107"/>
        <v>1.64</v>
      </c>
      <c r="M185" s="12">
        <f t="shared" si="102"/>
        <v>0</v>
      </c>
      <c r="N185" s="12">
        <f t="shared" si="103"/>
        <v>839.68</v>
      </c>
      <c r="O185" s="12">
        <f t="shared" si="104"/>
        <v>0</v>
      </c>
      <c r="P185" s="12">
        <f t="shared" si="108"/>
        <v>0</v>
      </c>
      <c r="Q185" s="12">
        <f t="shared" si="105"/>
        <v>0</v>
      </c>
      <c r="R185" s="12">
        <f t="shared" si="106"/>
        <v>0</v>
      </c>
    </row>
    <row r="186" spans="1:19" x14ac:dyDescent="0.25">
      <c r="A186" s="26"/>
      <c r="B186" s="25"/>
      <c r="C186" s="15">
        <v>10</v>
      </c>
      <c r="D186" s="16">
        <v>75</v>
      </c>
      <c r="E186" s="15">
        <f t="shared" ref="E186:E190" si="109">+E185</f>
        <v>32</v>
      </c>
      <c r="F186" s="11">
        <v>2</v>
      </c>
      <c r="G186" s="11">
        <f t="shared" ref="G186:G187" si="110">+ROUND(600/D186,0)</f>
        <v>8</v>
      </c>
      <c r="H186" s="12"/>
      <c r="I186" s="12">
        <f>2*(0.2+0.115)+24*0.01</f>
        <v>0.87</v>
      </c>
      <c r="J186" s="22"/>
      <c r="K186" s="22"/>
      <c r="L186" s="12">
        <f t="shared" si="107"/>
        <v>0.87</v>
      </c>
      <c r="M186" s="12">
        <f t="shared" si="102"/>
        <v>0</v>
      </c>
      <c r="N186" s="12">
        <f t="shared" si="103"/>
        <v>445.44</v>
      </c>
      <c r="O186" s="12">
        <f t="shared" si="104"/>
        <v>0</v>
      </c>
      <c r="P186" s="12">
        <f t="shared" si="108"/>
        <v>0</v>
      </c>
      <c r="Q186" s="12">
        <f t="shared" si="105"/>
        <v>0</v>
      </c>
      <c r="R186" s="12">
        <f t="shared" si="106"/>
        <v>0</v>
      </c>
    </row>
    <row r="187" spans="1:19" x14ac:dyDescent="0.25">
      <c r="A187" s="26"/>
      <c r="B187" s="25"/>
      <c r="C187" s="15">
        <v>10</v>
      </c>
      <c r="D187" s="16">
        <v>75</v>
      </c>
      <c r="E187" s="15">
        <f t="shared" si="109"/>
        <v>32</v>
      </c>
      <c r="F187" s="11">
        <f>2*2</f>
        <v>4</v>
      </c>
      <c r="G187" s="11">
        <f t="shared" si="110"/>
        <v>8</v>
      </c>
      <c r="H187" s="12"/>
      <c r="I187" s="12">
        <f>+(0.168+0.168+0.2)+20*0.01</f>
        <v>0.73599999999999999</v>
      </c>
      <c r="J187" s="22"/>
      <c r="K187" s="22"/>
      <c r="L187" s="12">
        <f t="shared" si="107"/>
        <v>0.73599999999999999</v>
      </c>
      <c r="M187" s="12">
        <f t="shared" si="102"/>
        <v>0</v>
      </c>
      <c r="N187" s="12">
        <f t="shared" si="103"/>
        <v>753.66</v>
      </c>
      <c r="O187" s="12">
        <f t="shared" si="104"/>
        <v>0</v>
      </c>
      <c r="P187" s="12">
        <f t="shared" si="108"/>
        <v>0</v>
      </c>
      <c r="Q187" s="12">
        <f t="shared" si="105"/>
        <v>0</v>
      </c>
      <c r="R187" s="12">
        <f t="shared" si="106"/>
        <v>0</v>
      </c>
    </row>
    <row r="188" spans="1:19" x14ac:dyDescent="0.25">
      <c r="A188" s="26"/>
      <c r="B188" s="25" t="s">
        <v>161</v>
      </c>
      <c r="C188" s="15">
        <v>8</v>
      </c>
      <c r="D188" s="16">
        <v>150</v>
      </c>
      <c r="E188" s="15">
        <f t="shared" si="109"/>
        <v>32</v>
      </c>
      <c r="F188" s="11">
        <v>1</v>
      </c>
      <c r="G188" s="11">
        <f>+ROUND(1400/D188+1,0)</f>
        <v>10</v>
      </c>
      <c r="H188" s="12"/>
      <c r="I188" s="12">
        <f>2*(0.204+0.504)+24*0.008</f>
        <v>1.6079999999999999</v>
      </c>
      <c r="J188" s="22"/>
      <c r="K188" s="22"/>
      <c r="L188" s="12">
        <f t="shared" si="107"/>
        <v>1.6079999999999999</v>
      </c>
      <c r="M188" s="12">
        <f t="shared" si="102"/>
        <v>514.55999999999995</v>
      </c>
      <c r="N188" s="12">
        <f t="shared" si="103"/>
        <v>0</v>
      </c>
      <c r="O188" s="12">
        <f t="shared" si="104"/>
        <v>0</v>
      </c>
      <c r="P188" s="12">
        <f t="shared" si="108"/>
        <v>0</v>
      </c>
      <c r="Q188" s="12">
        <f t="shared" si="105"/>
        <v>0</v>
      </c>
      <c r="R188" s="12">
        <f t="shared" si="106"/>
        <v>0</v>
      </c>
    </row>
    <row r="189" spans="1:19" x14ac:dyDescent="0.25">
      <c r="A189" s="26"/>
      <c r="B189" s="25"/>
      <c r="C189" s="15">
        <v>8</v>
      </c>
      <c r="D189" s="16">
        <v>150</v>
      </c>
      <c r="E189" s="15">
        <f t="shared" si="109"/>
        <v>32</v>
      </c>
      <c r="F189" s="11">
        <v>1</v>
      </c>
      <c r="G189" s="11">
        <f t="shared" ref="G189:G190" si="111">+ROUND(1400/D189+1,0)</f>
        <v>10</v>
      </c>
      <c r="H189" s="12"/>
      <c r="I189" s="12">
        <f>2*(0.204+0.115)+24*0.008</f>
        <v>0.83000000000000007</v>
      </c>
      <c r="J189" s="22"/>
      <c r="K189" s="22"/>
      <c r="L189" s="12">
        <f t="shared" si="107"/>
        <v>0.83000000000000007</v>
      </c>
      <c r="M189" s="12">
        <f t="shared" si="102"/>
        <v>265.60000000000002</v>
      </c>
      <c r="N189" s="12">
        <f t="shared" si="103"/>
        <v>0</v>
      </c>
      <c r="O189" s="12">
        <f t="shared" si="104"/>
        <v>0</v>
      </c>
      <c r="P189" s="12">
        <f t="shared" si="108"/>
        <v>0</v>
      </c>
      <c r="Q189" s="12">
        <f t="shared" si="105"/>
        <v>0</v>
      </c>
      <c r="R189" s="12">
        <f t="shared" si="106"/>
        <v>0</v>
      </c>
    </row>
    <row r="190" spans="1:19" x14ac:dyDescent="0.25">
      <c r="A190" s="26"/>
      <c r="B190" s="25"/>
      <c r="C190" s="15">
        <v>8</v>
      </c>
      <c r="D190" s="16">
        <v>150</v>
      </c>
      <c r="E190" s="15">
        <f t="shared" si="109"/>
        <v>32</v>
      </c>
      <c r="F190" s="11">
        <v>2</v>
      </c>
      <c r="G190" s="11">
        <f t="shared" si="111"/>
        <v>10</v>
      </c>
      <c r="H190" s="12"/>
      <c r="I190" s="12">
        <f>+(0.168+0.168+0.204)+20*0.008</f>
        <v>0.70000000000000007</v>
      </c>
      <c r="J190" s="22"/>
      <c r="K190" s="22"/>
      <c r="L190" s="12">
        <f t="shared" si="107"/>
        <v>0.70000000000000007</v>
      </c>
      <c r="M190" s="12">
        <f t="shared" si="102"/>
        <v>448</v>
      </c>
      <c r="N190" s="12">
        <f t="shared" si="103"/>
        <v>0</v>
      </c>
      <c r="O190" s="12">
        <f t="shared" si="104"/>
        <v>0</v>
      </c>
      <c r="P190" s="12">
        <f t="shared" si="108"/>
        <v>0</v>
      </c>
      <c r="Q190" s="12">
        <f t="shared" si="105"/>
        <v>0</v>
      </c>
      <c r="R190" s="12">
        <f t="shared" si="106"/>
        <v>0</v>
      </c>
    </row>
    <row r="191" spans="1:19" x14ac:dyDescent="0.25">
      <c r="A191" s="94">
        <f>+E191</f>
        <v>22</v>
      </c>
      <c r="B191" s="45" t="s">
        <v>163</v>
      </c>
      <c r="C191" s="15">
        <v>20</v>
      </c>
      <c r="D191" s="16"/>
      <c r="E191" s="15">
        <v>22</v>
      </c>
      <c r="F191" s="11">
        <v>1</v>
      </c>
      <c r="G191" s="11">
        <v>6</v>
      </c>
      <c r="H191" s="12"/>
      <c r="I191" s="12">
        <v>2.95</v>
      </c>
      <c r="J191" s="22"/>
      <c r="K191" s="22">
        <f>1*40*C191/1000</f>
        <v>0.8</v>
      </c>
      <c r="L191" s="12">
        <f t="shared" si="107"/>
        <v>3.75</v>
      </c>
      <c r="M191" s="12">
        <f t="shared" si="102"/>
        <v>0</v>
      </c>
      <c r="N191" s="12">
        <f t="shared" si="103"/>
        <v>0</v>
      </c>
      <c r="O191" s="12">
        <f t="shared" si="104"/>
        <v>0</v>
      </c>
      <c r="P191" s="12">
        <f t="shared" si="108"/>
        <v>0</v>
      </c>
      <c r="Q191" s="12">
        <f t="shared" si="105"/>
        <v>495</v>
      </c>
      <c r="R191" s="12">
        <f t="shared" si="106"/>
        <v>0</v>
      </c>
      <c r="S191" s="3">
        <f>+G191*E191</f>
        <v>132</v>
      </c>
    </row>
    <row r="192" spans="1:19" x14ac:dyDescent="0.25">
      <c r="A192" s="26"/>
      <c r="B192" s="25"/>
      <c r="C192" s="15">
        <v>16</v>
      </c>
      <c r="D192" s="16"/>
      <c r="E192" s="15">
        <f>+E191</f>
        <v>22</v>
      </c>
      <c r="F192" s="11">
        <v>1</v>
      </c>
      <c r="G192" s="11">
        <v>8</v>
      </c>
      <c r="H192" s="12"/>
      <c r="I192" s="12">
        <v>2.95</v>
      </c>
      <c r="J192" s="22"/>
      <c r="K192" s="22">
        <f>1*40*C192/1000</f>
        <v>0.64</v>
      </c>
      <c r="L192" s="12">
        <f t="shared" si="107"/>
        <v>3.5900000000000003</v>
      </c>
      <c r="M192" s="12">
        <f t="shared" si="102"/>
        <v>0</v>
      </c>
      <c r="N192" s="12">
        <f t="shared" si="103"/>
        <v>0</v>
      </c>
      <c r="O192" s="12">
        <f t="shared" si="104"/>
        <v>0</v>
      </c>
      <c r="P192" s="12">
        <f t="shared" si="108"/>
        <v>631.84</v>
      </c>
      <c r="Q192" s="12">
        <f t="shared" si="105"/>
        <v>0</v>
      </c>
      <c r="R192" s="12">
        <f t="shared" si="106"/>
        <v>0</v>
      </c>
      <c r="S192" s="3">
        <f>+G192*E192</f>
        <v>176</v>
      </c>
    </row>
    <row r="193" spans="1:19" x14ac:dyDescent="0.25">
      <c r="A193" s="26"/>
      <c r="B193" s="25" t="s">
        <v>160</v>
      </c>
      <c r="C193" s="15">
        <v>10</v>
      </c>
      <c r="D193" s="16">
        <v>75</v>
      </c>
      <c r="E193" s="15">
        <f>+E192</f>
        <v>22</v>
      </c>
      <c r="F193" s="11">
        <v>2</v>
      </c>
      <c r="G193" s="11">
        <f>+ROUND(600/D193,0)</f>
        <v>8</v>
      </c>
      <c r="H193" s="12"/>
      <c r="I193" s="12">
        <f>2*(0.2+0.5)+24*0.01</f>
        <v>1.64</v>
      </c>
      <c r="J193" s="22"/>
      <c r="K193" s="22"/>
      <c r="L193" s="12">
        <f t="shared" si="107"/>
        <v>1.64</v>
      </c>
      <c r="M193" s="12">
        <f t="shared" si="102"/>
        <v>0</v>
      </c>
      <c r="N193" s="12">
        <f t="shared" si="103"/>
        <v>577.28</v>
      </c>
      <c r="O193" s="12">
        <f t="shared" si="104"/>
        <v>0</v>
      </c>
      <c r="P193" s="12">
        <f t="shared" si="108"/>
        <v>0</v>
      </c>
      <c r="Q193" s="12">
        <f t="shared" si="105"/>
        <v>0</v>
      </c>
      <c r="R193" s="12">
        <f t="shared" si="106"/>
        <v>0</v>
      </c>
    </row>
    <row r="194" spans="1:19" x14ac:dyDescent="0.25">
      <c r="A194" s="26"/>
      <c r="B194" s="25"/>
      <c r="C194" s="15">
        <v>10</v>
      </c>
      <c r="D194" s="16">
        <v>75</v>
      </c>
      <c r="E194" s="15">
        <f t="shared" ref="E194:E198" si="112">+E193</f>
        <v>22</v>
      </c>
      <c r="F194" s="11">
        <v>2</v>
      </c>
      <c r="G194" s="11">
        <f t="shared" ref="G194:G195" si="113">+ROUND(600/D194,0)</f>
        <v>8</v>
      </c>
      <c r="H194" s="12"/>
      <c r="I194" s="12">
        <f>2*(0.2+0.115)+24*0.01</f>
        <v>0.87</v>
      </c>
      <c r="J194" s="22"/>
      <c r="K194" s="22"/>
      <c r="L194" s="12">
        <f t="shared" si="107"/>
        <v>0.87</v>
      </c>
      <c r="M194" s="12">
        <f t="shared" si="102"/>
        <v>0</v>
      </c>
      <c r="N194" s="12">
        <f t="shared" si="103"/>
        <v>306.24</v>
      </c>
      <c r="O194" s="12">
        <f t="shared" si="104"/>
        <v>0</v>
      </c>
      <c r="P194" s="12">
        <f t="shared" si="108"/>
        <v>0</v>
      </c>
      <c r="Q194" s="12">
        <f t="shared" si="105"/>
        <v>0</v>
      </c>
      <c r="R194" s="12">
        <f t="shared" si="106"/>
        <v>0</v>
      </c>
    </row>
    <row r="195" spans="1:19" x14ac:dyDescent="0.25">
      <c r="A195" s="26"/>
      <c r="B195" s="25"/>
      <c r="C195" s="15">
        <v>10</v>
      </c>
      <c r="D195" s="16">
        <v>75</v>
      </c>
      <c r="E195" s="15">
        <f t="shared" si="112"/>
        <v>22</v>
      </c>
      <c r="F195" s="11">
        <f>2*2</f>
        <v>4</v>
      </c>
      <c r="G195" s="11">
        <f t="shared" si="113"/>
        <v>8</v>
      </c>
      <c r="H195" s="12"/>
      <c r="I195" s="12">
        <f>+(0.168+0.168+0.2)+20*0.01</f>
        <v>0.73599999999999999</v>
      </c>
      <c r="J195" s="22"/>
      <c r="K195" s="22"/>
      <c r="L195" s="12">
        <f t="shared" si="107"/>
        <v>0.73599999999999999</v>
      </c>
      <c r="M195" s="12">
        <f t="shared" si="102"/>
        <v>0</v>
      </c>
      <c r="N195" s="12">
        <f t="shared" si="103"/>
        <v>518.14</v>
      </c>
      <c r="O195" s="12">
        <f t="shared" si="104"/>
        <v>0</v>
      </c>
      <c r="P195" s="12">
        <f t="shared" si="108"/>
        <v>0</v>
      </c>
      <c r="Q195" s="12">
        <f t="shared" si="105"/>
        <v>0</v>
      </c>
      <c r="R195" s="12">
        <f t="shared" si="106"/>
        <v>0</v>
      </c>
    </row>
    <row r="196" spans="1:19" x14ac:dyDescent="0.25">
      <c r="A196" s="26"/>
      <c r="B196" s="25" t="s">
        <v>161</v>
      </c>
      <c r="C196" s="15">
        <v>8</v>
      </c>
      <c r="D196" s="16">
        <v>150</v>
      </c>
      <c r="E196" s="15">
        <f t="shared" si="112"/>
        <v>22</v>
      </c>
      <c r="F196" s="11">
        <v>1</v>
      </c>
      <c r="G196" s="11">
        <f t="shared" ref="G196:G198" si="114">+ROUND(1400/D196+1,0)</f>
        <v>10</v>
      </c>
      <c r="H196" s="12"/>
      <c r="I196" s="12">
        <f>2*(0.204+0.504)+24*0.008</f>
        <v>1.6079999999999999</v>
      </c>
      <c r="J196" s="22"/>
      <c r="K196" s="22"/>
      <c r="L196" s="12">
        <f t="shared" si="107"/>
        <v>1.6079999999999999</v>
      </c>
      <c r="M196" s="12">
        <f t="shared" si="102"/>
        <v>353.76</v>
      </c>
      <c r="N196" s="12">
        <f t="shared" si="103"/>
        <v>0</v>
      </c>
      <c r="O196" s="12">
        <f t="shared" si="104"/>
        <v>0</v>
      </c>
      <c r="P196" s="12">
        <f t="shared" si="108"/>
        <v>0</v>
      </c>
      <c r="Q196" s="12">
        <f t="shared" si="105"/>
        <v>0</v>
      </c>
      <c r="R196" s="12">
        <f t="shared" si="106"/>
        <v>0</v>
      </c>
    </row>
    <row r="197" spans="1:19" x14ac:dyDescent="0.25">
      <c r="A197" s="26"/>
      <c r="B197" s="25"/>
      <c r="C197" s="15">
        <v>8</v>
      </c>
      <c r="D197" s="16">
        <v>150</v>
      </c>
      <c r="E197" s="15">
        <f t="shared" si="112"/>
        <v>22</v>
      </c>
      <c r="F197" s="11">
        <v>1</v>
      </c>
      <c r="G197" s="11">
        <f t="shared" si="114"/>
        <v>10</v>
      </c>
      <c r="H197" s="12"/>
      <c r="I197" s="12">
        <f>2*(0.204+0.115)+24*0.008</f>
        <v>0.83000000000000007</v>
      </c>
      <c r="J197" s="22"/>
      <c r="K197" s="22"/>
      <c r="L197" s="12">
        <f t="shared" si="107"/>
        <v>0.83000000000000007</v>
      </c>
      <c r="M197" s="12">
        <f t="shared" si="102"/>
        <v>182.6</v>
      </c>
      <c r="N197" s="12">
        <f t="shared" si="103"/>
        <v>0</v>
      </c>
      <c r="O197" s="12">
        <f t="shared" si="104"/>
        <v>0</v>
      </c>
      <c r="P197" s="12">
        <f t="shared" si="108"/>
        <v>0</v>
      </c>
      <c r="Q197" s="12">
        <f t="shared" si="105"/>
        <v>0</v>
      </c>
      <c r="R197" s="12">
        <f t="shared" si="106"/>
        <v>0</v>
      </c>
    </row>
    <row r="198" spans="1:19" x14ac:dyDescent="0.25">
      <c r="A198" s="26"/>
      <c r="B198" s="25"/>
      <c r="C198" s="15">
        <v>8</v>
      </c>
      <c r="D198" s="16">
        <v>150</v>
      </c>
      <c r="E198" s="15">
        <f t="shared" si="112"/>
        <v>22</v>
      </c>
      <c r="F198" s="11">
        <v>2</v>
      </c>
      <c r="G198" s="11">
        <f t="shared" si="114"/>
        <v>10</v>
      </c>
      <c r="H198" s="12"/>
      <c r="I198" s="12">
        <f>+(0.168+0.168+0.204)+20*0.008</f>
        <v>0.70000000000000007</v>
      </c>
      <c r="J198" s="22"/>
      <c r="K198" s="22"/>
      <c r="L198" s="12">
        <f t="shared" si="107"/>
        <v>0.70000000000000007</v>
      </c>
      <c r="M198" s="12">
        <f t="shared" si="102"/>
        <v>308</v>
      </c>
      <c r="N198" s="12">
        <f t="shared" si="103"/>
        <v>0</v>
      </c>
      <c r="O198" s="12">
        <f t="shared" si="104"/>
        <v>0</v>
      </c>
      <c r="P198" s="12">
        <f t="shared" si="108"/>
        <v>0</v>
      </c>
      <c r="Q198" s="12">
        <f t="shared" si="105"/>
        <v>0</v>
      </c>
      <c r="R198" s="12">
        <f t="shared" si="106"/>
        <v>0</v>
      </c>
    </row>
    <row r="199" spans="1:19" x14ac:dyDescent="0.25">
      <c r="A199" s="94">
        <f>+E199</f>
        <v>4</v>
      </c>
      <c r="B199" s="45" t="s">
        <v>164</v>
      </c>
      <c r="C199" s="15">
        <v>25</v>
      </c>
      <c r="D199" s="16"/>
      <c r="E199" s="15">
        <v>4</v>
      </c>
      <c r="F199" s="11">
        <v>1</v>
      </c>
      <c r="G199" s="11">
        <v>6</v>
      </c>
      <c r="H199" s="12"/>
      <c r="I199" s="12">
        <v>2.95</v>
      </c>
      <c r="J199" s="22"/>
      <c r="K199" s="22">
        <f>1*40*C199/1000</f>
        <v>1</v>
      </c>
      <c r="L199" s="12">
        <f t="shared" si="107"/>
        <v>3.95</v>
      </c>
      <c r="M199" s="12">
        <f t="shared" si="102"/>
        <v>0</v>
      </c>
      <c r="N199" s="12">
        <f t="shared" si="103"/>
        <v>0</v>
      </c>
      <c r="O199" s="12">
        <f t="shared" si="104"/>
        <v>0</v>
      </c>
      <c r="P199" s="12">
        <f t="shared" si="108"/>
        <v>0</v>
      </c>
      <c r="Q199" s="12">
        <f t="shared" si="105"/>
        <v>0</v>
      </c>
      <c r="R199" s="12">
        <f t="shared" si="106"/>
        <v>94.8</v>
      </c>
      <c r="S199" s="3">
        <f>+G199*E199</f>
        <v>24</v>
      </c>
    </row>
    <row r="200" spans="1:19" x14ac:dyDescent="0.25">
      <c r="A200" s="26"/>
      <c r="B200" s="25"/>
      <c r="C200" s="15">
        <v>20</v>
      </c>
      <c r="D200" s="16"/>
      <c r="E200" s="15">
        <f>+E199</f>
        <v>4</v>
      </c>
      <c r="F200" s="11">
        <v>1</v>
      </c>
      <c r="G200" s="11">
        <v>8</v>
      </c>
      <c r="H200" s="12"/>
      <c r="I200" s="12">
        <v>2.95</v>
      </c>
      <c r="J200" s="22"/>
      <c r="K200" s="22">
        <f>1*40*C200/1000</f>
        <v>0.8</v>
      </c>
      <c r="L200" s="12">
        <f t="shared" si="107"/>
        <v>3.75</v>
      </c>
      <c r="M200" s="12">
        <f t="shared" si="102"/>
        <v>0</v>
      </c>
      <c r="N200" s="12">
        <f t="shared" si="103"/>
        <v>0</v>
      </c>
      <c r="O200" s="12">
        <f t="shared" si="104"/>
        <v>0</v>
      </c>
      <c r="P200" s="12">
        <f t="shared" si="108"/>
        <v>0</v>
      </c>
      <c r="Q200" s="12">
        <f t="shared" si="105"/>
        <v>120</v>
      </c>
      <c r="R200" s="12">
        <f t="shared" si="106"/>
        <v>0</v>
      </c>
      <c r="S200" s="3">
        <f>+G200*E200</f>
        <v>32</v>
      </c>
    </row>
    <row r="201" spans="1:19" x14ac:dyDescent="0.25">
      <c r="A201" s="26"/>
      <c r="B201" s="25" t="s">
        <v>160</v>
      </c>
      <c r="C201" s="15">
        <v>10</v>
      </c>
      <c r="D201" s="16">
        <v>75</v>
      </c>
      <c r="E201" s="15">
        <f>+E200</f>
        <v>4</v>
      </c>
      <c r="F201" s="11">
        <v>2</v>
      </c>
      <c r="G201" s="11">
        <f>+ROUND(600/D201,0)</f>
        <v>8</v>
      </c>
      <c r="H201" s="12"/>
      <c r="I201" s="12">
        <f>2*(0.2+0.5)+24*0.01</f>
        <v>1.64</v>
      </c>
      <c r="J201" s="22"/>
      <c r="K201" s="22"/>
      <c r="L201" s="12">
        <f t="shared" si="107"/>
        <v>1.64</v>
      </c>
      <c r="M201" s="12">
        <f t="shared" si="102"/>
        <v>0</v>
      </c>
      <c r="N201" s="12">
        <f t="shared" si="103"/>
        <v>104.96</v>
      </c>
      <c r="O201" s="12">
        <f t="shared" si="104"/>
        <v>0</v>
      </c>
      <c r="P201" s="12">
        <f t="shared" si="108"/>
        <v>0</v>
      </c>
      <c r="Q201" s="12">
        <f t="shared" si="105"/>
        <v>0</v>
      </c>
      <c r="R201" s="12">
        <f t="shared" si="106"/>
        <v>0</v>
      </c>
    </row>
    <row r="202" spans="1:19" x14ac:dyDescent="0.25">
      <c r="A202" s="26"/>
      <c r="B202" s="25"/>
      <c r="C202" s="15">
        <v>10</v>
      </c>
      <c r="D202" s="16">
        <v>75</v>
      </c>
      <c r="E202" s="15">
        <f t="shared" ref="E202:E206" si="115">+E201</f>
        <v>4</v>
      </c>
      <c r="F202" s="11">
        <v>2</v>
      </c>
      <c r="G202" s="11">
        <f t="shared" ref="G202:G203" si="116">+ROUND(600/D202,0)</f>
        <v>8</v>
      </c>
      <c r="H202" s="12"/>
      <c r="I202" s="12">
        <f>2*(0.2+0.115)+24*0.01</f>
        <v>0.87</v>
      </c>
      <c r="J202" s="22"/>
      <c r="K202" s="22"/>
      <c r="L202" s="12">
        <f t="shared" si="107"/>
        <v>0.87</v>
      </c>
      <c r="M202" s="12">
        <f t="shared" si="102"/>
        <v>0</v>
      </c>
      <c r="N202" s="12">
        <f t="shared" si="103"/>
        <v>55.68</v>
      </c>
      <c r="O202" s="12">
        <f t="shared" si="104"/>
        <v>0</v>
      </c>
      <c r="P202" s="12">
        <f t="shared" si="108"/>
        <v>0</v>
      </c>
      <c r="Q202" s="12">
        <f t="shared" si="105"/>
        <v>0</v>
      </c>
      <c r="R202" s="12">
        <f t="shared" si="106"/>
        <v>0</v>
      </c>
    </row>
    <row r="203" spans="1:19" x14ac:dyDescent="0.25">
      <c r="A203" s="26"/>
      <c r="B203" s="25"/>
      <c r="C203" s="15">
        <v>10</v>
      </c>
      <c r="D203" s="16">
        <v>75</v>
      </c>
      <c r="E203" s="15">
        <f t="shared" si="115"/>
        <v>4</v>
      </c>
      <c r="F203" s="11">
        <f>2*2</f>
        <v>4</v>
      </c>
      <c r="G203" s="11">
        <f t="shared" si="116"/>
        <v>8</v>
      </c>
      <c r="H203" s="12"/>
      <c r="I203" s="12">
        <f>+(0.168+0.168+0.2)+20*0.01</f>
        <v>0.73599999999999999</v>
      </c>
      <c r="J203" s="22"/>
      <c r="K203" s="22"/>
      <c r="L203" s="12">
        <f t="shared" si="107"/>
        <v>0.73599999999999999</v>
      </c>
      <c r="M203" s="12">
        <f t="shared" si="102"/>
        <v>0</v>
      </c>
      <c r="N203" s="12">
        <f t="shared" si="103"/>
        <v>94.21</v>
      </c>
      <c r="O203" s="12">
        <f t="shared" si="104"/>
        <v>0</v>
      </c>
      <c r="P203" s="12">
        <f t="shared" si="108"/>
        <v>0</v>
      </c>
      <c r="Q203" s="12">
        <f t="shared" si="105"/>
        <v>0</v>
      </c>
      <c r="R203" s="12">
        <f t="shared" si="106"/>
        <v>0</v>
      </c>
    </row>
    <row r="204" spans="1:19" x14ac:dyDescent="0.25">
      <c r="A204" s="26"/>
      <c r="B204" s="25" t="s">
        <v>161</v>
      </c>
      <c r="C204" s="15">
        <v>8</v>
      </c>
      <c r="D204" s="16">
        <v>150</v>
      </c>
      <c r="E204" s="15">
        <f t="shared" si="115"/>
        <v>4</v>
      </c>
      <c r="F204" s="11">
        <v>1</v>
      </c>
      <c r="G204" s="11">
        <f t="shared" ref="G204:G206" si="117">+ROUND(1400/D204+1,0)</f>
        <v>10</v>
      </c>
      <c r="H204" s="12"/>
      <c r="I204" s="12">
        <f>2*(0.204+0.504)+24*0.008</f>
        <v>1.6079999999999999</v>
      </c>
      <c r="J204" s="22"/>
      <c r="K204" s="22"/>
      <c r="L204" s="12">
        <f t="shared" si="107"/>
        <v>1.6079999999999999</v>
      </c>
      <c r="M204" s="12">
        <f t="shared" si="102"/>
        <v>64.319999999999993</v>
      </c>
      <c r="N204" s="12">
        <f t="shared" si="103"/>
        <v>0</v>
      </c>
      <c r="O204" s="12">
        <f t="shared" si="104"/>
        <v>0</v>
      </c>
      <c r="P204" s="12">
        <f t="shared" si="108"/>
        <v>0</v>
      </c>
      <c r="Q204" s="12">
        <f t="shared" si="105"/>
        <v>0</v>
      </c>
      <c r="R204" s="12">
        <f t="shared" si="106"/>
        <v>0</v>
      </c>
    </row>
    <row r="205" spans="1:19" x14ac:dyDescent="0.25">
      <c r="A205" s="26"/>
      <c r="B205" s="25"/>
      <c r="C205" s="15">
        <v>8</v>
      </c>
      <c r="D205" s="16">
        <v>150</v>
      </c>
      <c r="E205" s="15">
        <f t="shared" si="115"/>
        <v>4</v>
      </c>
      <c r="F205" s="11">
        <v>1</v>
      </c>
      <c r="G205" s="11">
        <f t="shared" si="117"/>
        <v>10</v>
      </c>
      <c r="H205" s="12"/>
      <c r="I205" s="12">
        <f>2*(0.204+0.115)+24*0.008</f>
        <v>0.83000000000000007</v>
      </c>
      <c r="J205" s="22"/>
      <c r="K205" s="22"/>
      <c r="L205" s="12">
        <f t="shared" si="107"/>
        <v>0.83000000000000007</v>
      </c>
      <c r="M205" s="12">
        <f t="shared" si="102"/>
        <v>33.200000000000003</v>
      </c>
      <c r="N205" s="12">
        <f t="shared" si="103"/>
        <v>0</v>
      </c>
      <c r="O205" s="12">
        <f t="shared" si="104"/>
        <v>0</v>
      </c>
      <c r="P205" s="12">
        <f t="shared" si="108"/>
        <v>0</v>
      </c>
      <c r="Q205" s="12">
        <f t="shared" si="105"/>
        <v>0</v>
      </c>
      <c r="R205" s="12">
        <f t="shared" si="106"/>
        <v>0</v>
      </c>
    </row>
    <row r="206" spans="1:19" x14ac:dyDescent="0.25">
      <c r="A206" s="26"/>
      <c r="B206" s="25"/>
      <c r="C206" s="15">
        <v>8</v>
      </c>
      <c r="D206" s="16">
        <v>150</v>
      </c>
      <c r="E206" s="15">
        <f t="shared" si="115"/>
        <v>4</v>
      </c>
      <c r="F206" s="11">
        <v>2</v>
      </c>
      <c r="G206" s="11">
        <f t="shared" si="117"/>
        <v>10</v>
      </c>
      <c r="H206" s="12"/>
      <c r="I206" s="12">
        <f>+(0.168+0.168+0.204)+20*0.008</f>
        <v>0.70000000000000007</v>
      </c>
      <c r="J206" s="22"/>
      <c r="K206" s="22"/>
      <c r="L206" s="12">
        <f t="shared" si="107"/>
        <v>0.70000000000000007</v>
      </c>
      <c r="M206" s="12">
        <f t="shared" si="102"/>
        <v>56</v>
      </c>
      <c r="N206" s="12">
        <f t="shared" si="103"/>
        <v>0</v>
      </c>
      <c r="O206" s="12">
        <f t="shared" si="104"/>
        <v>0</v>
      </c>
      <c r="P206" s="12">
        <f t="shared" si="108"/>
        <v>0</v>
      </c>
      <c r="Q206" s="12">
        <f t="shared" si="105"/>
        <v>0</v>
      </c>
      <c r="R206" s="12">
        <f t="shared" si="106"/>
        <v>0</v>
      </c>
    </row>
    <row r="207" spans="1:19" x14ac:dyDescent="0.25">
      <c r="A207" s="94">
        <f>+E207</f>
        <v>16</v>
      </c>
      <c r="B207" s="45" t="s">
        <v>165</v>
      </c>
      <c r="C207" s="15">
        <v>20</v>
      </c>
      <c r="D207" s="16"/>
      <c r="E207" s="15">
        <v>16</v>
      </c>
      <c r="F207" s="11">
        <v>1</v>
      </c>
      <c r="G207" s="11">
        <v>16</v>
      </c>
      <c r="H207" s="12"/>
      <c r="I207" s="12">
        <v>2.95</v>
      </c>
      <c r="J207" s="22"/>
      <c r="K207" s="22">
        <f>1*40*C207/1000</f>
        <v>0.8</v>
      </c>
      <c r="L207" s="12">
        <f t="shared" si="107"/>
        <v>3.75</v>
      </c>
      <c r="M207" s="12">
        <f t="shared" si="102"/>
        <v>0</v>
      </c>
      <c r="N207" s="12">
        <f t="shared" si="103"/>
        <v>0</v>
      </c>
      <c r="O207" s="12">
        <f t="shared" si="104"/>
        <v>0</v>
      </c>
      <c r="P207" s="12">
        <f t="shared" si="108"/>
        <v>0</v>
      </c>
      <c r="Q207" s="12">
        <f t="shared" si="105"/>
        <v>960</v>
      </c>
      <c r="R207" s="12">
        <f t="shared" si="106"/>
        <v>0</v>
      </c>
      <c r="S207" s="3">
        <f>+G207*E207</f>
        <v>256</v>
      </c>
    </row>
    <row r="208" spans="1:19" x14ac:dyDescent="0.25">
      <c r="A208" s="26"/>
      <c r="B208" s="25" t="s">
        <v>160</v>
      </c>
      <c r="C208" s="15">
        <v>10</v>
      </c>
      <c r="D208" s="16">
        <v>75</v>
      </c>
      <c r="E208" s="15">
        <f>+E207</f>
        <v>16</v>
      </c>
      <c r="F208" s="11">
        <v>2</v>
      </c>
      <c r="G208" s="11">
        <f>+ROUND(750/D208,0)</f>
        <v>10</v>
      </c>
      <c r="H208" s="12"/>
      <c r="I208" s="12">
        <f>2*(0.2+0.65)+24*0.01</f>
        <v>1.9400000000000002</v>
      </c>
      <c r="J208" s="22"/>
      <c r="K208" s="22"/>
      <c r="L208" s="12">
        <f t="shared" si="107"/>
        <v>1.9400000000000002</v>
      </c>
      <c r="M208" s="12">
        <f t="shared" si="102"/>
        <v>0</v>
      </c>
      <c r="N208" s="12">
        <f t="shared" si="103"/>
        <v>620.79999999999995</v>
      </c>
      <c r="O208" s="12">
        <f t="shared" si="104"/>
        <v>0</v>
      </c>
      <c r="P208" s="12">
        <f t="shared" si="108"/>
        <v>0</v>
      </c>
      <c r="Q208" s="12">
        <f t="shared" si="105"/>
        <v>0</v>
      </c>
      <c r="R208" s="12">
        <f t="shared" si="106"/>
        <v>0</v>
      </c>
    </row>
    <row r="209" spans="1:19" x14ac:dyDescent="0.25">
      <c r="A209" s="26"/>
      <c r="B209" s="25"/>
      <c r="C209" s="15">
        <v>10</v>
      </c>
      <c r="D209" s="16">
        <v>75</v>
      </c>
      <c r="E209" s="15">
        <f t="shared" ref="E209:E215" si="118">+E208</f>
        <v>16</v>
      </c>
      <c r="F209" s="11">
        <v>2</v>
      </c>
      <c r="G209" s="11">
        <f t="shared" ref="G209:G211" si="119">+ROUND(750/D209,0)</f>
        <v>10</v>
      </c>
      <c r="H209" s="12"/>
      <c r="I209" s="12">
        <f>2*(0.2+0.23)+24*0.01</f>
        <v>1.1000000000000001</v>
      </c>
      <c r="J209" s="22"/>
      <c r="K209" s="22"/>
      <c r="L209" s="12">
        <f t="shared" si="107"/>
        <v>1.1000000000000001</v>
      </c>
      <c r="M209" s="12">
        <f t="shared" si="102"/>
        <v>0</v>
      </c>
      <c r="N209" s="12">
        <f t="shared" si="103"/>
        <v>352</v>
      </c>
      <c r="O209" s="12">
        <f t="shared" si="104"/>
        <v>0</v>
      </c>
      <c r="P209" s="12">
        <f t="shared" si="108"/>
        <v>0</v>
      </c>
      <c r="Q209" s="12">
        <f t="shared" si="105"/>
        <v>0</v>
      </c>
      <c r="R209" s="12">
        <f t="shared" si="106"/>
        <v>0</v>
      </c>
    </row>
    <row r="210" spans="1:19" x14ac:dyDescent="0.25">
      <c r="A210" s="26"/>
      <c r="B210" s="25"/>
      <c r="C210" s="15">
        <v>10</v>
      </c>
      <c r="D210" s="16">
        <v>75</v>
      </c>
      <c r="E210" s="15">
        <f t="shared" si="118"/>
        <v>16</v>
      </c>
      <c r="F210" s="11">
        <f>2*2</f>
        <v>4</v>
      </c>
      <c r="G210" s="11">
        <f t="shared" si="119"/>
        <v>10</v>
      </c>
      <c r="H210" s="12"/>
      <c r="I210" s="12">
        <f>+(0.168+0.168+0.2)+20*0.01</f>
        <v>0.73599999999999999</v>
      </c>
      <c r="J210" s="22"/>
      <c r="K210" s="22"/>
      <c r="L210" s="12">
        <f t="shared" si="107"/>
        <v>0.73599999999999999</v>
      </c>
      <c r="M210" s="12">
        <f t="shared" si="102"/>
        <v>0</v>
      </c>
      <c r="N210" s="12">
        <f t="shared" si="103"/>
        <v>471.04</v>
      </c>
      <c r="O210" s="12">
        <f t="shared" si="104"/>
        <v>0</v>
      </c>
      <c r="P210" s="12">
        <f t="shared" si="108"/>
        <v>0</v>
      </c>
      <c r="Q210" s="12">
        <f t="shared" si="105"/>
        <v>0</v>
      </c>
      <c r="R210" s="12">
        <f t="shared" si="106"/>
        <v>0</v>
      </c>
    </row>
    <row r="211" spans="1:19" x14ac:dyDescent="0.25">
      <c r="A211" s="26"/>
      <c r="B211" s="25"/>
      <c r="C211" s="15">
        <v>10</v>
      </c>
      <c r="D211" s="16">
        <v>75</v>
      </c>
      <c r="E211" s="15">
        <f t="shared" si="118"/>
        <v>16</v>
      </c>
      <c r="F211" s="11">
        <v>2</v>
      </c>
      <c r="G211" s="11">
        <f t="shared" si="119"/>
        <v>10</v>
      </c>
      <c r="H211" s="12"/>
      <c r="I211" s="12">
        <f>0.2+2*10*0.01</f>
        <v>0.4</v>
      </c>
      <c r="J211" s="22"/>
      <c r="K211" s="22"/>
      <c r="L211" s="12">
        <f t="shared" ref="L211:L275" si="120">SUM(H211:J211)+K211</f>
        <v>0.4</v>
      </c>
      <c r="M211" s="12">
        <f t="shared" si="102"/>
        <v>0</v>
      </c>
      <c r="N211" s="12">
        <f t="shared" si="103"/>
        <v>128</v>
      </c>
      <c r="O211" s="12">
        <f t="shared" si="104"/>
        <v>0</v>
      </c>
      <c r="P211" s="12">
        <f t="shared" si="108"/>
        <v>0</v>
      </c>
      <c r="Q211" s="12">
        <f t="shared" si="105"/>
        <v>0</v>
      </c>
      <c r="R211" s="12">
        <f t="shared" si="106"/>
        <v>0</v>
      </c>
    </row>
    <row r="212" spans="1:19" x14ac:dyDescent="0.25">
      <c r="A212" s="26"/>
      <c r="B212" s="25" t="s">
        <v>161</v>
      </c>
      <c r="C212" s="15">
        <v>8</v>
      </c>
      <c r="D212" s="16">
        <v>150</v>
      </c>
      <c r="E212" s="15">
        <f t="shared" si="118"/>
        <v>16</v>
      </c>
      <c r="F212" s="11">
        <v>1</v>
      </c>
      <c r="G212" s="11">
        <f>+ROUND(1100/D212+1,0)</f>
        <v>8</v>
      </c>
      <c r="H212" s="12"/>
      <c r="I212" s="12">
        <f>2*(0.204+0.654)+24*0.01</f>
        <v>1.956</v>
      </c>
      <c r="J212" s="22"/>
      <c r="K212" s="22"/>
      <c r="L212" s="12">
        <f t="shared" si="120"/>
        <v>1.956</v>
      </c>
      <c r="M212" s="12">
        <f t="shared" si="102"/>
        <v>250.37</v>
      </c>
      <c r="N212" s="12">
        <f t="shared" si="103"/>
        <v>0</v>
      </c>
      <c r="O212" s="12">
        <f t="shared" si="104"/>
        <v>0</v>
      </c>
      <c r="P212" s="12">
        <f t="shared" si="108"/>
        <v>0</v>
      </c>
      <c r="Q212" s="12">
        <f t="shared" si="105"/>
        <v>0</v>
      </c>
      <c r="R212" s="12">
        <f t="shared" si="106"/>
        <v>0</v>
      </c>
    </row>
    <row r="213" spans="1:19" x14ac:dyDescent="0.25">
      <c r="A213" s="26"/>
      <c r="B213" s="25"/>
      <c r="C213" s="15">
        <v>8</v>
      </c>
      <c r="D213" s="16">
        <v>150</v>
      </c>
      <c r="E213" s="15">
        <f t="shared" si="118"/>
        <v>16</v>
      </c>
      <c r="F213" s="11">
        <v>1</v>
      </c>
      <c r="G213" s="11">
        <f t="shared" ref="G213:G215" si="121">+ROUND(1100/D213+1,0)</f>
        <v>8</v>
      </c>
      <c r="H213" s="12"/>
      <c r="I213" s="12">
        <f>2*(0.204+0.232)+24*0.01</f>
        <v>1.1120000000000001</v>
      </c>
      <c r="J213" s="22"/>
      <c r="K213" s="22"/>
      <c r="L213" s="12">
        <f t="shared" si="120"/>
        <v>1.1120000000000001</v>
      </c>
      <c r="M213" s="12">
        <f t="shared" si="102"/>
        <v>142.34</v>
      </c>
      <c r="N213" s="12">
        <f t="shared" si="103"/>
        <v>0</v>
      </c>
      <c r="O213" s="12">
        <f t="shared" si="104"/>
        <v>0</v>
      </c>
      <c r="P213" s="12">
        <f t="shared" si="108"/>
        <v>0</v>
      </c>
      <c r="Q213" s="12">
        <f t="shared" si="105"/>
        <v>0</v>
      </c>
      <c r="R213" s="12">
        <f t="shared" si="106"/>
        <v>0</v>
      </c>
    </row>
    <row r="214" spans="1:19" x14ac:dyDescent="0.25">
      <c r="A214" s="26"/>
      <c r="B214" s="25"/>
      <c r="C214" s="15">
        <v>8</v>
      </c>
      <c r="D214" s="16">
        <v>150</v>
      </c>
      <c r="E214" s="15">
        <f t="shared" si="118"/>
        <v>16</v>
      </c>
      <c r="F214" s="11">
        <v>2</v>
      </c>
      <c r="G214" s="11">
        <f t="shared" si="121"/>
        <v>8</v>
      </c>
      <c r="H214" s="12"/>
      <c r="I214" s="12">
        <f>+(0.168+0.168+0.204)+20*0.01</f>
        <v>0.74</v>
      </c>
      <c r="J214" s="22"/>
      <c r="K214" s="22"/>
      <c r="L214" s="12">
        <f t="shared" si="120"/>
        <v>0.74</v>
      </c>
      <c r="M214" s="12">
        <f t="shared" si="102"/>
        <v>189.44</v>
      </c>
      <c r="N214" s="12">
        <f t="shared" si="103"/>
        <v>0</v>
      </c>
      <c r="O214" s="12">
        <f t="shared" si="104"/>
        <v>0</v>
      </c>
      <c r="P214" s="12">
        <f t="shared" si="108"/>
        <v>0</v>
      </c>
      <c r="Q214" s="12">
        <f t="shared" si="105"/>
        <v>0</v>
      </c>
      <c r="R214" s="12">
        <f t="shared" si="106"/>
        <v>0</v>
      </c>
    </row>
    <row r="215" spans="1:19" x14ac:dyDescent="0.25">
      <c r="A215" s="26"/>
      <c r="B215" s="25"/>
      <c r="C215" s="15">
        <v>8</v>
      </c>
      <c r="D215" s="16">
        <v>150</v>
      </c>
      <c r="E215" s="15">
        <f t="shared" si="118"/>
        <v>16</v>
      </c>
      <c r="F215" s="11">
        <v>1</v>
      </c>
      <c r="G215" s="11">
        <f t="shared" si="121"/>
        <v>8</v>
      </c>
      <c r="H215" s="12"/>
      <c r="I215" s="12">
        <f>0.204+2*10*0.01</f>
        <v>0.40400000000000003</v>
      </c>
      <c r="J215" s="22"/>
      <c r="K215" s="22"/>
      <c r="L215" s="12">
        <f t="shared" si="120"/>
        <v>0.40400000000000003</v>
      </c>
      <c r="M215" s="12">
        <f t="shared" si="102"/>
        <v>51.71</v>
      </c>
      <c r="N215" s="12">
        <f t="shared" si="103"/>
        <v>0</v>
      </c>
      <c r="O215" s="12">
        <f t="shared" si="104"/>
        <v>0</v>
      </c>
      <c r="P215" s="12">
        <f t="shared" si="108"/>
        <v>0</v>
      </c>
      <c r="Q215" s="12">
        <f t="shared" si="105"/>
        <v>0</v>
      </c>
      <c r="R215" s="12">
        <f t="shared" si="106"/>
        <v>0</v>
      </c>
    </row>
    <row r="216" spans="1:19" x14ac:dyDescent="0.25">
      <c r="A216" s="94">
        <f>+E216</f>
        <v>14</v>
      </c>
      <c r="B216" s="45" t="s">
        <v>166</v>
      </c>
      <c r="C216" s="15">
        <v>16</v>
      </c>
      <c r="D216" s="16"/>
      <c r="E216" s="15">
        <v>14</v>
      </c>
      <c r="F216" s="11">
        <v>1</v>
      </c>
      <c r="G216" s="11">
        <v>10</v>
      </c>
      <c r="H216" s="12"/>
      <c r="I216" s="12">
        <v>2.95</v>
      </c>
      <c r="J216" s="22"/>
      <c r="K216" s="22">
        <f t="shared" ref="K216:K217" si="122">1*40*C216/1000</f>
        <v>0.64</v>
      </c>
      <c r="L216" s="12">
        <f t="shared" si="120"/>
        <v>3.5900000000000003</v>
      </c>
      <c r="M216" s="12">
        <f t="shared" si="102"/>
        <v>0</v>
      </c>
      <c r="N216" s="12">
        <f t="shared" si="103"/>
        <v>0</v>
      </c>
      <c r="O216" s="12">
        <f t="shared" si="104"/>
        <v>0</v>
      </c>
      <c r="P216" s="12">
        <f t="shared" si="108"/>
        <v>502.6</v>
      </c>
      <c r="Q216" s="12">
        <f t="shared" si="105"/>
        <v>0</v>
      </c>
      <c r="R216" s="12">
        <f t="shared" si="106"/>
        <v>0</v>
      </c>
      <c r="S216" s="3">
        <f>+G216*E216</f>
        <v>140</v>
      </c>
    </row>
    <row r="217" spans="1:19" x14ac:dyDescent="0.25">
      <c r="A217" s="26"/>
      <c r="B217" s="25"/>
      <c r="C217" s="15">
        <v>12</v>
      </c>
      <c r="D217" s="16"/>
      <c r="E217" s="15">
        <f>+E216</f>
        <v>14</v>
      </c>
      <c r="F217" s="11">
        <v>1</v>
      </c>
      <c r="G217" s="11">
        <v>6</v>
      </c>
      <c r="H217" s="12"/>
      <c r="I217" s="12">
        <v>2.95</v>
      </c>
      <c r="J217" s="22"/>
      <c r="K217" s="22">
        <f t="shared" si="122"/>
        <v>0.48</v>
      </c>
      <c r="L217" s="12">
        <f t="shared" si="120"/>
        <v>3.43</v>
      </c>
      <c r="M217" s="12">
        <f t="shared" si="102"/>
        <v>0</v>
      </c>
      <c r="N217" s="12">
        <f t="shared" si="103"/>
        <v>0</v>
      </c>
      <c r="O217" s="12">
        <f t="shared" si="104"/>
        <v>288.12</v>
      </c>
      <c r="P217" s="12">
        <f t="shared" si="108"/>
        <v>0</v>
      </c>
      <c r="Q217" s="12">
        <f t="shared" si="105"/>
        <v>0</v>
      </c>
      <c r="R217" s="12">
        <f t="shared" si="106"/>
        <v>0</v>
      </c>
      <c r="S217" s="3">
        <f>+G217*E217</f>
        <v>84</v>
      </c>
    </row>
    <row r="218" spans="1:19" x14ac:dyDescent="0.25">
      <c r="A218" s="26"/>
      <c r="B218" s="25" t="s">
        <v>160</v>
      </c>
      <c r="C218" s="15">
        <v>10</v>
      </c>
      <c r="D218" s="16">
        <v>75</v>
      </c>
      <c r="E218" s="15">
        <f t="shared" ref="E218:E225" si="123">+E217</f>
        <v>14</v>
      </c>
      <c r="F218" s="11">
        <v>2</v>
      </c>
      <c r="G218" s="11">
        <f>+ROUND(750/D218,0)</f>
        <v>10</v>
      </c>
      <c r="H218" s="12"/>
      <c r="I218" s="12">
        <f>2*(0.2+0.65)+24*0.01</f>
        <v>1.9400000000000002</v>
      </c>
      <c r="J218" s="22"/>
      <c r="K218" s="22"/>
      <c r="L218" s="12">
        <f t="shared" si="120"/>
        <v>1.9400000000000002</v>
      </c>
      <c r="M218" s="12">
        <f t="shared" si="102"/>
        <v>0</v>
      </c>
      <c r="N218" s="12">
        <f t="shared" si="103"/>
        <v>543.20000000000005</v>
      </c>
      <c r="O218" s="12">
        <f t="shared" si="104"/>
        <v>0</v>
      </c>
      <c r="P218" s="12">
        <f t="shared" si="108"/>
        <v>0</v>
      </c>
      <c r="Q218" s="12">
        <f t="shared" si="105"/>
        <v>0</v>
      </c>
      <c r="R218" s="12">
        <f t="shared" si="106"/>
        <v>0</v>
      </c>
    </row>
    <row r="219" spans="1:19" x14ac:dyDescent="0.25">
      <c r="A219" s="26"/>
      <c r="B219" s="25"/>
      <c r="C219" s="15">
        <v>10</v>
      </c>
      <c r="D219" s="16">
        <v>75</v>
      </c>
      <c r="E219" s="15">
        <f t="shared" si="123"/>
        <v>14</v>
      </c>
      <c r="F219" s="11">
        <v>2</v>
      </c>
      <c r="G219" s="11">
        <f t="shared" ref="G219:G221" si="124">+ROUND(750/D219,0)</f>
        <v>10</v>
      </c>
      <c r="H219" s="12"/>
      <c r="I219" s="12">
        <f>2*(0.2+0.23)+24*0.01</f>
        <v>1.1000000000000001</v>
      </c>
      <c r="J219" s="22"/>
      <c r="K219" s="22"/>
      <c r="L219" s="12">
        <f t="shared" si="120"/>
        <v>1.1000000000000001</v>
      </c>
      <c r="M219" s="12">
        <f t="shared" si="102"/>
        <v>0</v>
      </c>
      <c r="N219" s="12">
        <f t="shared" si="103"/>
        <v>308</v>
      </c>
      <c r="O219" s="12">
        <f t="shared" si="104"/>
        <v>0</v>
      </c>
      <c r="P219" s="12">
        <f t="shared" si="108"/>
        <v>0</v>
      </c>
      <c r="Q219" s="12">
        <f t="shared" si="105"/>
        <v>0</v>
      </c>
      <c r="R219" s="12">
        <f t="shared" si="106"/>
        <v>0</v>
      </c>
    </row>
    <row r="220" spans="1:19" x14ac:dyDescent="0.25">
      <c r="A220" s="26"/>
      <c r="B220" s="25"/>
      <c r="C220" s="15">
        <v>10</v>
      </c>
      <c r="D220" s="16">
        <v>75</v>
      </c>
      <c r="E220" s="15">
        <f t="shared" si="123"/>
        <v>14</v>
      </c>
      <c r="F220" s="11">
        <f>2*2</f>
        <v>4</v>
      </c>
      <c r="G220" s="11">
        <f t="shared" si="124"/>
        <v>10</v>
      </c>
      <c r="H220" s="12"/>
      <c r="I220" s="12">
        <f>+(0.168+0.168+0.2)+20*0.01</f>
        <v>0.73599999999999999</v>
      </c>
      <c r="J220" s="22"/>
      <c r="K220" s="22"/>
      <c r="L220" s="12">
        <f t="shared" si="120"/>
        <v>0.73599999999999999</v>
      </c>
      <c r="M220" s="12">
        <f t="shared" si="102"/>
        <v>0</v>
      </c>
      <c r="N220" s="12">
        <f t="shared" si="103"/>
        <v>412.16</v>
      </c>
      <c r="O220" s="12">
        <f t="shared" si="104"/>
        <v>0</v>
      </c>
      <c r="P220" s="12">
        <f t="shared" si="108"/>
        <v>0</v>
      </c>
      <c r="Q220" s="12">
        <f t="shared" si="105"/>
        <v>0</v>
      </c>
      <c r="R220" s="12">
        <f t="shared" si="106"/>
        <v>0</v>
      </c>
    </row>
    <row r="221" spans="1:19" x14ac:dyDescent="0.25">
      <c r="A221" s="26"/>
      <c r="B221" s="25"/>
      <c r="C221" s="15">
        <v>10</v>
      </c>
      <c r="D221" s="16">
        <v>75</v>
      </c>
      <c r="E221" s="15">
        <f t="shared" si="123"/>
        <v>14</v>
      </c>
      <c r="F221" s="11">
        <v>2</v>
      </c>
      <c r="G221" s="11">
        <f t="shared" si="124"/>
        <v>10</v>
      </c>
      <c r="H221" s="12"/>
      <c r="I221" s="12">
        <f>0.2+2*10*0.01</f>
        <v>0.4</v>
      </c>
      <c r="J221" s="22"/>
      <c r="K221" s="22"/>
      <c r="L221" s="12">
        <f t="shared" si="120"/>
        <v>0.4</v>
      </c>
      <c r="M221" s="12">
        <f t="shared" si="102"/>
        <v>0</v>
      </c>
      <c r="N221" s="12">
        <f t="shared" si="103"/>
        <v>112</v>
      </c>
      <c r="O221" s="12">
        <f t="shared" si="104"/>
        <v>0</v>
      </c>
      <c r="P221" s="12">
        <f t="shared" si="108"/>
        <v>0</v>
      </c>
      <c r="Q221" s="12">
        <f t="shared" si="105"/>
        <v>0</v>
      </c>
      <c r="R221" s="12">
        <f t="shared" si="106"/>
        <v>0</v>
      </c>
    </row>
    <row r="222" spans="1:19" x14ac:dyDescent="0.25">
      <c r="A222" s="26"/>
      <c r="B222" s="25" t="s">
        <v>161</v>
      </c>
      <c r="C222" s="15">
        <v>8</v>
      </c>
      <c r="D222" s="16">
        <v>150</v>
      </c>
      <c r="E222" s="15">
        <f t="shared" si="123"/>
        <v>14</v>
      </c>
      <c r="F222" s="11">
        <v>1</v>
      </c>
      <c r="G222" s="11">
        <f t="shared" ref="G222:G225" si="125">+ROUND(1100/D222+1,0)</f>
        <v>8</v>
      </c>
      <c r="H222" s="12"/>
      <c r="I222" s="12">
        <f>2*(0.204+0.654)+24*0.01</f>
        <v>1.956</v>
      </c>
      <c r="J222" s="22"/>
      <c r="K222" s="22"/>
      <c r="L222" s="12">
        <f t="shared" si="120"/>
        <v>1.956</v>
      </c>
      <c r="M222" s="12">
        <f t="shared" si="102"/>
        <v>219.07</v>
      </c>
      <c r="N222" s="12">
        <f t="shared" si="103"/>
        <v>0</v>
      </c>
      <c r="O222" s="12">
        <f t="shared" si="104"/>
        <v>0</v>
      </c>
      <c r="P222" s="12">
        <f t="shared" si="108"/>
        <v>0</v>
      </c>
      <c r="Q222" s="12">
        <f t="shared" si="105"/>
        <v>0</v>
      </c>
      <c r="R222" s="12">
        <f t="shared" si="106"/>
        <v>0</v>
      </c>
    </row>
    <row r="223" spans="1:19" x14ac:dyDescent="0.25">
      <c r="A223" s="26"/>
      <c r="B223" s="25"/>
      <c r="C223" s="15">
        <v>8</v>
      </c>
      <c r="D223" s="16">
        <v>150</v>
      </c>
      <c r="E223" s="15">
        <f t="shared" si="123"/>
        <v>14</v>
      </c>
      <c r="F223" s="11">
        <v>1</v>
      </c>
      <c r="G223" s="11">
        <f t="shared" si="125"/>
        <v>8</v>
      </c>
      <c r="H223" s="12"/>
      <c r="I223" s="12">
        <f>2*(0.204+0.232)+24*0.01</f>
        <v>1.1120000000000001</v>
      </c>
      <c r="J223" s="22"/>
      <c r="K223" s="22"/>
      <c r="L223" s="12">
        <f t="shared" si="120"/>
        <v>1.1120000000000001</v>
      </c>
      <c r="M223" s="12">
        <f t="shared" si="102"/>
        <v>124.54</v>
      </c>
      <c r="N223" s="12">
        <f t="shared" si="103"/>
        <v>0</v>
      </c>
      <c r="O223" s="12">
        <f t="shared" si="104"/>
        <v>0</v>
      </c>
      <c r="P223" s="12">
        <f t="shared" si="108"/>
        <v>0</v>
      </c>
      <c r="Q223" s="12">
        <f t="shared" si="105"/>
        <v>0</v>
      </c>
      <c r="R223" s="12">
        <f t="shared" si="106"/>
        <v>0</v>
      </c>
    </row>
    <row r="224" spans="1:19" x14ac:dyDescent="0.25">
      <c r="A224" s="26"/>
      <c r="B224" s="25"/>
      <c r="C224" s="15">
        <v>8</v>
      </c>
      <c r="D224" s="16">
        <v>150</v>
      </c>
      <c r="E224" s="15">
        <f t="shared" si="123"/>
        <v>14</v>
      </c>
      <c r="F224" s="11">
        <v>2</v>
      </c>
      <c r="G224" s="11">
        <f t="shared" si="125"/>
        <v>8</v>
      </c>
      <c r="H224" s="12"/>
      <c r="I224" s="12">
        <f>+(0.168+0.168+0.204)+20*0.01</f>
        <v>0.74</v>
      </c>
      <c r="J224" s="22"/>
      <c r="K224" s="22"/>
      <c r="L224" s="12">
        <f t="shared" si="120"/>
        <v>0.74</v>
      </c>
      <c r="M224" s="12">
        <f t="shared" si="102"/>
        <v>165.76</v>
      </c>
      <c r="N224" s="12">
        <f t="shared" si="103"/>
        <v>0</v>
      </c>
      <c r="O224" s="12">
        <f t="shared" si="104"/>
        <v>0</v>
      </c>
      <c r="P224" s="12">
        <f t="shared" si="108"/>
        <v>0</v>
      </c>
      <c r="Q224" s="12">
        <f t="shared" si="105"/>
        <v>0</v>
      </c>
      <c r="R224" s="12">
        <f t="shared" si="106"/>
        <v>0</v>
      </c>
    </row>
    <row r="225" spans="1:19" x14ac:dyDescent="0.25">
      <c r="A225" s="26"/>
      <c r="B225" s="25"/>
      <c r="C225" s="15">
        <v>8</v>
      </c>
      <c r="D225" s="16">
        <v>150</v>
      </c>
      <c r="E225" s="15">
        <f t="shared" si="123"/>
        <v>14</v>
      </c>
      <c r="F225" s="11">
        <v>1</v>
      </c>
      <c r="G225" s="11">
        <f t="shared" si="125"/>
        <v>8</v>
      </c>
      <c r="H225" s="12"/>
      <c r="I225" s="12">
        <f>0.204+2*10*0.01</f>
        <v>0.40400000000000003</v>
      </c>
      <c r="J225" s="22"/>
      <c r="K225" s="22"/>
      <c r="L225" s="12">
        <f t="shared" si="120"/>
        <v>0.40400000000000003</v>
      </c>
      <c r="M225" s="12">
        <f t="shared" si="102"/>
        <v>45.25</v>
      </c>
      <c r="N225" s="12">
        <f t="shared" si="103"/>
        <v>0</v>
      </c>
      <c r="O225" s="12">
        <f t="shared" si="104"/>
        <v>0</v>
      </c>
      <c r="P225" s="12">
        <f t="shared" si="108"/>
        <v>0</v>
      </c>
      <c r="Q225" s="12">
        <f t="shared" si="105"/>
        <v>0</v>
      </c>
      <c r="R225" s="12">
        <f t="shared" si="106"/>
        <v>0</v>
      </c>
    </row>
    <row r="226" spans="1:19" x14ac:dyDescent="0.25">
      <c r="A226" s="94">
        <f>+E226</f>
        <v>14</v>
      </c>
      <c r="B226" s="45" t="s">
        <v>167</v>
      </c>
      <c r="C226" s="15">
        <v>16</v>
      </c>
      <c r="D226" s="16"/>
      <c r="E226" s="15">
        <v>14</v>
      </c>
      <c r="F226" s="11">
        <v>1</v>
      </c>
      <c r="G226" s="11">
        <v>4</v>
      </c>
      <c r="H226" s="12"/>
      <c r="I226" s="12">
        <v>2.95</v>
      </c>
      <c r="J226" s="22"/>
      <c r="K226" s="22">
        <f t="shared" ref="K226:K227" si="126">1*40*C226/1000</f>
        <v>0.64</v>
      </c>
      <c r="L226" s="12">
        <f t="shared" si="120"/>
        <v>3.5900000000000003</v>
      </c>
      <c r="M226" s="12">
        <f t="shared" si="102"/>
        <v>0</v>
      </c>
      <c r="N226" s="12">
        <f t="shared" si="103"/>
        <v>0</v>
      </c>
      <c r="O226" s="12">
        <f t="shared" si="104"/>
        <v>0</v>
      </c>
      <c r="P226" s="12">
        <f t="shared" si="108"/>
        <v>201.04</v>
      </c>
      <c r="Q226" s="12">
        <f t="shared" si="105"/>
        <v>0</v>
      </c>
      <c r="R226" s="12">
        <f t="shared" si="106"/>
        <v>0</v>
      </c>
      <c r="S226" s="3">
        <f>+G226*E226</f>
        <v>56</v>
      </c>
    </row>
    <row r="227" spans="1:19" x14ac:dyDescent="0.25">
      <c r="A227" s="26"/>
      <c r="B227" s="25"/>
      <c r="C227" s="15">
        <v>12</v>
      </c>
      <c r="D227" s="16"/>
      <c r="E227" s="15">
        <f>+E226</f>
        <v>14</v>
      </c>
      <c r="F227" s="11">
        <v>1</v>
      </c>
      <c r="G227" s="11">
        <v>12</v>
      </c>
      <c r="H227" s="12"/>
      <c r="I227" s="12">
        <v>2.95</v>
      </c>
      <c r="J227" s="22"/>
      <c r="K227" s="22">
        <f t="shared" si="126"/>
        <v>0.48</v>
      </c>
      <c r="L227" s="12">
        <f t="shared" si="120"/>
        <v>3.43</v>
      </c>
      <c r="M227" s="12">
        <f t="shared" si="102"/>
        <v>0</v>
      </c>
      <c r="N227" s="12">
        <f t="shared" si="103"/>
        <v>0</v>
      </c>
      <c r="O227" s="12">
        <f t="shared" si="104"/>
        <v>576.24</v>
      </c>
      <c r="P227" s="12">
        <f t="shared" si="108"/>
        <v>0</v>
      </c>
      <c r="Q227" s="12">
        <f t="shared" si="105"/>
        <v>0</v>
      </c>
      <c r="R227" s="12">
        <f t="shared" si="106"/>
        <v>0</v>
      </c>
      <c r="S227" s="3">
        <f>+G227*E227</f>
        <v>168</v>
      </c>
    </row>
    <row r="228" spans="1:19" x14ac:dyDescent="0.25">
      <c r="A228" s="26"/>
      <c r="B228" s="25" t="s">
        <v>160</v>
      </c>
      <c r="C228" s="15">
        <v>10</v>
      </c>
      <c r="D228" s="16">
        <v>75</v>
      </c>
      <c r="E228" s="15">
        <f t="shared" ref="E228:E235" si="127">+E227</f>
        <v>14</v>
      </c>
      <c r="F228" s="11">
        <v>2</v>
      </c>
      <c r="G228" s="11">
        <f>+ROUND(715/D228,0)</f>
        <v>10</v>
      </c>
      <c r="H228" s="12"/>
      <c r="I228" s="12">
        <f>2*(0.2+0.615)+24*0.01</f>
        <v>1.8699999999999999</v>
      </c>
      <c r="J228" s="22"/>
      <c r="K228" s="22"/>
      <c r="L228" s="12">
        <f t="shared" si="120"/>
        <v>1.8699999999999999</v>
      </c>
      <c r="M228" s="12">
        <f t="shared" si="102"/>
        <v>0</v>
      </c>
      <c r="N228" s="12">
        <f t="shared" si="103"/>
        <v>523.6</v>
      </c>
      <c r="O228" s="12">
        <f t="shared" si="104"/>
        <v>0</v>
      </c>
      <c r="P228" s="12">
        <f t="shared" si="108"/>
        <v>0</v>
      </c>
      <c r="Q228" s="12">
        <f t="shared" si="105"/>
        <v>0</v>
      </c>
      <c r="R228" s="12">
        <f t="shared" si="106"/>
        <v>0</v>
      </c>
    </row>
    <row r="229" spans="1:19" x14ac:dyDescent="0.25">
      <c r="A229" s="26"/>
      <c r="B229" s="25"/>
      <c r="C229" s="15">
        <v>10</v>
      </c>
      <c r="D229" s="16">
        <v>75</v>
      </c>
      <c r="E229" s="15">
        <f t="shared" si="127"/>
        <v>14</v>
      </c>
      <c r="F229" s="11">
        <v>2</v>
      </c>
      <c r="G229" s="11">
        <f t="shared" ref="G229:G231" si="128">+ROUND(715/D229,0)</f>
        <v>10</v>
      </c>
      <c r="H229" s="12"/>
      <c r="I229" s="12">
        <f>2*(0.2+0.216)+24*0.01</f>
        <v>1.0720000000000001</v>
      </c>
      <c r="J229" s="22"/>
      <c r="K229" s="22"/>
      <c r="L229" s="12">
        <f t="shared" si="120"/>
        <v>1.0720000000000001</v>
      </c>
      <c r="M229" s="12">
        <f t="shared" si="102"/>
        <v>0</v>
      </c>
      <c r="N229" s="12">
        <f t="shared" si="103"/>
        <v>300.16000000000003</v>
      </c>
      <c r="O229" s="12">
        <f t="shared" si="104"/>
        <v>0</v>
      </c>
      <c r="P229" s="12">
        <f t="shared" si="108"/>
        <v>0</v>
      </c>
      <c r="Q229" s="12">
        <f t="shared" si="105"/>
        <v>0</v>
      </c>
      <c r="R229" s="12">
        <f t="shared" si="106"/>
        <v>0</v>
      </c>
    </row>
    <row r="230" spans="1:19" x14ac:dyDescent="0.25">
      <c r="A230" s="26"/>
      <c r="B230" s="25"/>
      <c r="C230" s="15">
        <v>10</v>
      </c>
      <c r="D230" s="16">
        <v>75</v>
      </c>
      <c r="E230" s="15">
        <f t="shared" si="127"/>
        <v>14</v>
      </c>
      <c r="F230" s="11">
        <f>2*2</f>
        <v>4</v>
      </c>
      <c r="G230" s="11">
        <f t="shared" si="128"/>
        <v>10</v>
      </c>
      <c r="H230" s="12"/>
      <c r="I230" s="12">
        <f>+(0.168+0.168+0.2)+20*0.01</f>
        <v>0.73599999999999999</v>
      </c>
      <c r="J230" s="22"/>
      <c r="K230" s="22"/>
      <c r="L230" s="12">
        <f t="shared" si="120"/>
        <v>0.73599999999999999</v>
      </c>
      <c r="M230" s="12">
        <f t="shared" si="102"/>
        <v>0</v>
      </c>
      <c r="N230" s="12">
        <f t="shared" si="103"/>
        <v>412.16</v>
      </c>
      <c r="O230" s="12">
        <f t="shared" si="104"/>
        <v>0</v>
      </c>
      <c r="P230" s="12">
        <f t="shared" si="108"/>
        <v>0</v>
      </c>
      <c r="Q230" s="12">
        <f t="shared" si="105"/>
        <v>0</v>
      </c>
      <c r="R230" s="12">
        <f t="shared" si="106"/>
        <v>0</v>
      </c>
    </row>
    <row r="231" spans="1:19" x14ac:dyDescent="0.25">
      <c r="A231" s="26"/>
      <c r="B231" s="25"/>
      <c r="C231" s="15">
        <v>10</v>
      </c>
      <c r="D231" s="16">
        <v>75</v>
      </c>
      <c r="E231" s="15">
        <f t="shared" si="127"/>
        <v>14</v>
      </c>
      <c r="F231" s="11">
        <v>2</v>
      </c>
      <c r="G231" s="11">
        <f t="shared" si="128"/>
        <v>10</v>
      </c>
      <c r="H231" s="12"/>
      <c r="I231" s="12">
        <f>0.2+2*10*0.01</f>
        <v>0.4</v>
      </c>
      <c r="J231" s="22"/>
      <c r="K231" s="22"/>
      <c r="L231" s="12">
        <f t="shared" si="120"/>
        <v>0.4</v>
      </c>
      <c r="M231" s="12">
        <f t="shared" si="102"/>
        <v>0</v>
      </c>
      <c r="N231" s="12">
        <f t="shared" si="103"/>
        <v>112</v>
      </c>
      <c r="O231" s="12">
        <f t="shared" si="104"/>
        <v>0</v>
      </c>
      <c r="P231" s="12">
        <f t="shared" si="108"/>
        <v>0</v>
      </c>
      <c r="Q231" s="12">
        <f t="shared" si="105"/>
        <v>0</v>
      </c>
      <c r="R231" s="12">
        <f t="shared" si="106"/>
        <v>0</v>
      </c>
    </row>
    <row r="232" spans="1:19" x14ac:dyDescent="0.25">
      <c r="A232" s="26"/>
      <c r="B232" s="25" t="s">
        <v>161</v>
      </c>
      <c r="C232" s="15">
        <v>8</v>
      </c>
      <c r="D232" s="16">
        <v>150</v>
      </c>
      <c r="E232" s="15">
        <f t="shared" si="127"/>
        <v>14</v>
      </c>
      <c r="F232" s="11">
        <v>1</v>
      </c>
      <c r="G232" s="11">
        <f>+ROUND(1170/D232+1,0)</f>
        <v>9</v>
      </c>
      <c r="H232" s="12"/>
      <c r="I232" s="12">
        <f>2*(0.204+0.619)+24*0.01</f>
        <v>1.8859999999999999</v>
      </c>
      <c r="J232" s="22"/>
      <c r="K232" s="22"/>
      <c r="L232" s="12">
        <f t="shared" si="120"/>
        <v>1.8859999999999999</v>
      </c>
      <c r="M232" s="12">
        <f t="shared" si="102"/>
        <v>237.64</v>
      </c>
      <c r="N232" s="12">
        <f t="shared" si="103"/>
        <v>0</v>
      </c>
      <c r="O232" s="12">
        <f t="shared" si="104"/>
        <v>0</v>
      </c>
      <c r="P232" s="12">
        <f t="shared" si="108"/>
        <v>0</v>
      </c>
      <c r="Q232" s="12">
        <f t="shared" si="105"/>
        <v>0</v>
      </c>
      <c r="R232" s="12">
        <f t="shared" si="106"/>
        <v>0</v>
      </c>
    </row>
    <row r="233" spans="1:19" x14ac:dyDescent="0.25">
      <c r="A233" s="26"/>
      <c r="B233" s="25"/>
      <c r="C233" s="15">
        <v>8</v>
      </c>
      <c r="D233" s="16">
        <v>150</v>
      </c>
      <c r="E233" s="15">
        <f t="shared" si="127"/>
        <v>14</v>
      </c>
      <c r="F233" s="11">
        <v>1</v>
      </c>
      <c r="G233" s="11">
        <f t="shared" ref="G233:G235" si="129">+ROUND(1170/D233+1,0)</f>
        <v>9</v>
      </c>
      <c r="H233" s="12"/>
      <c r="I233" s="12">
        <f>2*(0.204+0.217)+24*0.01</f>
        <v>1.0819999999999999</v>
      </c>
      <c r="J233" s="22"/>
      <c r="K233" s="22"/>
      <c r="L233" s="12">
        <f t="shared" si="120"/>
        <v>1.0819999999999999</v>
      </c>
      <c r="M233" s="12">
        <f t="shared" si="102"/>
        <v>136.33000000000001</v>
      </c>
      <c r="N233" s="12">
        <f t="shared" si="103"/>
        <v>0</v>
      </c>
      <c r="O233" s="12">
        <f t="shared" si="104"/>
        <v>0</v>
      </c>
      <c r="P233" s="12">
        <f t="shared" si="108"/>
        <v>0</v>
      </c>
      <c r="Q233" s="12">
        <f t="shared" si="105"/>
        <v>0</v>
      </c>
      <c r="R233" s="12">
        <f t="shared" si="106"/>
        <v>0</v>
      </c>
    </row>
    <row r="234" spans="1:19" x14ac:dyDescent="0.25">
      <c r="A234" s="26"/>
      <c r="B234" s="25"/>
      <c r="C234" s="15">
        <v>8</v>
      </c>
      <c r="D234" s="16">
        <v>150</v>
      </c>
      <c r="E234" s="15">
        <f t="shared" si="127"/>
        <v>14</v>
      </c>
      <c r="F234" s="11">
        <v>2</v>
      </c>
      <c r="G234" s="11">
        <f t="shared" si="129"/>
        <v>9</v>
      </c>
      <c r="H234" s="12"/>
      <c r="I234" s="12">
        <f>+(0.168+0.168+0.204)+20*0.01</f>
        <v>0.74</v>
      </c>
      <c r="J234" s="22"/>
      <c r="K234" s="22"/>
      <c r="L234" s="12">
        <f t="shared" si="120"/>
        <v>0.74</v>
      </c>
      <c r="M234" s="12">
        <f t="shared" si="102"/>
        <v>186.48</v>
      </c>
      <c r="N234" s="12">
        <f t="shared" si="103"/>
        <v>0</v>
      </c>
      <c r="O234" s="12">
        <f t="shared" si="104"/>
        <v>0</v>
      </c>
      <c r="P234" s="12">
        <f t="shared" si="108"/>
        <v>0</v>
      </c>
      <c r="Q234" s="12">
        <f t="shared" si="105"/>
        <v>0</v>
      </c>
      <c r="R234" s="12">
        <f t="shared" si="106"/>
        <v>0</v>
      </c>
    </row>
    <row r="235" spans="1:19" x14ac:dyDescent="0.25">
      <c r="A235" s="26"/>
      <c r="B235" s="25"/>
      <c r="C235" s="15">
        <v>8</v>
      </c>
      <c r="D235" s="16">
        <v>150</v>
      </c>
      <c r="E235" s="15">
        <f t="shared" si="127"/>
        <v>14</v>
      </c>
      <c r="F235" s="11">
        <v>1</v>
      </c>
      <c r="G235" s="11">
        <f t="shared" si="129"/>
        <v>9</v>
      </c>
      <c r="H235" s="12"/>
      <c r="I235" s="12">
        <f>0.204+2*10*0.01</f>
        <v>0.40400000000000003</v>
      </c>
      <c r="J235" s="22"/>
      <c r="K235" s="22"/>
      <c r="L235" s="12">
        <f t="shared" si="120"/>
        <v>0.40400000000000003</v>
      </c>
      <c r="M235" s="12">
        <f t="shared" si="102"/>
        <v>50.9</v>
      </c>
      <c r="N235" s="12">
        <f t="shared" si="103"/>
        <v>0</v>
      </c>
      <c r="O235" s="12">
        <f t="shared" si="104"/>
        <v>0</v>
      </c>
      <c r="P235" s="12">
        <f t="shared" si="108"/>
        <v>0</v>
      </c>
      <c r="Q235" s="12">
        <f t="shared" si="105"/>
        <v>0</v>
      </c>
      <c r="R235" s="12">
        <f t="shared" si="106"/>
        <v>0</v>
      </c>
    </row>
    <row r="236" spans="1:19" x14ac:dyDescent="0.25">
      <c r="A236" s="94">
        <f>+E236</f>
        <v>4</v>
      </c>
      <c r="B236" s="45" t="s">
        <v>168</v>
      </c>
      <c r="C236" s="15">
        <v>16</v>
      </c>
      <c r="D236" s="16"/>
      <c r="E236" s="15">
        <v>4</v>
      </c>
      <c r="F236" s="11">
        <v>1</v>
      </c>
      <c r="G236" s="11">
        <v>4</v>
      </c>
      <c r="H236" s="12"/>
      <c r="I236" s="12">
        <v>2.95</v>
      </c>
      <c r="J236" s="22"/>
      <c r="K236" s="22">
        <f t="shared" ref="K236:K237" si="130">1*40*C236/1000</f>
        <v>0.64</v>
      </c>
      <c r="L236" s="12">
        <f t="shared" si="120"/>
        <v>3.5900000000000003</v>
      </c>
      <c r="M236" s="12">
        <f t="shared" si="102"/>
        <v>0</v>
      </c>
      <c r="N236" s="12">
        <f t="shared" si="103"/>
        <v>0</v>
      </c>
      <c r="O236" s="12">
        <f t="shared" si="104"/>
        <v>0</v>
      </c>
      <c r="P236" s="12">
        <f t="shared" si="108"/>
        <v>57.44</v>
      </c>
      <c r="Q236" s="12">
        <f t="shared" si="105"/>
        <v>0</v>
      </c>
      <c r="R236" s="12">
        <f t="shared" si="106"/>
        <v>0</v>
      </c>
      <c r="S236" s="3">
        <f>+G236*E236</f>
        <v>16</v>
      </c>
    </row>
    <row r="237" spans="1:19" x14ac:dyDescent="0.25">
      <c r="A237" s="26"/>
      <c r="B237" s="25"/>
      <c r="C237" s="15">
        <v>12</v>
      </c>
      <c r="D237" s="16"/>
      <c r="E237" s="15">
        <f>+E236</f>
        <v>4</v>
      </c>
      <c r="F237" s="11">
        <v>1</v>
      </c>
      <c r="G237" s="11">
        <v>14</v>
      </c>
      <c r="H237" s="12"/>
      <c r="I237" s="12">
        <v>2.95</v>
      </c>
      <c r="J237" s="22"/>
      <c r="K237" s="22">
        <f t="shared" si="130"/>
        <v>0.48</v>
      </c>
      <c r="L237" s="12">
        <f t="shared" si="120"/>
        <v>3.43</v>
      </c>
      <c r="M237" s="12">
        <f t="shared" si="102"/>
        <v>0</v>
      </c>
      <c r="N237" s="12">
        <f t="shared" si="103"/>
        <v>0</v>
      </c>
      <c r="O237" s="12">
        <f t="shared" si="104"/>
        <v>192.08</v>
      </c>
      <c r="P237" s="12">
        <f t="shared" si="108"/>
        <v>0</v>
      </c>
      <c r="Q237" s="12">
        <f t="shared" si="105"/>
        <v>0</v>
      </c>
      <c r="R237" s="12">
        <f t="shared" si="106"/>
        <v>0</v>
      </c>
      <c r="S237" s="3">
        <f>+G237*E237</f>
        <v>56</v>
      </c>
    </row>
    <row r="238" spans="1:19" x14ac:dyDescent="0.25">
      <c r="A238" s="26"/>
      <c r="B238" s="25" t="s">
        <v>160</v>
      </c>
      <c r="C238" s="15">
        <v>10</v>
      </c>
      <c r="D238" s="16">
        <v>75</v>
      </c>
      <c r="E238" s="15">
        <f t="shared" ref="E238:E243" si="131">+E237</f>
        <v>4</v>
      </c>
      <c r="F238" s="11">
        <v>2</v>
      </c>
      <c r="G238" s="11">
        <f>+ROUND(800/D238,0)</f>
        <v>11</v>
      </c>
      <c r="H238" s="12"/>
      <c r="I238" s="12">
        <f>2*(0.2+0.7)+24*0.01</f>
        <v>2.04</v>
      </c>
      <c r="J238" s="22"/>
      <c r="K238" s="22"/>
      <c r="L238" s="12">
        <f t="shared" si="120"/>
        <v>2.04</v>
      </c>
      <c r="M238" s="12">
        <f t="shared" si="102"/>
        <v>0</v>
      </c>
      <c r="N238" s="12">
        <f t="shared" si="103"/>
        <v>179.52</v>
      </c>
      <c r="O238" s="12">
        <f t="shared" si="104"/>
        <v>0</v>
      </c>
      <c r="P238" s="12">
        <f t="shared" si="108"/>
        <v>0</v>
      </c>
      <c r="Q238" s="12">
        <f t="shared" si="105"/>
        <v>0</v>
      </c>
      <c r="R238" s="12">
        <f t="shared" si="106"/>
        <v>0</v>
      </c>
    </row>
    <row r="239" spans="1:19" x14ac:dyDescent="0.25">
      <c r="A239" s="26"/>
      <c r="B239" s="25"/>
      <c r="C239" s="15">
        <v>10</v>
      </c>
      <c r="D239" s="16">
        <v>75</v>
      </c>
      <c r="E239" s="15">
        <f t="shared" si="131"/>
        <v>4</v>
      </c>
      <c r="F239" s="11">
        <f>2*2</f>
        <v>4</v>
      </c>
      <c r="G239" s="11">
        <f t="shared" ref="G239:G240" si="132">+ROUND(800/D239,0)</f>
        <v>11</v>
      </c>
      <c r="H239" s="12"/>
      <c r="I239" s="12">
        <f>2*(0.2+0.115)+24*0.01</f>
        <v>0.87</v>
      </c>
      <c r="J239" s="22"/>
      <c r="K239" s="22"/>
      <c r="L239" s="12">
        <f t="shared" si="120"/>
        <v>0.87</v>
      </c>
      <c r="M239" s="12">
        <f t="shared" si="102"/>
        <v>0</v>
      </c>
      <c r="N239" s="12">
        <f t="shared" si="103"/>
        <v>153.12</v>
      </c>
      <c r="O239" s="12">
        <f t="shared" si="104"/>
        <v>0</v>
      </c>
      <c r="P239" s="12">
        <f t="shared" si="108"/>
        <v>0</v>
      </c>
      <c r="Q239" s="12">
        <f t="shared" si="105"/>
        <v>0</v>
      </c>
      <c r="R239" s="12">
        <f t="shared" si="106"/>
        <v>0</v>
      </c>
    </row>
    <row r="240" spans="1:19" x14ac:dyDescent="0.25">
      <c r="A240" s="26"/>
      <c r="B240" s="25"/>
      <c r="C240" s="15">
        <v>10</v>
      </c>
      <c r="D240" s="16">
        <v>75</v>
      </c>
      <c r="E240" s="15">
        <f t="shared" si="131"/>
        <v>4</v>
      </c>
      <c r="F240" s="11">
        <f>2*2</f>
        <v>4</v>
      </c>
      <c r="G240" s="11">
        <f t="shared" si="132"/>
        <v>11</v>
      </c>
      <c r="H240" s="12"/>
      <c r="I240" s="12">
        <f>+(0.168+0.168+0.2)+20*0.01</f>
        <v>0.73599999999999999</v>
      </c>
      <c r="J240" s="22"/>
      <c r="K240" s="22"/>
      <c r="L240" s="12">
        <f t="shared" si="120"/>
        <v>0.73599999999999999</v>
      </c>
      <c r="M240" s="12">
        <f t="shared" si="102"/>
        <v>0</v>
      </c>
      <c r="N240" s="12">
        <f t="shared" si="103"/>
        <v>129.54</v>
      </c>
      <c r="O240" s="12">
        <f t="shared" si="104"/>
        <v>0</v>
      </c>
      <c r="P240" s="12">
        <f t="shared" si="108"/>
        <v>0</v>
      </c>
      <c r="Q240" s="12">
        <f t="shared" si="105"/>
        <v>0</v>
      </c>
      <c r="R240" s="12">
        <f t="shared" si="106"/>
        <v>0</v>
      </c>
    </row>
    <row r="241" spans="1:19" x14ac:dyDescent="0.25">
      <c r="A241" s="26"/>
      <c r="B241" s="25" t="s">
        <v>161</v>
      </c>
      <c r="C241" s="15">
        <v>8</v>
      </c>
      <c r="D241" s="16">
        <v>150</v>
      </c>
      <c r="E241" s="15">
        <f t="shared" si="131"/>
        <v>4</v>
      </c>
      <c r="F241" s="11">
        <v>1</v>
      </c>
      <c r="G241" s="11">
        <f>+ROUND(1000/D241+1,0)</f>
        <v>8</v>
      </c>
      <c r="H241" s="12"/>
      <c r="I241" s="12">
        <f>2*(0.204+0.704)+24*0.008</f>
        <v>2.008</v>
      </c>
      <c r="J241" s="22"/>
      <c r="K241" s="22"/>
      <c r="L241" s="12">
        <f t="shared" si="120"/>
        <v>2.008</v>
      </c>
      <c r="M241" s="12">
        <f t="shared" si="102"/>
        <v>64.260000000000005</v>
      </c>
      <c r="N241" s="12">
        <f t="shared" si="103"/>
        <v>0</v>
      </c>
      <c r="O241" s="12">
        <f t="shared" si="104"/>
        <v>0</v>
      </c>
      <c r="P241" s="12">
        <f t="shared" si="108"/>
        <v>0</v>
      </c>
      <c r="Q241" s="12">
        <f t="shared" si="105"/>
        <v>0</v>
      </c>
      <c r="R241" s="12">
        <f t="shared" si="106"/>
        <v>0</v>
      </c>
    </row>
    <row r="242" spans="1:19" x14ac:dyDescent="0.25">
      <c r="A242" s="26"/>
      <c r="B242" s="25"/>
      <c r="C242" s="15">
        <v>8</v>
      </c>
      <c r="D242" s="16">
        <v>150</v>
      </c>
      <c r="E242" s="15">
        <f t="shared" si="131"/>
        <v>4</v>
      </c>
      <c r="F242" s="11">
        <v>2</v>
      </c>
      <c r="G242" s="11">
        <f t="shared" ref="G242:G243" si="133">+ROUND(1000/D242+1,0)</f>
        <v>8</v>
      </c>
      <c r="H242" s="12"/>
      <c r="I242" s="12">
        <f>2*(0.204+0.115)+24*0.008</f>
        <v>0.83000000000000007</v>
      </c>
      <c r="J242" s="22"/>
      <c r="K242" s="22"/>
      <c r="L242" s="12">
        <f t="shared" si="120"/>
        <v>0.83000000000000007</v>
      </c>
      <c r="M242" s="12">
        <f t="shared" si="102"/>
        <v>53.12</v>
      </c>
      <c r="N242" s="12">
        <f t="shared" si="103"/>
        <v>0</v>
      </c>
      <c r="O242" s="12">
        <f t="shared" si="104"/>
        <v>0</v>
      </c>
      <c r="P242" s="12">
        <f t="shared" si="108"/>
        <v>0</v>
      </c>
      <c r="Q242" s="12">
        <f t="shared" si="105"/>
        <v>0</v>
      </c>
      <c r="R242" s="12">
        <f t="shared" si="106"/>
        <v>0</v>
      </c>
    </row>
    <row r="243" spans="1:19" x14ac:dyDescent="0.25">
      <c r="A243" s="26"/>
      <c r="B243" s="25"/>
      <c r="C243" s="15">
        <v>8</v>
      </c>
      <c r="D243" s="16">
        <v>150</v>
      </c>
      <c r="E243" s="15">
        <f t="shared" si="131"/>
        <v>4</v>
      </c>
      <c r="F243" s="11">
        <v>2</v>
      </c>
      <c r="G243" s="11">
        <f t="shared" si="133"/>
        <v>8</v>
      </c>
      <c r="H243" s="12"/>
      <c r="I243" s="12">
        <f>+(0.168+0.168+0.204)+20*0.008</f>
        <v>0.70000000000000007</v>
      </c>
      <c r="J243" s="22"/>
      <c r="K243" s="22"/>
      <c r="L243" s="12">
        <f t="shared" si="120"/>
        <v>0.70000000000000007</v>
      </c>
      <c r="M243" s="12">
        <f t="shared" si="102"/>
        <v>44.8</v>
      </c>
      <c r="N243" s="12">
        <f t="shared" si="103"/>
        <v>0</v>
      </c>
      <c r="O243" s="12">
        <f t="shared" si="104"/>
        <v>0</v>
      </c>
      <c r="P243" s="12">
        <f t="shared" si="108"/>
        <v>0</v>
      </c>
      <c r="Q243" s="12">
        <f t="shared" si="105"/>
        <v>0</v>
      </c>
      <c r="R243" s="12">
        <f t="shared" si="106"/>
        <v>0</v>
      </c>
    </row>
    <row r="244" spans="1:19" x14ac:dyDescent="0.25">
      <c r="A244" s="94">
        <f>+E244</f>
        <v>4</v>
      </c>
      <c r="B244" s="45" t="s">
        <v>169</v>
      </c>
      <c r="C244" s="15">
        <v>20</v>
      </c>
      <c r="D244" s="16"/>
      <c r="E244" s="15">
        <v>4</v>
      </c>
      <c r="F244" s="11">
        <v>1</v>
      </c>
      <c r="G244" s="11">
        <v>10</v>
      </c>
      <c r="H244" s="12"/>
      <c r="I244" s="12">
        <v>2.95</v>
      </c>
      <c r="J244" s="22"/>
      <c r="K244" s="22">
        <f t="shared" ref="K244:K245" si="134">1*40*C244/1000</f>
        <v>0.8</v>
      </c>
      <c r="L244" s="12">
        <f t="shared" si="120"/>
        <v>3.75</v>
      </c>
      <c r="M244" s="12">
        <f t="shared" si="102"/>
        <v>0</v>
      </c>
      <c r="N244" s="12">
        <f t="shared" si="103"/>
        <v>0</v>
      </c>
      <c r="O244" s="12">
        <f t="shared" si="104"/>
        <v>0</v>
      </c>
      <c r="P244" s="12">
        <f t="shared" si="108"/>
        <v>0</v>
      </c>
      <c r="Q244" s="12">
        <f t="shared" si="105"/>
        <v>150</v>
      </c>
      <c r="R244" s="12">
        <f t="shared" si="106"/>
        <v>0</v>
      </c>
      <c r="S244" s="3">
        <f>+G244*E244</f>
        <v>40</v>
      </c>
    </row>
    <row r="245" spans="1:19" x14ac:dyDescent="0.25">
      <c r="A245" s="26"/>
      <c r="B245" s="45"/>
      <c r="C245" s="15">
        <v>16</v>
      </c>
      <c r="D245" s="16"/>
      <c r="E245" s="15">
        <v>4</v>
      </c>
      <c r="F245" s="11">
        <v>1</v>
      </c>
      <c r="G245" s="11">
        <v>4</v>
      </c>
      <c r="H245" s="12"/>
      <c r="I245" s="12">
        <v>2.95</v>
      </c>
      <c r="J245" s="22"/>
      <c r="K245" s="22">
        <f t="shared" si="134"/>
        <v>0.64</v>
      </c>
      <c r="L245" s="12">
        <f t="shared" ref="L245" si="135">SUM(H245:J245)+K245</f>
        <v>3.5900000000000003</v>
      </c>
      <c r="M245" s="12">
        <f t="shared" si="102"/>
        <v>0</v>
      </c>
      <c r="N245" s="12">
        <f t="shared" si="103"/>
        <v>0</v>
      </c>
      <c r="O245" s="12">
        <f t="shared" si="104"/>
        <v>0</v>
      </c>
      <c r="P245" s="12">
        <f t="shared" si="108"/>
        <v>57.44</v>
      </c>
      <c r="Q245" s="12">
        <f t="shared" si="105"/>
        <v>0</v>
      </c>
      <c r="R245" s="12">
        <f t="shared" si="106"/>
        <v>0</v>
      </c>
      <c r="S245" s="3">
        <f>+G245*E245</f>
        <v>16</v>
      </c>
    </row>
    <row r="246" spans="1:19" x14ac:dyDescent="0.25">
      <c r="A246" s="26"/>
      <c r="B246" s="25" t="s">
        <v>160</v>
      </c>
      <c r="C246" s="15">
        <v>10</v>
      </c>
      <c r="D246" s="16">
        <v>75</v>
      </c>
      <c r="E246" s="15">
        <f>+E244</f>
        <v>4</v>
      </c>
      <c r="F246" s="11">
        <v>2</v>
      </c>
      <c r="G246" s="11">
        <f>+ROUND(600/D246,0)</f>
        <v>8</v>
      </c>
      <c r="H246" s="12"/>
      <c r="I246" s="12">
        <f>2*(0.2+0.5)+24*0.01</f>
        <v>1.64</v>
      </c>
      <c r="J246" s="22"/>
      <c r="K246" s="22"/>
      <c r="L246" s="12">
        <f t="shared" si="120"/>
        <v>1.64</v>
      </c>
      <c r="M246" s="12">
        <f t="shared" si="102"/>
        <v>0</v>
      </c>
      <c r="N246" s="12">
        <f t="shared" si="103"/>
        <v>104.96</v>
      </c>
      <c r="O246" s="12">
        <f t="shared" si="104"/>
        <v>0</v>
      </c>
      <c r="P246" s="12">
        <f t="shared" si="108"/>
        <v>0</v>
      </c>
      <c r="Q246" s="12">
        <f t="shared" si="105"/>
        <v>0</v>
      </c>
      <c r="R246" s="12">
        <f t="shared" si="106"/>
        <v>0</v>
      </c>
    </row>
    <row r="247" spans="1:19" x14ac:dyDescent="0.25">
      <c r="A247" s="26"/>
      <c r="B247" s="25"/>
      <c r="C247" s="15">
        <v>10</v>
      </c>
      <c r="D247" s="16">
        <v>75</v>
      </c>
      <c r="E247" s="15">
        <f t="shared" ref="E247:E251" si="136">+E246</f>
        <v>4</v>
      </c>
      <c r="F247" s="11">
        <v>2</v>
      </c>
      <c r="G247" s="11">
        <f t="shared" ref="G247:G248" si="137">+ROUND(600/D247,0)</f>
        <v>8</v>
      </c>
      <c r="H247" s="12"/>
      <c r="I247" s="12">
        <f>2*(0.2+0.115)+24*0.01</f>
        <v>0.87</v>
      </c>
      <c r="J247" s="22"/>
      <c r="K247" s="22"/>
      <c r="L247" s="12">
        <f t="shared" si="120"/>
        <v>0.87</v>
      </c>
      <c r="M247" s="12">
        <f t="shared" si="102"/>
        <v>0</v>
      </c>
      <c r="N247" s="12">
        <f t="shared" si="103"/>
        <v>55.68</v>
      </c>
      <c r="O247" s="12">
        <f t="shared" si="104"/>
        <v>0</v>
      </c>
      <c r="P247" s="12">
        <f t="shared" si="108"/>
        <v>0</v>
      </c>
      <c r="Q247" s="12">
        <f t="shared" si="105"/>
        <v>0</v>
      </c>
      <c r="R247" s="12">
        <f t="shared" si="106"/>
        <v>0</v>
      </c>
    </row>
    <row r="248" spans="1:19" x14ac:dyDescent="0.25">
      <c r="A248" s="26"/>
      <c r="B248" s="25"/>
      <c r="C248" s="15">
        <v>10</v>
      </c>
      <c r="D248" s="16">
        <v>75</v>
      </c>
      <c r="E248" s="15">
        <f t="shared" si="136"/>
        <v>4</v>
      </c>
      <c r="F248" s="11">
        <f>2*2</f>
        <v>4</v>
      </c>
      <c r="G248" s="11">
        <f t="shared" si="137"/>
        <v>8</v>
      </c>
      <c r="H248" s="12"/>
      <c r="I248" s="12">
        <f>+(0.168+0.168+0.2)+20*0.01</f>
        <v>0.73599999999999999</v>
      </c>
      <c r="J248" s="22"/>
      <c r="K248" s="22"/>
      <c r="L248" s="12">
        <f t="shared" si="120"/>
        <v>0.73599999999999999</v>
      </c>
      <c r="M248" s="12">
        <f t="shared" si="102"/>
        <v>0</v>
      </c>
      <c r="N248" s="12">
        <f t="shared" si="103"/>
        <v>94.21</v>
      </c>
      <c r="O248" s="12">
        <f t="shared" si="104"/>
        <v>0</v>
      </c>
      <c r="P248" s="12">
        <f t="shared" si="108"/>
        <v>0</v>
      </c>
      <c r="Q248" s="12">
        <f t="shared" si="105"/>
        <v>0</v>
      </c>
      <c r="R248" s="12">
        <f t="shared" si="106"/>
        <v>0</v>
      </c>
    </row>
    <row r="249" spans="1:19" x14ac:dyDescent="0.25">
      <c r="A249" s="26"/>
      <c r="B249" s="25" t="s">
        <v>161</v>
      </c>
      <c r="C249" s="15">
        <v>8</v>
      </c>
      <c r="D249" s="16">
        <v>150</v>
      </c>
      <c r="E249" s="15">
        <f t="shared" si="136"/>
        <v>4</v>
      </c>
      <c r="F249" s="11">
        <v>1</v>
      </c>
      <c r="G249" s="11">
        <f>+ROUND(1400/D249+1,0)</f>
        <v>10</v>
      </c>
      <c r="H249" s="12"/>
      <c r="I249" s="12">
        <f>2*(0.204+0.504)+24*0.008</f>
        <v>1.6079999999999999</v>
      </c>
      <c r="J249" s="22"/>
      <c r="K249" s="22"/>
      <c r="L249" s="12">
        <f t="shared" si="120"/>
        <v>1.6079999999999999</v>
      </c>
      <c r="M249" s="12">
        <f t="shared" si="102"/>
        <v>64.319999999999993</v>
      </c>
      <c r="N249" s="12">
        <f t="shared" si="103"/>
        <v>0</v>
      </c>
      <c r="O249" s="12">
        <f t="shared" si="104"/>
        <v>0</v>
      </c>
      <c r="P249" s="12">
        <f t="shared" si="108"/>
        <v>0</v>
      </c>
      <c r="Q249" s="12">
        <f t="shared" si="105"/>
        <v>0</v>
      </c>
      <c r="R249" s="12">
        <f t="shared" si="106"/>
        <v>0</v>
      </c>
    </row>
    <row r="250" spans="1:19" x14ac:dyDescent="0.25">
      <c r="A250" s="26"/>
      <c r="B250" s="25"/>
      <c r="C250" s="15">
        <v>8</v>
      </c>
      <c r="D250" s="16">
        <v>150</v>
      </c>
      <c r="E250" s="15">
        <f t="shared" si="136"/>
        <v>4</v>
      </c>
      <c r="F250" s="11">
        <v>1</v>
      </c>
      <c r="G250" s="11">
        <f t="shared" ref="G250:G251" si="138">+ROUND(1400/D250+1,0)</f>
        <v>10</v>
      </c>
      <c r="H250" s="12"/>
      <c r="I250" s="12">
        <f>2*(0.204+0.115)+24*0.008</f>
        <v>0.83000000000000007</v>
      </c>
      <c r="J250" s="22"/>
      <c r="K250" s="22"/>
      <c r="L250" s="12">
        <f t="shared" si="120"/>
        <v>0.83000000000000007</v>
      </c>
      <c r="M250" s="12">
        <f t="shared" si="102"/>
        <v>33.200000000000003</v>
      </c>
      <c r="N250" s="12">
        <f t="shared" si="103"/>
        <v>0</v>
      </c>
      <c r="O250" s="12">
        <f t="shared" si="104"/>
        <v>0</v>
      </c>
      <c r="P250" s="12">
        <f t="shared" si="108"/>
        <v>0</v>
      </c>
      <c r="Q250" s="12">
        <f t="shared" si="105"/>
        <v>0</v>
      </c>
      <c r="R250" s="12">
        <f t="shared" si="106"/>
        <v>0</v>
      </c>
    </row>
    <row r="251" spans="1:19" x14ac:dyDescent="0.25">
      <c r="A251" s="26"/>
      <c r="B251" s="25"/>
      <c r="C251" s="15">
        <v>8</v>
      </c>
      <c r="D251" s="16">
        <v>150</v>
      </c>
      <c r="E251" s="15">
        <f t="shared" si="136"/>
        <v>4</v>
      </c>
      <c r="F251" s="11">
        <v>2</v>
      </c>
      <c r="G251" s="11">
        <f t="shared" si="138"/>
        <v>10</v>
      </c>
      <c r="H251" s="12"/>
      <c r="I251" s="12">
        <f>+(0.168+0.168+0.204)+20*0.008</f>
        <v>0.70000000000000007</v>
      </c>
      <c r="J251" s="22"/>
      <c r="K251" s="22"/>
      <c r="L251" s="12">
        <f t="shared" si="120"/>
        <v>0.70000000000000007</v>
      </c>
      <c r="M251" s="12">
        <f t="shared" si="102"/>
        <v>56</v>
      </c>
      <c r="N251" s="12">
        <f t="shared" si="103"/>
        <v>0</v>
      </c>
      <c r="O251" s="12">
        <f t="shared" si="104"/>
        <v>0</v>
      </c>
      <c r="P251" s="12">
        <f t="shared" si="108"/>
        <v>0</v>
      </c>
      <c r="Q251" s="12">
        <f t="shared" si="105"/>
        <v>0</v>
      </c>
      <c r="R251" s="12">
        <f t="shared" si="106"/>
        <v>0</v>
      </c>
    </row>
    <row r="252" spans="1:19" x14ac:dyDescent="0.25">
      <c r="A252" s="26"/>
      <c r="B252" s="45" t="s">
        <v>212</v>
      </c>
      <c r="C252" s="15"/>
      <c r="D252" s="16"/>
      <c r="E252" s="15"/>
      <c r="F252" s="11"/>
      <c r="G252" s="11"/>
      <c r="H252" s="12"/>
      <c r="I252" s="12"/>
      <c r="J252" s="22"/>
      <c r="K252" s="22"/>
      <c r="L252" s="12">
        <f t="shared" si="120"/>
        <v>0</v>
      </c>
      <c r="M252" s="12">
        <f t="shared" si="102"/>
        <v>0</v>
      </c>
      <c r="N252" s="12">
        <f t="shared" si="103"/>
        <v>0</v>
      </c>
      <c r="O252" s="12">
        <f t="shared" si="104"/>
        <v>0</v>
      </c>
      <c r="P252" s="12">
        <f t="shared" si="108"/>
        <v>0</v>
      </c>
      <c r="Q252" s="12">
        <f t="shared" si="105"/>
        <v>0</v>
      </c>
      <c r="R252" s="12">
        <f t="shared" si="106"/>
        <v>0</v>
      </c>
    </row>
    <row r="253" spans="1:19" x14ac:dyDescent="0.25">
      <c r="A253" s="94">
        <f>+E253</f>
        <v>2</v>
      </c>
      <c r="B253" s="45" t="s">
        <v>171</v>
      </c>
      <c r="C253" s="15">
        <v>16</v>
      </c>
      <c r="D253" s="16"/>
      <c r="E253" s="15">
        <v>2</v>
      </c>
      <c r="F253" s="11">
        <v>1</v>
      </c>
      <c r="G253" s="11">
        <v>8</v>
      </c>
      <c r="H253" s="12"/>
      <c r="I253" s="12">
        <v>2.95</v>
      </c>
      <c r="J253" s="22"/>
      <c r="K253" s="22">
        <f t="shared" ref="K253:K255" si="139">1*40*C253/1000</f>
        <v>0.64</v>
      </c>
      <c r="L253" s="12">
        <f t="shared" si="120"/>
        <v>3.5900000000000003</v>
      </c>
      <c r="M253" s="12">
        <f t="shared" si="102"/>
        <v>0</v>
      </c>
      <c r="N253" s="12">
        <f t="shared" si="103"/>
        <v>0</v>
      </c>
      <c r="O253" s="12">
        <f t="shared" si="104"/>
        <v>0</v>
      </c>
      <c r="P253" s="12">
        <f t="shared" si="108"/>
        <v>57.44</v>
      </c>
      <c r="Q253" s="12">
        <f t="shared" si="105"/>
        <v>0</v>
      </c>
      <c r="R253" s="12">
        <f t="shared" si="106"/>
        <v>0</v>
      </c>
      <c r="S253" s="3">
        <f>+G253*E253</f>
        <v>16</v>
      </c>
    </row>
    <row r="254" spans="1:19" x14ac:dyDescent="0.25">
      <c r="A254" s="26"/>
      <c r="B254" s="25"/>
      <c r="C254" s="15">
        <v>12</v>
      </c>
      <c r="D254" s="16"/>
      <c r="E254" s="15">
        <v>2</v>
      </c>
      <c r="F254" s="11">
        <v>1</v>
      </c>
      <c r="G254" s="11">
        <v>16</v>
      </c>
      <c r="H254" s="12"/>
      <c r="I254" s="12">
        <v>2.95</v>
      </c>
      <c r="J254" s="22"/>
      <c r="K254" s="22">
        <f t="shared" si="139"/>
        <v>0.48</v>
      </c>
      <c r="L254" s="12">
        <f t="shared" si="120"/>
        <v>3.43</v>
      </c>
      <c r="M254" s="12">
        <f t="shared" si="102"/>
        <v>0</v>
      </c>
      <c r="N254" s="12">
        <f t="shared" si="103"/>
        <v>0</v>
      </c>
      <c r="O254" s="12">
        <f t="shared" si="104"/>
        <v>109.76</v>
      </c>
      <c r="P254" s="12">
        <f t="shared" si="108"/>
        <v>0</v>
      </c>
      <c r="Q254" s="12">
        <f t="shared" si="105"/>
        <v>0</v>
      </c>
      <c r="R254" s="12">
        <f t="shared" si="106"/>
        <v>0</v>
      </c>
      <c r="S254" s="3">
        <f>+G254*E254</f>
        <v>32</v>
      </c>
    </row>
    <row r="255" spans="1:19" x14ac:dyDescent="0.25">
      <c r="A255" s="26"/>
      <c r="B255" s="25"/>
      <c r="C255" s="15">
        <v>10</v>
      </c>
      <c r="D255" s="16"/>
      <c r="E255" s="15">
        <v>2</v>
      </c>
      <c r="F255" s="11">
        <v>1</v>
      </c>
      <c r="G255" s="11">
        <v>8</v>
      </c>
      <c r="H255" s="12"/>
      <c r="I255" s="12">
        <v>2.95</v>
      </c>
      <c r="J255" s="22"/>
      <c r="K255" s="22">
        <f t="shared" si="139"/>
        <v>0.4</v>
      </c>
      <c r="L255" s="12">
        <f t="shared" si="120"/>
        <v>3.35</v>
      </c>
      <c r="M255" s="12">
        <f t="shared" si="102"/>
        <v>0</v>
      </c>
      <c r="N255" s="12">
        <f t="shared" si="103"/>
        <v>53.6</v>
      </c>
      <c r="O255" s="12">
        <f t="shared" si="104"/>
        <v>0</v>
      </c>
      <c r="P255" s="12">
        <f t="shared" si="108"/>
        <v>0</v>
      </c>
      <c r="Q255" s="12">
        <f t="shared" si="105"/>
        <v>0</v>
      </c>
      <c r="R255" s="12">
        <f t="shared" si="106"/>
        <v>0</v>
      </c>
    </row>
    <row r="256" spans="1:19" x14ac:dyDescent="0.25">
      <c r="A256" s="26"/>
      <c r="B256" s="25" t="s">
        <v>172</v>
      </c>
      <c r="C256" s="15"/>
      <c r="D256" s="16"/>
      <c r="E256" s="15"/>
      <c r="F256" s="11"/>
      <c r="G256" s="11"/>
      <c r="H256" s="12"/>
      <c r="I256" s="12"/>
      <c r="J256" s="22"/>
      <c r="K256" s="22"/>
      <c r="L256" s="12">
        <f t="shared" si="120"/>
        <v>0</v>
      </c>
      <c r="M256" s="12">
        <f t="shared" si="102"/>
        <v>0</v>
      </c>
      <c r="N256" s="12">
        <f t="shared" si="103"/>
        <v>0</v>
      </c>
      <c r="O256" s="12">
        <f t="shared" si="104"/>
        <v>0</v>
      </c>
      <c r="P256" s="12">
        <f t="shared" si="108"/>
        <v>0</v>
      </c>
      <c r="Q256" s="12">
        <f t="shared" si="105"/>
        <v>0</v>
      </c>
      <c r="R256" s="12">
        <f t="shared" si="106"/>
        <v>0</v>
      </c>
    </row>
    <row r="257" spans="1:19" x14ac:dyDescent="0.25">
      <c r="A257" s="26"/>
      <c r="B257" s="25" t="s">
        <v>188</v>
      </c>
      <c r="C257" s="15">
        <v>8</v>
      </c>
      <c r="D257" s="16">
        <v>100</v>
      </c>
      <c r="E257" s="15">
        <v>2</v>
      </c>
      <c r="F257" s="11">
        <v>1</v>
      </c>
      <c r="G257" s="11">
        <f>+ROUND(2600/D257+1,0)</f>
        <v>27</v>
      </c>
      <c r="H257" s="12"/>
      <c r="I257" s="12">
        <f>2*(0.18+0.6)+24*C257/1000</f>
        <v>1.752</v>
      </c>
      <c r="J257" s="22"/>
      <c r="K257" s="22"/>
      <c r="L257" s="12">
        <f t="shared" si="120"/>
        <v>1.752</v>
      </c>
      <c r="M257" s="12">
        <f t="shared" si="102"/>
        <v>94.61</v>
      </c>
      <c r="N257" s="12">
        <f t="shared" si="103"/>
        <v>0</v>
      </c>
      <c r="O257" s="12">
        <f t="shared" si="104"/>
        <v>0</v>
      </c>
      <c r="P257" s="12">
        <f t="shared" si="108"/>
        <v>0</v>
      </c>
      <c r="Q257" s="12">
        <f t="shared" si="105"/>
        <v>0</v>
      </c>
      <c r="R257" s="12">
        <f t="shared" si="106"/>
        <v>0</v>
      </c>
    </row>
    <row r="258" spans="1:19" x14ac:dyDescent="0.25">
      <c r="A258" s="26"/>
      <c r="B258" s="25" t="s">
        <v>174</v>
      </c>
      <c r="C258" s="15">
        <v>8</v>
      </c>
      <c r="D258" s="16">
        <v>100</v>
      </c>
      <c r="E258" s="15">
        <v>2</v>
      </c>
      <c r="F258" s="11">
        <v>1</v>
      </c>
      <c r="G258" s="11">
        <f t="shared" ref="G258:G262" si="140">+ROUND(2600/D258+1,0)</f>
        <v>27</v>
      </c>
      <c r="H258" s="12"/>
      <c r="I258" s="12">
        <f>2*(0.18+0.248)+24*C258/1000</f>
        <v>1.048</v>
      </c>
      <c r="J258" s="22"/>
      <c r="K258" s="22"/>
      <c r="L258" s="12">
        <f t="shared" si="120"/>
        <v>1.048</v>
      </c>
      <c r="M258" s="12">
        <f t="shared" si="102"/>
        <v>56.59</v>
      </c>
      <c r="N258" s="12">
        <f t="shared" si="103"/>
        <v>0</v>
      </c>
      <c r="O258" s="12">
        <f t="shared" si="104"/>
        <v>0</v>
      </c>
      <c r="P258" s="12">
        <f t="shared" si="108"/>
        <v>0</v>
      </c>
      <c r="Q258" s="12">
        <f t="shared" si="105"/>
        <v>0</v>
      </c>
      <c r="R258" s="12">
        <f t="shared" si="106"/>
        <v>0</v>
      </c>
    </row>
    <row r="259" spans="1:19" x14ac:dyDescent="0.25">
      <c r="A259" s="26"/>
      <c r="B259" s="25" t="s">
        <v>173</v>
      </c>
      <c r="C259" s="15">
        <v>8</v>
      </c>
      <c r="D259" s="16">
        <v>100</v>
      </c>
      <c r="E259" s="15">
        <v>2</v>
      </c>
      <c r="F259" s="11">
        <v>1</v>
      </c>
      <c r="G259" s="11">
        <f t="shared" si="140"/>
        <v>27</v>
      </c>
      <c r="H259" s="12"/>
      <c r="I259" s="12">
        <f>0.18+(20*C259/1000)</f>
        <v>0.33999999999999997</v>
      </c>
      <c r="J259" s="22"/>
      <c r="K259" s="22"/>
      <c r="L259" s="12">
        <f t="shared" si="120"/>
        <v>0.33999999999999997</v>
      </c>
      <c r="M259" s="12">
        <f t="shared" si="102"/>
        <v>18.36</v>
      </c>
      <c r="N259" s="12">
        <f t="shared" si="103"/>
        <v>0</v>
      </c>
      <c r="O259" s="12">
        <f t="shared" si="104"/>
        <v>0</v>
      </c>
      <c r="P259" s="12">
        <f t="shared" si="108"/>
        <v>0</v>
      </c>
      <c r="Q259" s="12">
        <f t="shared" si="105"/>
        <v>0</v>
      </c>
      <c r="R259" s="12">
        <f t="shared" si="106"/>
        <v>0</v>
      </c>
    </row>
    <row r="260" spans="1:19" x14ac:dyDescent="0.25">
      <c r="A260" s="26"/>
      <c r="B260" s="25" t="s">
        <v>189</v>
      </c>
      <c r="C260" s="15">
        <v>8</v>
      </c>
      <c r="D260" s="16">
        <v>100</v>
      </c>
      <c r="E260" s="15">
        <v>2</v>
      </c>
      <c r="F260" s="11">
        <v>2</v>
      </c>
      <c r="G260" s="11">
        <f t="shared" si="140"/>
        <v>27</v>
      </c>
      <c r="H260" s="12"/>
      <c r="I260" s="12">
        <f>2*(0.18+0.385)+24*C260/1000</f>
        <v>1.3219999999999998</v>
      </c>
      <c r="J260" s="22"/>
      <c r="K260" s="22"/>
      <c r="L260" s="12">
        <f t="shared" si="120"/>
        <v>1.3219999999999998</v>
      </c>
      <c r="M260" s="12">
        <f t="shared" si="102"/>
        <v>142.78</v>
      </c>
      <c r="N260" s="12">
        <f t="shared" si="103"/>
        <v>0</v>
      </c>
      <c r="O260" s="12">
        <f t="shared" si="104"/>
        <v>0</v>
      </c>
      <c r="P260" s="12">
        <f t="shared" si="108"/>
        <v>0</v>
      </c>
      <c r="Q260" s="12">
        <f t="shared" si="105"/>
        <v>0</v>
      </c>
      <c r="R260" s="12">
        <f t="shared" si="106"/>
        <v>0</v>
      </c>
    </row>
    <row r="261" spans="1:19" x14ac:dyDescent="0.25">
      <c r="A261" s="26"/>
      <c r="B261" s="25" t="s">
        <v>175</v>
      </c>
      <c r="C261" s="15">
        <v>8</v>
      </c>
      <c r="D261" s="16">
        <v>100</v>
      </c>
      <c r="E261" s="15">
        <v>2</v>
      </c>
      <c r="F261" s="11">
        <v>1</v>
      </c>
      <c r="G261" s="11">
        <f t="shared" si="140"/>
        <v>27</v>
      </c>
      <c r="H261" s="12"/>
      <c r="I261" s="12">
        <f>2*(0.18+0.268)+24*C261/1000</f>
        <v>1.0880000000000001</v>
      </c>
      <c r="J261" s="22"/>
      <c r="K261" s="22"/>
      <c r="L261" s="12">
        <f t="shared" si="120"/>
        <v>1.0880000000000001</v>
      </c>
      <c r="M261" s="12">
        <f t="shared" si="102"/>
        <v>58.75</v>
      </c>
      <c r="N261" s="12">
        <f t="shared" si="103"/>
        <v>0</v>
      </c>
      <c r="O261" s="12">
        <f t="shared" si="104"/>
        <v>0</v>
      </c>
      <c r="P261" s="12">
        <f t="shared" si="108"/>
        <v>0</v>
      </c>
      <c r="Q261" s="12">
        <f t="shared" si="105"/>
        <v>0</v>
      </c>
      <c r="R261" s="12">
        <f t="shared" si="106"/>
        <v>0</v>
      </c>
    </row>
    <row r="262" spans="1:19" x14ac:dyDescent="0.25">
      <c r="A262" s="26"/>
      <c r="B262" s="25" t="s">
        <v>173</v>
      </c>
      <c r="C262" s="15">
        <v>8</v>
      </c>
      <c r="D262" s="16">
        <v>100</v>
      </c>
      <c r="E262" s="15">
        <v>2</v>
      </c>
      <c r="F262" s="11">
        <v>1</v>
      </c>
      <c r="G262" s="11">
        <f t="shared" si="140"/>
        <v>27</v>
      </c>
      <c r="H262" s="12"/>
      <c r="I262" s="12">
        <f>0.18+(20*C262/1000)</f>
        <v>0.33999999999999997</v>
      </c>
      <c r="J262" s="22"/>
      <c r="K262" s="22"/>
      <c r="L262" s="12">
        <f t="shared" si="120"/>
        <v>0.33999999999999997</v>
      </c>
      <c r="M262" s="12">
        <f t="shared" si="102"/>
        <v>18.36</v>
      </c>
      <c r="N262" s="12">
        <f t="shared" si="103"/>
        <v>0</v>
      </c>
      <c r="O262" s="12">
        <f t="shared" si="104"/>
        <v>0</v>
      </c>
      <c r="P262" s="12">
        <f t="shared" si="108"/>
        <v>0</v>
      </c>
      <c r="Q262" s="12">
        <f t="shared" si="105"/>
        <v>0</v>
      </c>
      <c r="R262" s="12">
        <f t="shared" si="106"/>
        <v>0</v>
      </c>
    </row>
    <row r="263" spans="1:19" x14ac:dyDescent="0.25">
      <c r="A263" s="26"/>
      <c r="B263" s="25" t="s">
        <v>176</v>
      </c>
      <c r="C263" s="15">
        <v>8</v>
      </c>
      <c r="D263" s="16">
        <v>200</v>
      </c>
      <c r="E263" s="15">
        <v>2</v>
      </c>
      <c r="F263" s="11">
        <v>1</v>
      </c>
      <c r="G263" s="11">
        <f>+ROUND(2600/D263+1,0)</f>
        <v>14</v>
      </c>
      <c r="H263" s="12"/>
      <c r="I263" s="12">
        <f>2*(0.18+0.866)+24*C263/1000</f>
        <v>2.2840000000000003</v>
      </c>
      <c r="J263" s="22"/>
      <c r="K263" s="22"/>
      <c r="L263" s="12">
        <f t="shared" si="120"/>
        <v>2.2840000000000003</v>
      </c>
      <c r="M263" s="12">
        <f t="shared" si="102"/>
        <v>63.95</v>
      </c>
      <c r="N263" s="12">
        <f t="shared" si="103"/>
        <v>0</v>
      </c>
      <c r="O263" s="12">
        <f t="shared" si="104"/>
        <v>0</v>
      </c>
      <c r="P263" s="12">
        <f t="shared" si="108"/>
        <v>0</v>
      </c>
      <c r="Q263" s="12">
        <f t="shared" si="105"/>
        <v>0</v>
      </c>
      <c r="R263" s="12">
        <f t="shared" si="106"/>
        <v>0</v>
      </c>
    </row>
    <row r="264" spans="1:19" x14ac:dyDescent="0.25">
      <c r="A264" s="26"/>
      <c r="B264" s="25" t="s">
        <v>177</v>
      </c>
      <c r="C264" s="15">
        <v>8</v>
      </c>
      <c r="D264" s="16">
        <v>400</v>
      </c>
      <c r="E264" s="15">
        <v>2</v>
      </c>
      <c r="F264" s="11">
        <v>2</v>
      </c>
      <c r="G264" s="11">
        <f>+ROUND(2600/D264+1,0)</f>
        <v>8</v>
      </c>
      <c r="H264" s="12"/>
      <c r="I264" s="12">
        <f>0.18+(20*C264/1000)</f>
        <v>0.33999999999999997</v>
      </c>
      <c r="J264" s="22"/>
      <c r="K264" s="22"/>
      <c r="L264" s="12">
        <f t="shared" si="120"/>
        <v>0.33999999999999997</v>
      </c>
      <c r="M264" s="12">
        <f t="shared" si="102"/>
        <v>10.88</v>
      </c>
      <c r="N264" s="12">
        <f t="shared" si="103"/>
        <v>0</v>
      </c>
      <c r="O264" s="12">
        <f t="shared" si="104"/>
        <v>0</v>
      </c>
      <c r="P264" s="12">
        <f t="shared" si="108"/>
        <v>0</v>
      </c>
      <c r="Q264" s="12">
        <f t="shared" si="105"/>
        <v>0</v>
      </c>
      <c r="R264" s="12">
        <f t="shared" si="106"/>
        <v>0</v>
      </c>
    </row>
    <row r="265" spans="1:19" x14ac:dyDescent="0.25">
      <c r="A265" s="94">
        <f>+E265</f>
        <v>2</v>
      </c>
      <c r="B265" s="45" t="s">
        <v>178</v>
      </c>
      <c r="C265" s="15">
        <v>16</v>
      </c>
      <c r="D265" s="16"/>
      <c r="E265" s="15">
        <v>2</v>
      </c>
      <c r="F265" s="11">
        <v>1</v>
      </c>
      <c r="G265" s="11">
        <v>8</v>
      </c>
      <c r="H265" s="12"/>
      <c r="I265" s="12">
        <v>2.95</v>
      </c>
      <c r="J265" s="22"/>
      <c r="K265" s="22">
        <f t="shared" ref="K265:K267" si="141">1*40*C265/1000</f>
        <v>0.64</v>
      </c>
      <c r="L265" s="12">
        <f t="shared" si="120"/>
        <v>3.5900000000000003</v>
      </c>
      <c r="M265" s="12">
        <f t="shared" si="102"/>
        <v>0</v>
      </c>
      <c r="N265" s="12">
        <f t="shared" si="103"/>
        <v>0</v>
      </c>
      <c r="O265" s="12">
        <f t="shared" si="104"/>
        <v>0</v>
      </c>
      <c r="P265" s="12">
        <f t="shared" si="108"/>
        <v>57.44</v>
      </c>
      <c r="Q265" s="12">
        <f t="shared" si="105"/>
        <v>0</v>
      </c>
      <c r="R265" s="12">
        <f t="shared" si="106"/>
        <v>0</v>
      </c>
      <c r="S265" s="3">
        <f>+G265*E265</f>
        <v>16</v>
      </c>
    </row>
    <row r="266" spans="1:19" x14ac:dyDescent="0.25">
      <c r="A266" s="26"/>
      <c r="B266" s="25"/>
      <c r="C266" s="15">
        <v>12</v>
      </c>
      <c r="D266" s="16"/>
      <c r="E266" s="15">
        <v>2</v>
      </c>
      <c r="F266" s="11">
        <v>1</v>
      </c>
      <c r="G266" s="11">
        <v>16</v>
      </c>
      <c r="H266" s="12"/>
      <c r="I266" s="12">
        <v>2.95</v>
      </c>
      <c r="J266" s="22"/>
      <c r="K266" s="22">
        <f t="shared" si="141"/>
        <v>0.48</v>
      </c>
      <c r="L266" s="12">
        <f t="shared" si="120"/>
        <v>3.43</v>
      </c>
      <c r="M266" s="12">
        <f t="shared" si="102"/>
        <v>0</v>
      </c>
      <c r="N266" s="12">
        <f t="shared" si="103"/>
        <v>0</v>
      </c>
      <c r="O266" s="12">
        <f t="shared" si="104"/>
        <v>109.76</v>
      </c>
      <c r="P266" s="12">
        <f t="shared" si="108"/>
        <v>0</v>
      </c>
      <c r="Q266" s="12">
        <f t="shared" si="105"/>
        <v>0</v>
      </c>
      <c r="R266" s="12">
        <f t="shared" si="106"/>
        <v>0</v>
      </c>
      <c r="S266" s="3">
        <f>+G266*E266</f>
        <v>32</v>
      </c>
    </row>
    <row r="267" spans="1:19" x14ac:dyDescent="0.25">
      <c r="A267" s="26"/>
      <c r="B267" s="25"/>
      <c r="C267" s="15">
        <v>10</v>
      </c>
      <c r="D267" s="16"/>
      <c r="E267" s="15">
        <v>2</v>
      </c>
      <c r="F267" s="11">
        <v>1</v>
      </c>
      <c r="G267" s="11">
        <v>10</v>
      </c>
      <c r="H267" s="12"/>
      <c r="I267" s="12">
        <v>2.95</v>
      </c>
      <c r="J267" s="22"/>
      <c r="K267" s="22">
        <f t="shared" si="141"/>
        <v>0.4</v>
      </c>
      <c r="L267" s="12">
        <f t="shared" si="120"/>
        <v>3.35</v>
      </c>
      <c r="M267" s="12">
        <f t="shared" si="102"/>
        <v>0</v>
      </c>
      <c r="N267" s="12">
        <f t="shared" si="103"/>
        <v>67</v>
      </c>
      <c r="O267" s="12">
        <f t="shared" si="104"/>
        <v>0</v>
      </c>
      <c r="P267" s="12">
        <f t="shared" si="108"/>
        <v>0</v>
      </c>
      <c r="Q267" s="12">
        <f t="shared" si="105"/>
        <v>0</v>
      </c>
      <c r="R267" s="12">
        <f t="shared" si="106"/>
        <v>0</v>
      </c>
    </row>
    <row r="268" spans="1:19" x14ac:dyDescent="0.25">
      <c r="A268" s="26"/>
      <c r="B268" s="25" t="s">
        <v>172</v>
      </c>
      <c r="C268" s="15"/>
      <c r="D268" s="16"/>
      <c r="E268" s="15"/>
      <c r="F268" s="11"/>
      <c r="G268" s="11"/>
      <c r="H268" s="12"/>
      <c r="I268" s="12"/>
      <c r="J268" s="22"/>
      <c r="K268" s="22"/>
      <c r="L268" s="12">
        <f t="shared" si="120"/>
        <v>0</v>
      </c>
      <c r="M268" s="12">
        <f t="shared" si="102"/>
        <v>0</v>
      </c>
      <c r="N268" s="12">
        <f t="shared" si="103"/>
        <v>0</v>
      </c>
      <c r="O268" s="12">
        <f t="shared" si="104"/>
        <v>0</v>
      </c>
      <c r="P268" s="12">
        <f t="shared" si="108"/>
        <v>0</v>
      </c>
      <c r="Q268" s="12">
        <f t="shared" si="105"/>
        <v>0</v>
      </c>
      <c r="R268" s="12">
        <f t="shared" si="106"/>
        <v>0</v>
      </c>
    </row>
    <row r="269" spans="1:19" x14ac:dyDescent="0.25">
      <c r="A269" s="26"/>
      <c r="B269" s="25" t="s">
        <v>188</v>
      </c>
      <c r="C269" s="15">
        <v>8</v>
      </c>
      <c r="D269" s="16">
        <v>100</v>
      </c>
      <c r="E269" s="15">
        <v>2</v>
      </c>
      <c r="F269" s="11">
        <v>1</v>
      </c>
      <c r="G269" s="11">
        <f t="shared" ref="G269:G276" si="142">+ROUND(2600/D269+1,0)</f>
        <v>27</v>
      </c>
      <c r="H269" s="12"/>
      <c r="I269" s="12">
        <f>2*(0.18+0.6)+24*C269/1000</f>
        <v>1.752</v>
      </c>
      <c r="J269" s="22"/>
      <c r="K269" s="22"/>
      <c r="L269" s="12">
        <f t="shared" si="120"/>
        <v>1.752</v>
      </c>
      <c r="M269" s="12">
        <f t="shared" si="102"/>
        <v>94.61</v>
      </c>
      <c r="N269" s="12">
        <f t="shared" si="103"/>
        <v>0</v>
      </c>
      <c r="O269" s="12">
        <f t="shared" si="104"/>
        <v>0</v>
      </c>
      <c r="P269" s="12">
        <f t="shared" si="108"/>
        <v>0</v>
      </c>
      <c r="Q269" s="12">
        <f t="shared" si="105"/>
        <v>0</v>
      </c>
      <c r="R269" s="12">
        <f t="shared" si="106"/>
        <v>0</v>
      </c>
    </row>
    <row r="270" spans="1:19" x14ac:dyDescent="0.25">
      <c r="A270" s="26"/>
      <c r="B270" s="25" t="s">
        <v>174</v>
      </c>
      <c r="C270" s="15">
        <v>8</v>
      </c>
      <c r="D270" s="16">
        <v>100</v>
      </c>
      <c r="E270" s="15">
        <v>2</v>
      </c>
      <c r="F270" s="11">
        <v>1</v>
      </c>
      <c r="G270" s="11">
        <f t="shared" si="142"/>
        <v>27</v>
      </c>
      <c r="H270" s="12"/>
      <c r="I270" s="12">
        <f>2*(0.18+0.248)+24*C270/1000</f>
        <v>1.048</v>
      </c>
      <c r="J270" s="22"/>
      <c r="K270" s="22"/>
      <c r="L270" s="12">
        <f t="shared" si="120"/>
        <v>1.048</v>
      </c>
      <c r="M270" s="12">
        <f t="shared" si="102"/>
        <v>56.59</v>
      </c>
      <c r="N270" s="12">
        <f t="shared" si="103"/>
        <v>0</v>
      </c>
      <c r="O270" s="12">
        <f t="shared" si="104"/>
        <v>0</v>
      </c>
      <c r="P270" s="12">
        <f t="shared" si="108"/>
        <v>0</v>
      </c>
      <c r="Q270" s="12">
        <f t="shared" si="105"/>
        <v>0</v>
      </c>
      <c r="R270" s="12">
        <f t="shared" si="106"/>
        <v>0</v>
      </c>
    </row>
    <row r="271" spans="1:19" x14ac:dyDescent="0.25">
      <c r="A271" s="26"/>
      <c r="B271" s="25" t="s">
        <v>173</v>
      </c>
      <c r="C271" s="15">
        <v>8</v>
      </c>
      <c r="D271" s="16">
        <v>100</v>
      </c>
      <c r="E271" s="15">
        <v>2</v>
      </c>
      <c r="F271" s="11">
        <v>1</v>
      </c>
      <c r="G271" s="11">
        <f t="shared" si="142"/>
        <v>27</v>
      </c>
      <c r="H271" s="12"/>
      <c r="I271" s="12">
        <f>0.18+(20*C271/1000)</f>
        <v>0.33999999999999997</v>
      </c>
      <c r="J271" s="22"/>
      <c r="K271" s="22"/>
      <c r="L271" s="12">
        <f t="shared" si="120"/>
        <v>0.33999999999999997</v>
      </c>
      <c r="M271" s="12">
        <f t="shared" si="102"/>
        <v>18.36</v>
      </c>
      <c r="N271" s="12">
        <f t="shared" si="103"/>
        <v>0</v>
      </c>
      <c r="O271" s="12">
        <f t="shared" si="104"/>
        <v>0</v>
      </c>
      <c r="P271" s="12">
        <f t="shared" si="108"/>
        <v>0</v>
      </c>
      <c r="Q271" s="12">
        <f t="shared" si="105"/>
        <v>0</v>
      </c>
      <c r="R271" s="12">
        <f t="shared" si="106"/>
        <v>0</v>
      </c>
    </row>
    <row r="272" spans="1:19" x14ac:dyDescent="0.25">
      <c r="A272" s="26"/>
      <c r="B272" s="25" t="s">
        <v>189</v>
      </c>
      <c r="C272" s="15">
        <v>8</v>
      </c>
      <c r="D272" s="16">
        <v>100</v>
      </c>
      <c r="E272" s="15">
        <v>2</v>
      </c>
      <c r="F272" s="11">
        <v>2</v>
      </c>
      <c r="G272" s="11">
        <f t="shared" si="142"/>
        <v>27</v>
      </c>
      <c r="H272" s="12"/>
      <c r="I272" s="12">
        <f>2*(0.18+0.385)+24*C272/1000</f>
        <v>1.3219999999999998</v>
      </c>
      <c r="J272" s="22"/>
      <c r="K272" s="22"/>
      <c r="L272" s="12">
        <f t="shared" si="120"/>
        <v>1.3219999999999998</v>
      </c>
      <c r="M272" s="12">
        <f t="shared" si="102"/>
        <v>142.78</v>
      </c>
      <c r="N272" s="12">
        <f t="shared" si="103"/>
        <v>0</v>
      </c>
      <c r="O272" s="12">
        <f t="shared" si="104"/>
        <v>0</v>
      </c>
      <c r="P272" s="12">
        <f t="shared" si="108"/>
        <v>0</v>
      </c>
      <c r="Q272" s="12">
        <f t="shared" si="105"/>
        <v>0</v>
      </c>
      <c r="R272" s="12">
        <f t="shared" si="106"/>
        <v>0</v>
      </c>
    </row>
    <row r="273" spans="1:19" x14ac:dyDescent="0.25">
      <c r="A273" s="26"/>
      <c r="B273" s="25" t="s">
        <v>175</v>
      </c>
      <c r="C273" s="15">
        <v>8</v>
      </c>
      <c r="D273" s="16">
        <v>100</v>
      </c>
      <c r="E273" s="15">
        <v>2</v>
      </c>
      <c r="F273" s="11">
        <v>1</v>
      </c>
      <c r="G273" s="11">
        <f t="shared" si="142"/>
        <v>27</v>
      </c>
      <c r="H273" s="12"/>
      <c r="I273" s="12">
        <f>2*(0.18+0.268)+24*C273/1000</f>
        <v>1.0880000000000001</v>
      </c>
      <c r="J273" s="22"/>
      <c r="K273" s="22"/>
      <c r="L273" s="12">
        <f t="shared" si="120"/>
        <v>1.0880000000000001</v>
      </c>
      <c r="M273" s="12">
        <f t="shared" si="102"/>
        <v>58.75</v>
      </c>
      <c r="N273" s="12">
        <f t="shared" si="103"/>
        <v>0</v>
      </c>
      <c r="O273" s="12">
        <f t="shared" si="104"/>
        <v>0</v>
      </c>
      <c r="P273" s="12">
        <f t="shared" si="108"/>
        <v>0</v>
      </c>
      <c r="Q273" s="12">
        <f t="shared" si="105"/>
        <v>0</v>
      </c>
      <c r="R273" s="12">
        <f t="shared" si="106"/>
        <v>0</v>
      </c>
    </row>
    <row r="274" spans="1:19" x14ac:dyDescent="0.25">
      <c r="A274" s="26"/>
      <c r="B274" s="25" t="s">
        <v>173</v>
      </c>
      <c r="C274" s="15">
        <v>8</v>
      </c>
      <c r="D274" s="16">
        <v>100</v>
      </c>
      <c r="E274" s="15">
        <v>2</v>
      </c>
      <c r="F274" s="11">
        <v>1</v>
      </c>
      <c r="G274" s="11">
        <f t="shared" si="142"/>
        <v>27</v>
      </c>
      <c r="H274" s="12"/>
      <c r="I274" s="12">
        <f>0.18+(20*C274/1000)</f>
        <v>0.33999999999999997</v>
      </c>
      <c r="J274" s="22"/>
      <c r="K274" s="22"/>
      <c r="L274" s="12">
        <f t="shared" si="120"/>
        <v>0.33999999999999997</v>
      </c>
      <c r="M274" s="12">
        <f t="shared" si="102"/>
        <v>18.36</v>
      </c>
      <c r="N274" s="12">
        <f t="shared" si="103"/>
        <v>0</v>
      </c>
      <c r="O274" s="12">
        <f t="shared" si="104"/>
        <v>0</v>
      </c>
      <c r="P274" s="12">
        <f t="shared" si="108"/>
        <v>0</v>
      </c>
      <c r="Q274" s="12">
        <f t="shared" si="105"/>
        <v>0</v>
      </c>
      <c r="R274" s="12">
        <f t="shared" si="106"/>
        <v>0</v>
      </c>
    </row>
    <row r="275" spans="1:19" x14ac:dyDescent="0.25">
      <c r="A275" s="26"/>
      <c r="B275" s="25" t="s">
        <v>179</v>
      </c>
      <c r="C275" s="15">
        <v>8</v>
      </c>
      <c r="D275" s="16">
        <v>200</v>
      </c>
      <c r="E275" s="15">
        <v>2</v>
      </c>
      <c r="F275" s="11">
        <v>1</v>
      </c>
      <c r="G275" s="11">
        <f t="shared" si="142"/>
        <v>14</v>
      </c>
      <c r="H275" s="12"/>
      <c r="I275" s="12">
        <f>2*(0.18+1.066)+24*C275/1000</f>
        <v>2.6840000000000002</v>
      </c>
      <c r="J275" s="22"/>
      <c r="K275" s="22"/>
      <c r="L275" s="12">
        <f t="shared" si="120"/>
        <v>2.6840000000000002</v>
      </c>
      <c r="M275" s="12">
        <f t="shared" si="102"/>
        <v>75.150000000000006</v>
      </c>
      <c r="N275" s="12">
        <f t="shared" si="103"/>
        <v>0</v>
      </c>
      <c r="O275" s="12">
        <f t="shared" si="104"/>
        <v>0</v>
      </c>
      <c r="P275" s="12">
        <f t="shared" si="108"/>
        <v>0</v>
      </c>
      <c r="Q275" s="12">
        <f t="shared" si="105"/>
        <v>0</v>
      </c>
      <c r="R275" s="12">
        <f t="shared" si="106"/>
        <v>0</v>
      </c>
    </row>
    <row r="276" spans="1:19" x14ac:dyDescent="0.25">
      <c r="A276" s="26"/>
      <c r="B276" s="25" t="s">
        <v>177</v>
      </c>
      <c r="C276" s="15">
        <v>8</v>
      </c>
      <c r="D276" s="16">
        <v>400</v>
      </c>
      <c r="E276" s="15">
        <v>2</v>
      </c>
      <c r="F276" s="11">
        <v>2</v>
      </c>
      <c r="G276" s="11">
        <f t="shared" si="142"/>
        <v>8</v>
      </c>
      <c r="H276" s="12"/>
      <c r="I276" s="12">
        <f>0.18+(20*C276/1000)</f>
        <v>0.33999999999999997</v>
      </c>
      <c r="J276" s="22"/>
      <c r="K276" s="22"/>
      <c r="L276" s="12">
        <f t="shared" ref="L276:L281" si="143">SUM(H276:J276)+K276</f>
        <v>0.33999999999999997</v>
      </c>
      <c r="M276" s="12">
        <f t="shared" si="102"/>
        <v>10.88</v>
      </c>
      <c r="N276" s="12">
        <f t="shared" si="103"/>
        <v>0</v>
      </c>
      <c r="O276" s="12">
        <f t="shared" si="104"/>
        <v>0</v>
      </c>
      <c r="P276" s="12">
        <f t="shared" si="108"/>
        <v>0</v>
      </c>
      <c r="Q276" s="12">
        <f t="shared" si="105"/>
        <v>0</v>
      </c>
      <c r="R276" s="12">
        <f t="shared" si="106"/>
        <v>0</v>
      </c>
    </row>
    <row r="277" spans="1:19" x14ac:dyDescent="0.25">
      <c r="A277" s="94">
        <f>+E277</f>
        <v>2</v>
      </c>
      <c r="B277" s="45" t="s">
        <v>180</v>
      </c>
      <c r="C277" s="15">
        <v>16</v>
      </c>
      <c r="D277" s="16"/>
      <c r="E277" s="15">
        <v>2</v>
      </c>
      <c r="F277" s="11">
        <v>1</v>
      </c>
      <c r="G277" s="11">
        <v>4</v>
      </c>
      <c r="H277" s="12"/>
      <c r="I277" s="12">
        <v>2.95</v>
      </c>
      <c r="J277" s="22"/>
      <c r="K277" s="22">
        <f t="shared" ref="K277:K278" si="144">1*40*C277/1000</f>
        <v>0.64</v>
      </c>
      <c r="L277" s="12">
        <f t="shared" si="143"/>
        <v>3.5900000000000003</v>
      </c>
      <c r="M277" s="12">
        <f t="shared" si="102"/>
        <v>0</v>
      </c>
      <c r="N277" s="12">
        <f t="shared" si="103"/>
        <v>0</v>
      </c>
      <c r="O277" s="12">
        <f t="shared" si="104"/>
        <v>0</v>
      </c>
      <c r="P277" s="12">
        <f t="shared" si="108"/>
        <v>28.72</v>
      </c>
      <c r="Q277" s="12">
        <f t="shared" si="105"/>
        <v>0</v>
      </c>
      <c r="R277" s="12">
        <f t="shared" si="106"/>
        <v>0</v>
      </c>
      <c r="S277" s="3">
        <f>+G277*E277</f>
        <v>8</v>
      </c>
    </row>
    <row r="278" spans="1:19" x14ac:dyDescent="0.25">
      <c r="A278" s="26"/>
      <c r="B278" s="25"/>
      <c r="C278" s="15">
        <v>12</v>
      </c>
      <c r="D278" s="16"/>
      <c r="E278" s="15">
        <v>2</v>
      </c>
      <c r="F278" s="11">
        <v>1</v>
      </c>
      <c r="G278" s="11">
        <v>16</v>
      </c>
      <c r="H278" s="12"/>
      <c r="I278" s="12">
        <v>2.95</v>
      </c>
      <c r="J278" s="22"/>
      <c r="K278" s="22">
        <f t="shared" si="144"/>
        <v>0.48</v>
      </c>
      <c r="L278" s="12">
        <f t="shared" si="143"/>
        <v>3.43</v>
      </c>
      <c r="M278" s="12">
        <f t="shared" si="102"/>
        <v>0</v>
      </c>
      <c r="N278" s="12">
        <f t="shared" si="103"/>
        <v>0</v>
      </c>
      <c r="O278" s="12">
        <f t="shared" si="104"/>
        <v>109.76</v>
      </c>
      <c r="P278" s="12">
        <f t="shared" si="108"/>
        <v>0</v>
      </c>
      <c r="Q278" s="12">
        <f t="shared" si="105"/>
        <v>0</v>
      </c>
      <c r="R278" s="12">
        <f t="shared" si="106"/>
        <v>0</v>
      </c>
      <c r="S278" s="3">
        <f>+G278*E278</f>
        <v>32</v>
      </c>
    </row>
    <row r="279" spans="1:19" x14ac:dyDescent="0.25">
      <c r="A279" s="26"/>
      <c r="B279" s="25" t="s">
        <v>172</v>
      </c>
      <c r="C279" s="15"/>
      <c r="D279" s="16"/>
      <c r="E279" s="15"/>
      <c r="F279" s="11"/>
      <c r="G279" s="11"/>
      <c r="H279" s="12"/>
      <c r="I279" s="12"/>
      <c r="J279" s="22"/>
      <c r="K279" s="22"/>
      <c r="L279" s="12">
        <f t="shared" si="143"/>
        <v>0</v>
      </c>
      <c r="M279" s="12">
        <f t="shared" si="102"/>
        <v>0</v>
      </c>
      <c r="N279" s="12">
        <f t="shared" si="103"/>
        <v>0</v>
      </c>
      <c r="O279" s="12">
        <f t="shared" si="104"/>
        <v>0</v>
      </c>
      <c r="P279" s="12">
        <f t="shared" si="108"/>
        <v>0</v>
      </c>
      <c r="Q279" s="12">
        <f t="shared" si="105"/>
        <v>0</v>
      </c>
      <c r="R279" s="12">
        <f t="shared" si="106"/>
        <v>0</v>
      </c>
    </row>
    <row r="280" spans="1:19" x14ac:dyDescent="0.25">
      <c r="A280" s="26"/>
      <c r="B280" s="25" t="s">
        <v>187</v>
      </c>
      <c r="C280" s="15">
        <v>8</v>
      </c>
      <c r="D280" s="16">
        <v>100</v>
      </c>
      <c r="E280" s="15">
        <v>2</v>
      </c>
      <c r="F280" s="11">
        <v>1</v>
      </c>
      <c r="G280" s="11">
        <f t="shared" ref="G280:G281" si="145">+ROUND(2600/D280+1,0)</f>
        <v>27</v>
      </c>
      <c r="H280" s="12"/>
      <c r="I280" s="12">
        <f>2*(0.18+0.95)+24*C280/1000</f>
        <v>2.452</v>
      </c>
      <c r="J280" s="22"/>
      <c r="K280" s="22"/>
      <c r="L280" s="12">
        <f t="shared" si="143"/>
        <v>2.452</v>
      </c>
      <c r="M280" s="12">
        <f t="shared" si="102"/>
        <v>132.41</v>
      </c>
      <c r="N280" s="12">
        <f t="shared" si="103"/>
        <v>0</v>
      </c>
      <c r="O280" s="12">
        <f t="shared" si="104"/>
        <v>0</v>
      </c>
      <c r="P280" s="12">
        <f t="shared" si="108"/>
        <v>0</v>
      </c>
      <c r="Q280" s="12">
        <f t="shared" si="105"/>
        <v>0</v>
      </c>
      <c r="R280" s="12">
        <f t="shared" si="106"/>
        <v>0</v>
      </c>
    </row>
    <row r="281" spans="1:19" x14ac:dyDescent="0.25">
      <c r="A281" s="26"/>
      <c r="B281" s="25" t="s">
        <v>181</v>
      </c>
      <c r="C281" s="15">
        <v>8</v>
      </c>
      <c r="D281" s="16">
        <v>100</v>
      </c>
      <c r="E281" s="15">
        <v>2</v>
      </c>
      <c r="F281" s="11">
        <v>4</v>
      </c>
      <c r="G281" s="11">
        <f t="shared" si="145"/>
        <v>27</v>
      </c>
      <c r="H281" s="12"/>
      <c r="I281" s="12">
        <f>2*(0.18+0.12)+24*C281/1000</f>
        <v>0.79200000000000004</v>
      </c>
      <c r="J281" s="22"/>
      <c r="K281" s="22"/>
      <c r="L281" s="12">
        <f t="shared" si="143"/>
        <v>0.79200000000000004</v>
      </c>
      <c r="M281" s="12">
        <f t="shared" si="102"/>
        <v>171.07</v>
      </c>
      <c r="N281" s="12">
        <f t="shared" si="103"/>
        <v>0</v>
      </c>
      <c r="O281" s="12">
        <f t="shared" si="104"/>
        <v>0</v>
      </c>
      <c r="P281" s="12">
        <f t="shared" si="108"/>
        <v>0</v>
      </c>
      <c r="Q281" s="12">
        <f t="shared" si="105"/>
        <v>0</v>
      </c>
      <c r="R281" s="12">
        <f t="shared" si="106"/>
        <v>0</v>
      </c>
    </row>
    <row r="282" spans="1:19" x14ac:dyDescent="0.25">
      <c r="A282" s="94">
        <f>+E282</f>
        <v>2</v>
      </c>
      <c r="B282" s="45" t="s">
        <v>182</v>
      </c>
      <c r="C282" s="15">
        <v>16</v>
      </c>
      <c r="D282" s="16"/>
      <c r="E282" s="15">
        <v>2</v>
      </c>
      <c r="F282" s="11">
        <v>1</v>
      </c>
      <c r="G282" s="11">
        <v>4</v>
      </c>
      <c r="H282" s="12"/>
      <c r="I282" s="12">
        <v>2.95</v>
      </c>
      <c r="J282" s="22"/>
      <c r="K282" s="22">
        <f t="shared" ref="K282:K283" si="146">1*40*C282/1000</f>
        <v>0.64</v>
      </c>
      <c r="L282" s="12">
        <f t="shared" ref="L282" si="147">SUM(H282:J282)+K282</f>
        <v>3.5900000000000003</v>
      </c>
      <c r="M282" s="12">
        <f t="shared" si="102"/>
        <v>0</v>
      </c>
      <c r="N282" s="12">
        <f t="shared" si="103"/>
        <v>0</v>
      </c>
      <c r="O282" s="12">
        <f t="shared" si="104"/>
        <v>0</v>
      </c>
      <c r="P282" s="12">
        <f t="shared" si="108"/>
        <v>28.72</v>
      </c>
      <c r="Q282" s="12">
        <f t="shared" si="105"/>
        <v>0</v>
      </c>
      <c r="R282" s="12">
        <f t="shared" si="106"/>
        <v>0</v>
      </c>
      <c r="S282" s="3">
        <f>+G282*E282</f>
        <v>8</v>
      </c>
    </row>
    <row r="283" spans="1:19" x14ac:dyDescent="0.25">
      <c r="A283" s="26"/>
      <c r="B283" s="25"/>
      <c r="C283" s="15">
        <v>12</v>
      </c>
      <c r="D283" s="16"/>
      <c r="E283" s="15">
        <v>2</v>
      </c>
      <c r="F283" s="11">
        <v>1</v>
      </c>
      <c r="G283" s="11">
        <v>18</v>
      </c>
      <c r="H283" s="12"/>
      <c r="I283" s="12">
        <v>2.95</v>
      </c>
      <c r="J283" s="22"/>
      <c r="K283" s="22">
        <f t="shared" si="146"/>
        <v>0.48</v>
      </c>
      <c r="L283" s="12">
        <f>SUM(H283:J283)+K283</f>
        <v>3.43</v>
      </c>
      <c r="M283" s="12">
        <f>+ROUND(IF(C283=8,PRODUCT(E283,F283,G283,L283),0),2)</f>
        <v>0</v>
      </c>
      <c r="N283" s="12">
        <f t="shared" si="103"/>
        <v>0</v>
      </c>
      <c r="O283" s="12">
        <f t="shared" si="104"/>
        <v>123.48</v>
      </c>
      <c r="P283" s="12">
        <f t="shared" si="108"/>
        <v>0</v>
      </c>
      <c r="Q283" s="12">
        <f t="shared" si="105"/>
        <v>0</v>
      </c>
      <c r="R283" s="12">
        <f t="shared" si="106"/>
        <v>0</v>
      </c>
      <c r="S283" s="3">
        <f>+G283*E283</f>
        <v>36</v>
      </c>
    </row>
    <row r="284" spans="1:19" x14ac:dyDescent="0.25">
      <c r="A284" s="26"/>
      <c r="B284" s="25" t="s">
        <v>172</v>
      </c>
      <c r="C284" s="15"/>
      <c r="D284" s="16"/>
      <c r="E284" s="15"/>
      <c r="F284" s="11"/>
      <c r="G284" s="11"/>
      <c r="H284" s="12"/>
      <c r="I284" s="12"/>
      <c r="J284" s="22"/>
      <c r="K284" s="22"/>
      <c r="L284" s="12">
        <f t="shared" ref="L284:L286" si="148">SUM(H284:J284)+K284</f>
        <v>0</v>
      </c>
      <c r="M284" s="12">
        <f t="shared" ref="M284:M288" si="149">+ROUND(IF(C284=8,PRODUCT(E284,F284,G284,L284),0),2)</f>
        <v>0</v>
      </c>
      <c r="N284" s="12">
        <f t="shared" si="103"/>
        <v>0</v>
      </c>
      <c r="O284" s="12">
        <f t="shared" si="104"/>
        <v>0</v>
      </c>
      <c r="P284" s="12">
        <f t="shared" si="108"/>
        <v>0</v>
      </c>
      <c r="Q284" s="12">
        <f t="shared" si="105"/>
        <v>0</v>
      </c>
      <c r="R284" s="12">
        <f t="shared" si="106"/>
        <v>0</v>
      </c>
    </row>
    <row r="285" spans="1:19" x14ac:dyDescent="0.25">
      <c r="A285" s="26"/>
      <c r="B285" s="25" t="s">
        <v>186</v>
      </c>
      <c r="C285" s="15">
        <v>8</v>
      </c>
      <c r="D285" s="16">
        <v>100</v>
      </c>
      <c r="E285" s="15">
        <v>2</v>
      </c>
      <c r="F285" s="11">
        <v>1</v>
      </c>
      <c r="G285" s="11">
        <f t="shared" ref="G285:G287" si="150">+ROUND(2600/D285+1,0)</f>
        <v>27</v>
      </c>
      <c r="H285" s="12"/>
      <c r="I285" s="12">
        <f>2*(0.18+1.1)+24*C285/1000</f>
        <v>2.7520000000000002</v>
      </c>
      <c r="J285" s="22"/>
      <c r="K285" s="22"/>
      <c r="L285" s="12">
        <f t="shared" si="148"/>
        <v>2.7520000000000002</v>
      </c>
      <c r="M285" s="12">
        <f t="shared" si="149"/>
        <v>148.61000000000001</v>
      </c>
      <c r="N285" s="12">
        <f t="shared" si="103"/>
        <v>0</v>
      </c>
      <c r="O285" s="12">
        <f t="shared" si="104"/>
        <v>0</v>
      </c>
      <c r="P285" s="12">
        <f t="shared" si="108"/>
        <v>0</v>
      </c>
      <c r="Q285" s="12">
        <f t="shared" si="105"/>
        <v>0</v>
      </c>
      <c r="R285" s="12">
        <f t="shared" si="106"/>
        <v>0</v>
      </c>
    </row>
    <row r="286" spans="1:19" x14ac:dyDescent="0.25">
      <c r="A286" s="26"/>
      <c r="B286" s="25" t="s">
        <v>183</v>
      </c>
      <c r="C286" s="15">
        <v>8</v>
      </c>
      <c r="D286" s="16">
        <v>100</v>
      </c>
      <c r="E286" s="15">
        <v>2</v>
      </c>
      <c r="F286" s="11">
        <v>4</v>
      </c>
      <c r="G286" s="11">
        <f t="shared" si="150"/>
        <v>27</v>
      </c>
      <c r="H286" s="12"/>
      <c r="I286" s="12">
        <f>2*(0.18+0.125)+24*C286/1000</f>
        <v>0.80200000000000005</v>
      </c>
      <c r="J286" s="22"/>
      <c r="K286" s="22"/>
      <c r="L286" s="12">
        <f t="shared" si="148"/>
        <v>0.80200000000000005</v>
      </c>
      <c r="M286" s="12">
        <f t="shared" si="149"/>
        <v>173.23</v>
      </c>
      <c r="N286" s="12">
        <f t="shared" si="103"/>
        <v>0</v>
      </c>
      <c r="O286" s="12">
        <f t="shared" si="104"/>
        <v>0</v>
      </c>
      <c r="P286" s="12">
        <f t="shared" si="108"/>
        <v>0</v>
      </c>
      <c r="Q286" s="12">
        <f t="shared" si="105"/>
        <v>0</v>
      </c>
      <c r="R286" s="12">
        <f t="shared" si="106"/>
        <v>0</v>
      </c>
    </row>
    <row r="287" spans="1:19" x14ac:dyDescent="0.25">
      <c r="A287" s="26"/>
      <c r="B287" s="25" t="s">
        <v>184</v>
      </c>
      <c r="C287" s="15">
        <v>8</v>
      </c>
      <c r="D287" s="16">
        <v>100</v>
      </c>
      <c r="E287" s="15">
        <v>2</v>
      </c>
      <c r="F287" s="11">
        <v>1</v>
      </c>
      <c r="G287" s="11">
        <f t="shared" si="150"/>
        <v>27</v>
      </c>
      <c r="H287" s="12"/>
      <c r="I287" s="12">
        <f>0.18+(20*C287/1000)</f>
        <v>0.33999999999999997</v>
      </c>
      <c r="J287" s="22"/>
      <c r="K287" s="22"/>
      <c r="L287" s="12">
        <f t="shared" ref="L287:L288" si="151">SUM(H287:J287)+K287</f>
        <v>0.33999999999999997</v>
      </c>
      <c r="M287" s="12">
        <f t="shared" si="149"/>
        <v>18.36</v>
      </c>
      <c r="N287" s="12">
        <f t="shared" si="103"/>
        <v>0</v>
      </c>
      <c r="O287" s="12">
        <f t="shared" si="104"/>
        <v>0</v>
      </c>
      <c r="P287" s="12">
        <f t="shared" si="108"/>
        <v>0</v>
      </c>
      <c r="Q287" s="12">
        <f t="shared" si="105"/>
        <v>0</v>
      </c>
      <c r="R287" s="12">
        <f t="shared" si="106"/>
        <v>0</v>
      </c>
    </row>
    <row r="288" spans="1:19" x14ac:dyDescent="0.25">
      <c r="A288" s="94">
        <f>+E288</f>
        <v>4</v>
      </c>
      <c r="B288" s="45" t="s">
        <v>214</v>
      </c>
      <c r="C288" s="15">
        <v>16</v>
      </c>
      <c r="D288" s="16"/>
      <c r="E288" s="15">
        <v>4</v>
      </c>
      <c r="F288" s="11">
        <v>1</v>
      </c>
      <c r="G288" s="11">
        <v>24</v>
      </c>
      <c r="H288" s="12"/>
      <c r="I288" s="12">
        <v>2.95</v>
      </c>
      <c r="J288" s="22"/>
      <c r="K288" s="22">
        <f t="shared" ref="K288:K289" si="152">1*40*C288/1000</f>
        <v>0.64</v>
      </c>
      <c r="L288" s="12">
        <f t="shared" si="151"/>
        <v>3.5900000000000003</v>
      </c>
      <c r="M288" s="12">
        <f t="shared" si="149"/>
        <v>0</v>
      </c>
      <c r="N288" s="12">
        <f t="shared" si="103"/>
        <v>0</v>
      </c>
      <c r="O288" s="12">
        <f t="shared" si="104"/>
        <v>0</v>
      </c>
      <c r="P288" s="12">
        <f t="shared" si="108"/>
        <v>344.64</v>
      </c>
      <c r="Q288" s="12">
        <f t="shared" si="105"/>
        <v>0</v>
      </c>
      <c r="R288" s="12">
        <f t="shared" si="106"/>
        <v>0</v>
      </c>
      <c r="S288" s="3">
        <f>+G288*E288</f>
        <v>96</v>
      </c>
    </row>
    <row r="289" spans="1:19" x14ac:dyDescent="0.25">
      <c r="A289" s="26"/>
      <c r="B289" s="25"/>
      <c r="C289" s="15">
        <v>12</v>
      </c>
      <c r="D289" s="16"/>
      <c r="E289" s="15">
        <f>+E288</f>
        <v>4</v>
      </c>
      <c r="F289" s="11">
        <v>1</v>
      </c>
      <c r="G289" s="11">
        <v>4</v>
      </c>
      <c r="H289" s="12"/>
      <c r="I289" s="12">
        <v>2.95</v>
      </c>
      <c r="J289" s="22"/>
      <c r="K289" s="22">
        <f t="shared" si="152"/>
        <v>0.48</v>
      </c>
      <c r="L289" s="12">
        <f>SUM(H289:J289)+K289</f>
        <v>3.43</v>
      </c>
      <c r="M289" s="12">
        <f>+ROUND(IF(C289=8,PRODUCT(E289,F289,G289,L289),0),2)</f>
        <v>0</v>
      </c>
      <c r="N289" s="12">
        <f t="shared" si="103"/>
        <v>0</v>
      </c>
      <c r="O289" s="12">
        <f t="shared" si="104"/>
        <v>54.88</v>
      </c>
      <c r="P289" s="12">
        <f t="shared" si="108"/>
        <v>0</v>
      </c>
      <c r="Q289" s="12">
        <f t="shared" si="105"/>
        <v>0</v>
      </c>
      <c r="R289" s="12">
        <f t="shared" si="106"/>
        <v>0</v>
      </c>
      <c r="S289" s="3">
        <f>+G289*E289</f>
        <v>16</v>
      </c>
    </row>
    <row r="290" spans="1:19" x14ac:dyDescent="0.25">
      <c r="A290" s="26"/>
      <c r="B290" s="25" t="s">
        <v>172</v>
      </c>
      <c r="C290" s="15"/>
      <c r="D290" s="16"/>
      <c r="E290" s="15"/>
      <c r="F290" s="11"/>
      <c r="G290" s="11"/>
      <c r="H290" s="12"/>
      <c r="I290" s="12"/>
      <c r="J290" s="22"/>
      <c r="K290" s="22"/>
      <c r="L290" s="12">
        <f t="shared" ref="L290:L292" si="153">SUM(H290:J290)+K290</f>
        <v>0</v>
      </c>
      <c r="M290" s="12">
        <f t="shared" ref="M290:M295" si="154">+ROUND(IF(C290=8,PRODUCT(E290,F290,G290,L290),0),2)</f>
        <v>0</v>
      </c>
      <c r="N290" s="12">
        <f t="shared" si="103"/>
        <v>0</v>
      </c>
      <c r="O290" s="12">
        <f t="shared" si="104"/>
        <v>0</v>
      </c>
      <c r="P290" s="12">
        <f t="shared" si="108"/>
        <v>0</v>
      </c>
      <c r="Q290" s="12">
        <f t="shared" si="105"/>
        <v>0</v>
      </c>
      <c r="R290" s="12">
        <f t="shared" si="106"/>
        <v>0</v>
      </c>
    </row>
    <row r="291" spans="1:19" x14ac:dyDescent="0.25">
      <c r="A291" s="26"/>
      <c r="B291" s="25" t="s">
        <v>210</v>
      </c>
      <c r="C291" s="15">
        <v>8</v>
      </c>
      <c r="D291" s="16">
        <v>100</v>
      </c>
      <c r="E291" s="15">
        <v>4</v>
      </c>
      <c r="F291" s="11">
        <v>2</v>
      </c>
      <c r="G291" s="11">
        <f t="shared" ref="G291:G294" si="155">+ROUND(2600/D291+1,0)</f>
        <v>27</v>
      </c>
      <c r="H291" s="12"/>
      <c r="I291" s="12">
        <f>2*(0.18+0.583)+24*C291/1000</f>
        <v>1.7179999999999997</v>
      </c>
      <c r="J291" s="22"/>
      <c r="K291" s="22"/>
      <c r="L291" s="12">
        <f t="shared" si="153"/>
        <v>1.7179999999999997</v>
      </c>
      <c r="M291" s="12">
        <f t="shared" si="154"/>
        <v>371.09</v>
      </c>
      <c r="N291" s="12">
        <f t="shared" si="103"/>
        <v>0</v>
      </c>
      <c r="O291" s="12">
        <f t="shared" si="104"/>
        <v>0</v>
      </c>
      <c r="P291" s="12">
        <f t="shared" si="108"/>
        <v>0</v>
      </c>
      <c r="Q291" s="12">
        <f t="shared" si="105"/>
        <v>0</v>
      </c>
      <c r="R291" s="12">
        <f t="shared" si="106"/>
        <v>0</v>
      </c>
    </row>
    <row r="292" spans="1:19" x14ac:dyDescent="0.25">
      <c r="A292" s="26"/>
      <c r="B292" s="25" t="s">
        <v>181</v>
      </c>
      <c r="C292" s="15">
        <v>8</v>
      </c>
      <c r="D292" s="16">
        <v>100</v>
      </c>
      <c r="E292" s="15">
        <v>4</v>
      </c>
      <c r="F292" s="11">
        <v>4</v>
      </c>
      <c r="G292" s="11">
        <f t="shared" si="155"/>
        <v>27</v>
      </c>
      <c r="H292" s="12"/>
      <c r="I292" s="12">
        <f>2*(0.18+0.12)+24*C292/1000</f>
        <v>0.79200000000000004</v>
      </c>
      <c r="J292" s="22"/>
      <c r="K292" s="22"/>
      <c r="L292" s="12">
        <f t="shared" si="153"/>
        <v>0.79200000000000004</v>
      </c>
      <c r="M292" s="12">
        <f t="shared" si="154"/>
        <v>342.14</v>
      </c>
      <c r="N292" s="12">
        <f t="shared" si="103"/>
        <v>0</v>
      </c>
      <c r="O292" s="12">
        <f t="shared" si="104"/>
        <v>0</v>
      </c>
      <c r="P292" s="12">
        <f t="shared" si="108"/>
        <v>0</v>
      </c>
      <c r="Q292" s="12">
        <f t="shared" si="105"/>
        <v>0</v>
      </c>
      <c r="R292" s="12">
        <f t="shared" si="106"/>
        <v>0</v>
      </c>
    </row>
    <row r="293" spans="1:19" x14ac:dyDescent="0.25">
      <c r="A293" s="26"/>
      <c r="B293" s="25" t="s">
        <v>213</v>
      </c>
      <c r="C293" s="15">
        <v>8</v>
      </c>
      <c r="D293" s="16">
        <v>200</v>
      </c>
      <c r="E293" s="15">
        <v>4</v>
      </c>
      <c r="F293" s="11">
        <v>1</v>
      </c>
      <c r="G293" s="11">
        <f t="shared" si="155"/>
        <v>14</v>
      </c>
      <c r="H293" s="12"/>
      <c r="I293" s="12">
        <f>2*(0.18+0.516)+24*C293/1000</f>
        <v>1.5839999999999999</v>
      </c>
      <c r="J293" s="22"/>
      <c r="K293" s="22"/>
      <c r="L293" s="12">
        <f t="shared" ref="L293" si="156">SUM(H293:J293)+K293</f>
        <v>1.5839999999999999</v>
      </c>
      <c r="M293" s="12">
        <f t="shared" si="154"/>
        <v>88.7</v>
      </c>
      <c r="N293" s="12">
        <f t="shared" si="103"/>
        <v>0</v>
      </c>
      <c r="O293" s="12">
        <f t="shared" si="104"/>
        <v>0</v>
      </c>
      <c r="P293" s="12">
        <f t="shared" si="108"/>
        <v>0</v>
      </c>
      <c r="Q293" s="12">
        <f t="shared" si="105"/>
        <v>0</v>
      </c>
      <c r="R293" s="12">
        <f t="shared" si="106"/>
        <v>0</v>
      </c>
    </row>
    <row r="294" spans="1:19" x14ac:dyDescent="0.25">
      <c r="A294" s="26"/>
      <c r="B294" s="25" t="s">
        <v>177</v>
      </c>
      <c r="C294" s="15">
        <v>8</v>
      </c>
      <c r="D294" s="16">
        <v>400</v>
      </c>
      <c r="E294" s="15">
        <v>4</v>
      </c>
      <c r="F294" s="11">
        <v>2</v>
      </c>
      <c r="G294" s="11">
        <f t="shared" si="155"/>
        <v>8</v>
      </c>
      <c r="H294" s="12"/>
      <c r="I294" s="12">
        <f>0.18+(20*C294/1000)</f>
        <v>0.33999999999999997</v>
      </c>
      <c r="J294" s="22"/>
      <c r="K294" s="22"/>
      <c r="L294" s="12">
        <f t="shared" ref="L294" si="157">SUM(H294:J294)+K294</f>
        <v>0.33999999999999997</v>
      </c>
      <c r="M294" s="12">
        <f t="shared" si="154"/>
        <v>21.76</v>
      </c>
      <c r="N294" s="12">
        <f t="shared" si="103"/>
        <v>0</v>
      </c>
      <c r="O294" s="12">
        <f t="shared" si="104"/>
        <v>0</v>
      </c>
      <c r="P294" s="12">
        <f t="shared" si="108"/>
        <v>0</v>
      </c>
      <c r="Q294" s="12">
        <f t="shared" si="105"/>
        <v>0</v>
      </c>
      <c r="R294" s="12">
        <f t="shared" si="106"/>
        <v>0</v>
      </c>
    </row>
    <row r="295" spans="1:19" x14ac:dyDescent="0.25">
      <c r="A295" s="94">
        <f>+E295</f>
        <v>4</v>
      </c>
      <c r="B295" s="45" t="s">
        <v>190</v>
      </c>
      <c r="C295" s="15">
        <v>16</v>
      </c>
      <c r="D295" s="16"/>
      <c r="E295" s="15">
        <v>4</v>
      </c>
      <c r="F295" s="11">
        <v>1</v>
      </c>
      <c r="G295" s="11">
        <v>8</v>
      </c>
      <c r="H295" s="12"/>
      <c r="I295" s="12">
        <v>2.95</v>
      </c>
      <c r="J295" s="22"/>
      <c r="K295" s="22">
        <f t="shared" ref="K295:K296" si="158">1*40*C295/1000</f>
        <v>0.64</v>
      </c>
      <c r="L295" s="12">
        <f t="shared" ref="L295" si="159">SUM(H295:J295)+K295</f>
        <v>3.5900000000000003</v>
      </c>
      <c r="M295" s="12">
        <f t="shared" si="154"/>
        <v>0</v>
      </c>
      <c r="N295" s="12">
        <f t="shared" si="103"/>
        <v>0</v>
      </c>
      <c r="O295" s="12">
        <f t="shared" si="104"/>
        <v>0</v>
      </c>
      <c r="P295" s="12">
        <f t="shared" si="108"/>
        <v>114.88</v>
      </c>
      <c r="Q295" s="12">
        <f t="shared" si="105"/>
        <v>0</v>
      </c>
      <c r="R295" s="12">
        <f t="shared" si="106"/>
        <v>0</v>
      </c>
      <c r="S295" s="3">
        <f>+G295*E295</f>
        <v>32</v>
      </c>
    </row>
    <row r="296" spans="1:19" x14ac:dyDescent="0.25">
      <c r="A296" s="26"/>
      <c r="B296" s="25"/>
      <c r="C296" s="15">
        <v>12</v>
      </c>
      <c r="D296" s="16"/>
      <c r="E296" s="15">
        <f>+E295</f>
        <v>4</v>
      </c>
      <c r="F296" s="11">
        <v>1</v>
      </c>
      <c r="G296" s="11">
        <v>16</v>
      </c>
      <c r="H296" s="12"/>
      <c r="I296" s="12">
        <v>2.95</v>
      </c>
      <c r="J296" s="22"/>
      <c r="K296" s="22">
        <f t="shared" si="158"/>
        <v>0.48</v>
      </c>
      <c r="L296" s="12">
        <f>SUM(H296:J296)+K296</f>
        <v>3.43</v>
      </c>
      <c r="M296" s="12">
        <f>+ROUND(IF(C296=8,PRODUCT(E296,F296,G296,L296),0),2)</f>
        <v>0</v>
      </c>
      <c r="N296" s="12">
        <f t="shared" si="103"/>
        <v>0</v>
      </c>
      <c r="O296" s="12">
        <f t="shared" si="104"/>
        <v>219.52</v>
      </c>
      <c r="P296" s="12">
        <f t="shared" si="108"/>
        <v>0</v>
      </c>
      <c r="Q296" s="12">
        <f t="shared" si="105"/>
        <v>0</v>
      </c>
      <c r="R296" s="12">
        <f t="shared" si="106"/>
        <v>0</v>
      </c>
      <c r="S296" s="3">
        <f>+G296*E296</f>
        <v>64</v>
      </c>
    </row>
    <row r="297" spans="1:19" x14ac:dyDescent="0.25">
      <c r="A297" s="26"/>
      <c r="B297" s="25" t="s">
        <v>172</v>
      </c>
      <c r="C297" s="15"/>
      <c r="D297" s="16"/>
      <c r="E297" s="15"/>
      <c r="F297" s="11"/>
      <c r="G297" s="11"/>
      <c r="H297" s="12"/>
      <c r="I297" s="12"/>
      <c r="J297" s="22"/>
      <c r="K297" s="22"/>
      <c r="L297" s="12">
        <f t="shared" ref="L297:L300" si="160">SUM(H297:J297)+K297</f>
        <v>0</v>
      </c>
      <c r="M297" s="12">
        <f t="shared" ref="M297:M362" si="161">+ROUND(IF(C297=8,PRODUCT(E297,F297,G297,L297),0),2)</f>
        <v>0</v>
      </c>
      <c r="N297" s="12">
        <f t="shared" si="103"/>
        <v>0</v>
      </c>
      <c r="O297" s="12">
        <f t="shared" si="104"/>
        <v>0</v>
      </c>
      <c r="P297" s="12">
        <f t="shared" si="108"/>
        <v>0</v>
      </c>
      <c r="Q297" s="12">
        <f t="shared" si="105"/>
        <v>0</v>
      </c>
      <c r="R297" s="12">
        <f t="shared" si="106"/>
        <v>0</v>
      </c>
    </row>
    <row r="298" spans="1:19" x14ac:dyDescent="0.25">
      <c r="A298" s="26"/>
      <c r="B298" s="25" t="s">
        <v>191</v>
      </c>
      <c r="C298" s="15">
        <v>8</v>
      </c>
      <c r="D298" s="16">
        <v>100</v>
      </c>
      <c r="E298" s="15">
        <v>4</v>
      </c>
      <c r="F298" s="11">
        <v>1</v>
      </c>
      <c r="G298" s="11">
        <f t="shared" ref="G298:G299" si="162">+ROUND(2600/D298+1,0)</f>
        <v>27</v>
      </c>
      <c r="H298" s="12"/>
      <c r="I298" s="12">
        <f>2*(0.18+1.135)+24*C298/1000</f>
        <v>2.8220000000000001</v>
      </c>
      <c r="J298" s="22"/>
      <c r="K298" s="22"/>
      <c r="L298" s="12">
        <f t="shared" si="160"/>
        <v>2.8220000000000001</v>
      </c>
      <c r="M298" s="12">
        <f t="shared" si="161"/>
        <v>304.77999999999997</v>
      </c>
      <c r="N298" s="12">
        <f t="shared" si="103"/>
        <v>0</v>
      </c>
      <c r="O298" s="12">
        <f t="shared" si="104"/>
        <v>0</v>
      </c>
      <c r="P298" s="12">
        <f t="shared" si="108"/>
        <v>0</v>
      </c>
      <c r="Q298" s="12">
        <f t="shared" si="105"/>
        <v>0</v>
      </c>
      <c r="R298" s="12">
        <f t="shared" si="106"/>
        <v>0</v>
      </c>
    </row>
    <row r="299" spans="1:19" x14ac:dyDescent="0.25">
      <c r="A299" s="26"/>
      <c r="B299" s="25" t="s">
        <v>192</v>
      </c>
      <c r="C299" s="15">
        <v>8</v>
      </c>
      <c r="D299" s="16">
        <v>100</v>
      </c>
      <c r="E299" s="15">
        <v>4</v>
      </c>
      <c r="F299" s="11">
        <v>5</v>
      </c>
      <c r="G299" s="11">
        <f t="shared" si="162"/>
        <v>27</v>
      </c>
      <c r="H299" s="12"/>
      <c r="I299" s="12">
        <f>2*(0.18+0.118)+24*C299/1000</f>
        <v>0.78800000000000003</v>
      </c>
      <c r="J299" s="22"/>
      <c r="K299" s="22"/>
      <c r="L299" s="12">
        <f t="shared" si="160"/>
        <v>0.78800000000000003</v>
      </c>
      <c r="M299" s="12">
        <f t="shared" si="161"/>
        <v>425.52</v>
      </c>
      <c r="N299" s="12">
        <f t="shared" si="103"/>
        <v>0</v>
      </c>
      <c r="O299" s="12">
        <f t="shared" si="104"/>
        <v>0</v>
      </c>
      <c r="P299" s="12">
        <f t="shared" si="108"/>
        <v>0</v>
      </c>
      <c r="Q299" s="12">
        <f t="shared" si="105"/>
        <v>0</v>
      </c>
      <c r="R299" s="12">
        <f t="shared" si="106"/>
        <v>0</v>
      </c>
    </row>
    <row r="300" spans="1:19" x14ac:dyDescent="0.25">
      <c r="A300" s="94">
        <f>+E300</f>
        <v>2</v>
      </c>
      <c r="B300" s="45" t="s">
        <v>215</v>
      </c>
      <c r="C300" s="15">
        <v>16</v>
      </c>
      <c r="D300" s="16"/>
      <c r="E300" s="15">
        <v>2</v>
      </c>
      <c r="F300" s="11">
        <v>1</v>
      </c>
      <c r="G300" s="11">
        <v>24</v>
      </c>
      <c r="H300" s="12"/>
      <c r="I300" s="12">
        <v>2.95</v>
      </c>
      <c r="J300" s="22"/>
      <c r="K300" s="22">
        <f t="shared" ref="K300:K301" si="163">1*40*C300/1000</f>
        <v>0.64</v>
      </c>
      <c r="L300" s="12">
        <f t="shared" si="160"/>
        <v>3.5900000000000003</v>
      </c>
      <c r="M300" s="12">
        <f t="shared" si="161"/>
        <v>0</v>
      </c>
      <c r="N300" s="12">
        <f t="shared" si="103"/>
        <v>0</v>
      </c>
      <c r="O300" s="12">
        <f t="shared" si="104"/>
        <v>0</v>
      </c>
      <c r="P300" s="12">
        <f t="shared" si="108"/>
        <v>172.32</v>
      </c>
      <c r="Q300" s="12">
        <f t="shared" si="105"/>
        <v>0</v>
      </c>
      <c r="R300" s="12">
        <f t="shared" si="106"/>
        <v>0</v>
      </c>
      <c r="S300" s="3">
        <f>+G300*E300</f>
        <v>48</v>
      </c>
    </row>
    <row r="301" spans="1:19" x14ac:dyDescent="0.25">
      <c r="A301" s="26"/>
      <c r="B301" s="45"/>
      <c r="C301" s="15">
        <v>12</v>
      </c>
      <c r="D301" s="16"/>
      <c r="E301" s="15">
        <v>2</v>
      </c>
      <c r="F301" s="11">
        <v>1</v>
      </c>
      <c r="G301" s="11">
        <v>6</v>
      </c>
      <c r="H301" s="12"/>
      <c r="I301" s="12">
        <v>2.95</v>
      </c>
      <c r="J301" s="22"/>
      <c r="K301" s="22">
        <f t="shared" si="163"/>
        <v>0.48</v>
      </c>
      <c r="L301" s="12">
        <f t="shared" ref="L301" si="164">SUM(H301:J301)+K301</f>
        <v>3.43</v>
      </c>
      <c r="M301" s="12">
        <f t="shared" si="161"/>
        <v>0</v>
      </c>
      <c r="N301" s="12">
        <f t="shared" si="103"/>
        <v>0</v>
      </c>
      <c r="O301" s="12">
        <f t="shared" si="104"/>
        <v>41.16</v>
      </c>
      <c r="P301" s="12">
        <f t="shared" si="108"/>
        <v>0</v>
      </c>
      <c r="Q301" s="12">
        <f t="shared" si="105"/>
        <v>0</v>
      </c>
      <c r="R301" s="12">
        <f t="shared" si="106"/>
        <v>0</v>
      </c>
      <c r="S301" s="3">
        <f>+G301*E301</f>
        <v>12</v>
      </c>
    </row>
    <row r="302" spans="1:19" x14ac:dyDescent="0.25">
      <c r="A302" s="26"/>
      <c r="B302" s="25" t="s">
        <v>172</v>
      </c>
      <c r="C302" s="15"/>
      <c r="D302" s="16"/>
      <c r="E302" s="15"/>
      <c r="F302" s="11"/>
      <c r="G302" s="11"/>
      <c r="H302" s="12"/>
      <c r="I302" s="12"/>
      <c r="J302" s="22"/>
      <c r="K302" s="22"/>
      <c r="L302" s="12">
        <f t="shared" ref="L302:L308" si="165">SUM(H302:J302)+K302</f>
        <v>0</v>
      </c>
      <c r="M302" s="12">
        <f t="shared" si="161"/>
        <v>0</v>
      </c>
      <c r="N302" s="12">
        <f t="shared" si="103"/>
        <v>0</v>
      </c>
      <c r="O302" s="12">
        <f t="shared" si="104"/>
        <v>0</v>
      </c>
      <c r="P302" s="12">
        <f t="shared" si="108"/>
        <v>0</v>
      </c>
      <c r="Q302" s="12">
        <f t="shared" si="105"/>
        <v>0</v>
      </c>
      <c r="R302" s="12">
        <f t="shared" si="106"/>
        <v>0</v>
      </c>
    </row>
    <row r="303" spans="1:19" x14ac:dyDescent="0.25">
      <c r="A303" s="26"/>
      <c r="B303" s="25" t="s">
        <v>210</v>
      </c>
      <c r="C303" s="15">
        <v>8</v>
      </c>
      <c r="D303" s="16">
        <v>100</v>
      </c>
      <c r="E303" s="15">
        <v>2</v>
      </c>
      <c r="F303" s="11">
        <v>2</v>
      </c>
      <c r="G303" s="11">
        <f t="shared" ref="G303:G306" si="166">+ROUND(2600/D303+1,0)</f>
        <v>27</v>
      </c>
      <c r="H303" s="12"/>
      <c r="I303" s="12">
        <f>2*(0.18+0.583)+24*C303/1000</f>
        <v>1.7179999999999997</v>
      </c>
      <c r="J303" s="22"/>
      <c r="K303" s="22"/>
      <c r="L303" s="12">
        <f t="shared" si="165"/>
        <v>1.7179999999999997</v>
      </c>
      <c r="M303" s="12">
        <f t="shared" si="161"/>
        <v>185.54</v>
      </c>
      <c r="N303" s="12">
        <f t="shared" si="103"/>
        <v>0</v>
      </c>
      <c r="O303" s="12">
        <f t="shared" si="104"/>
        <v>0</v>
      </c>
      <c r="P303" s="12">
        <f t="shared" si="108"/>
        <v>0</v>
      </c>
      <c r="Q303" s="12">
        <f t="shared" si="105"/>
        <v>0</v>
      </c>
      <c r="R303" s="12">
        <f t="shared" si="106"/>
        <v>0</v>
      </c>
    </row>
    <row r="304" spans="1:19" x14ac:dyDescent="0.25">
      <c r="A304" s="26"/>
      <c r="B304" s="25" t="s">
        <v>194</v>
      </c>
      <c r="C304" s="15">
        <v>8</v>
      </c>
      <c r="D304" s="16">
        <v>100</v>
      </c>
      <c r="E304" s="15">
        <v>2</v>
      </c>
      <c r="F304" s="11">
        <v>4</v>
      </c>
      <c r="G304" s="11">
        <f t="shared" si="166"/>
        <v>27</v>
      </c>
      <c r="H304" s="12"/>
      <c r="I304" s="12">
        <f>2*(0.18+0.122)+24*C304/1000</f>
        <v>0.79600000000000004</v>
      </c>
      <c r="J304" s="22"/>
      <c r="K304" s="22"/>
      <c r="L304" s="12">
        <f t="shared" si="165"/>
        <v>0.79600000000000004</v>
      </c>
      <c r="M304" s="12">
        <f t="shared" si="161"/>
        <v>171.94</v>
      </c>
      <c r="N304" s="12">
        <f t="shared" si="103"/>
        <v>0</v>
      </c>
      <c r="O304" s="12">
        <f t="shared" si="104"/>
        <v>0</v>
      </c>
      <c r="P304" s="12">
        <f t="shared" si="108"/>
        <v>0</v>
      </c>
      <c r="Q304" s="12">
        <f t="shared" si="105"/>
        <v>0</v>
      </c>
      <c r="R304" s="12">
        <f t="shared" si="106"/>
        <v>0</v>
      </c>
    </row>
    <row r="305" spans="1:19" x14ac:dyDescent="0.25">
      <c r="A305" s="26"/>
      <c r="B305" s="25" t="s">
        <v>216</v>
      </c>
      <c r="C305" s="15">
        <v>8</v>
      </c>
      <c r="D305" s="16">
        <v>200</v>
      </c>
      <c r="E305" s="15">
        <v>2</v>
      </c>
      <c r="F305" s="11">
        <v>1</v>
      </c>
      <c r="G305" s="11">
        <f t="shared" si="166"/>
        <v>14</v>
      </c>
      <c r="H305" s="12"/>
      <c r="I305" s="12">
        <f>2*(0.18+0.671)+24*C305/1000</f>
        <v>1.8939999999999999</v>
      </c>
      <c r="J305" s="22"/>
      <c r="K305" s="22"/>
      <c r="L305" s="12">
        <f t="shared" ref="L305" si="167">SUM(H305:J305)+K305</f>
        <v>1.8939999999999999</v>
      </c>
      <c r="M305" s="12">
        <f t="shared" si="161"/>
        <v>53.03</v>
      </c>
      <c r="N305" s="12">
        <f t="shared" si="103"/>
        <v>0</v>
      </c>
      <c r="O305" s="12">
        <f t="shared" si="104"/>
        <v>0</v>
      </c>
      <c r="P305" s="12">
        <f t="shared" si="108"/>
        <v>0</v>
      </c>
      <c r="Q305" s="12">
        <f t="shared" si="105"/>
        <v>0</v>
      </c>
      <c r="R305" s="12">
        <f t="shared" si="106"/>
        <v>0</v>
      </c>
    </row>
    <row r="306" spans="1:19" x14ac:dyDescent="0.25">
      <c r="A306" s="26"/>
      <c r="B306" s="25" t="s">
        <v>177</v>
      </c>
      <c r="C306" s="15">
        <v>8</v>
      </c>
      <c r="D306" s="16">
        <v>400</v>
      </c>
      <c r="E306" s="15">
        <v>2</v>
      </c>
      <c r="F306" s="11">
        <v>1</v>
      </c>
      <c r="G306" s="11">
        <f t="shared" si="166"/>
        <v>8</v>
      </c>
      <c r="H306" s="12"/>
      <c r="I306" s="12">
        <f>0.18+(20*C306/1000)</f>
        <v>0.33999999999999997</v>
      </c>
      <c r="J306" s="22"/>
      <c r="K306" s="22"/>
      <c r="L306" s="12">
        <f t="shared" ref="L306" si="168">SUM(H306:J306)+K306</f>
        <v>0.33999999999999997</v>
      </c>
      <c r="M306" s="12">
        <f t="shared" si="161"/>
        <v>5.44</v>
      </c>
      <c r="N306" s="12">
        <f t="shared" si="103"/>
        <v>0</v>
      </c>
      <c r="O306" s="12">
        <f t="shared" si="104"/>
        <v>0</v>
      </c>
      <c r="P306" s="12">
        <f t="shared" si="108"/>
        <v>0</v>
      </c>
      <c r="Q306" s="12">
        <f t="shared" si="105"/>
        <v>0</v>
      </c>
      <c r="R306" s="12">
        <f t="shared" si="106"/>
        <v>0</v>
      </c>
    </row>
    <row r="307" spans="1:19" x14ac:dyDescent="0.25">
      <c r="A307" s="94">
        <f>+E307</f>
        <v>1</v>
      </c>
      <c r="B307" s="45" t="s">
        <v>195</v>
      </c>
      <c r="C307" s="15">
        <v>16</v>
      </c>
      <c r="D307" s="16"/>
      <c r="E307" s="15">
        <v>1</v>
      </c>
      <c r="F307" s="11">
        <v>1</v>
      </c>
      <c r="G307" s="11">
        <v>40</v>
      </c>
      <c r="H307" s="12"/>
      <c r="I307" s="12">
        <v>2.95</v>
      </c>
      <c r="J307" s="22"/>
      <c r="K307" s="22">
        <f t="shared" ref="K307:K308" si="169">1*40*C307/1000</f>
        <v>0.64</v>
      </c>
      <c r="L307" s="12">
        <f t="shared" si="165"/>
        <v>3.5900000000000003</v>
      </c>
      <c r="M307" s="12">
        <f t="shared" si="161"/>
        <v>0</v>
      </c>
      <c r="N307" s="12">
        <f t="shared" si="103"/>
        <v>0</v>
      </c>
      <c r="O307" s="12">
        <f t="shared" si="104"/>
        <v>0</v>
      </c>
      <c r="P307" s="12">
        <f t="shared" si="108"/>
        <v>143.6</v>
      </c>
      <c r="Q307" s="12">
        <f t="shared" si="105"/>
        <v>0</v>
      </c>
      <c r="R307" s="12">
        <f t="shared" si="106"/>
        <v>0</v>
      </c>
      <c r="S307" s="3">
        <f>+G307*E307</f>
        <v>40</v>
      </c>
    </row>
    <row r="308" spans="1:19" x14ac:dyDescent="0.25">
      <c r="A308" s="26"/>
      <c r="B308" s="45"/>
      <c r="C308" s="15">
        <v>12</v>
      </c>
      <c r="D308" s="16"/>
      <c r="E308" s="15">
        <v>1</v>
      </c>
      <c r="F308" s="11">
        <v>1</v>
      </c>
      <c r="G308" s="11">
        <v>20</v>
      </c>
      <c r="H308" s="12"/>
      <c r="I308" s="12">
        <v>2.95</v>
      </c>
      <c r="J308" s="22"/>
      <c r="K308" s="22">
        <f t="shared" si="169"/>
        <v>0.48</v>
      </c>
      <c r="L308" s="12">
        <f t="shared" si="165"/>
        <v>3.43</v>
      </c>
      <c r="M308" s="12">
        <f t="shared" si="161"/>
        <v>0</v>
      </c>
      <c r="N308" s="12">
        <f t="shared" si="103"/>
        <v>0</v>
      </c>
      <c r="O308" s="12">
        <f t="shared" si="104"/>
        <v>68.599999999999994</v>
      </c>
      <c r="P308" s="12">
        <f t="shared" si="108"/>
        <v>0</v>
      </c>
      <c r="Q308" s="12">
        <f t="shared" si="105"/>
        <v>0</v>
      </c>
      <c r="R308" s="12">
        <f t="shared" si="106"/>
        <v>0</v>
      </c>
      <c r="S308" s="3">
        <f>+G308*E308</f>
        <v>20</v>
      </c>
    </row>
    <row r="309" spans="1:19" x14ac:dyDescent="0.25">
      <c r="A309" s="26"/>
      <c r="B309" s="25" t="s">
        <v>172</v>
      </c>
      <c r="C309" s="15"/>
      <c r="D309" s="16"/>
      <c r="E309" s="15"/>
      <c r="F309" s="11"/>
      <c r="G309" s="11"/>
      <c r="H309" s="12"/>
      <c r="I309" s="12"/>
      <c r="J309" s="22"/>
      <c r="K309" s="22"/>
      <c r="L309" s="12">
        <f t="shared" ref="L309:L311" si="170">SUM(H309:J309)+K309</f>
        <v>0</v>
      </c>
      <c r="M309" s="12">
        <f t="shared" si="161"/>
        <v>0</v>
      </c>
      <c r="N309" s="12">
        <f t="shared" si="103"/>
        <v>0</v>
      </c>
      <c r="O309" s="12">
        <f t="shared" si="104"/>
        <v>0</v>
      </c>
      <c r="P309" s="12">
        <f t="shared" si="108"/>
        <v>0</v>
      </c>
      <c r="Q309" s="12">
        <f t="shared" si="105"/>
        <v>0</v>
      </c>
      <c r="R309" s="12">
        <f t="shared" si="106"/>
        <v>0</v>
      </c>
    </row>
    <row r="310" spans="1:19" x14ac:dyDescent="0.25">
      <c r="A310" s="26"/>
      <c r="B310" s="25" t="s">
        <v>196</v>
      </c>
      <c r="C310" s="15">
        <v>8</v>
      </c>
      <c r="D310" s="16">
        <v>100</v>
      </c>
      <c r="E310" s="15">
        <v>1</v>
      </c>
      <c r="F310" s="11">
        <v>2</v>
      </c>
      <c r="G310" s="11">
        <f t="shared" ref="G310:G313" si="171">+ROUND(2600/D310+1,0)</f>
        <v>27</v>
      </c>
      <c r="H310" s="12"/>
      <c r="I310" s="12">
        <f>2*(0.18+1.183)+24*C310/1000</f>
        <v>2.9180000000000001</v>
      </c>
      <c r="J310" s="22"/>
      <c r="K310" s="22"/>
      <c r="L310" s="12">
        <f t="shared" si="170"/>
        <v>2.9180000000000001</v>
      </c>
      <c r="M310" s="12">
        <f t="shared" si="161"/>
        <v>157.57</v>
      </c>
      <c r="N310" s="12">
        <f t="shared" si="103"/>
        <v>0</v>
      </c>
      <c r="O310" s="12">
        <f t="shared" si="104"/>
        <v>0</v>
      </c>
      <c r="P310" s="12">
        <f t="shared" si="108"/>
        <v>0</v>
      </c>
      <c r="Q310" s="12">
        <f t="shared" si="105"/>
        <v>0</v>
      </c>
      <c r="R310" s="12">
        <f t="shared" si="106"/>
        <v>0</v>
      </c>
    </row>
    <row r="311" spans="1:19" x14ac:dyDescent="0.25">
      <c r="A311" s="26"/>
      <c r="B311" s="25" t="s">
        <v>194</v>
      </c>
      <c r="C311" s="15">
        <v>8</v>
      </c>
      <c r="D311" s="16">
        <v>100</v>
      </c>
      <c r="E311" s="15">
        <v>1</v>
      </c>
      <c r="F311" s="11">
        <f>2*5</f>
        <v>10</v>
      </c>
      <c r="G311" s="11">
        <f t="shared" si="171"/>
        <v>27</v>
      </c>
      <c r="H311" s="12"/>
      <c r="I311" s="12">
        <f>2*(0.18+0.122)+24*C311/1000</f>
        <v>0.79600000000000004</v>
      </c>
      <c r="J311" s="22"/>
      <c r="K311" s="22"/>
      <c r="L311" s="12">
        <f t="shared" si="170"/>
        <v>0.79600000000000004</v>
      </c>
      <c r="M311" s="12">
        <f t="shared" si="161"/>
        <v>214.92</v>
      </c>
      <c r="N311" s="12">
        <f t="shared" si="103"/>
        <v>0</v>
      </c>
      <c r="O311" s="12">
        <f t="shared" si="104"/>
        <v>0</v>
      </c>
      <c r="P311" s="12">
        <f t="shared" si="108"/>
        <v>0</v>
      </c>
      <c r="Q311" s="12">
        <f t="shared" si="105"/>
        <v>0</v>
      </c>
      <c r="R311" s="12">
        <f t="shared" si="106"/>
        <v>0</v>
      </c>
    </row>
    <row r="312" spans="1:19" x14ac:dyDescent="0.25">
      <c r="A312" s="26"/>
      <c r="B312" s="25" t="s">
        <v>197</v>
      </c>
      <c r="C312" s="15">
        <v>8</v>
      </c>
      <c r="D312" s="16">
        <v>200</v>
      </c>
      <c r="E312" s="15">
        <v>1</v>
      </c>
      <c r="F312" s="11">
        <v>1</v>
      </c>
      <c r="G312" s="11">
        <f t="shared" si="171"/>
        <v>14</v>
      </c>
      <c r="H312" s="12"/>
      <c r="I312" s="12">
        <f>2*(0.18+1.216)+24*C312/1000</f>
        <v>2.984</v>
      </c>
      <c r="J312" s="22"/>
      <c r="K312" s="22"/>
      <c r="L312" s="12">
        <f t="shared" ref="L312:L313" si="172">SUM(H312:J312)+K312</f>
        <v>2.984</v>
      </c>
      <c r="M312" s="12">
        <f t="shared" si="161"/>
        <v>41.78</v>
      </c>
      <c r="N312" s="12">
        <f t="shared" si="103"/>
        <v>0</v>
      </c>
      <c r="O312" s="12">
        <f t="shared" si="104"/>
        <v>0</v>
      </c>
      <c r="P312" s="12">
        <f t="shared" si="108"/>
        <v>0</v>
      </c>
      <c r="Q312" s="12">
        <f t="shared" si="105"/>
        <v>0</v>
      </c>
      <c r="R312" s="12">
        <f t="shared" si="106"/>
        <v>0</v>
      </c>
    </row>
    <row r="313" spans="1:19" x14ac:dyDescent="0.25">
      <c r="A313" s="26"/>
      <c r="B313" s="25" t="s">
        <v>177</v>
      </c>
      <c r="C313" s="15">
        <v>8</v>
      </c>
      <c r="D313" s="16">
        <v>400</v>
      </c>
      <c r="E313" s="15">
        <v>1</v>
      </c>
      <c r="F313" s="11">
        <v>3</v>
      </c>
      <c r="G313" s="11">
        <f t="shared" si="171"/>
        <v>8</v>
      </c>
      <c r="H313" s="12"/>
      <c r="I313" s="12">
        <f>0.18+(20*C313/1000)</f>
        <v>0.33999999999999997</v>
      </c>
      <c r="J313" s="22"/>
      <c r="K313" s="22"/>
      <c r="L313" s="12">
        <f t="shared" si="172"/>
        <v>0.33999999999999997</v>
      </c>
      <c r="M313" s="12">
        <f t="shared" si="161"/>
        <v>8.16</v>
      </c>
      <c r="N313" s="12">
        <f t="shared" si="103"/>
        <v>0</v>
      </c>
      <c r="O313" s="12">
        <f t="shared" si="104"/>
        <v>0</v>
      </c>
      <c r="P313" s="12">
        <f t="shared" si="108"/>
        <v>0</v>
      </c>
      <c r="Q313" s="12">
        <f t="shared" si="105"/>
        <v>0</v>
      </c>
      <c r="R313" s="12">
        <f t="shared" si="106"/>
        <v>0</v>
      </c>
    </row>
    <row r="314" spans="1:19" x14ac:dyDescent="0.25">
      <c r="A314" s="94">
        <f>+E314</f>
        <v>6</v>
      </c>
      <c r="B314" s="45" t="s">
        <v>198</v>
      </c>
      <c r="C314" s="15">
        <v>16</v>
      </c>
      <c r="D314" s="16"/>
      <c r="E314" s="15">
        <v>6</v>
      </c>
      <c r="F314" s="11">
        <v>1</v>
      </c>
      <c r="G314" s="11">
        <v>8</v>
      </c>
      <c r="H314" s="12"/>
      <c r="I314" s="12">
        <v>2.95</v>
      </c>
      <c r="J314" s="22"/>
      <c r="K314" s="22">
        <f t="shared" ref="K314:K316" si="173">1*40*C314/1000</f>
        <v>0.64</v>
      </c>
      <c r="L314" s="12">
        <f t="shared" ref="L314:L324" si="174">SUM(H314:J314)+K314</f>
        <v>3.5900000000000003</v>
      </c>
      <c r="M314" s="12">
        <f t="shared" si="161"/>
        <v>0</v>
      </c>
      <c r="N314" s="12">
        <f t="shared" si="103"/>
        <v>0</v>
      </c>
      <c r="O314" s="12">
        <f t="shared" si="104"/>
        <v>0</v>
      </c>
      <c r="P314" s="12">
        <f t="shared" si="108"/>
        <v>172.32</v>
      </c>
      <c r="Q314" s="12">
        <f t="shared" si="105"/>
        <v>0</v>
      </c>
      <c r="R314" s="12">
        <f t="shared" si="106"/>
        <v>0</v>
      </c>
      <c r="S314" s="3">
        <f>+G314*E314</f>
        <v>48</v>
      </c>
    </row>
    <row r="315" spans="1:19" x14ac:dyDescent="0.25">
      <c r="A315" s="26"/>
      <c r="B315" s="25"/>
      <c r="C315" s="15">
        <v>12</v>
      </c>
      <c r="D315" s="16"/>
      <c r="E315" s="15">
        <v>6</v>
      </c>
      <c r="F315" s="11">
        <v>1</v>
      </c>
      <c r="G315" s="11">
        <v>16</v>
      </c>
      <c r="H315" s="12"/>
      <c r="I315" s="12">
        <v>2.95</v>
      </c>
      <c r="J315" s="22"/>
      <c r="K315" s="22">
        <f t="shared" si="173"/>
        <v>0.48</v>
      </c>
      <c r="L315" s="12">
        <f t="shared" si="174"/>
        <v>3.43</v>
      </c>
      <c r="M315" s="12">
        <f t="shared" si="161"/>
        <v>0</v>
      </c>
      <c r="N315" s="12">
        <f t="shared" si="103"/>
        <v>0</v>
      </c>
      <c r="O315" s="12">
        <f t="shared" si="104"/>
        <v>329.28</v>
      </c>
      <c r="P315" s="12">
        <f t="shared" si="108"/>
        <v>0</v>
      </c>
      <c r="Q315" s="12">
        <f t="shared" si="105"/>
        <v>0</v>
      </c>
      <c r="R315" s="12">
        <f t="shared" si="106"/>
        <v>0</v>
      </c>
      <c r="S315" s="3">
        <f>+G315*E315</f>
        <v>96</v>
      </c>
    </row>
    <row r="316" spans="1:19" x14ac:dyDescent="0.25">
      <c r="A316" s="26"/>
      <c r="B316" s="25"/>
      <c r="C316" s="15">
        <v>10</v>
      </c>
      <c r="D316" s="16"/>
      <c r="E316" s="15">
        <v>6</v>
      </c>
      <c r="F316" s="11">
        <v>1</v>
      </c>
      <c r="G316" s="11">
        <v>10</v>
      </c>
      <c r="H316" s="12"/>
      <c r="I316" s="12">
        <v>2.95</v>
      </c>
      <c r="J316" s="22"/>
      <c r="K316" s="22">
        <f t="shared" si="173"/>
        <v>0.4</v>
      </c>
      <c r="L316" s="12">
        <f t="shared" ref="L316" si="175">SUM(H316:J316)+K316</f>
        <v>3.35</v>
      </c>
      <c r="M316" s="12">
        <f t="shared" si="161"/>
        <v>0</v>
      </c>
      <c r="N316" s="12">
        <f t="shared" si="103"/>
        <v>201</v>
      </c>
      <c r="O316" s="12">
        <f t="shared" si="104"/>
        <v>0</v>
      </c>
      <c r="P316" s="12">
        <f t="shared" si="108"/>
        <v>0</v>
      </c>
      <c r="Q316" s="12">
        <f t="shared" si="105"/>
        <v>0</v>
      </c>
      <c r="R316" s="12">
        <f t="shared" si="106"/>
        <v>0</v>
      </c>
    </row>
    <row r="317" spans="1:19" x14ac:dyDescent="0.25">
      <c r="A317" s="26"/>
      <c r="B317" s="25" t="s">
        <v>172</v>
      </c>
      <c r="C317" s="15"/>
      <c r="D317" s="16"/>
      <c r="E317" s="15"/>
      <c r="F317" s="11"/>
      <c r="G317" s="11"/>
      <c r="H317" s="12"/>
      <c r="I317" s="12"/>
      <c r="J317" s="22"/>
      <c r="K317" s="22"/>
      <c r="L317" s="12">
        <f t="shared" si="174"/>
        <v>0</v>
      </c>
      <c r="M317" s="12">
        <f t="shared" si="161"/>
        <v>0</v>
      </c>
      <c r="N317" s="12">
        <f t="shared" si="103"/>
        <v>0</v>
      </c>
      <c r="O317" s="12">
        <f t="shared" si="104"/>
        <v>0</v>
      </c>
      <c r="P317" s="12">
        <f t="shared" si="108"/>
        <v>0</v>
      </c>
      <c r="Q317" s="12">
        <f t="shared" si="105"/>
        <v>0</v>
      </c>
      <c r="R317" s="12">
        <f t="shared" si="106"/>
        <v>0</v>
      </c>
    </row>
    <row r="318" spans="1:19" x14ac:dyDescent="0.25">
      <c r="A318" s="26"/>
      <c r="B318" s="25" t="s">
        <v>188</v>
      </c>
      <c r="C318" s="15">
        <v>8</v>
      </c>
      <c r="D318" s="16">
        <v>100</v>
      </c>
      <c r="E318" s="15">
        <v>6</v>
      </c>
      <c r="F318" s="11">
        <v>1</v>
      </c>
      <c r="G318" s="11">
        <f t="shared" ref="G318:G325" si="176">+ROUND(2600/D318+1,0)</f>
        <v>27</v>
      </c>
      <c r="H318" s="12"/>
      <c r="I318" s="12">
        <f>2*(0.18+0.6)+24*C318/1000</f>
        <v>1.752</v>
      </c>
      <c r="J318" s="22"/>
      <c r="K318" s="22"/>
      <c r="L318" s="12">
        <f t="shared" si="174"/>
        <v>1.752</v>
      </c>
      <c r="M318" s="12">
        <f t="shared" si="161"/>
        <v>283.82</v>
      </c>
      <c r="N318" s="12">
        <f t="shared" si="103"/>
        <v>0</v>
      </c>
      <c r="O318" s="12">
        <f t="shared" si="104"/>
        <v>0</v>
      </c>
      <c r="P318" s="12">
        <f t="shared" si="108"/>
        <v>0</v>
      </c>
      <c r="Q318" s="12">
        <f t="shared" si="105"/>
        <v>0</v>
      </c>
      <c r="R318" s="12">
        <f t="shared" si="106"/>
        <v>0</v>
      </c>
    </row>
    <row r="319" spans="1:19" x14ac:dyDescent="0.25">
      <c r="A319" s="26"/>
      <c r="B319" s="25" t="s">
        <v>174</v>
      </c>
      <c r="C319" s="15">
        <v>8</v>
      </c>
      <c r="D319" s="16">
        <v>100</v>
      </c>
      <c r="E319" s="15">
        <v>6</v>
      </c>
      <c r="F319" s="11">
        <v>1</v>
      </c>
      <c r="G319" s="11">
        <f t="shared" si="176"/>
        <v>27</v>
      </c>
      <c r="H319" s="12"/>
      <c r="I319" s="12">
        <f>2*(0.18+0.248)+24*C319/1000</f>
        <v>1.048</v>
      </c>
      <c r="J319" s="22"/>
      <c r="K319" s="22"/>
      <c r="L319" s="12">
        <f t="shared" si="174"/>
        <v>1.048</v>
      </c>
      <c r="M319" s="12">
        <f t="shared" si="161"/>
        <v>169.78</v>
      </c>
      <c r="N319" s="12">
        <f t="shared" si="103"/>
        <v>0</v>
      </c>
      <c r="O319" s="12">
        <f t="shared" si="104"/>
        <v>0</v>
      </c>
      <c r="P319" s="12">
        <f t="shared" si="108"/>
        <v>0</v>
      </c>
      <c r="Q319" s="12">
        <f t="shared" si="105"/>
        <v>0</v>
      </c>
      <c r="R319" s="12">
        <f t="shared" si="106"/>
        <v>0</v>
      </c>
    </row>
    <row r="320" spans="1:19" x14ac:dyDescent="0.25">
      <c r="A320" s="26"/>
      <c r="B320" s="25" t="s">
        <v>173</v>
      </c>
      <c r="C320" s="15">
        <v>8</v>
      </c>
      <c r="D320" s="16">
        <v>100</v>
      </c>
      <c r="E320" s="15">
        <v>6</v>
      </c>
      <c r="F320" s="11">
        <v>1</v>
      </c>
      <c r="G320" s="11">
        <f t="shared" si="176"/>
        <v>27</v>
      </c>
      <c r="H320" s="12"/>
      <c r="I320" s="12">
        <f>0.18+(20*C320/1000)</f>
        <v>0.33999999999999997</v>
      </c>
      <c r="J320" s="22"/>
      <c r="K320" s="22"/>
      <c r="L320" s="12">
        <f t="shared" si="174"/>
        <v>0.33999999999999997</v>
      </c>
      <c r="M320" s="12">
        <f t="shared" si="161"/>
        <v>55.08</v>
      </c>
      <c r="N320" s="12">
        <f t="shared" si="103"/>
        <v>0</v>
      </c>
      <c r="O320" s="12">
        <f t="shared" si="104"/>
        <v>0</v>
      </c>
      <c r="P320" s="12">
        <f t="shared" si="108"/>
        <v>0</v>
      </c>
      <c r="Q320" s="12">
        <f t="shared" si="105"/>
        <v>0</v>
      </c>
      <c r="R320" s="12">
        <f t="shared" si="106"/>
        <v>0</v>
      </c>
    </row>
    <row r="321" spans="1:19" x14ac:dyDescent="0.25">
      <c r="A321" s="26"/>
      <c r="B321" s="25" t="s">
        <v>189</v>
      </c>
      <c r="C321" s="15">
        <v>8</v>
      </c>
      <c r="D321" s="16">
        <v>100</v>
      </c>
      <c r="E321" s="15">
        <v>6</v>
      </c>
      <c r="F321" s="11">
        <v>2</v>
      </c>
      <c r="G321" s="11">
        <f t="shared" si="176"/>
        <v>27</v>
      </c>
      <c r="H321" s="12"/>
      <c r="I321" s="12">
        <f>2*(0.18+0.385)+24*C321/1000</f>
        <v>1.3219999999999998</v>
      </c>
      <c r="J321" s="22"/>
      <c r="K321" s="22"/>
      <c r="L321" s="12">
        <f t="shared" si="174"/>
        <v>1.3219999999999998</v>
      </c>
      <c r="M321" s="12">
        <f t="shared" si="161"/>
        <v>428.33</v>
      </c>
      <c r="N321" s="12">
        <f t="shared" si="103"/>
        <v>0</v>
      </c>
      <c r="O321" s="12">
        <f t="shared" si="104"/>
        <v>0</v>
      </c>
      <c r="P321" s="12">
        <f t="shared" si="108"/>
        <v>0</v>
      </c>
      <c r="Q321" s="12">
        <f t="shared" si="105"/>
        <v>0</v>
      </c>
      <c r="R321" s="12">
        <f t="shared" si="106"/>
        <v>0</v>
      </c>
    </row>
    <row r="322" spans="1:19" x14ac:dyDescent="0.25">
      <c r="A322" s="26"/>
      <c r="B322" s="25" t="s">
        <v>175</v>
      </c>
      <c r="C322" s="15">
        <v>8</v>
      </c>
      <c r="D322" s="16">
        <v>100</v>
      </c>
      <c r="E322" s="15">
        <v>6</v>
      </c>
      <c r="F322" s="11">
        <v>1</v>
      </c>
      <c r="G322" s="11">
        <f t="shared" si="176"/>
        <v>27</v>
      </c>
      <c r="H322" s="12"/>
      <c r="I322" s="12">
        <f>2*(0.18+0.268)+24*C322/1000</f>
        <v>1.0880000000000001</v>
      </c>
      <c r="J322" s="22"/>
      <c r="K322" s="22"/>
      <c r="L322" s="12">
        <f t="shared" si="174"/>
        <v>1.0880000000000001</v>
      </c>
      <c r="M322" s="12">
        <f t="shared" si="161"/>
        <v>176.26</v>
      </c>
      <c r="N322" s="12">
        <f t="shared" si="103"/>
        <v>0</v>
      </c>
      <c r="O322" s="12">
        <f t="shared" si="104"/>
        <v>0</v>
      </c>
      <c r="P322" s="12">
        <f t="shared" si="108"/>
        <v>0</v>
      </c>
      <c r="Q322" s="12">
        <f t="shared" si="105"/>
        <v>0</v>
      </c>
      <c r="R322" s="12">
        <f t="shared" si="106"/>
        <v>0</v>
      </c>
    </row>
    <row r="323" spans="1:19" x14ac:dyDescent="0.25">
      <c r="A323" s="26"/>
      <c r="B323" s="25" t="s">
        <v>173</v>
      </c>
      <c r="C323" s="15">
        <v>8</v>
      </c>
      <c r="D323" s="16">
        <v>100</v>
      </c>
      <c r="E323" s="15">
        <v>6</v>
      </c>
      <c r="F323" s="11">
        <v>1</v>
      </c>
      <c r="G323" s="11">
        <f t="shared" si="176"/>
        <v>27</v>
      </c>
      <c r="H323" s="12"/>
      <c r="I323" s="12">
        <f>0.18+(20*C323/1000)</f>
        <v>0.33999999999999997</v>
      </c>
      <c r="J323" s="22"/>
      <c r="K323" s="22"/>
      <c r="L323" s="12">
        <f t="shared" si="174"/>
        <v>0.33999999999999997</v>
      </c>
      <c r="M323" s="12">
        <f t="shared" si="161"/>
        <v>55.08</v>
      </c>
      <c r="N323" s="12">
        <f t="shared" si="103"/>
        <v>0</v>
      </c>
      <c r="O323" s="12">
        <f t="shared" si="104"/>
        <v>0</v>
      </c>
      <c r="P323" s="12">
        <f t="shared" si="108"/>
        <v>0</v>
      </c>
      <c r="Q323" s="12">
        <f t="shared" si="105"/>
        <v>0</v>
      </c>
      <c r="R323" s="12">
        <f t="shared" si="106"/>
        <v>0</v>
      </c>
    </row>
    <row r="324" spans="1:19" x14ac:dyDescent="0.25">
      <c r="A324" s="26"/>
      <c r="B324" s="25" t="s">
        <v>179</v>
      </c>
      <c r="C324" s="15">
        <v>8</v>
      </c>
      <c r="D324" s="16">
        <v>200</v>
      </c>
      <c r="E324" s="15">
        <v>6</v>
      </c>
      <c r="F324" s="11">
        <v>1</v>
      </c>
      <c r="G324" s="11">
        <f t="shared" si="176"/>
        <v>14</v>
      </c>
      <c r="H324" s="12"/>
      <c r="I324" s="12">
        <f>2*(0.18+1.066)+24*C324/1000</f>
        <v>2.6840000000000002</v>
      </c>
      <c r="J324" s="22"/>
      <c r="K324" s="22"/>
      <c r="L324" s="12">
        <f t="shared" si="174"/>
        <v>2.6840000000000002</v>
      </c>
      <c r="M324" s="12">
        <f t="shared" si="161"/>
        <v>225.46</v>
      </c>
      <c r="N324" s="12">
        <f t="shared" si="103"/>
        <v>0</v>
      </c>
      <c r="O324" s="12">
        <f t="shared" si="104"/>
        <v>0</v>
      </c>
      <c r="P324" s="12">
        <f t="shared" si="108"/>
        <v>0</v>
      </c>
      <c r="Q324" s="12">
        <f t="shared" si="105"/>
        <v>0</v>
      </c>
      <c r="R324" s="12">
        <f t="shared" si="106"/>
        <v>0</v>
      </c>
    </row>
    <row r="325" spans="1:19" x14ac:dyDescent="0.25">
      <c r="A325" s="26"/>
      <c r="B325" s="25" t="s">
        <v>177</v>
      </c>
      <c r="C325" s="15">
        <v>8</v>
      </c>
      <c r="D325" s="16">
        <v>400</v>
      </c>
      <c r="E325" s="15">
        <v>6</v>
      </c>
      <c r="F325" s="11">
        <v>2</v>
      </c>
      <c r="G325" s="11">
        <f t="shared" si="176"/>
        <v>8</v>
      </c>
      <c r="H325" s="12"/>
      <c r="I325" s="12">
        <f>0.18+(20*C325/1000)</f>
        <v>0.33999999999999997</v>
      </c>
      <c r="J325" s="22"/>
      <c r="K325" s="22"/>
      <c r="L325" s="12">
        <f t="shared" ref="L325" si="177">SUM(H325:J325)+K325</f>
        <v>0.33999999999999997</v>
      </c>
      <c r="M325" s="12">
        <f t="shared" si="161"/>
        <v>32.64</v>
      </c>
      <c r="N325" s="12">
        <f t="shared" si="103"/>
        <v>0</v>
      </c>
      <c r="O325" s="12">
        <f t="shared" si="104"/>
        <v>0</v>
      </c>
      <c r="P325" s="12">
        <f t="shared" si="108"/>
        <v>0</v>
      </c>
      <c r="Q325" s="12">
        <f t="shared" si="105"/>
        <v>0</v>
      </c>
      <c r="R325" s="12">
        <f t="shared" si="106"/>
        <v>0</v>
      </c>
    </row>
    <row r="326" spans="1:19" x14ac:dyDescent="0.25">
      <c r="A326" s="94">
        <f>+E326</f>
        <v>2</v>
      </c>
      <c r="B326" s="45" t="s">
        <v>199</v>
      </c>
      <c r="C326" s="15">
        <v>16</v>
      </c>
      <c r="D326" s="16"/>
      <c r="E326" s="15">
        <v>2</v>
      </c>
      <c r="F326" s="11">
        <v>1</v>
      </c>
      <c r="G326" s="11">
        <v>8</v>
      </c>
      <c r="H326" s="12"/>
      <c r="I326" s="12">
        <v>2.95</v>
      </c>
      <c r="J326" s="22"/>
      <c r="K326" s="22">
        <f t="shared" ref="K326:K328" si="178">1*40*C326/1000</f>
        <v>0.64</v>
      </c>
      <c r="L326" s="12">
        <f t="shared" ref="L326:L333" si="179">SUM(H326:J326)+K326</f>
        <v>3.5900000000000003</v>
      </c>
      <c r="M326" s="12">
        <f t="shared" si="161"/>
        <v>0</v>
      </c>
      <c r="N326" s="12">
        <f t="shared" si="103"/>
        <v>0</v>
      </c>
      <c r="O326" s="12">
        <f t="shared" si="104"/>
        <v>0</v>
      </c>
      <c r="P326" s="12">
        <f t="shared" si="108"/>
        <v>57.44</v>
      </c>
      <c r="Q326" s="12">
        <f t="shared" si="105"/>
        <v>0</v>
      </c>
      <c r="R326" s="12">
        <f t="shared" si="106"/>
        <v>0</v>
      </c>
      <c r="S326" s="3">
        <f>+G326*E326</f>
        <v>16</v>
      </c>
    </row>
    <row r="327" spans="1:19" x14ac:dyDescent="0.25">
      <c r="A327" s="26"/>
      <c r="B327" s="45"/>
      <c r="C327" s="15">
        <v>12</v>
      </c>
      <c r="D327" s="16"/>
      <c r="E327" s="15">
        <v>2</v>
      </c>
      <c r="F327" s="11">
        <v>1</v>
      </c>
      <c r="G327" s="11">
        <v>20</v>
      </c>
      <c r="H327" s="12"/>
      <c r="I327" s="12">
        <v>2.95</v>
      </c>
      <c r="J327" s="22"/>
      <c r="K327" s="22">
        <f t="shared" si="178"/>
        <v>0.48</v>
      </c>
      <c r="L327" s="12">
        <f t="shared" si="179"/>
        <v>3.43</v>
      </c>
      <c r="M327" s="12">
        <f t="shared" si="161"/>
        <v>0</v>
      </c>
      <c r="N327" s="12">
        <f t="shared" si="103"/>
        <v>0</v>
      </c>
      <c r="O327" s="12">
        <f t="shared" si="104"/>
        <v>137.19999999999999</v>
      </c>
      <c r="P327" s="12">
        <f t="shared" si="108"/>
        <v>0</v>
      </c>
      <c r="Q327" s="12">
        <f t="shared" si="105"/>
        <v>0</v>
      </c>
      <c r="R327" s="12">
        <f t="shared" si="106"/>
        <v>0</v>
      </c>
      <c r="S327" s="3">
        <f>+G327*E327</f>
        <v>40</v>
      </c>
    </row>
    <row r="328" spans="1:19" x14ac:dyDescent="0.25">
      <c r="A328" s="26"/>
      <c r="B328" s="45"/>
      <c r="C328" s="15">
        <v>10</v>
      </c>
      <c r="D328" s="16"/>
      <c r="E328" s="15">
        <v>2</v>
      </c>
      <c r="F328" s="11">
        <v>1</v>
      </c>
      <c r="G328" s="11">
        <v>20</v>
      </c>
      <c r="H328" s="12"/>
      <c r="I328" s="12">
        <v>2.95</v>
      </c>
      <c r="J328" s="22"/>
      <c r="K328" s="22">
        <f t="shared" si="178"/>
        <v>0.4</v>
      </c>
      <c r="L328" s="12">
        <f t="shared" ref="L328" si="180">SUM(H328:J328)+K328</f>
        <v>3.35</v>
      </c>
      <c r="M328" s="12">
        <f t="shared" si="161"/>
        <v>0</v>
      </c>
      <c r="N328" s="12">
        <f t="shared" si="103"/>
        <v>134</v>
      </c>
      <c r="O328" s="12">
        <f t="shared" si="104"/>
        <v>0</v>
      </c>
      <c r="P328" s="12">
        <f t="shared" si="108"/>
        <v>0</v>
      </c>
      <c r="Q328" s="12">
        <f t="shared" si="105"/>
        <v>0</v>
      </c>
      <c r="R328" s="12">
        <f t="shared" si="106"/>
        <v>0</v>
      </c>
    </row>
    <row r="329" spans="1:19" x14ac:dyDescent="0.25">
      <c r="A329" s="26"/>
      <c r="B329" s="25" t="s">
        <v>172</v>
      </c>
      <c r="C329" s="15"/>
      <c r="D329" s="16"/>
      <c r="E329" s="15"/>
      <c r="F329" s="11"/>
      <c r="G329" s="11"/>
      <c r="H329" s="12"/>
      <c r="I329" s="12"/>
      <c r="J329" s="22"/>
      <c r="K329" s="22"/>
      <c r="L329" s="12">
        <f t="shared" si="179"/>
        <v>0</v>
      </c>
      <c r="M329" s="12">
        <f t="shared" si="161"/>
        <v>0</v>
      </c>
      <c r="N329" s="12">
        <f t="shared" si="103"/>
        <v>0</v>
      </c>
      <c r="O329" s="12">
        <f t="shared" si="104"/>
        <v>0</v>
      </c>
      <c r="P329" s="12">
        <f t="shared" si="108"/>
        <v>0</v>
      </c>
      <c r="Q329" s="12">
        <f t="shared" si="105"/>
        <v>0</v>
      </c>
      <c r="R329" s="12">
        <f t="shared" si="106"/>
        <v>0</v>
      </c>
    </row>
    <row r="330" spans="1:19" x14ac:dyDescent="0.25">
      <c r="A330" s="26"/>
      <c r="B330" s="25" t="s">
        <v>200</v>
      </c>
      <c r="C330" s="15">
        <v>8</v>
      </c>
      <c r="D330" s="16">
        <v>100</v>
      </c>
      <c r="E330" s="15">
        <v>2</v>
      </c>
      <c r="F330" s="11">
        <v>2</v>
      </c>
      <c r="G330" s="11">
        <f t="shared" ref="G330:G334" si="181">+ROUND(2600/D330+1,0)</f>
        <v>27</v>
      </c>
      <c r="H330" s="12"/>
      <c r="I330" s="12">
        <f>2*(0.18+0.683)+24*C330/1000</f>
        <v>1.9179999999999999</v>
      </c>
      <c r="J330" s="22"/>
      <c r="K330" s="22"/>
      <c r="L330" s="12">
        <f t="shared" si="179"/>
        <v>1.9179999999999999</v>
      </c>
      <c r="M330" s="12">
        <f t="shared" si="161"/>
        <v>207.14</v>
      </c>
      <c r="N330" s="12">
        <f t="shared" si="103"/>
        <v>0</v>
      </c>
      <c r="O330" s="12">
        <f t="shared" si="104"/>
        <v>0</v>
      </c>
      <c r="P330" s="12">
        <f t="shared" si="108"/>
        <v>0</v>
      </c>
      <c r="Q330" s="12">
        <f t="shared" si="105"/>
        <v>0</v>
      </c>
      <c r="R330" s="12">
        <f t="shared" si="106"/>
        <v>0</v>
      </c>
    </row>
    <row r="331" spans="1:19" x14ac:dyDescent="0.25">
      <c r="A331" s="26"/>
      <c r="B331" s="25" t="s">
        <v>201</v>
      </c>
      <c r="C331" s="15">
        <v>8</v>
      </c>
      <c r="D331" s="16">
        <v>100</v>
      </c>
      <c r="E331" s="15">
        <v>2</v>
      </c>
      <c r="F331" s="11">
        <f>2*2</f>
        <v>4</v>
      </c>
      <c r="G331" s="11">
        <f t="shared" si="181"/>
        <v>27</v>
      </c>
      <c r="H331" s="12"/>
      <c r="I331" s="12">
        <f>2*(0.18+0.128)+24*C331/1000</f>
        <v>0.80800000000000005</v>
      </c>
      <c r="J331" s="22"/>
      <c r="K331" s="22"/>
      <c r="L331" s="12">
        <f t="shared" si="179"/>
        <v>0.80800000000000005</v>
      </c>
      <c r="M331" s="12">
        <f t="shared" si="161"/>
        <v>174.53</v>
      </c>
      <c r="N331" s="12">
        <f t="shared" si="103"/>
        <v>0</v>
      </c>
      <c r="O331" s="12">
        <f t="shared" si="104"/>
        <v>0</v>
      </c>
      <c r="P331" s="12">
        <f t="shared" si="108"/>
        <v>0</v>
      </c>
      <c r="Q331" s="12">
        <f t="shared" si="105"/>
        <v>0</v>
      </c>
      <c r="R331" s="12">
        <f t="shared" si="106"/>
        <v>0</v>
      </c>
    </row>
    <row r="332" spans="1:19" x14ac:dyDescent="0.25">
      <c r="A332" s="26"/>
      <c r="B332" s="25" t="s">
        <v>173</v>
      </c>
      <c r="C332" s="15">
        <v>8</v>
      </c>
      <c r="D332" s="16">
        <v>100</v>
      </c>
      <c r="E332" s="15">
        <v>2</v>
      </c>
      <c r="F332" s="11">
        <v>2</v>
      </c>
      <c r="G332" s="11">
        <f t="shared" si="181"/>
        <v>27</v>
      </c>
      <c r="H332" s="12"/>
      <c r="I332" s="12">
        <f>0.18+(20*C332/1000)</f>
        <v>0.33999999999999997</v>
      </c>
      <c r="J332" s="22"/>
      <c r="K332" s="22"/>
      <c r="L332" s="12">
        <f t="shared" si="179"/>
        <v>0.33999999999999997</v>
      </c>
      <c r="M332" s="12">
        <f t="shared" si="161"/>
        <v>36.72</v>
      </c>
      <c r="N332" s="12">
        <f t="shared" si="103"/>
        <v>0</v>
      </c>
      <c r="O332" s="12">
        <f t="shared" si="104"/>
        <v>0</v>
      </c>
      <c r="P332" s="12">
        <f t="shared" si="108"/>
        <v>0</v>
      </c>
      <c r="Q332" s="12">
        <f t="shared" si="105"/>
        <v>0</v>
      </c>
      <c r="R332" s="12">
        <f t="shared" si="106"/>
        <v>0</v>
      </c>
    </row>
    <row r="333" spans="1:19" x14ac:dyDescent="0.25">
      <c r="A333" s="26"/>
      <c r="B333" s="25" t="s">
        <v>202</v>
      </c>
      <c r="C333" s="15">
        <v>8</v>
      </c>
      <c r="D333" s="16">
        <v>200</v>
      </c>
      <c r="E333" s="15">
        <v>2</v>
      </c>
      <c r="F333" s="11">
        <v>1</v>
      </c>
      <c r="G333" s="11">
        <f t="shared" si="181"/>
        <v>14</v>
      </c>
      <c r="H333" s="12"/>
      <c r="I333" s="12">
        <f>2*(0.18+2.061)+24*C333/1000</f>
        <v>4.6740000000000004</v>
      </c>
      <c r="J333" s="22"/>
      <c r="K333" s="22"/>
      <c r="L333" s="12">
        <f t="shared" si="179"/>
        <v>4.6740000000000004</v>
      </c>
      <c r="M333" s="12">
        <f t="shared" si="161"/>
        <v>130.87</v>
      </c>
      <c r="N333" s="12">
        <f t="shared" si="103"/>
        <v>0</v>
      </c>
      <c r="O333" s="12">
        <f t="shared" si="104"/>
        <v>0</v>
      </c>
      <c r="P333" s="12">
        <f t="shared" si="108"/>
        <v>0</v>
      </c>
      <c r="Q333" s="12">
        <f t="shared" si="105"/>
        <v>0</v>
      </c>
      <c r="R333" s="12">
        <f t="shared" si="106"/>
        <v>0</v>
      </c>
    </row>
    <row r="334" spans="1:19" x14ac:dyDescent="0.25">
      <c r="A334" s="26"/>
      <c r="B334" s="25" t="s">
        <v>177</v>
      </c>
      <c r="C334" s="15">
        <v>8</v>
      </c>
      <c r="D334" s="16">
        <v>400</v>
      </c>
      <c r="E334" s="15">
        <v>2</v>
      </c>
      <c r="F334" s="11">
        <v>5</v>
      </c>
      <c r="G334" s="11">
        <f t="shared" si="181"/>
        <v>8</v>
      </c>
      <c r="H334" s="12"/>
      <c r="I334" s="12">
        <f>0.18+(20*C334/1000)</f>
        <v>0.33999999999999997</v>
      </c>
      <c r="J334" s="22"/>
      <c r="K334" s="22"/>
      <c r="L334" s="12">
        <f t="shared" ref="L334" si="182">SUM(H334:J334)+K334</f>
        <v>0.33999999999999997</v>
      </c>
      <c r="M334" s="12">
        <f t="shared" si="161"/>
        <v>27.2</v>
      </c>
      <c r="N334" s="12">
        <f t="shared" si="103"/>
        <v>0</v>
      </c>
      <c r="O334" s="12">
        <f t="shared" si="104"/>
        <v>0</v>
      </c>
      <c r="P334" s="12">
        <f t="shared" si="108"/>
        <v>0</v>
      </c>
      <c r="Q334" s="12">
        <f t="shared" si="105"/>
        <v>0</v>
      </c>
      <c r="R334" s="12">
        <f t="shared" si="106"/>
        <v>0</v>
      </c>
    </row>
    <row r="335" spans="1:19" x14ac:dyDescent="0.25">
      <c r="A335" s="94">
        <f>+E335</f>
        <v>2</v>
      </c>
      <c r="B335" s="45" t="s">
        <v>203</v>
      </c>
      <c r="C335" s="15">
        <v>16</v>
      </c>
      <c r="D335" s="16"/>
      <c r="E335" s="15">
        <v>2</v>
      </c>
      <c r="F335" s="11">
        <v>1</v>
      </c>
      <c r="G335" s="11">
        <v>16</v>
      </c>
      <c r="H335" s="12"/>
      <c r="I335" s="12">
        <v>2.95</v>
      </c>
      <c r="J335" s="22"/>
      <c r="K335" s="22">
        <f t="shared" ref="K335:K337" si="183">1*40*C335/1000</f>
        <v>0.64</v>
      </c>
      <c r="L335" s="12">
        <f t="shared" ref="L335:L341" si="184">SUM(H335:J335)+K335</f>
        <v>3.5900000000000003</v>
      </c>
      <c r="M335" s="12">
        <f t="shared" si="161"/>
        <v>0</v>
      </c>
      <c r="N335" s="12">
        <f t="shared" si="103"/>
        <v>0</v>
      </c>
      <c r="O335" s="12">
        <f t="shared" si="104"/>
        <v>0</v>
      </c>
      <c r="P335" s="12">
        <f t="shared" si="108"/>
        <v>114.88</v>
      </c>
      <c r="Q335" s="12">
        <f t="shared" si="105"/>
        <v>0</v>
      </c>
      <c r="R335" s="12">
        <f t="shared" si="106"/>
        <v>0</v>
      </c>
      <c r="S335" s="3">
        <f>+G335*E335</f>
        <v>32</v>
      </c>
    </row>
    <row r="336" spans="1:19" x14ac:dyDescent="0.25">
      <c r="A336" s="26"/>
      <c r="B336" s="45"/>
      <c r="C336" s="15">
        <v>12</v>
      </c>
      <c r="D336" s="16"/>
      <c r="E336" s="15">
        <v>2</v>
      </c>
      <c r="F336" s="11">
        <v>1</v>
      </c>
      <c r="G336" s="11">
        <v>24</v>
      </c>
      <c r="H336" s="12"/>
      <c r="I336" s="12">
        <v>2.95</v>
      </c>
      <c r="J336" s="22"/>
      <c r="K336" s="22">
        <f t="shared" si="183"/>
        <v>0.48</v>
      </c>
      <c r="L336" s="12">
        <f t="shared" si="184"/>
        <v>3.43</v>
      </c>
      <c r="M336" s="12">
        <f t="shared" si="161"/>
        <v>0</v>
      </c>
      <c r="N336" s="12">
        <f t="shared" si="103"/>
        <v>0</v>
      </c>
      <c r="O336" s="12">
        <f t="shared" si="104"/>
        <v>164.64</v>
      </c>
      <c r="P336" s="12">
        <f t="shared" si="108"/>
        <v>0</v>
      </c>
      <c r="Q336" s="12">
        <f t="shared" si="105"/>
        <v>0</v>
      </c>
      <c r="R336" s="12">
        <f t="shared" si="106"/>
        <v>0</v>
      </c>
      <c r="S336" s="3">
        <f>+G336*E336</f>
        <v>48</v>
      </c>
    </row>
    <row r="337" spans="1:19" x14ac:dyDescent="0.25">
      <c r="A337" s="26"/>
      <c r="B337" s="45"/>
      <c r="C337" s="15">
        <v>10</v>
      </c>
      <c r="D337" s="16"/>
      <c r="E337" s="15">
        <v>2</v>
      </c>
      <c r="F337" s="11">
        <v>1</v>
      </c>
      <c r="G337" s="11">
        <v>20</v>
      </c>
      <c r="H337" s="12"/>
      <c r="I337" s="12">
        <v>2.95</v>
      </c>
      <c r="J337" s="22"/>
      <c r="K337" s="22">
        <f t="shared" si="183"/>
        <v>0.4</v>
      </c>
      <c r="L337" s="12">
        <f t="shared" si="184"/>
        <v>3.35</v>
      </c>
      <c r="M337" s="12">
        <f t="shared" si="161"/>
        <v>0</v>
      </c>
      <c r="N337" s="12">
        <f t="shared" si="103"/>
        <v>134</v>
      </c>
      <c r="O337" s="12">
        <f t="shared" si="104"/>
        <v>0</v>
      </c>
      <c r="P337" s="12">
        <f t="shared" si="108"/>
        <v>0</v>
      </c>
      <c r="Q337" s="12">
        <f t="shared" si="105"/>
        <v>0</v>
      </c>
      <c r="R337" s="12">
        <f t="shared" si="106"/>
        <v>0</v>
      </c>
    </row>
    <row r="338" spans="1:19" x14ac:dyDescent="0.25">
      <c r="A338" s="26"/>
      <c r="B338" s="25" t="s">
        <v>172</v>
      </c>
      <c r="C338" s="15"/>
      <c r="D338" s="16"/>
      <c r="E338" s="15"/>
      <c r="F338" s="11"/>
      <c r="G338" s="11"/>
      <c r="H338" s="12"/>
      <c r="I338" s="12"/>
      <c r="J338" s="22"/>
      <c r="K338" s="22"/>
      <c r="L338" s="12">
        <f t="shared" si="184"/>
        <v>0</v>
      </c>
      <c r="M338" s="12">
        <f t="shared" si="161"/>
        <v>0</v>
      </c>
      <c r="N338" s="12">
        <f t="shared" si="103"/>
        <v>0</v>
      </c>
      <c r="O338" s="12">
        <f t="shared" si="104"/>
        <v>0</v>
      </c>
      <c r="P338" s="12">
        <f t="shared" si="108"/>
        <v>0</v>
      </c>
      <c r="Q338" s="12">
        <f t="shared" si="105"/>
        <v>0</v>
      </c>
      <c r="R338" s="12">
        <f t="shared" si="106"/>
        <v>0</v>
      </c>
    </row>
    <row r="339" spans="1:19" x14ac:dyDescent="0.25">
      <c r="A339" s="26"/>
      <c r="B339" s="25" t="s">
        <v>204</v>
      </c>
      <c r="C339" s="15">
        <v>8</v>
      </c>
      <c r="D339" s="16">
        <v>100</v>
      </c>
      <c r="E339" s="15">
        <v>2</v>
      </c>
      <c r="F339" s="11">
        <v>2</v>
      </c>
      <c r="G339" s="11">
        <f t="shared" ref="G339:G342" si="185">+ROUND(2600/D339+1,0)</f>
        <v>27</v>
      </c>
      <c r="H339" s="12"/>
      <c r="I339" s="12">
        <f>2*(0.18+0.983)+24*C339/1000</f>
        <v>2.5180000000000002</v>
      </c>
      <c r="J339" s="22"/>
      <c r="K339" s="22"/>
      <c r="L339" s="12">
        <f t="shared" si="184"/>
        <v>2.5180000000000002</v>
      </c>
      <c r="M339" s="12">
        <f t="shared" si="161"/>
        <v>271.94</v>
      </c>
      <c r="N339" s="12">
        <f t="shared" si="103"/>
        <v>0</v>
      </c>
      <c r="O339" s="12">
        <f t="shared" si="104"/>
        <v>0</v>
      </c>
      <c r="P339" s="12">
        <f t="shared" si="108"/>
        <v>0</v>
      </c>
      <c r="Q339" s="12">
        <f t="shared" si="105"/>
        <v>0</v>
      </c>
      <c r="R339" s="12">
        <f t="shared" si="106"/>
        <v>0</v>
      </c>
    </row>
    <row r="340" spans="1:19" x14ac:dyDescent="0.25">
      <c r="A340" s="26"/>
      <c r="B340" s="25" t="s">
        <v>205</v>
      </c>
      <c r="C340" s="15">
        <v>8</v>
      </c>
      <c r="D340" s="16">
        <v>100</v>
      </c>
      <c r="E340" s="15">
        <v>2</v>
      </c>
      <c r="F340" s="11">
        <f>2*4</f>
        <v>8</v>
      </c>
      <c r="G340" s="11">
        <f t="shared" si="185"/>
        <v>27</v>
      </c>
      <c r="H340" s="12"/>
      <c r="I340" s="12">
        <f>2*(0.18+0.124)+24*C340/1000</f>
        <v>0.8</v>
      </c>
      <c r="J340" s="22"/>
      <c r="K340" s="22"/>
      <c r="L340" s="12">
        <f t="shared" si="184"/>
        <v>0.8</v>
      </c>
      <c r="M340" s="12">
        <f t="shared" si="161"/>
        <v>345.6</v>
      </c>
      <c r="N340" s="12">
        <f t="shared" si="103"/>
        <v>0</v>
      </c>
      <c r="O340" s="12">
        <f t="shared" si="104"/>
        <v>0</v>
      </c>
      <c r="P340" s="12">
        <f t="shared" si="108"/>
        <v>0</v>
      </c>
      <c r="Q340" s="12">
        <f t="shared" si="105"/>
        <v>0</v>
      </c>
      <c r="R340" s="12">
        <f t="shared" si="106"/>
        <v>0</v>
      </c>
    </row>
    <row r="341" spans="1:19" x14ac:dyDescent="0.25">
      <c r="A341" s="26"/>
      <c r="B341" s="25" t="s">
        <v>206</v>
      </c>
      <c r="C341" s="15">
        <v>8</v>
      </c>
      <c r="D341" s="16">
        <v>200</v>
      </c>
      <c r="E341" s="15">
        <v>2</v>
      </c>
      <c r="F341" s="11">
        <v>1</v>
      </c>
      <c r="G341" s="11">
        <f t="shared" si="185"/>
        <v>14</v>
      </c>
      <c r="H341" s="12"/>
      <c r="I341" s="12">
        <f>2*(0.18+2.081)+24*C341/1000</f>
        <v>4.7140000000000004</v>
      </c>
      <c r="J341" s="22"/>
      <c r="K341" s="22"/>
      <c r="L341" s="12">
        <f t="shared" si="184"/>
        <v>4.7140000000000004</v>
      </c>
      <c r="M341" s="12">
        <f t="shared" si="161"/>
        <v>131.99</v>
      </c>
      <c r="N341" s="12">
        <f t="shared" si="103"/>
        <v>0</v>
      </c>
      <c r="O341" s="12">
        <f t="shared" si="104"/>
        <v>0</v>
      </c>
      <c r="P341" s="12">
        <f t="shared" si="108"/>
        <v>0</v>
      </c>
      <c r="Q341" s="12">
        <f t="shared" si="105"/>
        <v>0</v>
      </c>
      <c r="R341" s="12">
        <f t="shared" si="106"/>
        <v>0</v>
      </c>
    </row>
    <row r="342" spans="1:19" x14ac:dyDescent="0.25">
      <c r="A342" s="26"/>
      <c r="B342" s="25" t="s">
        <v>177</v>
      </c>
      <c r="C342" s="15">
        <v>8</v>
      </c>
      <c r="D342" s="16">
        <v>400</v>
      </c>
      <c r="E342" s="15">
        <v>2</v>
      </c>
      <c r="F342" s="11">
        <v>5</v>
      </c>
      <c r="G342" s="11">
        <f t="shared" si="185"/>
        <v>8</v>
      </c>
      <c r="H342" s="12"/>
      <c r="I342" s="12">
        <f>0.18+(20*C342/1000)</f>
        <v>0.33999999999999997</v>
      </c>
      <c r="J342" s="22"/>
      <c r="K342" s="22"/>
      <c r="L342" s="12">
        <f t="shared" ref="L342" si="186">SUM(H342:J342)+K342</f>
        <v>0.33999999999999997</v>
      </c>
      <c r="M342" s="12">
        <f t="shared" si="161"/>
        <v>27.2</v>
      </c>
      <c r="N342" s="12">
        <f t="shared" si="103"/>
        <v>0</v>
      </c>
      <c r="O342" s="12">
        <f t="shared" si="104"/>
        <v>0</v>
      </c>
      <c r="P342" s="12">
        <f t="shared" si="108"/>
        <v>0</v>
      </c>
      <c r="Q342" s="12">
        <f t="shared" si="105"/>
        <v>0</v>
      </c>
      <c r="R342" s="12">
        <f t="shared" si="106"/>
        <v>0</v>
      </c>
    </row>
    <row r="343" spans="1:19" x14ac:dyDescent="0.25">
      <c r="A343" s="94">
        <f>+E343</f>
        <v>2</v>
      </c>
      <c r="B343" s="45" t="s">
        <v>207</v>
      </c>
      <c r="C343" s="15">
        <v>16</v>
      </c>
      <c r="D343" s="16"/>
      <c r="E343" s="15">
        <v>2</v>
      </c>
      <c r="F343" s="11">
        <v>1</v>
      </c>
      <c r="G343" s="11">
        <v>8</v>
      </c>
      <c r="H343" s="12"/>
      <c r="I343" s="12">
        <v>2.95</v>
      </c>
      <c r="J343" s="22"/>
      <c r="K343" s="22">
        <f t="shared" ref="K343:K345" si="187">1*40*C343/1000</f>
        <v>0.64</v>
      </c>
      <c r="L343" s="12">
        <f t="shared" ref="L343:L360" si="188">SUM(H343:J343)+K343</f>
        <v>3.5900000000000003</v>
      </c>
      <c r="M343" s="12">
        <f t="shared" si="161"/>
        <v>0</v>
      </c>
      <c r="N343" s="12">
        <f t="shared" si="103"/>
        <v>0</v>
      </c>
      <c r="O343" s="12">
        <f t="shared" si="104"/>
        <v>0</v>
      </c>
      <c r="P343" s="12">
        <f t="shared" si="108"/>
        <v>57.44</v>
      </c>
      <c r="Q343" s="12">
        <f t="shared" si="105"/>
        <v>0</v>
      </c>
      <c r="R343" s="12">
        <f t="shared" si="106"/>
        <v>0</v>
      </c>
      <c r="S343" s="3">
        <f>+G343*E343</f>
        <v>16</v>
      </c>
    </row>
    <row r="344" spans="1:19" x14ac:dyDescent="0.25">
      <c r="A344" s="26"/>
      <c r="B344" s="25"/>
      <c r="C344" s="15">
        <v>12</v>
      </c>
      <c r="D344" s="16"/>
      <c r="E344" s="15">
        <v>2</v>
      </c>
      <c r="F344" s="11">
        <v>1</v>
      </c>
      <c r="G344" s="11">
        <v>16</v>
      </c>
      <c r="H344" s="12"/>
      <c r="I344" s="12">
        <v>2.95</v>
      </c>
      <c r="J344" s="22"/>
      <c r="K344" s="22">
        <f t="shared" si="187"/>
        <v>0.48</v>
      </c>
      <c r="L344" s="12">
        <f t="shared" si="188"/>
        <v>3.43</v>
      </c>
      <c r="M344" s="12">
        <f t="shared" si="161"/>
        <v>0</v>
      </c>
      <c r="N344" s="12">
        <f t="shared" si="103"/>
        <v>0</v>
      </c>
      <c r="O344" s="12">
        <f t="shared" si="104"/>
        <v>109.76</v>
      </c>
      <c r="P344" s="12">
        <f t="shared" si="108"/>
        <v>0</v>
      </c>
      <c r="Q344" s="12">
        <f t="shared" si="105"/>
        <v>0</v>
      </c>
      <c r="R344" s="12">
        <f t="shared" si="106"/>
        <v>0</v>
      </c>
      <c r="S344" s="3">
        <f>+G344*E344</f>
        <v>32</v>
      </c>
    </row>
    <row r="345" spans="1:19" x14ac:dyDescent="0.25">
      <c r="A345" s="26"/>
      <c r="B345" s="25"/>
      <c r="C345" s="15">
        <v>10</v>
      </c>
      <c r="D345" s="16"/>
      <c r="E345" s="15">
        <v>2</v>
      </c>
      <c r="F345" s="11">
        <v>1</v>
      </c>
      <c r="G345" s="11">
        <v>6</v>
      </c>
      <c r="H345" s="12"/>
      <c r="I345" s="12">
        <v>2.95</v>
      </c>
      <c r="J345" s="22"/>
      <c r="K345" s="22">
        <f t="shared" si="187"/>
        <v>0.4</v>
      </c>
      <c r="L345" s="12">
        <f t="shared" si="188"/>
        <v>3.35</v>
      </c>
      <c r="M345" s="12">
        <f t="shared" si="161"/>
        <v>0</v>
      </c>
      <c r="N345" s="12">
        <f t="shared" si="103"/>
        <v>40.200000000000003</v>
      </c>
      <c r="O345" s="12">
        <f t="shared" si="104"/>
        <v>0</v>
      </c>
      <c r="P345" s="12">
        <f t="shared" si="108"/>
        <v>0</v>
      </c>
      <c r="Q345" s="12">
        <f t="shared" si="105"/>
        <v>0</v>
      </c>
      <c r="R345" s="12">
        <f t="shared" si="106"/>
        <v>0</v>
      </c>
    </row>
    <row r="346" spans="1:19" x14ac:dyDescent="0.25">
      <c r="A346" s="26"/>
      <c r="B346" s="25" t="s">
        <v>172</v>
      </c>
      <c r="C346" s="15"/>
      <c r="D346" s="16"/>
      <c r="E346" s="15"/>
      <c r="F346" s="11"/>
      <c r="G346" s="11"/>
      <c r="H346" s="12"/>
      <c r="I346" s="12"/>
      <c r="J346" s="22"/>
      <c r="K346" s="22"/>
      <c r="L346" s="12">
        <f t="shared" si="188"/>
        <v>0</v>
      </c>
      <c r="M346" s="12">
        <f t="shared" si="161"/>
        <v>0</v>
      </c>
      <c r="N346" s="12">
        <f t="shared" si="103"/>
        <v>0</v>
      </c>
      <c r="O346" s="12">
        <f t="shared" si="104"/>
        <v>0</v>
      </c>
      <c r="P346" s="12">
        <f t="shared" si="108"/>
        <v>0</v>
      </c>
      <c r="Q346" s="12">
        <f t="shared" si="105"/>
        <v>0</v>
      </c>
      <c r="R346" s="12">
        <f t="shared" si="106"/>
        <v>0</v>
      </c>
    </row>
    <row r="347" spans="1:19" x14ac:dyDescent="0.25">
      <c r="A347" s="26"/>
      <c r="B347" s="25" t="s">
        <v>188</v>
      </c>
      <c r="C347" s="15">
        <v>8</v>
      </c>
      <c r="D347" s="16">
        <v>100</v>
      </c>
      <c r="E347" s="15">
        <v>2</v>
      </c>
      <c r="F347" s="11">
        <v>1</v>
      </c>
      <c r="G347" s="11">
        <f t="shared" ref="G347:G354" si="189">+ROUND(2600/D347+1,0)</f>
        <v>27</v>
      </c>
      <c r="H347" s="12"/>
      <c r="I347" s="12">
        <f>2*(0.18+0.6)+24*C347/1000</f>
        <v>1.752</v>
      </c>
      <c r="J347" s="22"/>
      <c r="K347" s="22"/>
      <c r="L347" s="12">
        <f t="shared" si="188"/>
        <v>1.752</v>
      </c>
      <c r="M347" s="12">
        <f t="shared" si="161"/>
        <v>94.61</v>
      </c>
      <c r="N347" s="12">
        <f t="shared" si="103"/>
        <v>0</v>
      </c>
      <c r="O347" s="12">
        <f t="shared" si="104"/>
        <v>0</v>
      </c>
      <c r="P347" s="12">
        <f t="shared" si="108"/>
        <v>0</v>
      </c>
      <c r="Q347" s="12">
        <f t="shared" si="105"/>
        <v>0</v>
      </c>
      <c r="R347" s="12">
        <f t="shared" si="106"/>
        <v>0</v>
      </c>
    </row>
    <row r="348" spans="1:19" x14ac:dyDescent="0.25">
      <c r="A348" s="26"/>
      <c r="B348" s="25" t="s">
        <v>174</v>
      </c>
      <c r="C348" s="15">
        <v>8</v>
      </c>
      <c r="D348" s="16">
        <v>100</v>
      </c>
      <c r="E348" s="15">
        <v>2</v>
      </c>
      <c r="F348" s="11">
        <v>1</v>
      </c>
      <c r="G348" s="11">
        <f t="shared" si="189"/>
        <v>27</v>
      </c>
      <c r="H348" s="12"/>
      <c r="I348" s="12">
        <f>2*(0.18+0.248)+24*C348/1000</f>
        <v>1.048</v>
      </c>
      <c r="J348" s="22"/>
      <c r="K348" s="22"/>
      <c r="L348" s="12">
        <f t="shared" si="188"/>
        <v>1.048</v>
      </c>
      <c r="M348" s="12">
        <f t="shared" si="161"/>
        <v>56.59</v>
      </c>
      <c r="N348" s="12">
        <f t="shared" si="103"/>
        <v>0</v>
      </c>
      <c r="O348" s="12">
        <f t="shared" si="104"/>
        <v>0</v>
      </c>
      <c r="P348" s="12">
        <f t="shared" si="108"/>
        <v>0</v>
      </c>
      <c r="Q348" s="12">
        <f t="shared" si="105"/>
        <v>0</v>
      </c>
      <c r="R348" s="12">
        <f t="shared" si="106"/>
        <v>0</v>
      </c>
    </row>
    <row r="349" spans="1:19" x14ac:dyDescent="0.25">
      <c r="A349" s="26"/>
      <c r="B349" s="25" t="s">
        <v>173</v>
      </c>
      <c r="C349" s="15">
        <v>8</v>
      </c>
      <c r="D349" s="16">
        <v>100</v>
      </c>
      <c r="E349" s="15">
        <v>2</v>
      </c>
      <c r="F349" s="11">
        <v>1</v>
      </c>
      <c r="G349" s="11">
        <f t="shared" si="189"/>
        <v>27</v>
      </c>
      <c r="H349" s="12"/>
      <c r="I349" s="12">
        <f>0.18+(20*C349/1000)</f>
        <v>0.33999999999999997</v>
      </c>
      <c r="J349" s="22"/>
      <c r="K349" s="22"/>
      <c r="L349" s="12">
        <f t="shared" si="188"/>
        <v>0.33999999999999997</v>
      </c>
      <c r="M349" s="12">
        <f t="shared" si="161"/>
        <v>18.36</v>
      </c>
      <c r="N349" s="12">
        <f t="shared" si="103"/>
        <v>0</v>
      </c>
      <c r="O349" s="12">
        <f t="shared" si="104"/>
        <v>0</v>
      </c>
      <c r="P349" s="12">
        <f t="shared" si="108"/>
        <v>0</v>
      </c>
      <c r="Q349" s="12">
        <f t="shared" si="105"/>
        <v>0</v>
      </c>
      <c r="R349" s="12">
        <f t="shared" si="106"/>
        <v>0</v>
      </c>
    </row>
    <row r="350" spans="1:19" x14ac:dyDescent="0.25">
      <c r="A350" s="26"/>
      <c r="B350" s="25" t="s">
        <v>189</v>
      </c>
      <c r="C350" s="15">
        <v>8</v>
      </c>
      <c r="D350" s="16">
        <v>100</v>
      </c>
      <c r="E350" s="15">
        <v>2</v>
      </c>
      <c r="F350" s="11">
        <v>2</v>
      </c>
      <c r="G350" s="11">
        <f t="shared" si="189"/>
        <v>27</v>
      </c>
      <c r="H350" s="12"/>
      <c r="I350" s="12">
        <f>2*(0.18+0.385)+24*C350/1000</f>
        <v>1.3219999999999998</v>
      </c>
      <c r="J350" s="22"/>
      <c r="K350" s="22"/>
      <c r="L350" s="12">
        <f t="shared" si="188"/>
        <v>1.3219999999999998</v>
      </c>
      <c r="M350" s="12">
        <f t="shared" si="161"/>
        <v>142.78</v>
      </c>
      <c r="N350" s="12">
        <f t="shared" si="103"/>
        <v>0</v>
      </c>
      <c r="O350" s="12">
        <f t="shared" si="104"/>
        <v>0</v>
      </c>
      <c r="P350" s="12">
        <f t="shared" si="108"/>
        <v>0</v>
      </c>
      <c r="Q350" s="12">
        <f t="shared" si="105"/>
        <v>0</v>
      </c>
      <c r="R350" s="12">
        <f t="shared" si="106"/>
        <v>0</v>
      </c>
    </row>
    <row r="351" spans="1:19" x14ac:dyDescent="0.25">
      <c r="A351" s="26"/>
      <c r="B351" s="25" t="s">
        <v>175</v>
      </c>
      <c r="C351" s="15">
        <v>8</v>
      </c>
      <c r="D351" s="16">
        <v>100</v>
      </c>
      <c r="E351" s="15">
        <v>2</v>
      </c>
      <c r="F351" s="11">
        <v>1</v>
      </c>
      <c r="G351" s="11">
        <f t="shared" si="189"/>
        <v>27</v>
      </c>
      <c r="H351" s="12"/>
      <c r="I351" s="12">
        <f>2*(0.18+0.268)+24*C351/1000</f>
        <v>1.0880000000000001</v>
      </c>
      <c r="J351" s="22"/>
      <c r="K351" s="22"/>
      <c r="L351" s="12">
        <f t="shared" si="188"/>
        <v>1.0880000000000001</v>
      </c>
      <c r="M351" s="12">
        <f t="shared" si="161"/>
        <v>58.75</v>
      </c>
      <c r="N351" s="12">
        <f t="shared" si="103"/>
        <v>0</v>
      </c>
      <c r="O351" s="12">
        <f t="shared" si="104"/>
        <v>0</v>
      </c>
      <c r="P351" s="12">
        <f t="shared" si="108"/>
        <v>0</v>
      </c>
      <c r="Q351" s="12">
        <f t="shared" si="105"/>
        <v>0</v>
      </c>
      <c r="R351" s="12">
        <f t="shared" si="106"/>
        <v>0</v>
      </c>
    </row>
    <row r="352" spans="1:19" x14ac:dyDescent="0.25">
      <c r="A352" s="26"/>
      <c r="B352" s="25" t="s">
        <v>173</v>
      </c>
      <c r="C352" s="15">
        <v>8</v>
      </c>
      <c r="D352" s="16">
        <v>100</v>
      </c>
      <c r="E352" s="15">
        <v>2</v>
      </c>
      <c r="F352" s="11">
        <v>1</v>
      </c>
      <c r="G352" s="11">
        <f t="shared" si="189"/>
        <v>27</v>
      </c>
      <c r="H352" s="12"/>
      <c r="I352" s="12">
        <f>0.18+(20*C352/1000)</f>
        <v>0.33999999999999997</v>
      </c>
      <c r="J352" s="22"/>
      <c r="K352" s="22"/>
      <c r="L352" s="12">
        <f t="shared" si="188"/>
        <v>0.33999999999999997</v>
      </c>
      <c r="M352" s="12">
        <f t="shared" si="161"/>
        <v>18.36</v>
      </c>
      <c r="N352" s="12">
        <f t="shared" si="103"/>
        <v>0</v>
      </c>
      <c r="O352" s="12">
        <f t="shared" si="104"/>
        <v>0</v>
      </c>
      <c r="P352" s="12">
        <f t="shared" si="108"/>
        <v>0</v>
      </c>
      <c r="Q352" s="12">
        <f t="shared" si="105"/>
        <v>0</v>
      </c>
      <c r="R352" s="12">
        <f t="shared" si="106"/>
        <v>0</v>
      </c>
    </row>
    <row r="353" spans="1:19" x14ac:dyDescent="0.25">
      <c r="A353" s="26"/>
      <c r="B353" s="25" t="s">
        <v>208</v>
      </c>
      <c r="C353" s="15">
        <v>8</v>
      </c>
      <c r="D353" s="16">
        <v>200</v>
      </c>
      <c r="E353" s="15">
        <v>2</v>
      </c>
      <c r="F353" s="11">
        <v>1</v>
      </c>
      <c r="G353" s="11">
        <f t="shared" si="189"/>
        <v>14</v>
      </c>
      <c r="H353" s="12"/>
      <c r="I353" s="12">
        <f>2*(0.18+0.751)+24*C353/1000</f>
        <v>2.0540000000000003</v>
      </c>
      <c r="J353" s="22"/>
      <c r="K353" s="22"/>
      <c r="L353" s="12">
        <f t="shared" si="188"/>
        <v>2.0540000000000003</v>
      </c>
      <c r="M353" s="12">
        <f t="shared" si="161"/>
        <v>57.51</v>
      </c>
      <c r="N353" s="12">
        <f t="shared" si="103"/>
        <v>0</v>
      </c>
      <c r="O353" s="12">
        <f t="shared" si="104"/>
        <v>0</v>
      </c>
      <c r="P353" s="12">
        <f t="shared" si="108"/>
        <v>0</v>
      </c>
      <c r="Q353" s="12">
        <f t="shared" si="105"/>
        <v>0</v>
      </c>
      <c r="R353" s="12">
        <f t="shared" si="106"/>
        <v>0</v>
      </c>
    </row>
    <row r="354" spans="1:19" x14ac:dyDescent="0.25">
      <c r="A354" s="26"/>
      <c r="B354" s="25" t="s">
        <v>177</v>
      </c>
      <c r="C354" s="15">
        <v>8</v>
      </c>
      <c r="D354" s="16">
        <v>400</v>
      </c>
      <c r="E354" s="15">
        <v>2</v>
      </c>
      <c r="F354" s="11">
        <v>1</v>
      </c>
      <c r="G354" s="11">
        <f t="shared" si="189"/>
        <v>8</v>
      </c>
      <c r="H354" s="12"/>
      <c r="I354" s="12">
        <f>0.18+(20*C354/1000)</f>
        <v>0.33999999999999997</v>
      </c>
      <c r="J354" s="22"/>
      <c r="K354" s="22"/>
      <c r="L354" s="12">
        <f t="shared" si="188"/>
        <v>0.33999999999999997</v>
      </c>
      <c r="M354" s="12">
        <f t="shared" si="161"/>
        <v>5.44</v>
      </c>
      <c r="N354" s="12">
        <f t="shared" si="103"/>
        <v>0</v>
      </c>
      <c r="O354" s="12">
        <f t="shared" si="104"/>
        <v>0</v>
      </c>
      <c r="P354" s="12">
        <f t="shared" si="108"/>
        <v>0</v>
      </c>
      <c r="Q354" s="12">
        <f t="shared" si="105"/>
        <v>0</v>
      </c>
      <c r="R354" s="12">
        <f t="shared" si="106"/>
        <v>0</v>
      </c>
    </row>
    <row r="355" spans="1:19" x14ac:dyDescent="0.25">
      <c r="A355" s="94">
        <f>+E355</f>
        <v>2</v>
      </c>
      <c r="B355" s="45" t="s">
        <v>209</v>
      </c>
      <c r="C355" s="15">
        <v>16</v>
      </c>
      <c r="D355" s="16"/>
      <c r="E355" s="15">
        <v>2</v>
      </c>
      <c r="F355" s="11">
        <v>1</v>
      </c>
      <c r="G355" s="11">
        <v>8</v>
      </c>
      <c r="H355" s="12"/>
      <c r="I355" s="12">
        <v>2.95</v>
      </c>
      <c r="J355" s="22"/>
      <c r="K355" s="22">
        <f t="shared" ref="K355:K357" si="190">1*40*C355/1000</f>
        <v>0.64</v>
      </c>
      <c r="L355" s="12">
        <f t="shared" si="188"/>
        <v>3.5900000000000003</v>
      </c>
      <c r="M355" s="12">
        <f t="shared" si="161"/>
        <v>0</v>
      </c>
      <c r="N355" s="12">
        <f t="shared" si="103"/>
        <v>0</v>
      </c>
      <c r="O355" s="12">
        <f t="shared" si="104"/>
        <v>0</v>
      </c>
      <c r="P355" s="12">
        <f t="shared" si="108"/>
        <v>57.44</v>
      </c>
      <c r="Q355" s="12">
        <f t="shared" si="105"/>
        <v>0</v>
      </c>
      <c r="R355" s="12">
        <f t="shared" si="106"/>
        <v>0</v>
      </c>
      <c r="S355" s="3">
        <f>+G355*E355</f>
        <v>16</v>
      </c>
    </row>
    <row r="356" spans="1:19" x14ac:dyDescent="0.25">
      <c r="A356" s="26"/>
      <c r="B356" s="45"/>
      <c r="C356" s="15">
        <v>12</v>
      </c>
      <c r="D356" s="16"/>
      <c r="E356" s="15">
        <v>2</v>
      </c>
      <c r="F356" s="11">
        <v>1</v>
      </c>
      <c r="G356" s="11">
        <v>16</v>
      </c>
      <c r="H356" s="12"/>
      <c r="I356" s="12">
        <v>2.95</v>
      </c>
      <c r="J356" s="22"/>
      <c r="K356" s="22">
        <f t="shared" si="190"/>
        <v>0.48</v>
      </c>
      <c r="L356" s="12">
        <f t="shared" si="188"/>
        <v>3.43</v>
      </c>
      <c r="M356" s="12">
        <f t="shared" si="161"/>
        <v>0</v>
      </c>
      <c r="N356" s="12">
        <f t="shared" si="103"/>
        <v>0</v>
      </c>
      <c r="O356" s="12">
        <f t="shared" si="104"/>
        <v>109.76</v>
      </c>
      <c r="P356" s="12">
        <f t="shared" si="108"/>
        <v>0</v>
      </c>
      <c r="Q356" s="12">
        <f t="shared" si="105"/>
        <v>0</v>
      </c>
      <c r="R356" s="12">
        <f t="shared" si="106"/>
        <v>0</v>
      </c>
      <c r="S356" s="3">
        <f>+G356*E356</f>
        <v>32</v>
      </c>
    </row>
    <row r="357" spans="1:19" x14ac:dyDescent="0.25">
      <c r="A357" s="26"/>
      <c r="B357" s="45"/>
      <c r="C357" s="15">
        <v>10</v>
      </c>
      <c r="D357" s="16"/>
      <c r="E357" s="15">
        <v>2</v>
      </c>
      <c r="F357" s="11">
        <v>1</v>
      </c>
      <c r="G357" s="11">
        <v>22</v>
      </c>
      <c r="H357" s="12"/>
      <c r="I357" s="12">
        <v>2.95</v>
      </c>
      <c r="J357" s="22"/>
      <c r="K357" s="22">
        <f t="shared" si="190"/>
        <v>0.4</v>
      </c>
      <c r="L357" s="12">
        <f t="shared" si="188"/>
        <v>3.35</v>
      </c>
      <c r="M357" s="12">
        <f t="shared" si="161"/>
        <v>0</v>
      </c>
      <c r="N357" s="12">
        <f t="shared" si="103"/>
        <v>147.4</v>
      </c>
      <c r="O357" s="12">
        <f t="shared" si="104"/>
        <v>0</v>
      </c>
      <c r="P357" s="12">
        <f t="shared" si="108"/>
        <v>0</v>
      </c>
      <c r="Q357" s="12">
        <f t="shared" si="105"/>
        <v>0</v>
      </c>
      <c r="R357" s="12">
        <f t="shared" si="106"/>
        <v>0</v>
      </c>
    </row>
    <row r="358" spans="1:19" x14ac:dyDescent="0.25">
      <c r="A358" s="26"/>
      <c r="B358" s="25" t="s">
        <v>172</v>
      </c>
      <c r="C358" s="15"/>
      <c r="D358" s="16"/>
      <c r="E358" s="15"/>
      <c r="F358" s="11"/>
      <c r="G358" s="11"/>
      <c r="H358" s="12"/>
      <c r="I358" s="12"/>
      <c r="J358" s="22"/>
      <c r="K358" s="22"/>
      <c r="L358" s="12">
        <f t="shared" si="188"/>
        <v>0</v>
      </c>
      <c r="M358" s="12">
        <f t="shared" si="161"/>
        <v>0</v>
      </c>
      <c r="N358" s="12">
        <f t="shared" si="103"/>
        <v>0</v>
      </c>
      <c r="O358" s="12">
        <f t="shared" si="104"/>
        <v>0</v>
      </c>
      <c r="P358" s="12">
        <f t="shared" si="108"/>
        <v>0</v>
      </c>
      <c r="Q358" s="12">
        <f t="shared" si="105"/>
        <v>0</v>
      </c>
      <c r="R358" s="12">
        <f t="shared" si="106"/>
        <v>0</v>
      </c>
    </row>
    <row r="359" spans="1:19" x14ac:dyDescent="0.25">
      <c r="A359" s="26"/>
      <c r="B359" s="25" t="s">
        <v>286</v>
      </c>
      <c r="C359" s="15">
        <v>8</v>
      </c>
      <c r="D359" s="16">
        <v>100</v>
      </c>
      <c r="E359" s="15">
        <v>2</v>
      </c>
      <c r="F359" s="11">
        <v>2</v>
      </c>
      <c r="G359" s="11">
        <f t="shared" ref="G359:G362" si="191">+ROUND(2600/D359+1,0)</f>
        <v>27</v>
      </c>
      <c r="H359" s="12"/>
      <c r="I359" s="12">
        <f>2*(0.14+0.583)+24*C359/1000</f>
        <v>1.6379999999999999</v>
      </c>
      <c r="J359" s="22"/>
      <c r="K359" s="22"/>
      <c r="L359" s="12">
        <f t="shared" si="188"/>
        <v>1.6379999999999999</v>
      </c>
      <c r="M359" s="12">
        <f t="shared" si="161"/>
        <v>176.9</v>
      </c>
      <c r="N359" s="12">
        <f t="shared" si="103"/>
        <v>0</v>
      </c>
      <c r="O359" s="12">
        <f t="shared" si="104"/>
        <v>0</v>
      </c>
      <c r="P359" s="12">
        <f t="shared" si="108"/>
        <v>0</v>
      </c>
      <c r="Q359" s="12">
        <f t="shared" si="105"/>
        <v>0</v>
      </c>
      <c r="R359" s="12">
        <f t="shared" si="106"/>
        <v>0</v>
      </c>
    </row>
    <row r="360" spans="1:19" x14ac:dyDescent="0.25">
      <c r="A360" s="26"/>
      <c r="B360" s="25" t="s">
        <v>287</v>
      </c>
      <c r="C360" s="15">
        <v>8</v>
      </c>
      <c r="D360" s="16">
        <v>100</v>
      </c>
      <c r="E360" s="15">
        <v>2</v>
      </c>
      <c r="F360" s="11">
        <f>2*2</f>
        <v>4</v>
      </c>
      <c r="G360" s="11">
        <f t="shared" si="191"/>
        <v>27</v>
      </c>
      <c r="H360" s="12"/>
      <c r="I360" s="12">
        <f>2*(0.14+0.133)+24*C360/1000</f>
        <v>0.73799999999999999</v>
      </c>
      <c r="J360" s="22"/>
      <c r="K360" s="22"/>
      <c r="L360" s="12">
        <f t="shared" si="188"/>
        <v>0.73799999999999999</v>
      </c>
      <c r="M360" s="12">
        <f t="shared" si="161"/>
        <v>159.41</v>
      </c>
      <c r="N360" s="12">
        <f t="shared" si="103"/>
        <v>0</v>
      </c>
      <c r="O360" s="12">
        <f t="shared" si="104"/>
        <v>0</v>
      </c>
      <c r="P360" s="12">
        <f t="shared" si="108"/>
        <v>0</v>
      </c>
      <c r="Q360" s="12">
        <f t="shared" si="105"/>
        <v>0</v>
      </c>
      <c r="R360" s="12">
        <f t="shared" si="106"/>
        <v>0</v>
      </c>
    </row>
    <row r="361" spans="1:19" x14ac:dyDescent="0.25">
      <c r="A361" s="26"/>
      <c r="B361" s="25" t="s">
        <v>288</v>
      </c>
      <c r="C361" s="15">
        <v>8</v>
      </c>
      <c r="D361" s="16">
        <v>200</v>
      </c>
      <c r="E361" s="15">
        <v>2</v>
      </c>
      <c r="F361" s="11">
        <v>1</v>
      </c>
      <c r="G361" s="11">
        <f t="shared" si="191"/>
        <v>14</v>
      </c>
      <c r="H361" s="12"/>
      <c r="I361" s="12">
        <f>2*(0.14+2.261)+24*C361/1000</f>
        <v>4.9940000000000007</v>
      </c>
      <c r="J361" s="22"/>
      <c r="K361" s="22"/>
      <c r="L361" s="12">
        <f t="shared" ref="L361:L362" si="192">SUM(H361:J361)+K361</f>
        <v>4.9940000000000007</v>
      </c>
      <c r="M361" s="12">
        <f t="shared" si="161"/>
        <v>139.83000000000001</v>
      </c>
      <c r="N361" s="12">
        <f t="shared" si="103"/>
        <v>0</v>
      </c>
      <c r="O361" s="12">
        <f t="shared" si="104"/>
        <v>0</v>
      </c>
      <c r="P361" s="12">
        <f t="shared" si="108"/>
        <v>0</v>
      </c>
      <c r="Q361" s="12">
        <f t="shared" si="105"/>
        <v>0</v>
      </c>
      <c r="R361" s="12">
        <f t="shared" si="106"/>
        <v>0</v>
      </c>
    </row>
    <row r="362" spans="1:19" x14ac:dyDescent="0.25">
      <c r="A362" s="26"/>
      <c r="B362" s="25" t="s">
        <v>177</v>
      </c>
      <c r="C362" s="15">
        <v>8</v>
      </c>
      <c r="D362" s="16">
        <v>400</v>
      </c>
      <c r="E362" s="15">
        <v>2</v>
      </c>
      <c r="F362" s="11">
        <v>5</v>
      </c>
      <c r="G362" s="11">
        <f t="shared" si="191"/>
        <v>8</v>
      </c>
      <c r="H362" s="12"/>
      <c r="I362" s="12">
        <f>0.14+(20*C362/1000)</f>
        <v>0.30000000000000004</v>
      </c>
      <c r="J362" s="22"/>
      <c r="K362" s="22"/>
      <c r="L362" s="12">
        <f t="shared" si="192"/>
        <v>0.30000000000000004</v>
      </c>
      <c r="M362" s="12">
        <f t="shared" si="161"/>
        <v>24</v>
      </c>
      <c r="N362" s="12">
        <f t="shared" si="103"/>
        <v>0</v>
      </c>
      <c r="O362" s="12">
        <f t="shared" si="104"/>
        <v>0</v>
      </c>
      <c r="P362" s="12">
        <f t="shared" si="108"/>
        <v>0</v>
      </c>
      <c r="Q362" s="12">
        <f t="shared" si="105"/>
        <v>0</v>
      </c>
      <c r="R362" s="12">
        <f t="shared" si="106"/>
        <v>0</v>
      </c>
    </row>
    <row r="363" spans="1:19" x14ac:dyDescent="0.25">
      <c r="A363" s="26"/>
      <c r="B363" s="25"/>
      <c r="C363" s="15"/>
      <c r="D363" s="16"/>
      <c r="E363" s="15"/>
      <c r="F363" s="11"/>
      <c r="G363" s="11"/>
      <c r="H363" s="12"/>
      <c r="I363" s="12"/>
      <c r="J363" s="22"/>
      <c r="K363" s="22"/>
      <c r="L363" s="12">
        <f t="shared" ref="L363" si="193">SUM(H363:J363)+K363</f>
        <v>0</v>
      </c>
      <c r="M363" s="12">
        <f t="shared" si="102"/>
        <v>0</v>
      </c>
      <c r="N363" s="12">
        <f t="shared" si="103"/>
        <v>0</v>
      </c>
      <c r="O363" s="12">
        <f t="shared" si="104"/>
        <v>0</v>
      </c>
      <c r="P363" s="12">
        <f t="shared" si="108"/>
        <v>0</v>
      </c>
      <c r="Q363" s="12">
        <f t="shared" si="105"/>
        <v>0</v>
      </c>
      <c r="R363" s="12">
        <f t="shared" si="106"/>
        <v>0</v>
      </c>
    </row>
    <row r="364" spans="1:19" x14ac:dyDescent="0.25">
      <c r="A364" s="26"/>
      <c r="B364" s="25"/>
      <c r="C364" s="15"/>
      <c r="D364" s="16"/>
      <c r="E364" s="15"/>
      <c r="F364" s="11"/>
      <c r="G364" s="11"/>
      <c r="H364" s="12"/>
      <c r="I364" s="12"/>
      <c r="J364" s="22"/>
      <c r="K364" s="22"/>
      <c r="L364" s="12">
        <f t="shared" si="52"/>
        <v>0</v>
      </c>
      <c r="M364" s="12">
        <f t="shared" si="68"/>
        <v>0</v>
      </c>
      <c r="N364" s="12">
        <f t="shared" si="69"/>
        <v>0</v>
      </c>
      <c r="O364" s="12">
        <f t="shared" si="70"/>
        <v>0</v>
      </c>
      <c r="P364" s="12">
        <f t="shared" si="71"/>
        <v>0</v>
      </c>
      <c r="Q364" s="12">
        <f t="shared" si="72"/>
        <v>0</v>
      </c>
      <c r="R364" s="12">
        <f t="shared" si="73"/>
        <v>0</v>
      </c>
    </row>
    <row r="365" spans="1:19" x14ac:dyDescent="0.25">
      <c r="A365" s="32"/>
      <c r="B365" s="24" t="s">
        <v>219</v>
      </c>
      <c r="C365" s="33"/>
      <c r="D365" s="34"/>
      <c r="E365" s="33"/>
      <c r="F365" s="35"/>
      <c r="G365" s="35"/>
      <c r="H365" s="36"/>
      <c r="I365" s="36"/>
      <c r="J365" s="36"/>
      <c r="K365" s="36"/>
      <c r="L365" s="36"/>
      <c r="M365" s="37">
        <f>SUM(M183:M364)*0.395</f>
        <v>4759.5762000000004</v>
      </c>
      <c r="N365" s="37">
        <f>SUM(N183:N364)*0.617</f>
        <v>5852.0228799999995</v>
      </c>
      <c r="O365" s="37">
        <f>SUM(O183:O364)*0.889</f>
        <v>3024.8758400000002</v>
      </c>
      <c r="P365" s="37">
        <f>SUM(P183:P364)*1.58</f>
        <v>5967.1544000000004</v>
      </c>
      <c r="Q365" s="37">
        <f>SUM(Q183:Q364)*2.46</f>
        <v>4243.5</v>
      </c>
      <c r="R365" s="37">
        <f>SUM(R183:R364)*3.85</f>
        <v>364.98</v>
      </c>
      <c r="S365" s="50">
        <f>SUM(M365:R365)</f>
        <v>24212.10932</v>
      </c>
    </row>
    <row r="366" spans="1:19" x14ac:dyDescent="0.25">
      <c r="A366" s="7"/>
      <c r="B366" s="22"/>
      <c r="C366" s="29"/>
      <c r="D366" s="39"/>
      <c r="E366" s="29"/>
      <c r="F366" s="11"/>
      <c r="G366" s="11"/>
      <c r="H366" s="7"/>
      <c r="I366" s="7"/>
      <c r="J366" s="7"/>
      <c r="K366" s="7"/>
      <c r="L366" s="7"/>
      <c r="M366" s="38"/>
      <c r="N366" s="7"/>
      <c r="O366" s="7"/>
      <c r="P366" s="7"/>
      <c r="Q366" s="7"/>
      <c r="R366" s="22"/>
    </row>
    <row r="367" spans="1:19" x14ac:dyDescent="0.25">
      <c r="A367" s="26"/>
      <c r="B367" s="45" t="s">
        <v>218</v>
      </c>
      <c r="C367" s="15"/>
      <c r="D367" s="16"/>
      <c r="E367" s="15"/>
      <c r="F367" s="11"/>
      <c r="G367" s="11"/>
      <c r="H367" s="12"/>
      <c r="I367" s="12"/>
      <c r="J367" s="22"/>
      <c r="K367" s="47"/>
      <c r="L367" s="12"/>
      <c r="M367" s="12"/>
      <c r="N367" s="12"/>
      <c r="O367" s="12"/>
      <c r="P367" s="12"/>
      <c r="Q367" s="12"/>
      <c r="R367" s="12"/>
    </row>
    <row r="368" spans="1:19" x14ac:dyDescent="0.25">
      <c r="A368" s="26"/>
      <c r="B368" s="45" t="s">
        <v>162</v>
      </c>
      <c r="C368" s="15">
        <v>16</v>
      </c>
      <c r="D368" s="16"/>
      <c r="E368" s="15">
        <v>32</v>
      </c>
      <c r="F368" s="11">
        <v>1</v>
      </c>
      <c r="G368" s="11">
        <v>4</v>
      </c>
      <c r="H368" s="12"/>
      <c r="I368" s="12">
        <f>106.2-103.25</f>
        <v>2.9500000000000028</v>
      </c>
      <c r="J368" s="22"/>
      <c r="K368" s="22">
        <f>0.5*40*C368/1000</f>
        <v>0.32</v>
      </c>
      <c r="L368" s="12">
        <f>SUM(H368:J368)+K368</f>
        <v>3.2700000000000027</v>
      </c>
      <c r="M368" s="12">
        <f t="shared" ref="M368:M467" si="194">+ROUND(IF(C368=8,PRODUCT(E368,F368,G368,L368),0),2)</f>
        <v>0</v>
      </c>
      <c r="N368" s="12">
        <f t="shared" ref="N368:N548" si="195">+ROUND(IF(C368=10,PRODUCT(E368,F368,G368,L368),0),2)</f>
        <v>0</v>
      </c>
      <c r="O368" s="12">
        <f t="shared" ref="O368:O548" si="196">+ROUND(IF(C368=12,PRODUCT(E368,F368,G368,L368),0),2)</f>
        <v>0</v>
      </c>
      <c r="P368" s="12">
        <f t="shared" ref="P368:P548" si="197">+ROUND(IF(C368=16,PRODUCT(E368,F368,G368,L368),0),2)</f>
        <v>418.56</v>
      </c>
      <c r="Q368" s="12">
        <f t="shared" ref="Q368:Q548" si="198">+ROUND(IF(C368=20,PRODUCT(E368,F368,G368,L368),0),2)</f>
        <v>0</v>
      </c>
      <c r="R368" s="12">
        <f t="shared" ref="R368:R548" si="199">+ROUND(IF(C368=25,PRODUCT(E368,F368,G368,L368),0),2)</f>
        <v>0</v>
      </c>
    </row>
    <row r="369" spans="1:18" x14ac:dyDescent="0.25">
      <c r="A369" s="26"/>
      <c r="B369" s="25"/>
      <c r="C369" s="15">
        <v>12</v>
      </c>
      <c r="D369" s="16"/>
      <c r="E369" s="15">
        <f>+E368</f>
        <v>32</v>
      </c>
      <c r="F369" s="11">
        <v>1</v>
      </c>
      <c r="G369" s="11">
        <v>10</v>
      </c>
      <c r="H369" s="12"/>
      <c r="I369" s="12">
        <f>106.2-103.25</f>
        <v>2.9500000000000028</v>
      </c>
      <c r="J369" s="22"/>
      <c r="K369" s="22">
        <f>0.5*40*C369/1000</f>
        <v>0.24</v>
      </c>
      <c r="L369" s="12">
        <f t="shared" ref="L369:L395" si="200">SUM(H369:J369)+K369</f>
        <v>3.1900000000000031</v>
      </c>
      <c r="M369" s="12">
        <f t="shared" si="194"/>
        <v>0</v>
      </c>
      <c r="N369" s="12">
        <f t="shared" si="195"/>
        <v>0</v>
      </c>
      <c r="O369" s="12">
        <f t="shared" si="196"/>
        <v>1020.8</v>
      </c>
      <c r="P369" s="12">
        <f t="shared" si="197"/>
        <v>0</v>
      </c>
      <c r="Q369" s="12">
        <f t="shared" si="198"/>
        <v>0</v>
      </c>
      <c r="R369" s="12">
        <f t="shared" si="199"/>
        <v>0</v>
      </c>
    </row>
    <row r="370" spans="1:18" x14ac:dyDescent="0.25">
      <c r="A370" s="26"/>
      <c r="B370" s="25" t="s">
        <v>160</v>
      </c>
      <c r="C370" s="15">
        <v>10</v>
      </c>
      <c r="D370" s="16">
        <v>75</v>
      </c>
      <c r="E370" s="15">
        <f>+E369</f>
        <v>32</v>
      </c>
      <c r="F370" s="11">
        <v>2</v>
      </c>
      <c r="G370" s="11">
        <f>+ROUND(600/D370,0)</f>
        <v>8</v>
      </c>
      <c r="H370" s="12"/>
      <c r="I370" s="12">
        <f>2*(0.22+0.52)+24*0.01</f>
        <v>1.72</v>
      </c>
      <c r="J370" s="22"/>
      <c r="K370" s="22"/>
      <c r="L370" s="12">
        <f t="shared" si="200"/>
        <v>1.72</v>
      </c>
      <c r="M370" s="12">
        <f t="shared" si="194"/>
        <v>0</v>
      </c>
      <c r="N370" s="12">
        <f t="shared" si="195"/>
        <v>880.64</v>
      </c>
      <c r="O370" s="12">
        <f t="shared" si="196"/>
        <v>0</v>
      </c>
      <c r="P370" s="12">
        <f t="shared" si="197"/>
        <v>0</v>
      </c>
      <c r="Q370" s="12">
        <f t="shared" si="198"/>
        <v>0</v>
      </c>
      <c r="R370" s="12">
        <f t="shared" si="199"/>
        <v>0</v>
      </c>
    </row>
    <row r="371" spans="1:18" x14ac:dyDescent="0.25">
      <c r="A371" s="26"/>
      <c r="B371" s="25"/>
      <c r="C371" s="15">
        <v>10</v>
      </c>
      <c r="D371" s="16">
        <v>75</v>
      </c>
      <c r="E371" s="15">
        <f t="shared" ref="E371:E375" si="201">+E370</f>
        <v>32</v>
      </c>
      <c r="F371" s="11">
        <v>2</v>
      </c>
      <c r="G371" s="11">
        <f t="shared" ref="G371:G372" si="202">+ROUND(600/D371,0)</f>
        <v>8</v>
      </c>
      <c r="H371" s="12"/>
      <c r="I371" s="12">
        <f>2*(0.22+0.115)+24*0.01</f>
        <v>0.91</v>
      </c>
      <c r="J371" s="22"/>
      <c r="K371" s="22"/>
      <c r="L371" s="12">
        <f t="shared" si="200"/>
        <v>0.91</v>
      </c>
      <c r="M371" s="12">
        <f t="shared" si="194"/>
        <v>0</v>
      </c>
      <c r="N371" s="12">
        <f t="shared" si="195"/>
        <v>465.92</v>
      </c>
      <c r="O371" s="12">
        <f t="shared" si="196"/>
        <v>0</v>
      </c>
      <c r="P371" s="12">
        <f t="shared" si="197"/>
        <v>0</v>
      </c>
      <c r="Q371" s="12">
        <f t="shared" si="198"/>
        <v>0</v>
      </c>
      <c r="R371" s="12">
        <f t="shared" si="199"/>
        <v>0</v>
      </c>
    </row>
    <row r="372" spans="1:18" x14ac:dyDescent="0.25">
      <c r="A372" s="26"/>
      <c r="B372" s="25"/>
      <c r="C372" s="15">
        <v>10</v>
      </c>
      <c r="D372" s="16">
        <v>75</v>
      </c>
      <c r="E372" s="15">
        <f t="shared" si="201"/>
        <v>32</v>
      </c>
      <c r="F372" s="11">
        <f>2*2</f>
        <v>4</v>
      </c>
      <c r="G372" s="11">
        <f t="shared" si="202"/>
        <v>8</v>
      </c>
      <c r="H372" s="12"/>
      <c r="I372" s="12">
        <f>+(0.16+0.16+0.22)+0.24*0.01</f>
        <v>0.54239999999999999</v>
      </c>
      <c r="J372" s="22"/>
      <c r="K372" s="22"/>
      <c r="L372" s="12">
        <f t="shared" si="200"/>
        <v>0.54239999999999999</v>
      </c>
      <c r="M372" s="12">
        <f t="shared" si="194"/>
        <v>0</v>
      </c>
      <c r="N372" s="12">
        <f t="shared" si="195"/>
        <v>555.41999999999996</v>
      </c>
      <c r="O372" s="12">
        <f t="shared" si="196"/>
        <v>0</v>
      </c>
      <c r="P372" s="12">
        <f t="shared" si="197"/>
        <v>0</v>
      </c>
      <c r="Q372" s="12">
        <f t="shared" si="198"/>
        <v>0</v>
      </c>
      <c r="R372" s="12">
        <f t="shared" si="199"/>
        <v>0</v>
      </c>
    </row>
    <row r="373" spans="1:18" x14ac:dyDescent="0.25">
      <c r="A373" s="26"/>
      <c r="B373" s="25" t="s">
        <v>161</v>
      </c>
      <c r="C373" s="15">
        <v>8</v>
      </c>
      <c r="D373" s="16">
        <v>150</v>
      </c>
      <c r="E373" s="15">
        <f t="shared" si="201"/>
        <v>32</v>
      </c>
      <c r="F373" s="11">
        <v>1</v>
      </c>
      <c r="G373" s="11">
        <f>+ROUND(1250/D373+1,0)</f>
        <v>9</v>
      </c>
      <c r="H373" s="12"/>
      <c r="I373" s="12">
        <f>2*(0.22+0.52)+24*0.008</f>
        <v>1.6719999999999999</v>
      </c>
      <c r="J373" s="22"/>
      <c r="K373" s="22"/>
      <c r="L373" s="12">
        <f t="shared" si="200"/>
        <v>1.6719999999999999</v>
      </c>
      <c r="M373" s="12">
        <f t="shared" si="194"/>
        <v>481.54</v>
      </c>
      <c r="N373" s="12">
        <f t="shared" si="195"/>
        <v>0</v>
      </c>
      <c r="O373" s="12">
        <f t="shared" si="196"/>
        <v>0</v>
      </c>
      <c r="P373" s="12">
        <f t="shared" si="197"/>
        <v>0</v>
      </c>
      <c r="Q373" s="12">
        <f t="shared" si="198"/>
        <v>0</v>
      </c>
      <c r="R373" s="12">
        <f t="shared" si="199"/>
        <v>0</v>
      </c>
    </row>
    <row r="374" spans="1:18" x14ac:dyDescent="0.25">
      <c r="A374" s="26"/>
      <c r="B374" s="25"/>
      <c r="C374" s="15">
        <v>8</v>
      </c>
      <c r="D374" s="16">
        <v>150</v>
      </c>
      <c r="E374" s="15">
        <f t="shared" si="201"/>
        <v>32</v>
      </c>
      <c r="F374" s="11">
        <v>1</v>
      </c>
      <c r="G374" s="11">
        <f t="shared" ref="G374:G375" si="203">+ROUND(1250/D374+1,0)</f>
        <v>9</v>
      </c>
      <c r="H374" s="12"/>
      <c r="I374" s="12">
        <f>2*(0.22+0.115)+24*0.008</f>
        <v>0.8620000000000001</v>
      </c>
      <c r="J374" s="22"/>
      <c r="K374" s="22"/>
      <c r="L374" s="12">
        <f t="shared" si="200"/>
        <v>0.8620000000000001</v>
      </c>
      <c r="M374" s="12">
        <f t="shared" si="194"/>
        <v>248.26</v>
      </c>
      <c r="N374" s="12">
        <f t="shared" si="195"/>
        <v>0</v>
      </c>
      <c r="O374" s="12">
        <f t="shared" si="196"/>
        <v>0</v>
      </c>
      <c r="P374" s="12">
        <f t="shared" si="197"/>
        <v>0</v>
      </c>
      <c r="Q374" s="12">
        <f t="shared" si="198"/>
        <v>0</v>
      </c>
      <c r="R374" s="12">
        <f t="shared" si="199"/>
        <v>0</v>
      </c>
    </row>
    <row r="375" spans="1:18" x14ac:dyDescent="0.25">
      <c r="A375" s="26"/>
      <c r="B375" s="25"/>
      <c r="C375" s="15">
        <v>8</v>
      </c>
      <c r="D375" s="16">
        <v>150</v>
      </c>
      <c r="E375" s="15">
        <f t="shared" si="201"/>
        <v>32</v>
      </c>
      <c r="F375" s="11">
        <v>2</v>
      </c>
      <c r="G375" s="11">
        <f t="shared" si="203"/>
        <v>9</v>
      </c>
      <c r="H375" s="12"/>
      <c r="I375" s="12">
        <f>+(0.16+0.16+0.22)+0.2*0.008</f>
        <v>0.54160000000000008</v>
      </c>
      <c r="J375" s="22"/>
      <c r="K375" s="22"/>
      <c r="L375" s="12">
        <f t="shared" si="200"/>
        <v>0.54160000000000008</v>
      </c>
      <c r="M375" s="12">
        <f t="shared" si="194"/>
        <v>311.95999999999998</v>
      </c>
      <c r="N375" s="12">
        <f t="shared" si="195"/>
        <v>0</v>
      </c>
      <c r="O375" s="12">
        <f t="shared" si="196"/>
        <v>0</v>
      </c>
      <c r="P375" s="12">
        <f t="shared" si="197"/>
        <v>0</v>
      </c>
      <c r="Q375" s="12">
        <f t="shared" si="198"/>
        <v>0</v>
      </c>
      <c r="R375" s="12">
        <f t="shared" si="199"/>
        <v>0</v>
      </c>
    </row>
    <row r="376" spans="1:18" x14ac:dyDescent="0.25">
      <c r="A376" s="26"/>
      <c r="B376" s="45" t="s">
        <v>163</v>
      </c>
      <c r="C376" s="15">
        <v>16</v>
      </c>
      <c r="D376" s="16"/>
      <c r="E376" s="15">
        <v>22</v>
      </c>
      <c r="F376" s="11">
        <v>1</v>
      </c>
      <c r="G376" s="11">
        <v>14</v>
      </c>
      <c r="H376" s="12"/>
      <c r="I376" s="12">
        <f t="shared" ref="I376" si="204">106.2-103.25</f>
        <v>2.9500000000000028</v>
      </c>
      <c r="J376" s="22"/>
      <c r="K376" s="22">
        <f>0.5*40*C376/1000</f>
        <v>0.32</v>
      </c>
      <c r="L376" s="12">
        <f t="shared" si="200"/>
        <v>3.2700000000000027</v>
      </c>
      <c r="M376" s="12">
        <f t="shared" si="194"/>
        <v>0</v>
      </c>
      <c r="N376" s="12">
        <f t="shared" si="195"/>
        <v>0</v>
      </c>
      <c r="O376" s="12">
        <f t="shared" si="196"/>
        <v>0</v>
      </c>
      <c r="P376" s="12">
        <f t="shared" si="197"/>
        <v>1007.16</v>
      </c>
      <c r="Q376" s="12">
        <f t="shared" si="198"/>
        <v>0</v>
      </c>
      <c r="R376" s="12">
        <f t="shared" si="199"/>
        <v>0</v>
      </c>
    </row>
    <row r="377" spans="1:18" x14ac:dyDescent="0.25">
      <c r="A377" s="26"/>
      <c r="B377" s="25" t="s">
        <v>160</v>
      </c>
      <c r="C377" s="15">
        <v>10</v>
      </c>
      <c r="D377" s="16">
        <v>75</v>
      </c>
      <c r="E377" s="15">
        <v>22</v>
      </c>
      <c r="F377" s="11">
        <v>2</v>
      </c>
      <c r="G377" s="11">
        <f>+ROUND(600/D377,0)</f>
        <v>8</v>
      </c>
      <c r="H377" s="12"/>
      <c r="I377" s="12">
        <f>2*(0.22+0.52)+24*0.01</f>
        <v>1.72</v>
      </c>
      <c r="J377" s="22"/>
      <c r="K377" s="22"/>
      <c r="L377" s="12">
        <f t="shared" si="200"/>
        <v>1.72</v>
      </c>
      <c r="M377" s="12">
        <f t="shared" si="194"/>
        <v>0</v>
      </c>
      <c r="N377" s="12">
        <f t="shared" si="195"/>
        <v>605.44000000000005</v>
      </c>
      <c r="O377" s="12">
        <f t="shared" si="196"/>
        <v>0</v>
      </c>
      <c r="P377" s="12">
        <f t="shared" si="197"/>
        <v>0</v>
      </c>
      <c r="Q377" s="12">
        <f t="shared" si="198"/>
        <v>0</v>
      </c>
      <c r="R377" s="12">
        <f t="shared" si="199"/>
        <v>0</v>
      </c>
    </row>
    <row r="378" spans="1:18" x14ac:dyDescent="0.25">
      <c r="A378" s="26"/>
      <c r="B378" s="25"/>
      <c r="C378" s="15">
        <v>10</v>
      </c>
      <c r="D378" s="16">
        <v>75</v>
      </c>
      <c r="E378" s="15">
        <v>22</v>
      </c>
      <c r="F378" s="11">
        <v>2</v>
      </c>
      <c r="G378" s="11">
        <f t="shared" ref="G378:G379" si="205">+ROUND(600/D378,0)</f>
        <v>8</v>
      </c>
      <c r="H378" s="12"/>
      <c r="I378" s="12">
        <f>2*(0.22+0.115)+24*0.01</f>
        <v>0.91</v>
      </c>
      <c r="J378" s="22"/>
      <c r="K378" s="22"/>
      <c r="L378" s="12">
        <f t="shared" si="200"/>
        <v>0.91</v>
      </c>
      <c r="M378" s="12">
        <f t="shared" si="194"/>
        <v>0</v>
      </c>
      <c r="N378" s="12">
        <f t="shared" si="195"/>
        <v>320.32</v>
      </c>
      <c r="O378" s="12">
        <f t="shared" si="196"/>
        <v>0</v>
      </c>
      <c r="P378" s="12">
        <f t="shared" si="197"/>
        <v>0</v>
      </c>
      <c r="Q378" s="12">
        <f t="shared" si="198"/>
        <v>0</v>
      </c>
      <c r="R378" s="12">
        <f t="shared" si="199"/>
        <v>0</v>
      </c>
    </row>
    <row r="379" spans="1:18" x14ac:dyDescent="0.25">
      <c r="A379" s="26"/>
      <c r="B379" s="25"/>
      <c r="C379" s="15">
        <v>10</v>
      </c>
      <c r="D379" s="16">
        <v>75</v>
      </c>
      <c r="E379" s="15">
        <v>22</v>
      </c>
      <c r="F379" s="11">
        <f>2*2</f>
        <v>4</v>
      </c>
      <c r="G379" s="11">
        <f t="shared" si="205"/>
        <v>8</v>
      </c>
      <c r="H379" s="12"/>
      <c r="I379" s="12">
        <f>+(0.16+0.16+0.22)+0.24*0.01</f>
        <v>0.54239999999999999</v>
      </c>
      <c r="J379" s="22"/>
      <c r="K379" s="22"/>
      <c r="L379" s="12">
        <f t="shared" si="200"/>
        <v>0.54239999999999999</v>
      </c>
      <c r="M379" s="12">
        <f t="shared" si="194"/>
        <v>0</v>
      </c>
      <c r="N379" s="12">
        <f t="shared" si="195"/>
        <v>381.85</v>
      </c>
      <c r="O379" s="12">
        <f t="shared" si="196"/>
        <v>0</v>
      </c>
      <c r="P379" s="12">
        <f t="shared" si="197"/>
        <v>0</v>
      </c>
      <c r="Q379" s="12">
        <f t="shared" si="198"/>
        <v>0</v>
      </c>
      <c r="R379" s="12">
        <f t="shared" si="199"/>
        <v>0</v>
      </c>
    </row>
    <row r="380" spans="1:18" x14ac:dyDescent="0.25">
      <c r="A380" s="26"/>
      <c r="B380" s="25" t="s">
        <v>161</v>
      </c>
      <c r="C380" s="15">
        <v>8</v>
      </c>
      <c r="D380" s="16">
        <v>150</v>
      </c>
      <c r="E380" s="15">
        <v>22</v>
      </c>
      <c r="F380" s="11">
        <v>1</v>
      </c>
      <c r="G380" s="11">
        <f t="shared" ref="G380:G382" si="206">+ROUND(1250/D380+1,0)</f>
        <v>9</v>
      </c>
      <c r="H380" s="12"/>
      <c r="I380" s="12">
        <f>2*(0.22+0.52)+24*0.008</f>
        <v>1.6719999999999999</v>
      </c>
      <c r="J380" s="22"/>
      <c r="K380" s="22"/>
      <c r="L380" s="12">
        <f t="shared" si="200"/>
        <v>1.6719999999999999</v>
      </c>
      <c r="M380" s="12">
        <f t="shared" si="194"/>
        <v>331.06</v>
      </c>
      <c r="N380" s="12">
        <f t="shared" si="195"/>
        <v>0</v>
      </c>
      <c r="O380" s="12">
        <f t="shared" si="196"/>
        <v>0</v>
      </c>
      <c r="P380" s="12">
        <f t="shared" si="197"/>
        <v>0</v>
      </c>
      <c r="Q380" s="12">
        <f t="shared" si="198"/>
        <v>0</v>
      </c>
      <c r="R380" s="12">
        <f t="shared" si="199"/>
        <v>0</v>
      </c>
    </row>
    <row r="381" spans="1:18" x14ac:dyDescent="0.25">
      <c r="A381" s="26"/>
      <c r="B381" s="25"/>
      <c r="C381" s="15">
        <v>8</v>
      </c>
      <c r="D381" s="16">
        <v>150</v>
      </c>
      <c r="E381" s="15">
        <v>22</v>
      </c>
      <c r="F381" s="11">
        <v>1</v>
      </c>
      <c r="G381" s="11">
        <f t="shared" si="206"/>
        <v>9</v>
      </c>
      <c r="H381" s="12"/>
      <c r="I381" s="12">
        <f>2*(0.22+0.115)+24*0.008</f>
        <v>0.8620000000000001</v>
      </c>
      <c r="J381" s="22"/>
      <c r="K381" s="22"/>
      <c r="L381" s="12">
        <f t="shared" si="200"/>
        <v>0.8620000000000001</v>
      </c>
      <c r="M381" s="12">
        <f t="shared" si="194"/>
        <v>170.68</v>
      </c>
      <c r="N381" s="12">
        <f t="shared" si="195"/>
        <v>0</v>
      </c>
      <c r="O381" s="12">
        <f t="shared" si="196"/>
        <v>0</v>
      </c>
      <c r="P381" s="12">
        <f t="shared" si="197"/>
        <v>0</v>
      </c>
      <c r="Q381" s="12">
        <f t="shared" si="198"/>
        <v>0</v>
      </c>
      <c r="R381" s="12">
        <f t="shared" si="199"/>
        <v>0</v>
      </c>
    </row>
    <row r="382" spans="1:18" x14ac:dyDescent="0.25">
      <c r="A382" s="26"/>
      <c r="B382" s="25"/>
      <c r="C382" s="15">
        <v>8</v>
      </c>
      <c r="D382" s="16">
        <v>150</v>
      </c>
      <c r="E382" s="15">
        <v>22</v>
      </c>
      <c r="F382" s="11">
        <v>2</v>
      </c>
      <c r="G382" s="11">
        <f t="shared" si="206"/>
        <v>9</v>
      </c>
      <c r="H382" s="12"/>
      <c r="I382" s="12">
        <f>+(0.16+0.16+0.22)+0.2*0.008</f>
        <v>0.54160000000000008</v>
      </c>
      <c r="J382" s="22"/>
      <c r="K382" s="22"/>
      <c r="L382" s="12">
        <f t="shared" si="200"/>
        <v>0.54160000000000008</v>
      </c>
      <c r="M382" s="12">
        <f t="shared" si="194"/>
        <v>214.47</v>
      </c>
      <c r="N382" s="12">
        <f t="shared" si="195"/>
        <v>0</v>
      </c>
      <c r="O382" s="12">
        <f t="shared" si="196"/>
        <v>0</v>
      </c>
      <c r="P382" s="12">
        <f t="shared" si="197"/>
        <v>0</v>
      </c>
      <c r="Q382" s="12">
        <f t="shared" si="198"/>
        <v>0</v>
      </c>
      <c r="R382" s="12">
        <f t="shared" si="199"/>
        <v>0</v>
      </c>
    </row>
    <row r="383" spans="1:18" x14ac:dyDescent="0.25">
      <c r="A383" s="26"/>
      <c r="B383" s="45" t="s">
        <v>164</v>
      </c>
      <c r="C383" s="15">
        <v>25</v>
      </c>
      <c r="D383" s="16"/>
      <c r="E383" s="15">
        <v>4</v>
      </c>
      <c r="F383" s="11">
        <v>1</v>
      </c>
      <c r="G383" s="11">
        <v>4</v>
      </c>
      <c r="H383" s="12"/>
      <c r="I383" s="12">
        <f t="shared" ref="I383:I384" si="207">106.2-103.25</f>
        <v>2.9500000000000028</v>
      </c>
      <c r="J383" s="22"/>
      <c r="K383" s="22">
        <f>0.5*40*C383/1000</f>
        <v>0.5</v>
      </c>
      <c r="L383" s="12">
        <f t="shared" si="200"/>
        <v>3.4500000000000028</v>
      </c>
      <c r="M383" s="12">
        <f t="shared" si="194"/>
        <v>0</v>
      </c>
      <c r="N383" s="12">
        <f t="shared" si="195"/>
        <v>0</v>
      </c>
      <c r="O383" s="12">
        <f t="shared" si="196"/>
        <v>0</v>
      </c>
      <c r="P383" s="12">
        <f t="shared" si="197"/>
        <v>0</v>
      </c>
      <c r="Q383" s="12">
        <f t="shared" si="198"/>
        <v>0</v>
      </c>
      <c r="R383" s="12">
        <f t="shared" si="199"/>
        <v>55.2</v>
      </c>
    </row>
    <row r="384" spans="1:18" x14ac:dyDescent="0.25">
      <c r="A384" s="26"/>
      <c r="B384" s="25"/>
      <c r="C384" s="15">
        <v>20</v>
      </c>
      <c r="D384" s="16"/>
      <c r="E384" s="15">
        <f>+E383</f>
        <v>4</v>
      </c>
      <c r="F384" s="11">
        <v>1</v>
      </c>
      <c r="G384" s="11">
        <v>10</v>
      </c>
      <c r="H384" s="12"/>
      <c r="I384" s="12">
        <f t="shared" si="207"/>
        <v>2.9500000000000028</v>
      </c>
      <c r="J384" s="22"/>
      <c r="K384" s="22">
        <f>0.5*40*C384/1000</f>
        <v>0.4</v>
      </c>
      <c r="L384" s="12">
        <f t="shared" si="200"/>
        <v>3.3500000000000028</v>
      </c>
      <c r="M384" s="12">
        <f t="shared" si="194"/>
        <v>0</v>
      </c>
      <c r="N384" s="12">
        <f t="shared" si="195"/>
        <v>0</v>
      </c>
      <c r="O384" s="12">
        <f t="shared" si="196"/>
        <v>0</v>
      </c>
      <c r="P384" s="12">
        <f t="shared" si="197"/>
        <v>0</v>
      </c>
      <c r="Q384" s="12">
        <f t="shared" si="198"/>
        <v>134</v>
      </c>
      <c r="R384" s="12">
        <f t="shared" si="199"/>
        <v>0</v>
      </c>
    </row>
    <row r="385" spans="1:18" x14ac:dyDescent="0.25">
      <c r="A385" s="26"/>
      <c r="B385" s="25" t="s">
        <v>160</v>
      </c>
      <c r="C385" s="15">
        <v>10</v>
      </c>
      <c r="D385" s="16">
        <v>75</v>
      </c>
      <c r="E385" s="15">
        <f>+E384</f>
        <v>4</v>
      </c>
      <c r="F385" s="11">
        <v>2</v>
      </c>
      <c r="G385" s="11">
        <f>+ROUND(600/D385,0)</f>
        <v>8</v>
      </c>
      <c r="H385" s="12"/>
      <c r="I385" s="12">
        <f>2*(0.22+0.52)+24*0.01</f>
        <v>1.72</v>
      </c>
      <c r="J385" s="22"/>
      <c r="K385" s="22"/>
      <c r="L385" s="12">
        <f t="shared" si="200"/>
        <v>1.72</v>
      </c>
      <c r="M385" s="12">
        <f t="shared" si="194"/>
        <v>0</v>
      </c>
      <c r="N385" s="12">
        <f t="shared" si="195"/>
        <v>110.08</v>
      </c>
      <c r="O385" s="12">
        <f t="shared" si="196"/>
        <v>0</v>
      </c>
      <c r="P385" s="12">
        <f t="shared" si="197"/>
        <v>0</v>
      </c>
      <c r="Q385" s="12">
        <f t="shared" si="198"/>
        <v>0</v>
      </c>
      <c r="R385" s="12">
        <f t="shared" si="199"/>
        <v>0</v>
      </c>
    </row>
    <row r="386" spans="1:18" x14ac:dyDescent="0.25">
      <c r="A386" s="26"/>
      <c r="B386" s="25"/>
      <c r="C386" s="15">
        <v>10</v>
      </c>
      <c r="D386" s="16">
        <v>75</v>
      </c>
      <c r="E386" s="15">
        <f t="shared" ref="E386:E390" si="208">+E385</f>
        <v>4</v>
      </c>
      <c r="F386" s="11">
        <v>2</v>
      </c>
      <c r="G386" s="11">
        <f t="shared" ref="G386:G387" si="209">+ROUND(600/D386,0)</f>
        <v>8</v>
      </c>
      <c r="H386" s="12"/>
      <c r="I386" s="12">
        <f>2*(0.22+0.115)+24*0.01</f>
        <v>0.91</v>
      </c>
      <c r="J386" s="22"/>
      <c r="K386" s="22"/>
      <c r="L386" s="12">
        <f t="shared" si="200"/>
        <v>0.91</v>
      </c>
      <c r="M386" s="12">
        <f t="shared" si="194"/>
        <v>0</v>
      </c>
      <c r="N386" s="12">
        <f t="shared" si="195"/>
        <v>58.24</v>
      </c>
      <c r="O386" s="12">
        <f t="shared" si="196"/>
        <v>0</v>
      </c>
      <c r="P386" s="12">
        <f t="shared" si="197"/>
        <v>0</v>
      </c>
      <c r="Q386" s="12">
        <f t="shared" si="198"/>
        <v>0</v>
      </c>
      <c r="R386" s="12">
        <f t="shared" si="199"/>
        <v>0</v>
      </c>
    </row>
    <row r="387" spans="1:18" x14ac:dyDescent="0.25">
      <c r="A387" s="26"/>
      <c r="B387" s="25"/>
      <c r="C387" s="15">
        <v>10</v>
      </c>
      <c r="D387" s="16">
        <v>75</v>
      </c>
      <c r="E387" s="15">
        <f t="shared" si="208"/>
        <v>4</v>
      </c>
      <c r="F387" s="11">
        <f>2*2</f>
        <v>4</v>
      </c>
      <c r="G387" s="11">
        <f t="shared" si="209"/>
        <v>8</v>
      </c>
      <c r="H387" s="12"/>
      <c r="I387" s="12">
        <f>+(0.16+0.16+0.22)+0.24*0.01</f>
        <v>0.54239999999999999</v>
      </c>
      <c r="J387" s="22"/>
      <c r="K387" s="22"/>
      <c r="L387" s="12">
        <f t="shared" si="200"/>
        <v>0.54239999999999999</v>
      </c>
      <c r="M387" s="12">
        <f t="shared" si="194"/>
        <v>0</v>
      </c>
      <c r="N387" s="12">
        <f t="shared" si="195"/>
        <v>69.430000000000007</v>
      </c>
      <c r="O387" s="12">
        <f t="shared" si="196"/>
        <v>0</v>
      </c>
      <c r="P387" s="12">
        <f t="shared" si="197"/>
        <v>0</v>
      </c>
      <c r="Q387" s="12">
        <f t="shared" si="198"/>
        <v>0</v>
      </c>
      <c r="R387" s="12">
        <f t="shared" si="199"/>
        <v>0</v>
      </c>
    </row>
    <row r="388" spans="1:18" x14ac:dyDescent="0.25">
      <c r="A388" s="26"/>
      <c r="B388" s="25" t="s">
        <v>161</v>
      </c>
      <c r="C388" s="15">
        <v>8</v>
      </c>
      <c r="D388" s="16">
        <v>150</v>
      </c>
      <c r="E388" s="15">
        <f t="shared" si="208"/>
        <v>4</v>
      </c>
      <c r="F388" s="11">
        <v>1</v>
      </c>
      <c r="G388" s="11">
        <f t="shared" ref="G388:G390" si="210">+ROUND(1250/D388+1,0)</f>
        <v>9</v>
      </c>
      <c r="H388" s="12"/>
      <c r="I388" s="12">
        <f>2*(0.22+0.52)+24*0.008</f>
        <v>1.6719999999999999</v>
      </c>
      <c r="J388" s="22"/>
      <c r="K388" s="22"/>
      <c r="L388" s="12">
        <f t="shared" si="200"/>
        <v>1.6719999999999999</v>
      </c>
      <c r="M388" s="12">
        <f t="shared" si="194"/>
        <v>60.19</v>
      </c>
      <c r="N388" s="12">
        <f t="shared" si="195"/>
        <v>0</v>
      </c>
      <c r="O388" s="12">
        <f t="shared" si="196"/>
        <v>0</v>
      </c>
      <c r="P388" s="12">
        <f t="shared" si="197"/>
        <v>0</v>
      </c>
      <c r="Q388" s="12">
        <f t="shared" si="198"/>
        <v>0</v>
      </c>
      <c r="R388" s="12">
        <f t="shared" si="199"/>
        <v>0</v>
      </c>
    </row>
    <row r="389" spans="1:18" x14ac:dyDescent="0.25">
      <c r="A389" s="26"/>
      <c r="B389" s="25"/>
      <c r="C389" s="15">
        <v>8</v>
      </c>
      <c r="D389" s="16">
        <v>150</v>
      </c>
      <c r="E389" s="15">
        <f t="shared" si="208"/>
        <v>4</v>
      </c>
      <c r="F389" s="11">
        <v>1</v>
      </c>
      <c r="G389" s="11">
        <f t="shared" si="210"/>
        <v>9</v>
      </c>
      <c r="H389" s="12"/>
      <c r="I389" s="12">
        <f>2*(0.22+0.115)+24*0.008</f>
        <v>0.8620000000000001</v>
      </c>
      <c r="J389" s="22"/>
      <c r="K389" s="22"/>
      <c r="L389" s="12">
        <f t="shared" si="200"/>
        <v>0.8620000000000001</v>
      </c>
      <c r="M389" s="12">
        <f t="shared" si="194"/>
        <v>31.03</v>
      </c>
      <c r="N389" s="12">
        <f t="shared" si="195"/>
        <v>0</v>
      </c>
      <c r="O389" s="12">
        <f t="shared" si="196"/>
        <v>0</v>
      </c>
      <c r="P389" s="12">
        <f t="shared" si="197"/>
        <v>0</v>
      </c>
      <c r="Q389" s="12">
        <f t="shared" si="198"/>
        <v>0</v>
      </c>
      <c r="R389" s="12">
        <f t="shared" si="199"/>
        <v>0</v>
      </c>
    </row>
    <row r="390" spans="1:18" x14ac:dyDescent="0.25">
      <c r="A390" s="26"/>
      <c r="B390" s="25"/>
      <c r="C390" s="15">
        <v>8</v>
      </c>
      <c r="D390" s="16">
        <v>150</v>
      </c>
      <c r="E390" s="15">
        <f t="shared" si="208"/>
        <v>4</v>
      </c>
      <c r="F390" s="11">
        <v>2</v>
      </c>
      <c r="G390" s="11">
        <f t="shared" si="210"/>
        <v>9</v>
      </c>
      <c r="H390" s="12"/>
      <c r="I390" s="12">
        <f>+(0.16+0.16+0.22)+0.2*0.008</f>
        <v>0.54160000000000008</v>
      </c>
      <c r="J390" s="22"/>
      <c r="K390" s="22"/>
      <c r="L390" s="12">
        <f t="shared" si="200"/>
        <v>0.54160000000000008</v>
      </c>
      <c r="M390" s="12">
        <f t="shared" si="194"/>
        <v>39</v>
      </c>
      <c r="N390" s="12">
        <f t="shared" si="195"/>
        <v>0</v>
      </c>
      <c r="O390" s="12">
        <f t="shared" si="196"/>
        <v>0</v>
      </c>
      <c r="P390" s="12">
        <f t="shared" si="197"/>
        <v>0</v>
      </c>
      <c r="Q390" s="12">
        <f t="shared" si="198"/>
        <v>0</v>
      </c>
      <c r="R390" s="12">
        <f t="shared" si="199"/>
        <v>0</v>
      </c>
    </row>
    <row r="391" spans="1:18" x14ac:dyDescent="0.25">
      <c r="A391" s="26"/>
      <c r="B391" s="45" t="s">
        <v>165</v>
      </c>
      <c r="C391" s="15">
        <v>20</v>
      </c>
      <c r="D391" s="16"/>
      <c r="E391" s="15">
        <v>16</v>
      </c>
      <c r="F391" s="11">
        <v>1</v>
      </c>
      <c r="G391" s="11">
        <v>10</v>
      </c>
      <c r="H391" s="12"/>
      <c r="I391" s="12">
        <f>106.2-103.25</f>
        <v>2.9500000000000028</v>
      </c>
      <c r="J391" s="22"/>
      <c r="K391" s="22">
        <f>0.5*40*C391/1000</f>
        <v>0.4</v>
      </c>
      <c r="L391" s="12">
        <f t="shared" si="200"/>
        <v>3.3500000000000028</v>
      </c>
      <c r="M391" s="12">
        <f t="shared" si="194"/>
        <v>0</v>
      </c>
      <c r="N391" s="12">
        <f t="shared" si="195"/>
        <v>0</v>
      </c>
      <c r="O391" s="12">
        <f t="shared" si="196"/>
        <v>0</v>
      </c>
      <c r="P391" s="12">
        <f t="shared" si="197"/>
        <v>0</v>
      </c>
      <c r="Q391" s="12">
        <f t="shared" si="198"/>
        <v>536</v>
      </c>
      <c r="R391" s="12">
        <f t="shared" si="199"/>
        <v>0</v>
      </c>
    </row>
    <row r="392" spans="1:18" x14ac:dyDescent="0.25">
      <c r="A392" s="26"/>
      <c r="B392" s="45"/>
      <c r="C392" s="15">
        <v>16</v>
      </c>
      <c r="D392" s="16"/>
      <c r="E392" s="15">
        <v>16</v>
      </c>
      <c r="F392" s="11">
        <v>1</v>
      </c>
      <c r="G392" s="11">
        <v>6</v>
      </c>
      <c r="H392" s="12"/>
      <c r="I392" s="12">
        <f>106.2-103.25</f>
        <v>2.9500000000000028</v>
      </c>
      <c r="J392" s="22"/>
      <c r="K392" s="22">
        <f>0.5*40*C392/1000</f>
        <v>0.32</v>
      </c>
      <c r="L392" s="12">
        <f t="shared" ref="L392" si="211">SUM(H392:J392)+K392</f>
        <v>3.2700000000000027</v>
      </c>
      <c r="M392" s="12">
        <f t="shared" ref="M392" si="212">+ROUND(IF(C392=8,PRODUCT(E392,F392,G392,L392),0),2)</f>
        <v>0</v>
      </c>
      <c r="N392" s="12">
        <f t="shared" ref="N392" si="213">+ROUND(IF(C392=10,PRODUCT(E392,F392,G392,L392),0),2)</f>
        <v>0</v>
      </c>
      <c r="O392" s="12">
        <f t="shared" ref="O392" si="214">+ROUND(IF(C392=12,PRODUCT(E392,F392,G392,L392),0),2)</f>
        <v>0</v>
      </c>
      <c r="P392" s="12">
        <f t="shared" ref="P392" si="215">+ROUND(IF(C392=16,PRODUCT(E392,F392,G392,L392),0),2)</f>
        <v>313.92</v>
      </c>
      <c r="Q392" s="12">
        <f t="shared" ref="Q392" si="216">+ROUND(IF(C392=20,PRODUCT(E392,F392,G392,L392),0),2)</f>
        <v>0</v>
      </c>
      <c r="R392" s="12">
        <f t="shared" ref="R392" si="217">+ROUND(IF(C392=25,PRODUCT(E392,F392,G392,L392),0),2)</f>
        <v>0</v>
      </c>
    </row>
    <row r="393" spans="1:18" x14ac:dyDescent="0.25">
      <c r="A393" s="26"/>
      <c r="B393" s="25" t="s">
        <v>160</v>
      </c>
      <c r="C393" s="15">
        <v>10</v>
      </c>
      <c r="D393" s="16">
        <v>75</v>
      </c>
      <c r="E393" s="15">
        <f>+E391</f>
        <v>16</v>
      </c>
      <c r="F393" s="11">
        <v>2</v>
      </c>
      <c r="G393" s="11">
        <f>+ROUND(750/D393,0)</f>
        <v>10</v>
      </c>
      <c r="H393" s="12"/>
      <c r="I393" s="12">
        <f>2*(0.22+0.67)+24*0.01</f>
        <v>2.02</v>
      </c>
      <c r="J393" s="22"/>
      <c r="K393" s="22"/>
      <c r="L393" s="12">
        <f t="shared" si="200"/>
        <v>2.02</v>
      </c>
      <c r="M393" s="12">
        <f t="shared" si="194"/>
        <v>0</v>
      </c>
      <c r="N393" s="12">
        <f t="shared" si="195"/>
        <v>646.4</v>
      </c>
      <c r="O393" s="12">
        <f t="shared" si="196"/>
        <v>0</v>
      </c>
      <c r="P393" s="12">
        <f t="shared" si="197"/>
        <v>0</v>
      </c>
      <c r="Q393" s="12">
        <f t="shared" si="198"/>
        <v>0</v>
      </c>
      <c r="R393" s="12">
        <f t="shared" si="199"/>
        <v>0</v>
      </c>
    </row>
    <row r="394" spans="1:18" x14ac:dyDescent="0.25">
      <c r="A394" s="26"/>
      <c r="B394" s="25"/>
      <c r="C394" s="15">
        <v>10</v>
      </c>
      <c r="D394" s="16">
        <v>75</v>
      </c>
      <c r="E394" s="15">
        <f t="shared" ref="E394:E400" si="218">+E393</f>
        <v>16</v>
      </c>
      <c r="F394" s="11">
        <v>2</v>
      </c>
      <c r="G394" s="11">
        <f t="shared" ref="G394:G396" si="219">+ROUND(750/D394,0)</f>
        <v>10</v>
      </c>
      <c r="H394" s="12"/>
      <c r="I394" s="12">
        <f>2*(0.22+0.132)+24*0.01</f>
        <v>0.94399999999999995</v>
      </c>
      <c r="J394" s="22"/>
      <c r="K394" s="22"/>
      <c r="L394" s="12">
        <f t="shared" si="200"/>
        <v>0.94399999999999995</v>
      </c>
      <c r="M394" s="12">
        <f t="shared" si="194"/>
        <v>0</v>
      </c>
      <c r="N394" s="12">
        <f t="shared" si="195"/>
        <v>302.08</v>
      </c>
      <c r="O394" s="12">
        <f t="shared" si="196"/>
        <v>0</v>
      </c>
      <c r="P394" s="12">
        <f t="shared" si="197"/>
        <v>0</v>
      </c>
      <c r="Q394" s="12">
        <f t="shared" si="198"/>
        <v>0</v>
      </c>
      <c r="R394" s="12">
        <f t="shared" si="199"/>
        <v>0</v>
      </c>
    </row>
    <row r="395" spans="1:18" x14ac:dyDescent="0.25">
      <c r="A395" s="26"/>
      <c r="B395" s="25"/>
      <c r="C395" s="15">
        <v>10</v>
      </c>
      <c r="D395" s="16">
        <v>75</v>
      </c>
      <c r="E395" s="15">
        <f t="shared" si="218"/>
        <v>16</v>
      </c>
      <c r="F395" s="11">
        <f>2*2</f>
        <v>4</v>
      </c>
      <c r="G395" s="11">
        <f t="shared" si="219"/>
        <v>10</v>
      </c>
      <c r="H395" s="12"/>
      <c r="I395" s="12">
        <f>+(0.165+0.165+0.22)+0.2*0.01</f>
        <v>0.55200000000000005</v>
      </c>
      <c r="J395" s="22"/>
      <c r="K395" s="22"/>
      <c r="L395" s="12">
        <f t="shared" si="200"/>
        <v>0.55200000000000005</v>
      </c>
      <c r="M395" s="12">
        <f t="shared" si="194"/>
        <v>0</v>
      </c>
      <c r="N395" s="12">
        <f t="shared" si="195"/>
        <v>353.28</v>
      </c>
      <c r="O395" s="12">
        <f t="shared" si="196"/>
        <v>0</v>
      </c>
      <c r="P395" s="12">
        <f t="shared" si="197"/>
        <v>0</v>
      </c>
      <c r="Q395" s="12">
        <f t="shared" si="198"/>
        <v>0</v>
      </c>
      <c r="R395" s="12">
        <f t="shared" si="199"/>
        <v>0</v>
      </c>
    </row>
    <row r="396" spans="1:18" x14ac:dyDescent="0.25">
      <c r="A396" s="26"/>
      <c r="B396" s="25"/>
      <c r="C396" s="15">
        <v>10</v>
      </c>
      <c r="D396" s="16">
        <v>75</v>
      </c>
      <c r="E396" s="15">
        <f t="shared" si="218"/>
        <v>16</v>
      </c>
      <c r="F396" s="11">
        <v>2</v>
      </c>
      <c r="G396" s="11">
        <f t="shared" si="219"/>
        <v>10</v>
      </c>
      <c r="H396" s="12"/>
      <c r="I396" s="12">
        <f>0.22+2*10*0.01</f>
        <v>0.42000000000000004</v>
      </c>
      <c r="J396" s="22"/>
      <c r="K396" s="22"/>
      <c r="L396" s="12">
        <f t="shared" ref="L396:L460" si="220">SUM(H396:J396)+K396</f>
        <v>0.42000000000000004</v>
      </c>
      <c r="M396" s="12">
        <f t="shared" si="194"/>
        <v>0</v>
      </c>
      <c r="N396" s="12">
        <f t="shared" si="195"/>
        <v>134.4</v>
      </c>
      <c r="O396" s="12">
        <f t="shared" si="196"/>
        <v>0</v>
      </c>
      <c r="P396" s="12">
        <f t="shared" si="197"/>
        <v>0</v>
      </c>
      <c r="Q396" s="12">
        <f t="shared" si="198"/>
        <v>0</v>
      </c>
      <c r="R396" s="12">
        <f t="shared" si="199"/>
        <v>0</v>
      </c>
    </row>
    <row r="397" spans="1:18" x14ac:dyDescent="0.25">
      <c r="A397" s="26"/>
      <c r="B397" s="25" t="s">
        <v>161</v>
      </c>
      <c r="C397" s="15">
        <v>8</v>
      </c>
      <c r="D397" s="16">
        <v>150</v>
      </c>
      <c r="E397" s="15">
        <f t="shared" si="218"/>
        <v>16</v>
      </c>
      <c r="F397" s="11">
        <v>1</v>
      </c>
      <c r="G397" s="11">
        <f>+ROUND(950/D397+1,0)</f>
        <v>7</v>
      </c>
      <c r="H397" s="12"/>
      <c r="I397" s="12">
        <f>2*(0.22+0.67)+24*0.008</f>
        <v>1.972</v>
      </c>
      <c r="J397" s="22"/>
      <c r="K397" s="22"/>
      <c r="L397" s="12">
        <f t="shared" si="220"/>
        <v>1.972</v>
      </c>
      <c r="M397" s="12">
        <f t="shared" si="194"/>
        <v>220.86</v>
      </c>
      <c r="N397" s="12">
        <f t="shared" si="195"/>
        <v>0</v>
      </c>
      <c r="O397" s="12">
        <f t="shared" si="196"/>
        <v>0</v>
      </c>
      <c r="P397" s="12">
        <f t="shared" si="197"/>
        <v>0</v>
      </c>
      <c r="Q397" s="12">
        <f t="shared" si="198"/>
        <v>0</v>
      </c>
      <c r="R397" s="12">
        <f t="shared" si="199"/>
        <v>0</v>
      </c>
    </row>
    <row r="398" spans="1:18" x14ac:dyDescent="0.25">
      <c r="A398" s="26"/>
      <c r="B398" s="25"/>
      <c r="C398" s="15">
        <v>8</v>
      </c>
      <c r="D398" s="16">
        <v>150</v>
      </c>
      <c r="E398" s="15">
        <f t="shared" si="218"/>
        <v>16</v>
      </c>
      <c r="F398" s="11">
        <v>1</v>
      </c>
      <c r="G398" s="11">
        <f t="shared" ref="G398:G400" si="221">+ROUND(950/D398+1,0)</f>
        <v>7</v>
      </c>
      <c r="H398" s="12"/>
      <c r="I398" s="12">
        <f>2*(0.22+0.132)+24*0.008</f>
        <v>0.89599999999999991</v>
      </c>
      <c r="J398" s="22"/>
      <c r="K398" s="22"/>
      <c r="L398" s="12">
        <f t="shared" si="220"/>
        <v>0.89599999999999991</v>
      </c>
      <c r="M398" s="12">
        <f t="shared" si="194"/>
        <v>100.35</v>
      </c>
      <c r="N398" s="12">
        <f t="shared" si="195"/>
        <v>0</v>
      </c>
      <c r="O398" s="12">
        <f t="shared" si="196"/>
        <v>0</v>
      </c>
      <c r="P398" s="12">
        <f t="shared" si="197"/>
        <v>0</v>
      </c>
      <c r="Q398" s="12">
        <f t="shared" si="198"/>
        <v>0</v>
      </c>
      <c r="R398" s="12">
        <f t="shared" si="199"/>
        <v>0</v>
      </c>
    </row>
    <row r="399" spans="1:18" x14ac:dyDescent="0.25">
      <c r="A399" s="26"/>
      <c r="B399" s="25"/>
      <c r="C399" s="15">
        <v>8</v>
      </c>
      <c r="D399" s="16">
        <v>150</v>
      </c>
      <c r="E399" s="15">
        <f t="shared" si="218"/>
        <v>16</v>
      </c>
      <c r="F399" s="11">
        <v>2</v>
      </c>
      <c r="G399" s="11">
        <f t="shared" si="221"/>
        <v>7</v>
      </c>
      <c r="H399" s="12"/>
      <c r="I399" s="12">
        <f>+(0.165+0.165+0.22)+0.2*0.008</f>
        <v>0.55160000000000009</v>
      </c>
      <c r="J399" s="22"/>
      <c r="K399" s="22"/>
      <c r="L399" s="12">
        <f t="shared" si="220"/>
        <v>0.55160000000000009</v>
      </c>
      <c r="M399" s="12">
        <f t="shared" si="194"/>
        <v>123.56</v>
      </c>
      <c r="N399" s="12">
        <f t="shared" si="195"/>
        <v>0</v>
      </c>
      <c r="O399" s="12">
        <f t="shared" si="196"/>
        <v>0</v>
      </c>
      <c r="P399" s="12">
        <f t="shared" si="197"/>
        <v>0</v>
      </c>
      <c r="Q399" s="12">
        <f t="shared" si="198"/>
        <v>0</v>
      </c>
      <c r="R399" s="12">
        <f t="shared" si="199"/>
        <v>0</v>
      </c>
    </row>
    <row r="400" spans="1:18" x14ac:dyDescent="0.25">
      <c r="A400" s="26"/>
      <c r="B400" s="25"/>
      <c r="C400" s="15">
        <v>8</v>
      </c>
      <c r="D400" s="16">
        <v>150</v>
      </c>
      <c r="E400" s="15">
        <f t="shared" si="218"/>
        <v>16</v>
      </c>
      <c r="F400" s="11">
        <v>1</v>
      </c>
      <c r="G400" s="11">
        <f t="shared" si="221"/>
        <v>7</v>
      </c>
      <c r="H400" s="12"/>
      <c r="I400" s="12">
        <f>0.22+2*10*0.008</f>
        <v>0.38</v>
      </c>
      <c r="J400" s="22"/>
      <c r="K400" s="22"/>
      <c r="L400" s="12">
        <f t="shared" si="220"/>
        <v>0.38</v>
      </c>
      <c r="M400" s="12">
        <f t="shared" si="194"/>
        <v>42.56</v>
      </c>
      <c r="N400" s="12">
        <f t="shared" si="195"/>
        <v>0</v>
      </c>
      <c r="O400" s="12">
        <f t="shared" si="196"/>
        <v>0</v>
      </c>
      <c r="P400" s="12">
        <f t="shared" si="197"/>
        <v>0</v>
      </c>
      <c r="Q400" s="12">
        <f t="shared" si="198"/>
        <v>0</v>
      </c>
      <c r="R400" s="12">
        <f t="shared" si="199"/>
        <v>0</v>
      </c>
    </row>
    <row r="401" spans="1:18" x14ac:dyDescent="0.25">
      <c r="A401" s="26"/>
      <c r="B401" s="45" t="s">
        <v>166</v>
      </c>
      <c r="C401" s="15">
        <v>16</v>
      </c>
      <c r="D401" s="16"/>
      <c r="E401" s="15">
        <v>14</v>
      </c>
      <c r="F401" s="11">
        <v>1</v>
      </c>
      <c r="G401" s="11">
        <v>4</v>
      </c>
      <c r="H401" s="12"/>
      <c r="I401" s="12">
        <f t="shared" ref="I401:I402" si="222">106.2-103.25</f>
        <v>2.9500000000000028</v>
      </c>
      <c r="J401" s="22"/>
      <c r="K401" s="22">
        <f t="shared" ref="K401:K402" si="223">0.5*40*C401/1000</f>
        <v>0.32</v>
      </c>
      <c r="L401" s="12">
        <f t="shared" si="220"/>
        <v>3.2700000000000027</v>
      </c>
      <c r="M401" s="12">
        <f t="shared" si="194"/>
        <v>0</v>
      </c>
      <c r="N401" s="12">
        <f t="shared" si="195"/>
        <v>0</v>
      </c>
      <c r="O401" s="12">
        <f t="shared" si="196"/>
        <v>0</v>
      </c>
      <c r="P401" s="12">
        <f t="shared" si="197"/>
        <v>183.12</v>
      </c>
      <c r="Q401" s="12">
        <f t="shared" si="198"/>
        <v>0</v>
      </c>
      <c r="R401" s="12">
        <f t="shared" si="199"/>
        <v>0</v>
      </c>
    </row>
    <row r="402" spans="1:18" x14ac:dyDescent="0.25">
      <c r="A402" s="26"/>
      <c r="B402" s="25"/>
      <c r="C402" s="15">
        <v>12</v>
      </c>
      <c r="D402" s="16"/>
      <c r="E402" s="15">
        <f>+E401</f>
        <v>14</v>
      </c>
      <c r="F402" s="11">
        <v>1</v>
      </c>
      <c r="G402" s="11">
        <v>12</v>
      </c>
      <c r="H402" s="12"/>
      <c r="I402" s="12">
        <f t="shared" si="222"/>
        <v>2.9500000000000028</v>
      </c>
      <c r="J402" s="22"/>
      <c r="K402" s="22">
        <f t="shared" si="223"/>
        <v>0.24</v>
      </c>
      <c r="L402" s="12">
        <f t="shared" si="220"/>
        <v>3.1900000000000031</v>
      </c>
      <c r="M402" s="12">
        <f t="shared" si="194"/>
        <v>0</v>
      </c>
      <c r="N402" s="12">
        <f t="shared" si="195"/>
        <v>0</v>
      </c>
      <c r="O402" s="12">
        <f t="shared" si="196"/>
        <v>535.91999999999996</v>
      </c>
      <c r="P402" s="12">
        <f t="shared" si="197"/>
        <v>0</v>
      </c>
      <c r="Q402" s="12">
        <f t="shared" si="198"/>
        <v>0</v>
      </c>
      <c r="R402" s="12">
        <f t="shared" si="199"/>
        <v>0</v>
      </c>
    </row>
    <row r="403" spans="1:18" x14ac:dyDescent="0.25">
      <c r="A403" s="26"/>
      <c r="B403" s="25" t="s">
        <v>160</v>
      </c>
      <c r="C403" s="15">
        <v>10</v>
      </c>
      <c r="D403" s="16">
        <v>75</v>
      </c>
      <c r="E403" s="15">
        <f t="shared" ref="E403:E410" si="224">+E402</f>
        <v>14</v>
      </c>
      <c r="F403" s="11">
        <v>2</v>
      </c>
      <c r="G403" s="11">
        <f>+ROUND(750/D403,0)</f>
        <v>10</v>
      </c>
      <c r="H403" s="12"/>
      <c r="I403" s="12">
        <f>2*(0.22+0.67)+24*0.01</f>
        <v>2.02</v>
      </c>
      <c r="J403" s="22"/>
      <c r="K403" s="22"/>
      <c r="L403" s="12">
        <f t="shared" si="220"/>
        <v>2.02</v>
      </c>
      <c r="M403" s="12">
        <f t="shared" si="194"/>
        <v>0</v>
      </c>
      <c r="N403" s="12">
        <f t="shared" si="195"/>
        <v>565.6</v>
      </c>
      <c r="O403" s="12">
        <f t="shared" si="196"/>
        <v>0</v>
      </c>
      <c r="P403" s="12">
        <f t="shared" si="197"/>
        <v>0</v>
      </c>
      <c r="Q403" s="12">
        <f t="shared" si="198"/>
        <v>0</v>
      </c>
      <c r="R403" s="12">
        <f t="shared" si="199"/>
        <v>0</v>
      </c>
    </row>
    <row r="404" spans="1:18" x14ac:dyDescent="0.25">
      <c r="A404" s="26"/>
      <c r="B404" s="25"/>
      <c r="C404" s="15">
        <v>10</v>
      </c>
      <c r="D404" s="16">
        <v>75</v>
      </c>
      <c r="E404" s="15">
        <f t="shared" si="224"/>
        <v>14</v>
      </c>
      <c r="F404" s="11">
        <v>2</v>
      </c>
      <c r="G404" s="11">
        <f t="shared" ref="G404:G406" si="225">+ROUND(750/D404,0)</f>
        <v>10</v>
      </c>
      <c r="H404" s="12"/>
      <c r="I404" s="12">
        <f>2*(0.22+0.132)+24*0.01</f>
        <v>0.94399999999999995</v>
      </c>
      <c r="J404" s="22"/>
      <c r="K404" s="22"/>
      <c r="L404" s="12">
        <f t="shared" si="220"/>
        <v>0.94399999999999995</v>
      </c>
      <c r="M404" s="12">
        <f t="shared" si="194"/>
        <v>0</v>
      </c>
      <c r="N404" s="12">
        <f t="shared" si="195"/>
        <v>264.32</v>
      </c>
      <c r="O404" s="12">
        <f t="shared" si="196"/>
        <v>0</v>
      </c>
      <c r="P404" s="12">
        <f t="shared" si="197"/>
        <v>0</v>
      </c>
      <c r="Q404" s="12">
        <f t="shared" si="198"/>
        <v>0</v>
      </c>
      <c r="R404" s="12">
        <f t="shared" si="199"/>
        <v>0</v>
      </c>
    </row>
    <row r="405" spans="1:18" x14ac:dyDescent="0.25">
      <c r="A405" s="26"/>
      <c r="B405" s="25"/>
      <c r="C405" s="15">
        <v>10</v>
      </c>
      <c r="D405" s="16">
        <v>75</v>
      </c>
      <c r="E405" s="15">
        <f t="shared" si="224"/>
        <v>14</v>
      </c>
      <c r="F405" s="11">
        <f>2*2</f>
        <v>4</v>
      </c>
      <c r="G405" s="11">
        <f t="shared" si="225"/>
        <v>10</v>
      </c>
      <c r="H405" s="12"/>
      <c r="I405" s="12">
        <f>+(0.165+0.165+0.22)+0.2*0.01</f>
        <v>0.55200000000000005</v>
      </c>
      <c r="J405" s="22"/>
      <c r="K405" s="22"/>
      <c r="L405" s="12">
        <f t="shared" si="220"/>
        <v>0.55200000000000005</v>
      </c>
      <c r="M405" s="12">
        <f t="shared" si="194"/>
        <v>0</v>
      </c>
      <c r="N405" s="12">
        <f t="shared" si="195"/>
        <v>309.12</v>
      </c>
      <c r="O405" s="12">
        <f t="shared" si="196"/>
        <v>0</v>
      </c>
      <c r="P405" s="12">
        <f t="shared" si="197"/>
        <v>0</v>
      </c>
      <c r="Q405" s="12">
        <f t="shared" si="198"/>
        <v>0</v>
      </c>
      <c r="R405" s="12">
        <f t="shared" si="199"/>
        <v>0</v>
      </c>
    </row>
    <row r="406" spans="1:18" x14ac:dyDescent="0.25">
      <c r="A406" s="26"/>
      <c r="B406" s="25"/>
      <c r="C406" s="15">
        <v>10</v>
      </c>
      <c r="D406" s="16">
        <v>75</v>
      </c>
      <c r="E406" s="15">
        <f t="shared" si="224"/>
        <v>14</v>
      </c>
      <c r="F406" s="11">
        <v>2</v>
      </c>
      <c r="G406" s="11">
        <f t="shared" si="225"/>
        <v>10</v>
      </c>
      <c r="H406" s="12"/>
      <c r="I406" s="12">
        <f>0.22+2*10*0.01</f>
        <v>0.42000000000000004</v>
      </c>
      <c r="J406" s="22"/>
      <c r="K406" s="22"/>
      <c r="L406" s="12">
        <f t="shared" si="220"/>
        <v>0.42000000000000004</v>
      </c>
      <c r="M406" s="12">
        <f t="shared" si="194"/>
        <v>0</v>
      </c>
      <c r="N406" s="12">
        <f t="shared" si="195"/>
        <v>117.6</v>
      </c>
      <c r="O406" s="12">
        <f t="shared" si="196"/>
        <v>0</v>
      </c>
      <c r="P406" s="12">
        <f t="shared" si="197"/>
        <v>0</v>
      </c>
      <c r="Q406" s="12">
        <f t="shared" si="198"/>
        <v>0</v>
      </c>
      <c r="R406" s="12">
        <f t="shared" si="199"/>
        <v>0</v>
      </c>
    </row>
    <row r="407" spans="1:18" x14ac:dyDescent="0.25">
      <c r="A407" s="26"/>
      <c r="B407" s="25" t="s">
        <v>161</v>
      </c>
      <c r="C407" s="15">
        <v>8</v>
      </c>
      <c r="D407" s="16">
        <v>150</v>
      </c>
      <c r="E407" s="15">
        <f t="shared" si="224"/>
        <v>14</v>
      </c>
      <c r="F407" s="11">
        <v>1</v>
      </c>
      <c r="G407" s="11">
        <f t="shared" ref="G407:G410" si="226">+ROUND(950/D407+1,0)</f>
        <v>7</v>
      </c>
      <c r="H407" s="12"/>
      <c r="I407" s="12">
        <f>2*(0.22+0.67)+24*0.008</f>
        <v>1.972</v>
      </c>
      <c r="J407" s="22"/>
      <c r="K407" s="22"/>
      <c r="L407" s="12">
        <f t="shared" si="220"/>
        <v>1.972</v>
      </c>
      <c r="M407" s="12">
        <f t="shared" si="194"/>
        <v>193.26</v>
      </c>
      <c r="N407" s="12">
        <f t="shared" si="195"/>
        <v>0</v>
      </c>
      <c r="O407" s="12">
        <f t="shared" si="196"/>
        <v>0</v>
      </c>
      <c r="P407" s="12">
        <f t="shared" si="197"/>
        <v>0</v>
      </c>
      <c r="Q407" s="12">
        <f t="shared" si="198"/>
        <v>0</v>
      </c>
      <c r="R407" s="12">
        <f t="shared" si="199"/>
        <v>0</v>
      </c>
    </row>
    <row r="408" spans="1:18" x14ac:dyDescent="0.25">
      <c r="A408" s="26"/>
      <c r="B408" s="25"/>
      <c r="C408" s="15">
        <v>8</v>
      </c>
      <c r="D408" s="16">
        <v>150</v>
      </c>
      <c r="E408" s="15">
        <f t="shared" si="224"/>
        <v>14</v>
      </c>
      <c r="F408" s="11">
        <v>1</v>
      </c>
      <c r="G408" s="11">
        <f t="shared" si="226"/>
        <v>7</v>
      </c>
      <c r="H408" s="12"/>
      <c r="I408" s="12">
        <f>2*(0.22+0.132)+24*0.008</f>
        <v>0.89599999999999991</v>
      </c>
      <c r="J408" s="22"/>
      <c r="K408" s="22"/>
      <c r="L408" s="12">
        <f t="shared" si="220"/>
        <v>0.89599999999999991</v>
      </c>
      <c r="M408" s="12">
        <f t="shared" si="194"/>
        <v>87.81</v>
      </c>
      <c r="N408" s="12">
        <f t="shared" si="195"/>
        <v>0</v>
      </c>
      <c r="O408" s="12">
        <f t="shared" si="196"/>
        <v>0</v>
      </c>
      <c r="P408" s="12">
        <f t="shared" si="197"/>
        <v>0</v>
      </c>
      <c r="Q408" s="12">
        <f t="shared" si="198"/>
        <v>0</v>
      </c>
      <c r="R408" s="12">
        <f t="shared" si="199"/>
        <v>0</v>
      </c>
    </row>
    <row r="409" spans="1:18" x14ac:dyDescent="0.25">
      <c r="A409" s="26"/>
      <c r="B409" s="25"/>
      <c r="C409" s="15">
        <v>8</v>
      </c>
      <c r="D409" s="16">
        <v>150</v>
      </c>
      <c r="E409" s="15">
        <f t="shared" si="224"/>
        <v>14</v>
      </c>
      <c r="F409" s="11">
        <v>2</v>
      </c>
      <c r="G409" s="11">
        <f t="shared" si="226"/>
        <v>7</v>
      </c>
      <c r="H409" s="12"/>
      <c r="I409" s="12">
        <f>+(0.165+0.165+0.22)+0.2*0.008</f>
        <v>0.55160000000000009</v>
      </c>
      <c r="J409" s="22"/>
      <c r="K409" s="22"/>
      <c r="L409" s="12">
        <f t="shared" si="220"/>
        <v>0.55160000000000009</v>
      </c>
      <c r="M409" s="12">
        <f t="shared" si="194"/>
        <v>108.11</v>
      </c>
      <c r="N409" s="12">
        <f t="shared" si="195"/>
        <v>0</v>
      </c>
      <c r="O409" s="12">
        <f t="shared" si="196"/>
        <v>0</v>
      </c>
      <c r="P409" s="12">
        <f t="shared" si="197"/>
        <v>0</v>
      </c>
      <c r="Q409" s="12">
        <f t="shared" si="198"/>
        <v>0</v>
      </c>
      <c r="R409" s="12">
        <f t="shared" si="199"/>
        <v>0</v>
      </c>
    </row>
    <row r="410" spans="1:18" x14ac:dyDescent="0.25">
      <c r="A410" s="26"/>
      <c r="B410" s="25"/>
      <c r="C410" s="15">
        <v>8</v>
      </c>
      <c r="D410" s="16">
        <v>150</v>
      </c>
      <c r="E410" s="15">
        <f t="shared" si="224"/>
        <v>14</v>
      </c>
      <c r="F410" s="11">
        <v>1</v>
      </c>
      <c r="G410" s="11">
        <f t="shared" si="226"/>
        <v>7</v>
      </c>
      <c r="H410" s="12"/>
      <c r="I410" s="12">
        <f>0.22+2*10*0.008</f>
        <v>0.38</v>
      </c>
      <c r="J410" s="22"/>
      <c r="K410" s="22"/>
      <c r="L410" s="12">
        <f t="shared" si="220"/>
        <v>0.38</v>
      </c>
      <c r="M410" s="12">
        <f t="shared" si="194"/>
        <v>37.24</v>
      </c>
      <c r="N410" s="12">
        <f t="shared" si="195"/>
        <v>0</v>
      </c>
      <c r="O410" s="12">
        <f t="shared" si="196"/>
        <v>0</v>
      </c>
      <c r="P410" s="12">
        <f t="shared" si="197"/>
        <v>0</v>
      </c>
      <c r="Q410" s="12">
        <f t="shared" si="198"/>
        <v>0</v>
      </c>
      <c r="R410" s="12">
        <f t="shared" si="199"/>
        <v>0</v>
      </c>
    </row>
    <row r="411" spans="1:18" x14ac:dyDescent="0.25">
      <c r="A411" s="26"/>
      <c r="B411" s="45" t="s">
        <v>167</v>
      </c>
      <c r="C411" s="15">
        <v>16</v>
      </c>
      <c r="D411" s="16"/>
      <c r="E411" s="15">
        <v>14</v>
      </c>
      <c r="F411" s="11">
        <v>1</v>
      </c>
      <c r="G411" s="11">
        <v>4</v>
      </c>
      <c r="H411" s="12"/>
      <c r="I411" s="12">
        <f t="shared" ref="I411:I412" si="227">106.2-103.25</f>
        <v>2.9500000000000028</v>
      </c>
      <c r="J411" s="22"/>
      <c r="K411" s="22">
        <f t="shared" ref="K411:K412" si="228">0.5*40*C411/1000</f>
        <v>0.32</v>
      </c>
      <c r="L411" s="12">
        <f t="shared" si="220"/>
        <v>3.2700000000000027</v>
      </c>
      <c r="M411" s="12">
        <f t="shared" si="194"/>
        <v>0</v>
      </c>
      <c r="N411" s="12">
        <f t="shared" si="195"/>
        <v>0</v>
      </c>
      <c r="O411" s="12">
        <f t="shared" si="196"/>
        <v>0</v>
      </c>
      <c r="P411" s="12">
        <f t="shared" si="197"/>
        <v>183.12</v>
      </c>
      <c r="Q411" s="12">
        <f t="shared" si="198"/>
        <v>0</v>
      </c>
      <c r="R411" s="12">
        <f t="shared" si="199"/>
        <v>0</v>
      </c>
    </row>
    <row r="412" spans="1:18" x14ac:dyDescent="0.25">
      <c r="A412" s="26"/>
      <c r="B412" s="25"/>
      <c r="C412" s="15">
        <v>12</v>
      </c>
      <c r="D412" s="16"/>
      <c r="E412" s="15">
        <f>+E411</f>
        <v>14</v>
      </c>
      <c r="F412" s="11">
        <v>1</v>
      </c>
      <c r="G412" s="11">
        <v>12</v>
      </c>
      <c r="H412" s="12"/>
      <c r="I412" s="12">
        <f t="shared" si="227"/>
        <v>2.9500000000000028</v>
      </c>
      <c r="J412" s="22"/>
      <c r="K412" s="22">
        <f t="shared" si="228"/>
        <v>0.24</v>
      </c>
      <c r="L412" s="12">
        <f t="shared" si="220"/>
        <v>3.1900000000000031</v>
      </c>
      <c r="M412" s="12">
        <f t="shared" si="194"/>
        <v>0</v>
      </c>
      <c r="N412" s="12">
        <f t="shared" si="195"/>
        <v>0</v>
      </c>
      <c r="O412" s="12">
        <f t="shared" si="196"/>
        <v>535.91999999999996</v>
      </c>
      <c r="P412" s="12">
        <f t="shared" si="197"/>
        <v>0</v>
      </c>
      <c r="Q412" s="12">
        <f t="shared" si="198"/>
        <v>0</v>
      </c>
      <c r="R412" s="12">
        <f t="shared" si="199"/>
        <v>0</v>
      </c>
    </row>
    <row r="413" spans="1:18" x14ac:dyDescent="0.25">
      <c r="A413" s="26"/>
      <c r="B413" s="25" t="s">
        <v>160</v>
      </c>
      <c r="C413" s="15">
        <v>10</v>
      </c>
      <c r="D413" s="16">
        <v>75</v>
      </c>
      <c r="E413" s="15">
        <f t="shared" ref="E413:E420" si="229">+E412</f>
        <v>14</v>
      </c>
      <c r="F413" s="11">
        <v>2</v>
      </c>
      <c r="G413" s="11">
        <f>+ROUND(715/D413,0)</f>
        <v>10</v>
      </c>
      <c r="H413" s="12"/>
      <c r="I413" s="12">
        <f>2*(0.22+0.635)+24*0.01</f>
        <v>1.95</v>
      </c>
      <c r="J413" s="22"/>
      <c r="K413" s="22"/>
      <c r="L413" s="12">
        <f t="shared" si="220"/>
        <v>1.95</v>
      </c>
      <c r="M413" s="12">
        <f t="shared" si="194"/>
        <v>0</v>
      </c>
      <c r="N413" s="12">
        <f t="shared" si="195"/>
        <v>546</v>
      </c>
      <c r="O413" s="12">
        <f t="shared" si="196"/>
        <v>0</v>
      </c>
      <c r="P413" s="12">
        <f t="shared" si="197"/>
        <v>0</v>
      </c>
      <c r="Q413" s="12">
        <f t="shared" si="198"/>
        <v>0</v>
      </c>
      <c r="R413" s="12">
        <f t="shared" si="199"/>
        <v>0</v>
      </c>
    </row>
    <row r="414" spans="1:18" x14ac:dyDescent="0.25">
      <c r="A414" s="26"/>
      <c r="B414" s="25"/>
      <c r="C414" s="15">
        <v>10</v>
      </c>
      <c r="D414" s="16">
        <v>75</v>
      </c>
      <c r="E414" s="15">
        <f t="shared" si="229"/>
        <v>14</v>
      </c>
      <c r="F414" s="11">
        <v>2</v>
      </c>
      <c r="G414" s="11">
        <f t="shared" ref="G414:G416" si="230">+ROUND(715/D414,0)</f>
        <v>10</v>
      </c>
      <c r="H414" s="12"/>
      <c r="I414" s="12">
        <f>2*(0.22+0.132)+24*0.01</f>
        <v>0.94399999999999995</v>
      </c>
      <c r="J414" s="22"/>
      <c r="K414" s="22"/>
      <c r="L414" s="12">
        <f t="shared" si="220"/>
        <v>0.94399999999999995</v>
      </c>
      <c r="M414" s="12">
        <f t="shared" si="194"/>
        <v>0</v>
      </c>
      <c r="N414" s="12">
        <f t="shared" si="195"/>
        <v>264.32</v>
      </c>
      <c r="O414" s="12">
        <f t="shared" si="196"/>
        <v>0</v>
      </c>
      <c r="P414" s="12">
        <f t="shared" si="197"/>
        <v>0</v>
      </c>
      <c r="Q414" s="12">
        <f t="shared" si="198"/>
        <v>0</v>
      </c>
      <c r="R414" s="12">
        <f t="shared" si="199"/>
        <v>0</v>
      </c>
    </row>
    <row r="415" spans="1:18" x14ac:dyDescent="0.25">
      <c r="A415" s="26"/>
      <c r="B415" s="25"/>
      <c r="C415" s="15">
        <v>10</v>
      </c>
      <c r="D415" s="16">
        <v>75</v>
      </c>
      <c r="E415" s="15">
        <f t="shared" si="229"/>
        <v>14</v>
      </c>
      <c r="F415" s="11">
        <f>2*2</f>
        <v>4</v>
      </c>
      <c r="G415" s="11">
        <f t="shared" si="230"/>
        <v>10</v>
      </c>
      <c r="H415" s="12"/>
      <c r="I415" s="12">
        <f>+(0.165+0.165+0.22)+0.2*0.01</f>
        <v>0.55200000000000005</v>
      </c>
      <c r="J415" s="22"/>
      <c r="K415" s="22"/>
      <c r="L415" s="12">
        <f t="shared" si="220"/>
        <v>0.55200000000000005</v>
      </c>
      <c r="M415" s="12">
        <f t="shared" si="194"/>
        <v>0</v>
      </c>
      <c r="N415" s="12">
        <f t="shared" si="195"/>
        <v>309.12</v>
      </c>
      <c r="O415" s="12">
        <f t="shared" si="196"/>
        <v>0</v>
      </c>
      <c r="P415" s="12">
        <f t="shared" si="197"/>
        <v>0</v>
      </c>
      <c r="Q415" s="12">
        <f t="shared" si="198"/>
        <v>0</v>
      </c>
      <c r="R415" s="12">
        <f t="shared" si="199"/>
        <v>0</v>
      </c>
    </row>
    <row r="416" spans="1:18" x14ac:dyDescent="0.25">
      <c r="A416" s="26"/>
      <c r="B416" s="25"/>
      <c r="C416" s="15">
        <v>10</v>
      </c>
      <c r="D416" s="16">
        <v>75</v>
      </c>
      <c r="E416" s="15">
        <f t="shared" si="229"/>
        <v>14</v>
      </c>
      <c r="F416" s="11">
        <v>2</v>
      </c>
      <c r="G416" s="11">
        <f t="shared" si="230"/>
        <v>10</v>
      </c>
      <c r="H416" s="12"/>
      <c r="I416" s="12">
        <f>0.22+2*10*0.01</f>
        <v>0.42000000000000004</v>
      </c>
      <c r="J416" s="22"/>
      <c r="K416" s="22"/>
      <c r="L416" s="12">
        <f t="shared" si="220"/>
        <v>0.42000000000000004</v>
      </c>
      <c r="M416" s="12">
        <f t="shared" si="194"/>
        <v>0</v>
      </c>
      <c r="N416" s="12">
        <f t="shared" si="195"/>
        <v>117.6</v>
      </c>
      <c r="O416" s="12">
        <f t="shared" si="196"/>
        <v>0</v>
      </c>
      <c r="P416" s="12">
        <f t="shared" si="197"/>
        <v>0</v>
      </c>
      <c r="Q416" s="12">
        <f t="shared" si="198"/>
        <v>0</v>
      </c>
      <c r="R416" s="12">
        <f t="shared" si="199"/>
        <v>0</v>
      </c>
    </row>
    <row r="417" spans="1:18" x14ac:dyDescent="0.25">
      <c r="A417" s="26"/>
      <c r="B417" s="25" t="s">
        <v>161</v>
      </c>
      <c r="C417" s="15">
        <v>8</v>
      </c>
      <c r="D417" s="16">
        <v>150</v>
      </c>
      <c r="E417" s="15">
        <f t="shared" si="229"/>
        <v>14</v>
      </c>
      <c r="F417" s="11">
        <v>1</v>
      </c>
      <c r="G417" s="11">
        <f>+ROUND(1020/D417+1,0)</f>
        <v>8</v>
      </c>
      <c r="H417" s="12"/>
      <c r="I417" s="12">
        <f>2*(0.22+0.635)+24*0.008</f>
        <v>1.9019999999999999</v>
      </c>
      <c r="J417" s="22"/>
      <c r="K417" s="22"/>
      <c r="L417" s="12">
        <f t="shared" si="220"/>
        <v>1.9019999999999999</v>
      </c>
      <c r="M417" s="12">
        <f t="shared" si="194"/>
        <v>213.02</v>
      </c>
      <c r="N417" s="12">
        <f t="shared" si="195"/>
        <v>0</v>
      </c>
      <c r="O417" s="12">
        <f t="shared" si="196"/>
        <v>0</v>
      </c>
      <c r="P417" s="12">
        <f t="shared" si="197"/>
        <v>0</v>
      </c>
      <c r="Q417" s="12">
        <f t="shared" si="198"/>
        <v>0</v>
      </c>
      <c r="R417" s="12">
        <f t="shared" si="199"/>
        <v>0</v>
      </c>
    </row>
    <row r="418" spans="1:18" x14ac:dyDescent="0.25">
      <c r="A418" s="26"/>
      <c r="B418" s="25"/>
      <c r="C418" s="15">
        <v>8</v>
      </c>
      <c r="D418" s="16">
        <v>150</v>
      </c>
      <c r="E418" s="15">
        <f t="shared" si="229"/>
        <v>14</v>
      </c>
      <c r="F418" s="11">
        <v>1</v>
      </c>
      <c r="G418" s="11">
        <f>+ROUND(1020/D418+1,0)</f>
        <v>8</v>
      </c>
      <c r="H418" s="12"/>
      <c r="I418" s="12">
        <f>2*(0.22+0.132)+24*0.008</f>
        <v>0.89599999999999991</v>
      </c>
      <c r="J418" s="22"/>
      <c r="K418" s="22"/>
      <c r="L418" s="12">
        <f t="shared" si="220"/>
        <v>0.89599999999999991</v>
      </c>
      <c r="M418" s="12">
        <f t="shared" si="194"/>
        <v>100.35</v>
      </c>
      <c r="N418" s="12">
        <f t="shared" si="195"/>
        <v>0</v>
      </c>
      <c r="O418" s="12">
        <f t="shared" si="196"/>
        <v>0</v>
      </c>
      <c r="P418" s="12">
        <f t="shared" si="197"/>
        <v>0</v>
      </c>
      <c r="Q418" s="12">
        <f t="shared" si="198"/>
        <v>0</v>
      </c>
      <c r="R418" s="12">
        <f t="shared" si="199"/>
        <v>0</v>
      </c>
    </row>
    <row r="419" spans="1:18" x14ac:dyDescent="0.25">
      <c r="A419" s="26"/>
      <c r="B419" s="25"/>
      <c r="C419" s="15">
        <v>8</v>
      </c>
      <c r="D419" s="16">
        <v>150</v>
      </c>
      <c r="E419" s="15">
        <f t="shared" si="229"/>
        <v>14</v>
      </c>
      <c r="F419" s="11">
        <v>2</v>
      </c>
      <c r="G419" s="11">
        <f t="shared" ref="G419:G420" si="231">+ROUND(1020/D419+1,0)</f>
        <v>8</v>
      </c>
      <c r="H419" s="12"/>
      <c r="I419" s="12">
        <f>+(0.165+0.165+0.22)+0.2*0.008</f>
        <v>0.55160000000000009</v>
      </c>
      <c r="J419" s="22"/>
      <c r="K419" s="22"/>
      <c r="L419" s="12">
        <f t="shared" si="220"/>
        <v>0.55160000000000009</v>
      </c>
      <c r="M419" s="12">
        <f t="shared" si="194"/>
        <v>123.56</v>
      </c>
      <c r="N419" s="12">
        <f t="shared" si="195"/>
        <v>0</v>
      </c>
      <c r="O419" s="12">
        <f t="shared" si="196"/>
        <v>0</v>
      </c>
      <c r="P419" s="12">
        <f t="shared" si="197"/>
        <v>0</v>
      </c>
      <c r="Q419" s="12">
        <f t="shared" si="198"/>
        <v>0</v>
      </c>
      <c r="R419" s="12">
        <f t="shared" si="199"/>
        <v>0</v>
      </c>
    </row>
    <row r="420" spans="1:18" x14ac:dyDescent="0.25">
      <c r="A420" s="26"/>
      <c r="B420" s="25"/>
      <c r="C420" s="15">
        <v>8</v>
      </c>
      <c r="D420" s="16">
        <v>150</v>
      </c>
      <c r="E420" s="15">
        <f t="shared" si="229"/>
        <v>14</v>
      </c>
      <c r="F420" s="11">
        <v>1</v>
      </c>
      <c r="G420" s="11">
        <f t="shared" si="231"/>
        <v>8</v>
      </c>
      <c r="H420" s="12"/>
      <c r="I420" s="12">
        <f>0.22+2*10*0.008</f>
        <v>0.38</v>
      </c>
      <c r="J420" s="22"/>
      <c r="K420" s="22"/>
      <c r="L420" s="12">
        <f t="shared" si="220"/>
        <v>0.38</v>
      </c>
      <c r="M420" s="12">
        <f t="shared" si="194"/>
        <v>42.56</v>
      </c>
      <c r="N420" s="12">
        <f t="shared" si="195"/>
        <v>0</v>
      </c>
      <c r="O420" s="12">
        <f t="shared" si="196"/>
        <v>0</v>
      </c>
      <c r="P420" s="12">
        <f t="shared" si="197"/>
        <v>0</v>
      </c>
      <c r="Q420" s="12">
        <f t="shared" si="198"/>
        <v>0</v>
      </c>
      <c r="R420" s="12">
        <f t="shared" si="199"/>
        <v>0</v>
      </c>
    </row>
    <row r="421" spans="1:18" x14ac:dyDescent="0.25">
      <c r="A421" s="26"/>
      <c r="B421" s="45" t="s">
        <v>168</v>
      </c>
      <c r="C421" s="15">
        <v>16</v>
      </c>
      <c r="D421" s="16"/>
      <c r="E421" s="15">
        <v>4</v>
      </c>
      <c r="F421" s="11">
        <v>1</v>
      </c>
      <c r="G421" s="11">
        <v>4</v>
      </c>
      <c r="H421" s="12"/>
      <c r="I421" s="12">
        <f t="shared" ref="I421:I422" si="232">106.2-103.25</f>
        <v>2.9500000000000028</v>
      </c>
      <c r="J421" s="22"/>
      <c r="K421" s="22">
        <f t="shared" ref="K421:K422" si="233">0.5*40*C421/1000</f>
        <v>0.32</v>
      </c>
      <c r="L421" s="12">
        <f t="shared" si="220"/>
        <v>3.2700000000000027</v>
      </c>
      <c r="M421" s="12">
        <f t="shared" si="194"/>
        <v>0</v>
      </c>
      <c r="N421" s="12">
        <f t="shared" si="195"/>
        <v>0</v>
      </c>
      <c r="O421" s="12">
        <f t="shared" si="196"/>
        <v>0</v>
      </c>
      <c r="P421" s="12">
        <f t="shared" si="197"/>
        <v>52.32</v>
      </c>
      <c r="Q421" s="12">
        <f t="shared" si="198"/>
        <v>0</v>
      </c>
      <c r="R421" s="12">
        <f t="shared" si="199"/>
        <v>0</v>
      </c>
    </row>
    <row r="422" spans="1:18" x14ac:dyDescent="0.25">
      <c r="A422" s="26"/>
      <c r="B422" s="25"/>
      <c r="C422" s="15">
        <v>12</v>
      </c>
      <c r="D422" s="16"/>
      <c r="E422" s="15">
        <f>+E421</f>
        <v>4</v>
      </c>
      <c r="F422" s="11">
        <v>1</v>
      </c>
      <c r="G422" s="11">
        <v>14</v>
      </c>
      <c r="H422" s="12"/>
      <c r="I422" s="12">
        <f t="shared" si="232"/>
        <v>2.9500000000000028</v>
      </c>
      <c r="J422" s="22"/>
      <c r="K422" s="22">
        <f t="shared" si="233"/>
        <v>0.24</v>
      </c>
      <c r="L422" s="12">
        <f t="shared" si="220"/>
        <v>3.1900000000000031</v>
      </c>
      <c r="M422" s="12">
        <f t="shared" si="194"/>
        <v>0</v>
      </c>
      <c r="N422" s="12">
        <f t="shared" si="195"/>
        <v>0</v>
      </c>
      <c r="O422" s="12">
        <f t="shared" si="196"/>
        <v>178.64</v>
      </c>
      <c r="P422" s="12">
        <f t="shared" si="197"/>
        <v>0</v>
      </c>
      <c r="Q422" s="12">
        <f t="shared" si="198"/>
        <v>0</v>
      </c>
      <c r="R422" s="12">
        <f t="shared" si="199"/>
        <v>0</v>
      </c>
    </row>
    <row r="423" spans="1:18" x14ac:dyDescent="0.25">
      <c r="A423" s="26"/>
      <c r="B423" s="25" t="s">
        <v>160</v>
      </c>
      <c r="C423" s="15">
        <v>10</v>
      </c>
      <c r="D423" s="16">
        <v>75</v>
      </c>
      <c r="E423" s="15">
        <f t="shared" ref="E423:E428" si="234">+E422</f>
        <v>4</v>
      </c>
      <c r="F423" s="11">
        <v>2</v>
      </c>
      <c r="G423" s="11">
        <f>+ROUND(800/D423,0)</f>
        <v>11</v>
      </c>
      <c r="H423" s="12"/>
      <c r="I423" s="12">
        <f>2*(0.22+0.72)+24*0.01</f>
        <v>2.12</v>
      </c>
      <c r="J423" s="22"/>
      <c r="K423" s="22"/>
      <c r="L423" s="12">
        <f t="shared" si="220"/>
        <v>2.12</v>
      </c>
      <c r="M423" s="12">
        <f t="shared" si="194"/>
        <v>0</v>
      </c>
      <c r="N423" s="12">
        <f t="shared" si="195"/>
        <v>186.56</v>
      </c>
      <c r="O423" s="12">
        <f t="shared" si="196"/>
        <v>0</v>
      </c>
      <c r="P423" s="12">
        <f t="shared" si="197"/>
        <v>0</v>
      </c>
      <c r="Q423" s="12">
        <f t="shared" si="198"/>
        <v>0</v>
      </c>
      <c r="R423" s="12">
        <f t="shared" si="199"/>
        <v>0</v>
      </c>
    </row>
    <row r="424" spans="1:18" x14ac:dyDescent="0.25">
      <c r="A424" s="26"/>
      <c r="B424" s="25"/>
      <c r="C424" s="15">
        <v>10</v>
      </c>
      <c r="D424" s="16">
        <v>75</v>
      </c>
      <c r="E424" s="15">
        <f t="shared" si="234"/>
        <v>4</v>
      </c>
      <c r="F424" s="11">
        <f>2*2</f>
        <v>4</v>
      </c>
      <c r="G424" s="11">
        <f t="shared" ref="G424:G425" si="235">+ROUND(800/D424,0)</f>
        <v>11</v>
      </c>
      <c r="H424" s="12"/>
      <c r="I424" s="12">
        <f>2*(0.22+0.115)+24*0.01</f>
        <v>0.91</v>
      </c>
      <c r="J424" s="22"/>
      <c r="K424" s="22"/>
      <c r="L424" s="12">
        <f t="shared" si="220"/>
        <v>0.91</v>
      </c>
      <c r="M424" s="12">
        <f t="shared" si="194"/>
        <v>0</v>
      </c>
      <c r="N424" s="12">
        <f t="shared" si="195"/>
        <v>160.16</v>
      </c>
      <c r="O424" s="12">
        <f t="shared" si="196"/>
        <v>0</v>
      </c>
      <c r="P424" s="12">
        <f t="shared" si="197"/>
        <v>0</v>
      </c>
      <c r="Q424" s="12">
        <f t="shared" si="198"/>
        <v>0</v>
      </c>
      <c r="R424" s="12">
        <f t="shared" si="199"/>
        <v>0</v>
      </c>
    </row>
    <row r="425" spans="1:18" x14ac:dyDescent="0.25">
      <c r="A425" s="26"/>
      <c r="B425" s="25"/>
      <c r="C425" s="15">
        <v>10</v>
      </c>
      <c r="D425" s="16">
        <v>75</v>
      </c>
      <c r="E425" s="15">
        <f t="shared" si="234"/>
        <v>4</v>
      </c>
      <c r="F425" s="11">
        <f>2*2</f>
        <v>4</v>
      </c>
      <c r="G425" s="11">
        <f t="shared" si="235"/>
        <v>11</v>
      </c>
      <c r="H425" s="12"/>
      <c r="I425" s="12">
        <f>+(0.165+0.165+0.22)+0.2*0.01</f>
        <v>0.55200000000000005</v>
      </c>
      <c r="J425" s="22"/>
      <c r="K425" s="22"/>
      <c r="L425" s="12">
        <f t="shared" si="220"/>
        <v>0.55200000000000005</v>
      </c>
      <c r="M425" s="12">
        <f t="shared" si="194"/>
        <v>0</v>
      </c>
      <c r="N425" s="12">
        <f t="shared" si="195"/>
        <v>97.15</v>
      </c>
      <c r="O425" s="12">
        <f t="shared" si="196"/>
        <v>0</v>
      </c>
      <c r="P425" s="12">
        <f t="shared" si="197"/>
        <v>0</v>
      </c>
      <c r="Q425" s="12">
        <f t="shared" si="198"/>
        <v>0</v>
      </c>
      <c r="R425" s="12">
        <f t="shared" si="199"/>
        <v>0</v>
      </c>
    </row>
    <row r="426" spans="1:18" x14ac:dyDescent="0.25">
      <c r="A426" s="26"/>
      <c r="B426" s="25" t="s">
        <v>161</v>
      </c>
      <c r="C426" s="15">
        <v>8</v>
      </c>
      <c r="D426" s="16">
        <v>150</v>
      </c>
      <c r="E426" s="15">
        <f t="shared" si="234"/>
        <v>4</v>
      </c>
      <c r="F426" s="11">
        <v>1</v>
      </c>
      <c r="G426" s="11">
        <f>+ROUND(800/D426+1,0)</f>
        <v>6</v>
      </c>
      <c r="H426" s="12"/>
      <c r="I426" s="12">
        <f>2*(0.22+0.72)+24*0.008</f>
        <v>2.0720000000000001</v>
      </c>
      <c r="J426" s="22"/>
      <c r="K426" s="22"/>
      <c r="L426" s="12">
        <f t="shared" si="220"/>
        <v>2.0720000000000001</v>
      </c>
      <c r="M426" s="12">
        <f t="shared" si="194"/>
        <v>49.73</v>
      </c>
      <c r="N426" s="12">
        <f t="shared" si="195"/>
        <v>0</v>
      </c>
      <c r="O426" s="12">
        <f t="shared" si="196"/>
        <v>0</v>
      </c>
      <c r="P426" s="12">
        <f t="shared" si="197"/>
        <v>0</v>
      </c>
      <c r="Q426" s="12">
        <f t="shared" si="198"/>
        <v>0</v>
      </c>
      <c r="R426" s="12">
        <f t="shared" si="199"/>
        <v>0</v>
      </c>
    </row>
    <row r="427" spans="1:18" x14ac:dyDescent="0.25">
      <c r="A427" s="26"/>
      <c r="B427" s="25"/>
      <c r="C427" s="15">
        <v>8</v>
      </c>
      <c r="D427" s="16">
        <v>150</v>
      </c>
      <c r="E427" s="15">
        <f t="shared" si="234"/>
        <v>4</v>
      </c>
      <c r="F427" s="11">
        <v>2</v>
      </c>
      <c r="G427" s="11">
        <f t="shared" ref="G427:G428" si="236">+ROUND(800/D427+1,0)</f>
        <v>6</v>
      </c>
      <c r="H427" s="12"/>
      <c r="I427" s="12">
        <f>2*(0.22+0.115)+24*0.008</f>
        <v>0.8620000000000001</v>
      </c>
      <c r="J427" s="22"/>
      <c r="K427" s="22"/>
      <c r="L427" s="12">
        <f t="shared" si="220"/>
        <v>0.8620000000000001</v>
      </c>
      <c r="M427" s="12">
        <f t="shared" si="194"/>
        <v>41.38</v>
      </c>
      <c r="N427" s="12">
        <f t="shared" si="195"/>
        <v>0</v>
      </c>
      <c r="O427" s="12">
        <f t="shared" si="196"/>
        <v>0</v>
      </c>
      <c r="P427" s="12">
        <f t="shared" si="197"/>
        <v>0</v>
      </c>
      <c r="Q427" s="12">
        <f t="shared" si="198"/>
        <v>0</v>
      </c>
      <c r="R427" s="12">
        <f t="shared" si="199"/>
        <v>0</v>
      </c>
    </row>
    <row r="428" spans="1:18" x14ac:dyDescent="0.25">
      <c r="A428" s="26"/>
      <c r="B428" s="25"/>
      <c r="C428" s="15">
        <v>8</v>
      </c>
      <c r="D428" s="16">
        <v>150</v>
      </c>
      <c r="E428" s="15">
        <f t="shared" si="234"/>
        <v>4</v>
      </c>
      <c r="F428" s="11">
        <v>2</v>
      </c>
      <c r="G428" s="11">
        <f t="shared" si="236"/>
        <v>6</v>
      </c>
      <c r="H428" s="12"/>
      <c r="I428" s="12">
        <f>+(0.165+0.165+0.22)+0.2*0.008</f>
        <v>0.55160000000000009</v>
      </c>
      <c r="J428" s="22"/>
      <c r="K428" s="22"/>
      <c r="L428" s="12">
        <f t="shared" si="220"/>
        <v>0.55160000000000009</v>
      </c>
      <c r="M428" s="12">
        <f t="shared" si="194"/>
        <v>26.48</v>
      </c>
      <c r="N428" s="12">
        <f t="shared" si="195"/>
        <v>0</v>
      </c>
      <c r="O428" s="12">
        <f t="shared" si="196"/>
        <v>0</v>
      </c>
      <c r="P428" s="12">
        <f t="shared" si="197"/>
        <v>0</v>
      </c>
      <c r="Q428" s="12">
        <f t="shared" si="198"/>
        <v>0</v>
      </c>
      <c r="R428" s="12">
        <f t="shared" si="199"/>
        <v>0</v>
      </c>
    </row>
    <row r="429" spans="1:18" x14ac:dyDescent="0.25">
      <c r="A429" s="26"/>
      <c r="B429" s="45" t="s">
        <v>169</v>
      </c>
      <c r="C429" s="15">
        <v>20</v>
      </c>
      <c r="D429" s="16"/>
      <c r="E429" s="15">
        <v>4</v>
      </c>
      <c r="F429" s="11">
        <v>1</v>
      </c>
      <c r="G429" s="11">
        <v>4</v>
      </c>
      <c r="H429" s="12"/>
      <c r="I429" s="12">
        <f t="shared" ref="I429:I430" si="237">106.2-103.25</f>
        <v>2.9500000000000028</v>
      </c>
      <c r="J429" s="22"/>
      <c r="K429" s="22">
        <f>0.5*40*C429/1000</f>
        <v>0.4</v>
      </c>
      <c r="L429" s="12">
        <f t="shared" si="220"/>
        <v>3.3500000000000028</v>
      </c>
      <c r="M429" s="12">
        <f t="shared" si="194"/>
        <v>0</v>
      </c>
      <c r="N429" s="12">
        <f t="shared" si="195"/>
        <v>0</v>
      </c>
      <c r="O429" s="12">
        <f t="shared" si="196"/>
        <v>0</v>
      </c>
      <c r="P429" s="12">
        <f t="shared" si="197"/>
        <v>0</v>
      </c>
      <c r="Q429" s="12">
        <f t="shared" si="198"/>
        <v>53.6</v>
      </c>
      <c r="R429" s="12">
        <f t="shared" si="199"/>
        <v>0</v>
      </c>
    </row>
    <row r="430" spans="1:18" x14ac:dyDescent="0.25">
      <c r="A430" s="26"/>
      <c r="B430" s="45"/>
      <c r="C430" s="15">
        <v>16</v>
      </c>
      <c r="D430" s="16"/>
      <c r="E430" s="15">
        <v>4</v>
      </c>
      <c r="F430" s="11">
        <v>1</v>
      </c>
      <c r="G430" s="11">
        <v>10</v>
      </c>
      <c r="H430" s="12"/>
      <c r="I430" s="12">
        <f t="shared" si="237"/>
        <v>2.9500000000000028</v>
      </c>
      <c r="J430" s="22"/>
      <c r="K430" s="22">
        <f>0.5*40*C430/1000</f>
        <v>0.32</v>
      </c>
      <c r="L430" s="12">
        <f t="shared" si="220"/>
        <v>3.2700000000000027</v>
      </c>
      <c r="M430" s="12">
        <f t="shared" si="194"/>
        <v>0</v>
      </c>
      <c r="N430" s="12">
        <f t="shared" si="195"/>
        <v>0</v>
      </c>
      <c r="O430" s="12">
        <f t="shared" si="196"/>
        <v>0</v>
      </c>
      <c r="P430" s="12">
        <f t="shared" si="197"/>
        <v>130.80000000000001</v>
      </c>
      <c r="Q430" s="12">
        <f t="shared" si="198"/>
        <v>0</v>
      </c>
      <c r="R430" s="12">
        <f t="shared" si="199"/>
        <v>0</v>
      </c>
    </row>
    <row r="431" spans="1:18" x14ac:dyDescent="0.25">
      <c r="A431" s="26"/>
      <c r="B431" s="25" t="s">
        <v>160</v>
      </c>
      <c r="C431" s="15">
        <v>10</v>
      </c>
      <c r="D431" s="16">
        <v>75</v>
      </c>
      <c r="E431" s="15">
        <f>+E429</f>
        <v>4</v>
      </c>
      <c r="F431" s="11">
        <v>2</v>
      </c>
      <c r="G431" s="11">
        <f>+ROUND(600/D431,0)</f>
        <v>8</v>
      </c>
      <c r="H431" s="12"/>
      <c r="I431" s="12">
        <f>2*(0.22+0.52)+24*0.01</f>
        <v>1.72</v>
      </c>
      <c r="J431" s="22"/>
      <c r="K431" s="22"/>
      <c r="L431" s="12">
        <f t="shared" si="220"/>
        <v>1.72</v>
      </c>
      <c r="M431" s="12">
        <f t="shared" si="194"/>
        <v>0</v>
      </c>
      <c r="N431" s="12">
        <f t="shared" si="195"/>
        <v>110.08</v>
      </c>
      <c r="O431" s="12">
        <f t="shared" si="196"/>
        <v>0</v>
      </c>
      <c r="P431" s="12">
        <f t="shared" si="197"/>
        <v>0</v>
      </c>
      <c r="Q431" s="12">
        <f t="shared" si="198"/>
        <v>0</v>
      </c>
      <c r="R431" s="12">
        <f t="shared" si="199"/>
        <v>0</v>
      </c>
    </row>
    <row r="432" spans="1:18" x14ac:dyDescent="0.25">
      <c r="A432" s="26"/>
      <c r="B432" s="25"/>
      <c r="C432" s="15">
        <v>10</v>
      </c>
      <c r="D432" s="16">
        <v>75</v>
      </c>
      <c r="E432" s="15">
        <f t="shared" ref="E432:E436" si="238">+E431</f>
        <v>4</v>
      </c>
      <c r="F432" s="11">
        <v>2</v>
      </c>
      <c r="G432" s="11">
        <f t="shared" ref="G432:G433" si="239">+ROUND(600/D432,0)</f>
        <v>8</v>
      </c>
      <c r="H432" s="12"/>
      <c r="I432" s="12">
        <f>2*(0.22+0.115)+24*0.01</f>
        <v>0.91</v>
      </c>
      <c r="J432" s="22"/>
      <c r="K432" s="22"/>
      <c r="L432" s="12">
        <f t="shared" si="220"/>
        <v>0.91</v>
      </c>
      <c r="M432" s="12">
        <f t="shared" si="194"/>
        <v>0</v>
      </c>
      <c r="N432" s="12">
        <f t="shared" si="195"/>
        <v>58.24</v>
      </c>
      <c r="O432" s="12">
        <f t="shared" si="196"/>
        <v>0</v>
      </c>
      <c r="P432" s="12">
        <f t="shared" si="197"/>
        <v>0</v>
      </c>
      <c r="Q432" s="12">
        <f t="shared" si="198"/>
        <v>0</v>
      </c>
      <c r="R432" s="12">
        <f t="shared" si="199"/>
        <v>0</v>
      </c>
    </row>
    <row r="433" spans="1:18" x14ac:dyDescent="0.25">
      <c r="A433" s="26"/>
      <c r="B433" s="25"/>
      <c r="C433" s="15">
        <v>10</v>
      </c>
      <c r="D433" s="16">
        <v>75</v>
      </c>
      <c r="E433" s="15">
        <f t="shared" si="238"/>
        <v>4</v>
      </c>
      <c r="F433" s="11">
        <f>2*2</f>
        <v>4</v>
      </c>
      <c r="G433" s="11">
        <f t="shared" si="239"/>
        <v>8</v>
      </c>
      <c r="H433" s="12"/>
      <c r="I433" s="12">
        <f>+(0.16+0.16+0.22)+0.24*0.01</f>
        <v>0.54239999999999999</v>
      </c>
      <c r="J433" s="22"/>
      <c r="K433" s="22"/>
      <c r="L433" s="12">
        <f t="shared" si="220"/>
        <v>0.54239999999999999</v>
      </c>
      <c r="M433" s="12">
        <f t="shared" si="194"/>
        <v>0</v>
      </c>
      <c r="N433" s="12">
        <f t="shared" si="195"/>
        <v>69.430000000000007</v>
      </c>
      <c r="O433" s="12">
        <f t="shared" si="196"/>
        <v>0</v>
      </c>
      <c r="P433" s="12">
        <f t="shared" si="197"/>
        <v>0</v>
      </c>
      <c r="Q433" s="12">
        <f t="shared" si="198"/>
        <v>0</v>
      </c>
      <c r="R433" s="12">
        <f t="shared" si="199"/>
        <v>0</v>
      </c>
    </row>
    <row r="434" spans="1:18" x14ac:dyDescent="0.25">
      <c r="A434" s="26"/>
      <c r="B434" s="25" t="s">
        <v>161</v>
      </c>
      <c r="C434" s="15">
        <v>8</v>
      </c>
      <c r="D434" s="16">
        <v>150</v>
      </c>
      <c r="E434" s="15">
        <f t="shared" si="238"/>
        <v>4</v>
      </c>
      <c r="F434" s="11">
        <v>1</v>
      </c>
      <c r="G434" s="11">
        <f>+ROUND(1250/D434+1,0)</f>
        <v>9</v>
      </c>
      <c r="H434" s="12"/>
      <c r="I434" s="12">
        <f>2*(0.22+0.52)+24*0.008</f>
        <v>1.6719999999999999</v>
      </c>
      <c r="J434" s="22"/>
      <c r="K434" s="22"/>
      <c r="L434" s="12">
        <f t="shared" si="220"/>
        <v>1.6719999999999999</v>
      </c>
      <c r="M434" s="12">
        <f t="shared" si="194"/>
        <v>60.19</v>
      </c>
      <c r="N434" s="12">
        <f t="shared" si="195"/>
        <v>0</v>
      </c>
      <c r="O434" s="12">
        <f t="shared" si="196"/>
        <v>0</v>
      </c>
      <c r="P434" s="12">
        <f t="shared" si="197"/>
        <v>0</v>
      </c>
      <c r="Q434" s="12">
        <f t="shared" si="198"/>
        <v>0</v>
      </c>
      <c r="R434" s="12">
        <f t="shared" si="199"/>
        <v>0</v>
      </c>
    </row>
    <row r="435" spans="1:18" x14ac:dyDescent="0.25">
      <c r="A435" s="26"/>
      <c r="B435" s="25"/>
      <c r="C435" s="15">
        <v>8</v>
      </c>
      <c r="D435" s="16">
        <v>150</v>
      </c>
      <c r="E435" s="15">
        <f t="shared" si="238"/>
        <v>4</v>
      </c>
      <c r="F435" s="11">
        <v>1</v>
      </c>
      <c r="G435" s="11">
        <f t="shared" ref="G435:G436" si="240">+ROUND(1250/D435+1,0)</f>
        <v>9</v>
      </c>
      <c r="H435" s="12"/>
      <c r="I435" s="12">
        <f>2*(0.22+0.115)+24*0.008</f>
        <v>0.8620000000000001</v>
      </c>
      <c r="J435" s="22"/>
      <c r="K435" s="22"/>
      <c r="L435" s="12">
        <f t="shared" si="220"/>
        <v>0.8620000000000001</v>
      </c>
      <c r="M435" s="12">
        <f t="shared" si="194"/>
        <v>31.03</v>
      </c>
      <c r="N435" s="12">
        <f t="shared" si="195"/>
        <v>0</v>
      </c>
      <c r="O435" s="12">
        <f t="shared" si="196"/>
        <v>0</v>
      </c>
      <c r="P435" s="12">
        <f t="shared" si="197"/>
        <v>0</v>
      </c>
      <c r="Q435" s="12">
        <f t="shared" si="198"/>
        <v>0</v>
      </c>
      <c r="R435" s="12">
        <f t="shared" si="199"/>
        <v>0</v>
      </c>
    </row>
    <row r="436" spans="1:18" x14ac:dyDescent="0.25">
      <c r="A436" s="26"/>
      <c r="B436" s="25"/>
      <c r="C436" s="15">
        <v>8</v>
      </c>
      <c r="D436" s="16">
        <v>150</v>
      </c>
      <c r="E436" s="15">
        <f t="shared" si="238"/>
        <v>4</v>
      </c>
      <c r="F436" s="11">
        <v>2</v>
      </c>
      <c r="G436" s="11">
        <f t="shared" si="240"/>
        <v>9</v>
      </c>
      <c r="H436" s="12"/>
      <c r="I436" s="12">
        <f>+(0.16+0.16+0.22)+0.2*0.008</f>
        <v>0.54160000000000008</v>
      </c>
      <c r="J436" s="22"/>
      <c r="K436" s="22"/>
      <c r="L436" s="12">
        <f t="shared" si="220"/>
        <v>0.54160000000000008</v>
      </c>
      <c r="M436" s="12">
        <f t="shared" si="194"/>
        <v>39</v>
      </c>
      <c r="N436" s="12">
        <f t="shared" si="195"/>
        <v>0</v>
      </c>
      <c r="O436" s="12">
        <f t="shared" si="196"/>
        <v>0</v>
      </c>
      <c r="P436" s="12">
        <f t="shared" si="197"/>
        <v>0</v>
      </c>
      <c r="Q436" s="12">
        <f t="shared" si="198"/>
        <v>0</v>
      </c>
      <c r="R436" s="12">
        <f t="shared" si="199"/>
        <v>0</v>
      </c>
    </row>
    <row r="437" spans="1:18" x14ac:dyDescent="0.25">
      <c r="A437" s="26"/>
      <c r="B437" s="45" t="s">
        <v>427</v>
      </c>
      <c r="C437" s="15"/>
      <c r="D437" s="16"/>
      <c r="E437" s="15"/>
      <c r="F437" s="11"/>
      <c r="G437" s="11"/>
      <c r="H437" s="12"/>
      <c r="I437" s="12"/>
      <c r="J437" s="22"/>
      <c r="K437" s="22"/>
      <c r="L437" s="12">
        <f t="shared" si="220"/>
        <v>0</v>
      </c>
      <c r="M437" s="12">
        <f t="shared" si="194"/>
        <v>0</v>
      </c>
      <c r="N437" s="12">
        <f t="shared" si="195"/>
        <v>0</v>
      </c>
      <c r="O437" s="12">
        <f t="shared" si="196"/>
        <v>0</v>
      </c>
      <c r="P437" s="12">
        <f t="shared" si="197"/>
        <v>0</v>
      </c>
      <c r="Q437" s="12">
        <f t="shared" si="198"/>
        <v>0</v>
      </c>
      <c r="R437" s="12">
        <f t="shared" si="199"/>
        <v>0</v>
      </c>
    </row>
    <row r="438" spans="1:18" x14ac:dyDescent="0.25">
      <c r="A438" s="26"/>
      <c r="B438" s="45" t="s">
        <v>171</v>
      </c>
      <c r="C438" s="15">
        <v>16</v>
      </c>
      <c r="D438" s="16"/>
      <c r="E438" s="15">
        <v>2</v>
      </c>
      <c r="F438" s="11">
        <v>1</v>
      </c>
      <c r="G438" s="11">
        <v>8</v>
      </c>
      <c r="H438" s="12"/>
      <c r="I438" s="12">
        <f t="shared" ref="I438:I440" si="241">106.2-103.25</f>
        <v>2.9500000000000028</v>
      </c>
      <c r="J438" s="22"/>
      <c r="K438" s="22">
        <f t="shared" ref="K438:K440" si="242">0.5*40*C438/1000</f>
        <v>0.32</v>
      </c>
      <c r="L438" s="12">
        <f t="shared" si="220"/>
        <v>3.2700000000000027</v>
      </c>
      <c r="M438" s="12">
        <f t="shared" si="194"/>
        <v>0</v>
      </c>
      <c r="N438" s="12">
        <f t="shared" si="195"/>
        <v>0</v>
      </c>
      <c r="O438" s="12">
        <f t="shared" si="196"/>
        <v>0</v>
      </c>
      <c r="P438" s="12">
        <f t="shared" si="197"/>
        <v>52.32</v>
      </c>
      <c r="Q438" s="12">
        <f t="shared" si="198"/>
        <v>0</v>
      </c>
      <c r="R438" s="12">
        <f t="shared" si="199"/>
        <v>0</v>
      </c>
    </row>
    <row r="439" spans="1:18" x14ac:dyDescent="0.25">
      <c r="A439" s="26"/>
      <c r="B439" s="25"/>
      <c r="C439" s="15">
        <v>12</v>
      </c>
      <c r="D439" s="16"/>
      <c r="E439" s="15">
        <v>2</v>
      </c>
      <c r="F439" s="11">
        <v>1</v>
      </c>
      <c r="G439" s="11">
        <v>16</v>
      </c>
      <c r="H439" s="12"/>
      <c r="I439" s="12">
        <f t="shared" si="241"/>
        <v>2.9500000000000028</v>
      </c>
      <c r="J439" s="22"/>
      <c r="K439" s="22">
        <f t="shared" si="242"/>
        <v>0.24</v>
      </c>
      <c r="L439" s="12">
        <f t="shared" si="220"/>
        <v>3.1900000000000031</v>
      </c>
      <c r="M439" s="12">
        <f t="shared" si="194"/>
        <v>0</v>
      </c>
      <c r="N439" s="12">
        <f t="shared" si="195"/>
        <v>0</v>
      </c>
      <c r="O439" s="12">
        <f t="shared" si="196"/>
        <v>102.08</v>
      </c>
      <c r="P439" s="12">
        <f t="shared" si="197"/>
        <v>0</v>
      </c>
      <c r="Q439" s="12">
        <f t="shared" si="198"/>
        <v>0</v>
      </c>
      <c r="R439" s="12">
        <f t="shared" si="199"/>
        <v>0</v>
      </c>
    </row>
    <row r="440" spans="1:18" x14ac:dyDescent="0.25">
      <c r="A440" s="26"/>
      <c r="B440" s="25"/>
      <c r="C440" s="15">
        <v>10</v>
      </c>
      <c r="D440" s="16"/>
      <c r="E440" s="15">
        <v>2</v>
      </c>
      <c r="F440" s="11">
        <v>1</v>
      </c>
      <c r="G440" s="11">
        <v>8</v>
      </c>
      <c r="H440" s="12"/>
      <c r="I440" s="12">
        <f t="shared" si="241"/>
        <v>2.9500000000000028</v>
      </c>
      <c r="J440" s="22"/>
      <c r="K440" s="22">
        <f t="shared" si="242"/>
        <v>0.2</v>
      </c>
      <c r="L440" s="12">
        <f t="shared" si="220"/>
        <v>3.150000000000003</v>
      </c>
      <c r="M440" s="12">
        <f t="shared" si="194"/>
        <v>0</v>
      </c>
      <c r="N440" s="12">
        <f t="shared" si="195"/>
        <v>50.4</v>
      </c>
      <c r="O440" s="12">
        <f t="shared" si="196"/>
        <v>0</v>
      </c>
      <c r="P440" s="12">
        <f t="shared" si="197"/>
        <v>0</v>
      </c>
      <c r="Q440" s="12">
        <f t="shared" si="198"/>
        <v>0</v>
      </c>
      <c r="R440" s="12">
        <f t="shared" si="199"/>
        <v>0</v>
      </c>
    </row>
    <row r="441" spans="1:18" x14ac:dyDescent="0.25">
      <c r="A441" s="26"/>
      <c r="B441" s="25" t="s">
        <v>172</v>
      </c>
      <c r="C441" s="15"/>
      <c r="D441" s="16"/>
      <c r="E441" s="15"/>
      <c r="F441" s="11"/>
      <c r="G441" s="11"/>
      <c r="H441" s="12"/>
      <c r="I441" s="12"/>
      <c r="J441" s="22"/>
      <c r="K441" s="22"/>
      <c r="L441" s="12">
        <f t="shared" si="220"/>
        <v>0</v>
      </c>
      <c r="M441" s="12">
        <f t="shared" si="194"/>
        <v>0</v>
      </c>
      <c r="N441" s="12">
        <f t="shared" si="195"/>
        <v>0</v>
      </c>
      <c r="O441" s="12">
        <f t="shared" si="196"/>
        <v>0</v>
      </c>
      <c r="P441" s="12">
        <f t="shared" si="197"/>
        <v>0</v>
      </c>
      <c r="Q441" s="12">
        <f t="shared" si="198"/>
        <v>0</v>
      </c>
      <c r="R441" s="12">
        <f t="shared" si="199"/>
        <v>0</v>
      </c>
    </row>
    <row r="442" spans="1:18" x14ac:dyDescent="0.25">
      <c r="A442" s="26"/>
      <c r="B442" s="25" t="s">
        <v>188</v>
      </c>
      <c r="C442" s="15">
        <v>8</v>
      </c>
      <c r="D442" s="16">
        <v>100</v>
      </c>
      <c r="E442" s="15">
        <v>2</v>
      </c>
      <c r="F442" s="11">
        <v>1</v>
      </c>
      <c r="G442" s="11">
        <f>+ROUND(2450/D442+1,0)</f>
        <v>26</v>
      </c>
      <c r="H442" s="12"/>
      <c r="I442" s="12">
        <f>2*(0.18+0.6)+24*C442/1000</f>
        <v>1.752</v>
      </c>
      <c r="J442" s="22"/>
      <c r="K442" s="22"/>
      <c r="L442" s="12">
        <f t="shared" si="220"/>
        <v>1.752</v>
      </c>
      <c r="M442" s="12">
        <f t="shared" si="194"/>
        <v>91.1</v>
      </c>
      <c r="N442" s="12">
        <f t="shared" si="195"/>
        <v>0</v>
      </c>
      <c r="O442" s="12">
        <f t="shared" si="196"/>
        <v>0</v>
      </c>
      <c r="P442" s="12">
        <f t="shared" si="197"/>
        <v>0</v>
      </c>
      <c r="Q442" s="12">
        <f t="shared" si="198"/>
        <v>0</v>
      </c>
      <c r="R442" s="12">
        <f t="shared" si="199"/>
        <v>0</v>
      </c>
    </row>
    <row r="443" spans="1:18" x14ac:dyDescent="0.25">
      <c r="A443" s="26"/>
      <c r="B443" s="25" t="s">
        <v>174</v>
      </c>
      <c r="C443" s="15">
        <v>8</v>
      </c>
      <c r="D443" s="16">
        <v>100</v>
      </c>
      <c r="E443" s="15">
        <v>2</v>
      </c>
      <c r="F443" s="11">
        <v>1</v>
      </c>
      <c r="G443" s="11">
        <f t="shared" ref="G443:G449" si="243">+ROUND(2450/D443+1,0)</f>
        <v>26</v>
      </c>
      <c r="H443" s="12"/>
      <c r="I443" s="12">
        <f>2*(0.18+0.248)+24*C443/1000</f>
        <v>1.048</v>
      </c>
      <c r="J443" s="22"/>
      <c r="K443" s="22"/>
      <c r="L443" s="12">
        <f t="shared" si="220"/>
        <v>1.048</v>
      </c>
      <c r="M443" s="12">
        <f t="shared" si="194"/>
        <v>54.5</v>
      </c>
      <c r="N443" s="12">
        <f t="shared" si="195"/>
        <v>0</v>
      </c>
      <c r="O443" s="12">
        <f t="shared" si="196"/>
        <v>0</v>
      </c>
      <c r="P443" s="12">
        <f t="shared" si="197"/>
        <v>0</v>
      </c>
      <c r="Q443" s="12">
        <f t="shared" si="198"/>
        <v>0</v>
      </c>
      <c r="R443" s="12">
        <f t="shared" si="199"/>
        <v>0</v>
      </c>
    </row>
    <row r="444" spans="1:18" x14ac:dyDescent="0.25">
      <c r="A444" s="26"/>
      <c r="B444" s="25" t="s">
        <v>173</v>
      </c>
      <c r="C444" s="15">
        <v>8</v>
      </c>
      <c r="D444" s="16">
        <v>100</v>
      </c>
      <c r="E444" s="15">
        <v>2</v>
      </c>
      <c r="F444" s="11">
        <v>1</v>
      </c>
      <c r="G444" s="11">
        <f t="shared" si="243"/>
        <v>26</v>
      </c>
      <c r="H444" s="12"/>
      <c r="I444" s="12">
        <f>0.18+(20*C444/1000)</f>
        <v>0.33999999999999997</v>
      </c>
      <c r="J444" s="22"/>
      <c r="K444" s="22"/>
      <c r="L444" s="12">
        <f t="shared" si="220"/>
        <v>0.33999999999999997</v>
      </c>
      <c r="M444" s="12">
        <f t="shared" si="194"/>
        <v>17.68</v>
      </c>
      <c r="N444" s="12">
        <f t="shared" si="195"/>
        <v>0</v>
      </c>
      <c r="O444" s="12">
        <f t="shared" si="196"/>
        <v>0</v>
      </c>
      <c r="P444" s="12">
        <f t="shared" si="197"/>
        <v>0</v>
      </c>
      <c r="Q444" s="12">
        <f t="shared" si="198"/>
        <v>0</v>
      </c>
      <c r="R444" s="12">
        <f t="shared" si="199"/>
        <v>0</v>
      </c>
    </row>
    <row r="445" spans="1:18" x14ac:dyDescent="0.25">
      <c r="A445" s="26"/>
      <c r="B445" s="25" t="s">
        <v>189</v>
      </c>
      <c r="C445" s="15">
        <v>8</v>
      </c>
      <c r="D445" s="16">
        <v>100</v>
      </c>
      <c r="E445" s="15">
        <v>2</v>
      </c>
      <c r="F445" s="11">
        <v>2</v>
      </c>
      <c r="G445" s="11">
        <f t="shared" si="243"/>
        <v>26</v>
      </c>
      <c r="H445" s="12"/>
      <c r="I445" s="12">
        <f>2*(0.18+0.385)+24*C445/1000</f>
        <v>1.3219999999999998</v>
      </c>
      <c r="J445" s="22"/>
      <c r="K445" s="22"/>
      <c r="L445" s="12">
        <f t="shared" si="220"/>
        <v>1.3219999999999998</v>
      </c>
      <c r="M445" s="12">
        <f t="shared" si="194"/>
        <v>137.49</v>
      </c>
      <c r="N445" s="12">
        <f t="shared" si="195"/>
        <v>0</v>
      </c>
      <c r="O445" s="12">
        <f t="shared" si="196"/>
        <v>0</v>
      </c>
      <c r="P445" s="12">
        <f t="shared" si="197"/>
        <v>0</v>
      </c>
      <c r="Q445" s="12">
        <f t="shared" si="198"/>
        <v>0</v>
      </c>
      <c r="R445" s="12">
        <f t="shared" si="199"/>
        <v>0</v>
      </c>
    </row>
    <row r="446" spans="1:18" x14ac:dyDescent="0.25">
      <c r="A446" s="26"/>
      <c r="B446" s="25" t="s">
        <v>175</v>
      </c>
      <c r="C446" s="15">
        <v>8</v>
      </c>
      <c r="D446" s="16">
        <v>100</v>
      </c>
      <c r="E446" s="15">
        <v>2</v>
      </c>
      <c r="F446" s="11">
        <v>1</v>
      </c>
      <c r="G446" s="11">
        <f t="shared" si="243"/>
        <v>26</v>
      </c>
      <c r="H446" s="12"/>
      <c r="I446" s="12">
        <f>2*(0.18+0.268)+24*C446/1000</f>
        <v>1.0880000000000001</v>
      </c>
      <c r="J446" s="22"/>
      <c r="K446" s="22"/>
      <c r="L446" s="12">
        <f t="shared" si="220"/>
        <v>1.0880000000000001</v>
      </c>
      <c r="M446" s="12">
        <f t="shared" si="194"/>
        <v>56.58</v>
      </c>
      <c r="N446" s="12">
        <f t="shared" si="195"/>
        <v>0</v>
      </c>
      <c r="O446" s="12">
        <f t="shared" si="196"/>
        <v>0</v>
      </c>
      <c r="P446" s="12">
        <f t="shared" si="197"/>
        <v>0</v>
      </c>
      <c r="Q446" s="12">
        <f t="shared" si="198"/>
        <v>0</v>
      </c>
      <c r="R446" s="12">
        <f t="shared" si="199"/>
        <v>0</v>
      </c>
    </row>
    <row r="447" spans="1:18" x14ac:dyDescent="0.25">
      <c r="A447" s="26"/>
      <c r="B447" s="25" t="s">
        <v>173</v>
      </c>
      <c r="C447" s="15">
        <v>8</v>
      </c>
      <c r="D447" s="16">
        <v>100</v>
      </c>
      <c r="E447" s="15">
        <v>2</v>
      </c>
      <c r="F447" s="11">
        <v>1</v>
      </c>
      <c r="G447" s="11">
        <f t="shared" si="243"/>
        <v>26</v>
      </c>
      <c r="H447" s="12"/>
      <c r="I447" s="12">
        <f>0.18+(20*C447/1000)</f>
        <v>0.33999999999999997</v>
      </c>
      <c r="J447" s="22"/>
      <c r="K447" s="22"/>
      <c r="L447" s="12">
        <f t="shared" si="220"/>
        <v>0.33999999999999997</v>
      </c>
      <c r="M447" s="12">
        <f t="shared" si="194"/>
        <v>17.68</v>
      </c>
      <c r="N447" s="12">
        <f t="shared" si="195"/>
        <v>0</v>
      </c>
      <c r="O447" s="12">
        <f t="shared" si="196"/>
        <v>0</v>
      </c>
      <c r="P447" s="12">
        <f t="shared" si="197"/>
        <v>0</v>
      </c>
      <c r="Q447" s="12">
        <f t="shared" si="198"/>
        <v>0</v>
      </c>
      <c r="R447" s="12">
        <f t="shared" si="199"/>
        <v>0</v>
      </c>
    </row>
    <row r="448" spans="1:18" x14ac:dyDescent="0.25">
      <c r="A448" s="26"/>
      <c r="B448" s="25" t="s">
        <v>176</v>
      </c>
      <c r="C448" s="15">
        <v>8</v>
      </c>
      <c r="D448" s="16">
        <v>200</v>
      </c>
      <c r="E448" s="15">
        <v>2</v>
      </c>
      <c r="F448" s="11">
        <v>1</v>
      </c>
      <c r="G448" s="11">
        <f t="shared" si="243"/>
        <v>13</v>
      </c>
      <c r="H448" s="12"/>
      <c r="I448" s="12">
        <f>2*(0.18+0.866)+24*C448/1000</f>
        <v>2.2840000000000003</v>
      </c>
      <c r="J448" s="22"/>
      <c r="K448" s="22"/>
      <c r="L448" s="12">
        <f t="shared" si="220"/>
        <v>2.2840000000000003</v>
      </c>
      <c r="M448" s="12">
        <f t="shared" si="194"/>
        <v>59.38</v>
      </c>
      <c r="N448" s="12">
        <f t="shared" si="195"/>
        <v>0</v>
      </c>
      <c r="O448" s="12">
        <f t="shared" si="196"/>
        <v>0</v>
      </c>
      <c r="P448" s="12">
        <f t="shared" si="197"/>
        <v>0</v>
      </c>
      <c r="Q448" s="12">
        <f t="shared" si="198"/>
        <v>0</v>
      </c>
      <c r="R448" s="12">
        <f t="shared" si="199"/>
        <v>0</v>
      </c>
    </row>
    <row r="449" spans="1:18" x14ac:dyDescent="0.25">
      <c r="A449" s="26"/>
      <c r="B449" s="25" t="s">
        <v>177</v>
      </c>
      <c r="C449" s="15">
        <v>8</v>
      </c>
      <c r="D449" s="16">
        <v>400</v>
      </c>
      <c r="E449" s="15">
        <v>2</v>
      </c>
      <c r="F449" s="11">
        <v>2</v>
      </c>
      <c r="G449" s="11">
        <f t="shared" si="243"/>
        <v>7</v>
      </c>
      <c r="H449" s="12"/>
      <c r="I449" s="12">
        <f>0.18+(20*C449/1000)</f>
        <v>0.33999999999999997</v>
      </c>
      <c r="J449" s="22"/>
      <c r="K449" s="22"/>
      <c r="L449" s="12">
        <f t="shared" si="220"/>
        <v>0.33999999999999997</v>
      </c>
      <c r="M449" s="12">
        <f t="shared" si="194"/>
        <v>9.52</v>
      </c>
      <c r="N449" s="12">
        <f t="shared" si="195"/>
        <v>0</v>
      </c>
      <c r="O449" s="12">
        <f t="shared" si="196"/>
        <v>0</v>
      </c>
      <c r="P449" s="12">
        <f t="shared" si="197"/>
        <v>0</v>
      </c>
      <c r="Q449" s="12">
        <f t="shared" si="198"/>
        <v>0</v>
      </c>
      <c r="R449" s="12">
        <f t="shared" si="199"/>
        <v>0</v>
      </c>
    </row>
    <row r="450" spans="1:18" x14ac:dyDescent="0.25">
      <c r="A450" s="26"/>
      <c r="B450" s="45" t="s">
        <v>178</v>
      </c>
      <c r="C450" s="15">
        <v>16</v>
      </c>
      <c r="D450" s="16"/>
      <c r="E450" s="15">
        <v>2</v>
      </c>
      <c r="F450" s="11">
        <v>1</v>
      </c>
      <c r="G450" s="11">
        <v>8</v>
      </c>
      <c r="H450" s="12"/>
      <c r="I450" s="12">
        <f t="shared" ref="I450:I452" si="244">106.2-103.25</f>
        <v>2.9500000000000028</v>
      </c>
      <c r="J450" s="22"/>
      <c r="K450" s="22">
        <f t="shared" ref="K450:K452" si="245">0.5*40*C450/1000</f>
        <v>0.32</v>
      </c>
      <c r="L450" s="12">
        <f t="shared" si="220"/>
        <v>3.2700000000000027</v>
      </c>
      <c r="M450" s="12">
        <f t="shared" si="194"/>
        <v>0</v>
      </c>
      <c r="N450" s="12">
        <f t="shared" si="195"/>
        <v>0</v>
      </c>
      <c r="O450" s="12">
        <f t="shared" si="196"/>
        <v>0</v>
      </c>
      <c r="P450" s="12">
        <f t="shared" si="197"/>
        <v>52.32</v>
      </c>
      <c r="Q450" s="12">
        <f t="shared" si="198"/>
        <v>0</v>
      </c>
      <c r="R450" s="12">
        <f t="shared" si="199"/>
        <v>0</v>
      </c>
    </row>
    <row r="451" spans="1:18" x14ac:dyDescent="0.25">
      <c r="A451" s="26"/>
      <c r="B451" s="25"/>
      <c r="C451" s="15">
        <v>12</v>
      </c>
      <c r="D451" s="16"/>
      <c r="E451" s="15">
        <v>2</v>
      </c>
      <c r="F451" s="11">
        <v>1</v>
      </c>
      <c r="G451" s="11">
        <v>16</v>
      </c>
      <c r="H451" s="12"/>
      <c r="I451" s="12">
        <f t="shared" si="244"/>
        <v>2.9500000000000028</v>
      </c>
      <c r="J451" s="22"/>
      <c r="K451" s="22">
        <f t="shared" si="245"/>
        <v>0.24</v>
      </c>
      <c r="L451" s="12">
        <f t="shared" si="220"/>
        <v>3.1900000000000031</v>
      </c>
      <c r="M451" s="12">
        <f t="shared" si="194"/>
        <v>0</v>
      </c>
      <c r="N451" s="12">
        <f t="shared" si="195"/>
        <v>0</v>
      </c>
      <c r="O451" s="12">
        <f t="shared" si="196"/>
        <v>102.08</v>
      </c>
      <c r="P451" s="12">
        <f t="shared" si="197"/>
        <v>0</v>
      </c>
      <c r="Q451" s="12">
        <f t="shared" si="198"/>
        <v>0</v>
      </c>
      <c r="R451" s="12">
        <f t="shared" si="199"/>
        <v>0</v>
      </c>
    </row>
    <row r="452" spans="1:18" x14ac:dyDescent="0.25">
      <c r="A452" s="26"/>
      <c r="B452" s="25"/>
      <c r="C452" s="15">
        <v>10</v>
      </c>
      <c r="D452" s="16"/>
      <c r="E452" s="15">
        <v>2</v>
      </c>
      <c r="F452" s="11">
        <v>1</v>
      </c>
      <c r="G452" s="11">
        <v>10</v>
      </c>
      <c r="H452" s="12"/>
      <c r="I452" s="12">
        <f t="shared" si="244"/>
        <v>2.9500000000000028</v>
      </c>
      <c r="J452" s="22"/>
      <c r="K452" s="22">
        <f t="shared" si="245"/>
        <v>0.2</v>
      </c>
      <c r="L452" s="12">
        <f t="shared" si="220"/>
        <v>3.150000000000003</v>
      </c>
      <c r="M452" s="12">
        <f t="shared" si="194"/>
        <v>0</v>
      </c>
      <c r="N452" s="12">
        <f t="shared" si="195"/>
        <v>63</v>
      </c>
      <c r="O452" s="12">
        <f t="shared" si="196"/>
        <v>0</v>
      </c>
      <c r="P452" s="12">
        <f t="shared" si="197"/>
        <v>0</v>
      </c>
      <c r="Q452" s="12">
        <f t="shared" si="198"/>
        <v>0</v>
      </c>
      <c r="R452" s="12">
        <f t="shared" si="199"/>
        <v>0</v>
      </c>
    </row>
    <row r="453" spans="1:18" x14ac:dyDescent="0.25">
      <c r="A453" s="26"/>
      <c r="B453" s="25" t="s">
        <v>172</v>
      </c>
      <c r="C453" s="15"/>
      <c r="D453" s="16"/>
      <c r="E453" s="15"/>
      <c r="F453" s="11"/>
      <c r="G453" s="11"/>
      <c r="H453" s="12"/>
      <c r="I453" s="12"/>
      <c r="J453" s="22"/>
      <c r="K453" s="22"/>
      <c r="L453" s="12">
        <f t="shared" si="220"/>
        <v>0</v>
      </c>
      <c r="M453" s="12">
        <f t="shared" si="194"/>
        <v>0</v>
      </c>
      <c r="N453" s="12">
        <f t="shared" si="195"/>
        <v>0</v>
      </c>
      <c r="O453" s="12">
        <f t="shared" si="196"/>
        <v>0</v>
      </c>
      <c r="P453" s="12">
        <f t="shared" si="197"/>
        <v>0</v>
      </c>
      <c r="Q453" s="12">
        <f t="shared" si="198"/>
        <v>0</v>
      </c>
      <c r="R453" s="12">
        <f t="shared" si="199"/>
        <v>0</v>
      </c>
    </row>
    <row r="454" spans="1:18" x14ac:dyDescent="0.25">
      <c r="A454" s="26"/>
      <c r="B454" s="25" t="s">
        <v>188</v>
      </c>
      <c r="C454" s="15">
        <v>8</v>
      </c>
      <c r="D454" s="16">
        <v>100</v>
      </c>
      <c r="E454" s="15">
        <v>2</v>
      </c>
      <c r="F454" s="11">
        <v>1</v>
      </c>
      <c r="G454" s="11">
        <f t="shared" ref="G454:G461" si="246">+ROUND(2450/D454+1,0)</f>
        <v>26</v>
      </c>
      <c r="H454" s="12"/>
      <c r="I454" s="12">
        <f>2*(0.18+0.6)+24*C454/1000</f>
        <v>1.752</v>
      </c>
      <c r="J454" s="22"/>
      <c r="K454" s="22"/>
      <c r="L454" s="12">
        <f t="shared" si="220"/>
        <v>1.752</v>
      </c>
      <c r="M454" s="12">
        <f t="shared" si="194"/>
        <v>91.1</v>
      </c>
      <c r="N454" s="12">
        <f t="shared" si="195"/>
        <v>0</v>
      </c>
      <c r="O454" s="12">
        <f t="shared" si="196"/>
        <v>0</v>
      </c>
      <c r="P454" s="12">
        <f t="shared" si="197"/>
        <v>0</v>
      </c>
      <c r="Q454" s="12">
        <f t="shared" si="198"/>
        <v>0</v>
      </c>
      <c r="R454" s="12">
        <f t="shared" si="199"/>
        <v>0</v>
      </c>
    </row>
    <row r="455" spans="1:18" x14ac:dyDescent="0.25">
      <c r="A455" s="26"/>
      <c r="B455" s="25" t="s">
        <v>174</v>
      </c>
      <c r="C455" s="15">
        <v>8</v>
      </c>
      <c r="D455" s="16">
        <v>100</v>
      </c>
      <c r="E455" s="15">
        <v>2</v>
      </c>
      <c r="F455" s="11">
        <v>1</v>
      </c>
      <c r="G455" s="11">
        <f t="shared" si="246"/>
        <v>26</v>
      </c>
      <c r="H455" s="12"/>
      <c r="I455" s="12">
        <f>2*(0.18+0.248)+24*C455/1000</f>
        <v>1.048</v>
      </c>
      <c r="J455" s="22"/>
      <c r="K455" s="22"/>
      <c r="L455" s="12">
        <f t="shared" si="220"/>
        <v>1.048</v>
      </c>
      <c r="M455" s="12">
        <f t="shared" si="194"/>
        <v>54.5</v>
      </c>
      <c r="N455" s="12">
        <f t="shared" si="195"/>
        <v>0</v>
      </c>
      <c r="O455" s="12">
        <f t="shared" si="196"/>
        <v>0</v>
      </c>
      <c r="P455" s="12">
        <f t="shared" si="197"/>
        <v>0</v>
      </c>
      <c r="Q455" s="12">
        <f t="shared" si="198"/>
        <v>0</v>
      </c>
      <c r="R455" s="12">
        <f t="shared" si="199"/>
        <v>0</v>
      </c>
    </row>
    <row r="456" spans="1:18" x14ac:dyDescent="0.25">
      <c r="A456" s="26"/>
      <c r="B456" s="25" t="s">
        <v>173</v>
      </c>
      <c r="C456" s="15">
        <v>8</v>
      </c>
      <c r="D456" s="16">
        <v>100</v>
      </c>
      <c r="E456" s="15">
        <v>2</v>
      </c>
      <c r="F456" s="11">
        <v>1</v>
      </c>
      <c r="G456" s="11">
        <f t="shared" si="246"/>
        <v>26</v>
      </c>
      <c r="H456" s="12"/>
      <c r="I456" s="12">
        <f>0.18+(20*C456/1000)</f>
        <v>0.33999999999999997</v>
      </c>
      <c r="J456" s="22"/>
      <c r="K456" s="22"/>
      <c r="L456" s="12">
        <f t="shared" si="220"/>
        <v>0.33999999999999997</v>
      </c>
      <c r="M456" s="12">
        <f t="shared" si="194"/>
        <v>17.68</v>
      </c>
      <c r="N456" s="12">
        <f t="shared" si="195"/>
        <v>0</v>
      </c>
      <c r="O456" s="12">
        <f t="shared" si="196"/>
        <v>0</v>
      </c>
      <c r="P456" s="12">
        <f t="shared" si="197"/>
        <v>0</v>
      </c>
      <c r="Q456" s="12">
        <f t="shared" si="198"/>
        <v>0</v>
      </c>
      <c r="R456" s="12">
        <f t="shared" si="199"/>
        <v>0</v>
      </c>
    </row>
    <row r="457" spans="1:18" x14ac:dyDescent="0.25">
      <c r="A457" s="26"/>
      <c r="B457" s="25" t="s">
        <v>189</v>
      </c>
      <c r="C457" s="15">
        <v>8</v>
      </c>
      <c r="D457" s="16">
        <v>100</v>
      </c>
      <c r="E457" s="15">
        <v>2</v>
      </c>
      <c r="F457" s="11">
        <v>2</v>
      </c>
      <c r="G457" s="11">
        <f t="shared" si="246"/>
        <v>26</v>
      </c>
      <c r="H457" s="12"/>
      <c r="I457" s="12">
        <f>2*(0.18+0.385)+24*C457/1000</f>
        <v>1.3219999999999998</v>
      </c>
      <c r="J457" s="22"/>
      <c r="K457" s="22"/>
      <c r="L457" s="12">
        <f t="shared" si="220"/>
        <v>1.3219999999999998</v>
      </c>
      <c r="M457" s="12">
        <f t="shared" si="194"/>
        <v>137.49</v>
      </c>
      <c r="N457" s="12">
        <f t="shared" si="195"/>
        <v>0</v>
      </c>
      <c r="O457" s="12">
        <f t="shared" si="196"/>
        <v>0</v>
      </c>
      <c r="P457" s="12">
        <f t="shared" si="197"/>
        <v>0</v>
      </c>
      <c r="Q457" s="12">
        <f t="shared" si="198"/>
        <v>0</v>
      </c>
      <c r="R457" s="12">
        <f t="shared" si="199"/>
        <v>0</v>
      </c>
    </row>
    <row r="458" spans="1:18" x14ac:dyDescent="0.25">
      <c r="A458" s="26"/>
      <c r="B458" s="25" t="s">
        <v>175</v>
      </c>
      <c r="C458" s="15">
        <v>8</v>
      </c>
      <c r="D458" s="16">
        <v>100</v>
      </c>
      <c r="E458" s="15">
        <v>2</v>
      </c>
      <c r="F458" s="11">
        <v>1</v>
      </c>
      <c r="G458" s="11">
        <f t="shared" si="246"/>
        <v>26</v>
      </c>
      <c r="H458" s="12"/>
      <c r="I458" s="12">
        <f>2*(0.18+0.268)+24*C458/1000</f>
        <v>1.0880000000000001</v>
      </c>
      <c r="J458" s="22"/>
      <c r="K458" s="22"/>
      <c r="L458" s="12">
        <f t="shared" si="220"/>
        <v>1.0880000000000001</v>
      </c>
      <c r="M458" s="12">
        <f t="shared" si="194"/>
        <v>56.58</v>
      </c>
      <c r="N458" s="12">
        <f t="shared" si="195"/>
        <v>0</v>
      </c>
      <c r="O458" s="12">
        <f t="shared" si="196"/>
        <v>0</v>
      </c>
      <c r="P458" s="12">
        <f t="shared" si="197"/>
        <v>0</v>
      </c>
      <c r="Q458" s="12">
        <f t="shared" si="198"/>
        <v>0</v>
      </c>
      <c r="R458" s="12">
        <f t="shared" si="199"/>
        <v>0</v>
      </c>
    </row>
    <row r="459" spans="1:18" x14ac:dyDescent="0.25">
      <c r="A459" s="26"/>
      <c r="B459" s="25" t="s">
        <v>173</v>
      </c>
      <c r="C459" s="15">
        <v>8</v>
      </c>
      <c r="D459" s="16">
        <v>100</v>
      </c>
      <c r="E459" s="15">
        <v>2</v>
      </c>
      <c r="F459" s="11">
        <v>1</v>
      </c>
      <c r="G459" s="11">
        <f t="shared" si="246"/>
        <v>26</v>
      </c>
      <c r="H459" s="12"/>
      <c r="I459" s="12">
        <f>0.18+(20*C459/1000)</f>
        <v>0.33999999999999997</v>
      </c>
      <c r="J459" s="22"/>
      <c r="K459" s="22"/>
      <c r="L459" s="12">
        <f t="shared" si="220"/>
        <v>0.33999999999999997</v>
      </c>
      <c r="M459" s="12">
        <f t="shared" si="194"/>
        <v>17.68</v>
      </c>
      <c r="N459" s="12">
        <f t="shared" si="195"/>
        <v>0</v>
      </c>
      <c r="O459" s="12">
        <f t="shared" si="196"/>
        <v>0</v>
      </c>
      <c r="P459" s="12">
        <f t="shared" si="197"/>
        <v>0</v>
      </c>
      <c r="Q459" s="12">
        <f t="shared" si="198"/>
        <v>0</v>
      </c>
      <c r="R459" s="12">
        <f t="shared" si="199"/>
        <v>0</v>
      </c>
    </row>
    <row r="460" spans="1:18" x14ac:dyDescent="0.25">
      <c r="A460" s="26"/>
      <c r="B460" s="25" t="s">
        <v>179</v>
      </c>
      <c r="C460" s="15">
        <v>8</v>
      </c>
      <c r="D460" s="16">
        <v>200</v>
      </c>
      <c r="E460" s="15">
        <v>2</v>
      </c>
      <c r="F460" s="11">
        <v>1</v>
      </c>
      <c r="G460" s="11">
        <f t="shared" si="246"/>
        <v>13</v>
      </c>
      <c r="H460" s="12"/>
      <c r="I460" s="12">
        <f>2*(0.18+1.066)+24*C460/1000</f>
        <v>2.6840000000000002</v>
      </c>
      <c r="J460" s="22"/>
      <c r="K460" s="22"/>
      <c r="L460" s="12">
        <f t="shared" si="220"/>
        <v>2.6840000000000002</v>
      </c>
      <c r="M460" s="12">
        <f t="shared" si="194"/>
        <v>69.78</v>
      </c>
      <c r="N460" s="12">
        <f t="shared" si="195"/>
        <v>0</v>
      </c>
      <c r="O460" s="12">
        <f t="shared" si="196"/>
        <v>0</v>
      </c>
      <c r="P460" s="12">
        <f t="shared" si="197"/>
        <v>0</v>
      </c>
      <c r="Q460" s="12">
        <f t="shared" si="198"/>
        <v>0</v>
      </c>
      <c r="R460" s="12">
        <f t="shared" si="199"/>
        <v>0</v>
      </c>
    </row>
    <row r="461" spans="1:18" x14ac:dyDescent="0.25">
      <c r="A461" s="26"/>
      <c r="B461" s="25" t="s">
        <v>177</v>
      </c>
      <c r="C461" s="15">
        <v>8</v>
      </c>
      <c r="D461" s="16">
        <v>400</v>
      </c>
      <c r="E461" s="15">
        <v>2</v>
      </c>
      <c r="F461" s="11">
        <v>2</v>
      </c>
      <c r="G461" s="11">
        <f t="shared" si="246"/>
        <v>7</v>
      </c>
      <c r="H461" s="12"/>
      <c r="I461" s="12">
        <f>0.18+(20*C461/1000)</f>
        <v>0.33999999999999997</v>
      </c>
      <c r="J461" s="22"/>
      <c r="K461" s="22"/>
      <c r="L461" s="12">
        <f t="shared" ref="L461:L466" si="247">SUM(H461:J461)+K461</f>
        <v>0.33999999999999997</v>
      </c>
      <c r="M461" s="12">
        <f t="shared" si="194"/>
        <v>9.52</v>
      </c>
      <c r="N461" s="12">
        <f t="shared" si="195"/>
        <v>0</v>
      </c>
      <c r="O461" s="12">
        <f t="shared" si="196"/>
        <v>0</v>
      </c>
      <c r="P461" s="12">
        <f t="shared" si="197"/>
        <v>0</v>
      </c>
      <c r="Q461" s="12">
        <f t="shared" si="198"/>
        <v>0</v>
      </c>
      <c r="R461" s="12">
        <f t="shared" si="199"/>
        <v>0</v>
      </c>
    </row>
    <row r="462" spans="1:18" x14ac:dyDescent="0.25">
      <c r="A462" s="26"/>
      <c r="B462" s="45" t="s">
        <v>180</v>
      </c>
      <c r="C462" s="15">
        <v>16</v>
      </c>
      <c r="D462" s="16"/>
      <c r="E462" s="15">
        <v>2</v>
      </c>
      <c r="F462" s="11">
        <v>1</v>
      </c>
      <c r="G462" s="11">
        <v>4</v>
      </c>
      <c r="H462" s="12"/>
      <c r="I462" s="12">
        <f t="shared" ref="I462:I463" si="248">106.2-103.25</f>
        <v>2.9500000000000028</v>
      </c>
      <c r="J462" s="22"/>
      <c r="K462" s="22">
        <f t="shared" ref="K462:K463" si="249">0.5*40*C462/1000</f>
        <v>0.32</v>
      </c>
      <c r="L462" s="12">
        <f t="shared" si="247"/>
        <v>3.2700000000000027</v>
      </c>
      <c r="M462" s="12">
        <f t="shared" si="194"/>
        <v>0</v>
      </c>
      <c r="N462" s="12">
        <f t="shared" si="195"/>
        <v>0</v>
      </c>
      <c r="O462" s="12">
        <f t="shared" si="196"/>
        <v>0</v>
      </c>
      <c r="P462" s="12">
        <f t="shared" si="197"/>
        <v>26.16</v>
      </c>
      <c r="Q462" s="12">
        <f t="shared" si="198"/>
        <v>0</v>
      </c>
      <c r="R462" s="12">
        <f t="shared" si="199"/>
        <v>0</v>
      </c>
    </row>
    <row r="463" spans="1:18" x14ac:dyDescent="0.25">
      <c r="A463" s="26"/>
      <c r="B463" s="25"/>
      <c r="C463" s="15">
        <v>12</v>
      </c>
      <c r="D463" s="16"/>
      <c r="E463" s="15">
        <v>2</v>
      </c>
      <c r="F463" s="11">
        <v>1</v>
      </c>
      <c r="G463" s="11">
        <v>16</v>
      </c>
      <c r="H463" s="12"/>
      <c r="I463" s="12">
        <f t="shared" si="248"/>
        <v>2.9500000000000028</v>
      </c>
      <c r="J463" s="22"/>
      <c r="K463" s="22">
        <f t="shared" si="249"/>
        <v>0.24</v>
      </c>
      <c r="L463" s="12">
        <f t="shared" si="247"/>
        <v>3.1900000000000031</v>
      </c>
      <c r="M463" s="12">
        <f t="shared" si="194"/>
        <v>0</v>
      </c>
      <c r="N463" s="12">
        <f t="shared" si="195"/>
        <v>0</v>
      </c>
      <c r="O463" s="12">
        <f t="shared" si="196"/>
        <v>102.08</v>
      </c>
      <c r="P463" s="12">
        <f t="shared" si="197"/>
        <v>0</v>
      </c>
      <c r="Q463" s="12">
        <f t="shared" si="198"/>
        <v>0</v>
      </c>
      <c r="R463" s="12">
        <f t="shared" si="199"/>
        <v>0</v>
      </c>
    </row>
    <row r="464" spans="1:18" x14ac:dyDescent="0.25">
      <c r="A464" s="26"/>
      <c r="B464" s="25" t="s">
        <v>172</v>
      </c>
      <c r="C464" s="15"/>
      <c r="D464" s="16"/>
      <c r="E464" s="15"/>
      <c r="F464" s="11"/>
      <c r="G464" s="11"/>
      <c r="H464" s="12"/>
      <c r="I464" s="12"/>
      <c r="J464" s="22"/>
      <c r="K464" s="22"/>
      <c r="L464" s="12">
        <f t="shared" si="247"/>
        <v>0</v>
      </c>
      <c r="M464" s="12">
        <f t="shared" si="194"/>
        <v>0</v>
      </c>
      <c r="N464" s="12">
        <f t="shared" si="195"/>
        <v>0</v>
      </c>
      <c r="O464" s="12">
        <f t="shared" si="196"/>
        <v>0</v>
      </c>
      <c r="P464" s="12">
        <f t="shared" si="197"/>
        <v>0</v>
      </c>
      <c r="Q464" s="12">
        <f t="shared" si="198"/>
        <v>0</v>
      </c>
      <c r="R464" s="12">
        <f t="shared" si="199"/>
        <v>0</v>
      </c>
    </row>
    <row r="465" spans="1:18" x14ac:dyDescent="0.25">
      <c r="A465" s="26"/>
      <c r="B465" s="25" t="s">
        <v>187</v>
      </c>
      <c r="C465" s="15">
        <v>8</v>
      </c>
      <c r="D465" s="16">
        <v>100</v>
      </c>
      <c r="E465" s="15">
        <v>2</v>
      </c>
      <c r="F465" s="11">
        <v>1</v>
      </c>
      <c r="G465" s="11">
        <f t="shared" ref="G465:G466" si="250">+ROUND(2450/D465+1,0)</f>
        <v>26</v>
      </c>
      <c r="H465" s="12"/>
      <c r="I465" s="12">
        <f>2*(0.18+0.95)+24*C465/1000</f>
        <v>2.452</v>
      </c>
      <c r="J465" s="22"/>
      <c r="K465" s="22"/>
      <c r="L465" s="12">
        <f t="shared" si="247"/>
        <v>2.452</v>
      </c>
      <c r="M465" s="12">
        <f t="shared" si="194"/>
        <v>127.5</v>
      </c>
      <c r="N465" s="12">
        <f t="shared" si="195"/>
        <v>0</v>
      </c>
      <c r="O465" s="12">
        <f t="shared" si="196"/>
        <v>0</v>
      </c>
      <c r="P465" s="12">
        <f t="shared" si="197"/>
        <v>0</v>
      </c>
      <c r="Q465" s="12">
        <f t="shared" si="198"/>
        <v>0</v>
      </c>
      <c r="R465" s="12">
        <f t="shared" si="199"/>
        <v>0</v>
      </c>
    </row>
    <row r="466" spans="1:18" x14ac:dyDescent="0.25">
      <c r="A466" s="26"/>
      <c r="B466" s="25" t="s">
        <v>181</v>
      </c>
      <c r="C466" s="15">
        <v>8</v>
      </c>
      <c r="D466" s="16">
        <v>100</v>
      </c>
      <c r="E466" s="15">
        <v>2</v>
      </c>
      <c r="F466" s="11">
        <v>4</v>
      </c>
      <c r="G466" s="11">
        <f t="shared" si="250"/>
        <v>26</v>
      </c>
      <c r="H466" s="12"/>
      <c r="I466" s="12">
        <f>2*(0.18+0.12)+24*C466/1000</f>
        <v>0.79200000000000004</v>
      </c>
      <c r="J466" s="22"/>
      <c r="K466" s="22"/>
      <c r="L466" s="12">
        <f t="shared" si="247"/>
        <v>0.79200000000000004</v>
      </c>
      <c r="M466" s="12">
        <f t="shared" si="194"/>
        <v>164.74</v>
      </c>
      <c r="N466" s="12">
        <f t="shared" si="195"/>
        <v>0</v>
      </c>
      <c r="O466" s="12">
        <f t="shared" si="196"/>
        <v>0</v>
      </c>
      <c r="P466" s="12">
        <f t="shared" si="197"/>
        <v>0</v>
      </c>
      <c r="Q466" s="12">
        <f t="shared" si="198"/>
        <v>0</v>
      </c>
      <c r="R466" s="12">
        <f t="shared" si="199"/>
        <v>0</v>
      </c>
    </row>
    <row r="467" spans="1:18" x14ac:dyDescent="0.25">
      <c r="A467" s="26"/>
      <c r="B467" s="45" t="s">
        <v>182</v>
      </c>
      <c r="C467" s="15">
        <v>16</v>
      </c>
      <c r="D467" s="16"/>
      <c r="E467" s="15">
        <v>2</v>
      </c>
      <c r="F467" s="11">
        <v>1</v>
      </c>
      <c r="G467" s="11">
        <v>4</v>
      </c>
      <c r="H467" s="12"/>
      <c r="I467" s="12">
        <f t="shared" ref="I467:I468" si="251">106.2-103.25</f>
        <v>2.9500000000000028</v>
      </c>
      <c r="J467" s="22"/>
      <c r="K467" s="22">
        <f t="shared" ref="K467:K468" si="252">0.5*40*C467/1000</f>
        <v>0.32</v>
      </c>
      <c r="L467" s="12">
        <f t="shared" ref="L467" si="253">SUM(H467:J467)+K467</f>
        <v>3.2700000000000027</v>
      </c>
      <c r="M467" s="12">
        <f t="shared" si="194"/>
        <v>0</v>
      </c>
      <c r="N467" s="12">
        <f t="shared" si="195"/>
        <v>0</v>
      </c>
      <c r="O467" s="12">
        <f t="shared" si="196"/>
        <v>0</v>
      </c>
      <c r="P467" s="12">
        <f t="shared" si="197"/>
        <v>26.16</v>
      </c>
      <c r="Q467" s="12">
        <f t="shared" si="198"/>
        <v>0</v>
      </c>
      <c r="R467" s="12">
        <f t="shared" si="199"/>
        <v>0</v>
      </c>
    </row>
    <row r="468" spans="1:18" x14ac:dyDescent="0.25">
      <c r="A468" s="26"/>
      <c r="B468" s="25"/>
      <c r="C468" s="15">
        <v>12</v>
      </c>
      <c r="D468" s="16"/>
      <c r="E468" s="15">
        <v>2</v>
      </c>
      <c r="F468" s="11">
        <v>1</v>
      </c>
      <c r="G468" s="11">
        <v>18</v>
      </c>
      <c r="H468" s="12"/>
      <c r="I468" s="12">
        <f t="shared" si="251"/>
        <v>2.9500000000000028</v>
      </c>
      <c r="J468" s="22"/>
      <c r="K468" s="22">
        <f t="shared" si="252"/>
        <v>0.24</v>
      </c>
      <c r="L468" s="12">
        <f>SUM(H468:J468)+K468</f>
        <v>3.1900000000000031</v>
      </c>
      <c r="M468" s="12">
        <f>+ROUND(IF(C468=8,PRODUCT(E468,F468,G468,L468),0),2)</f>
        <v>0</v>
      </c>
      <c r="N468" s="12">
        <f t="shared" si="195"/>
        <v>0</v>
      </c>
      <c r="O468" s="12">
        <f t="shared" si="196"/>
        <v>114.84</v>
      </c>
      <c r="P468" s="12">
        <f t="shared" si="197"/>
        <v>0</v>
      </c>
      <c r="Q468" s="12">
        <f t="shared" si="198"/>
        <v>0</v>
      </c>
      <c r="R468" s="12">
        <f t="shared" si="199"/>
        <v>0</v>
      </c>
    </row>
    <row r="469" spans="1:18" x14ac:dyDescent="0.25">
      <c r="A469" s="26"/>
      <c r="B469" s="25" t="s">
        <v>172</v>
      </c>
      <c r="C469" s="15"/>
      <c r="D469" s="16"/>
      <c r="E469" s="15"/>
      <c r="F469" s="11"/>
      <c r="G469" s="11"/>
      <c r="H469" s="12"/>
      <c r="I469" s="12"/>
      <c r="J469" s="22"/>
      <c r="K469" s="22"/>
      <c r="L469" s="12">
        <f t="shared" ref="L469:L471" si="254">SUM(H469:J469)+K469</f>
        <v>0</v>
      </c>
      <c r="M469" s="12">
        <f t="shared" ref="M469:M473" si="255">+ROUND(IF(C469=8,PRODUCT(E469,F469,G469,L469),0),2)</f>
        <v>0</v>
      </c>
      <c r="N469" s="12">
        <f t="shared" si="195"/>
        <v>0</v>
      </c>
      <c r="O469" s="12">
        <f t="shared" si="196"/>
        <v>0</v>
      </c>
      <c r="P469" s="12">
        <f t="shared" si="197"/>
        <v>0</v>
      </c>
      <c r="Q469" s="12">
        <f t="shared" si="198"/>
        <v>0</v>
      </c>
      <c r="R469" s="12">
        <f t="shared" si="199"/>
        <v>0</v>
      </c>
    </row>
    <row r="470" spans="1:18" x14ac:dyDescent="0.25">
      <c r="A470" s="26"/>
      <c r="B470" s="25" t="s">
        <v>186</v>
      </c>
      <c r="C470" s="15">
        <v>8</v>
      </c>
      <c r="D470" s="16">
        <v>100</v>
      </c>
      <c r="E470" s="15">
        <v>2</v>
      </c>
      <c r="F470" s="11">
        <v>1</v>
      </c>
      <c r="G470" s="11">
        <f t="shared" ref="G470:G472" si="256">+ROUND(2450/D470+1,0)</f>
        <v>26</v>
      </c>
      <c r="H470" s="12"/>
      <c r="I470" s="12">
        <f>2*(0.18+1.1)+24*C470/1000</f>
        <v>2.7520000000000002</v>
      </c>
      <c r="J470" s="22"/>
      <c r="K470" s="22"/>
      <c r="L470" s="12">
        <f t="shared" si="254"/>
        <v>2.7520000000000002</v>
      </c>
      <c r="M470" s="12">
        <f t="shared" si="255"/>
        <v>143.1</v>
      </c>
      <c r="N470" s="12">
        <f t="shared" si="195"/>
        <v>0</v>
      </c>
      <c r="O470" s="12">
        <f t="shared" si="196"/>
        <v>0</v>
      </c>
      <c r="P470" s="12">
        <f t="shared" si="197"/>
        <v>0</v>
      </c>
      <c r="Q470" s="12">
        <f t="shared" si="198"/>
        <v>0</v>
      </c>
      <c r="R470" s="12">
        <f t="shared" si="199"/>
        <v>0</v>
      </c>
    </row>
    <row r="471" spans="1:18" x14ac:dyDescent="0.25">
      <c r="A471" s="26"/>
      <c r="B471" s="25" t="s">
        <v>183</v>
      </c>
      <c r="C471" s="15">
        <v>8</v>
      </c>
      <c r="D471" s="16">
        <v>100</v>
      </c>
      <c r="E471" s="15">
        <v>2</v>
      </c>
      <c r="F471" s="11">
        <v>4</v>
      </c>
      <c r="G471" s="11">
        <f t="shared" si="256"/>
        <v>26</v>
      </c>
      <c r="H471" s="12"/>
      <c r="I471" s="12">
        <f>2*(0.18+0.125)+24*C471/1000</f>
        <v>0.80200000000000005</v>
      </c>
      <c r="J471" s="22"/>
      <c r="K471" s="22"/>
      <c r="L471" s="12">
        <f t="shared" si="254"/>
        <v>0.80200000000000005</v>
      </c>
      <c r="M471" s="12">
        <f t="shared" si="255"/>
        <v>166.82</v>
      </c>
      <c r="N471" s="12">
        <f t="shared" si="195"/>
        <v>0</v>
      </c>
      <c r="O471" s="12">
        <f t="shared" si="196"/>
        <v>0</v>
      </c>
      <c r="P471" s="12">
        <f t="shared" si="197"/>
        <v>0</v>
      </c>
      <c r="Q471" s="12">
        <f t="shared" si="198"/>
        <v>0</v>
      </c>
      <c r="R471" s="12">
        <f t="shared" si="199"/>
        <v>0</v>
      </c>
    </row>
    <row r="472" spans="1:18" x14ac:dyDescent="0.25">
      <c r="A472" s="26"/>
      <c r="B472" s="25" t="s">
        <v>184</v>
      </c>
      <c r="C472" s="15">
        <v>8</v>
      </c>
      <c r="D472" s="16">
        <v>100</v>
      </c>
      <c r="E472" s="15">
        <v>2</v>
      </c>
      <c r="F472" s="11">
        <v>1</v>
      </c>
      <c r="G472" s="11">
        <f t="shared" si="256"/>
        <v>26</v>
      </c>
      <c r="H472" s="12"/>
      <c r="I472" s="12">
        <f>0.18+(20*C472/1000)</f>
        <v>0.33999999999999997</v>
      </c>
      <c r="J472" s="22"/>
      <c r="K472" s="22"/>
      <c r="L472" s="12">
        <f t="shared" ref="L472:L473" si="257">SUM(H472:J472)+K472</f>
        <v>0.33999999999999997</v>
      </c>
      <c r="M472" s="12">
        <f t="shared" si="255"/>
        <v>17.68</v>
      </c>
      <c r="N472" s="12">
        <f t="shared" si="195"/>
        <v>0</v>
      </c>
      <c r="O472" s="12">
        <f t="shared" si="196"/>
        <v>0</v>
      </c>
      <c r="P472" s="12">
        <f t="shared" si="197"/>
        <v>0</v>
      </c>
      <c r="Q472" s="12">
        <f t="shared" si="198"/>
        <v>0</v>
      </c>
      <c r="R472" s="12">
        <f t="shared" si="199"/>
        <v>0</v>
      </c>
    </row>
    <row r="473" spans="1:18" x14ac:dyDescent="0.25">
      <c r="A473" s="26"/>
      <c r="B473" s="45" t="s">
        <v>214</v>
      </c>
      <c r="C473" s="15">
        <v>16</v>
      </c>
      <c r="D473" s="16"/>
      <c r="E473" s="15">
        <v>4</v>
      </c>
      <c r="F473" s="11">
        <v>1</v>
      </c>
      <c r="G473" s="11">
        <v>8</v>
      </c>
      <c r="H473" s="12"/>
      <c r="I473" s="12">
        <f t="shared" ref="I473:I474" si="258">106.2-103.25</f>
        <v>2.9500000000000028</v>
      </c>
      <c r="J473" s="22"/>
      <c r="K473" s="22">
        <f t="shared" ref="K473:K474" si="259">0.5*40*C473/1000</f>
        <v>0.32</v>
      </c>
      <c r="L473" s="12">
        <f t="shared" si="257"/>
        <v>3.2700000000000027</v>
      </c>
      <c r="M473" s="12">
        <f t="shared" si="255"/>
        <v>0</v>
      </c>
      <c r="N473" s="12">
        <f t="shared" si="195"/>
        <v>0</v>
      </c>
      <c r="O473" s="12">
        <f t="shared" si="196"/>
        <v>0</v>
      </c>
      <c r="P473" s="12">
        <f t="shared" si="197"/>
        <v>104.64</v>
      </c>
      <c r="Q473" s="12">
        <f t="shared" si="198"/>
        <v>0</v>
      </c>
      <c r="R473" s="12">
        <f t="shared" si="199"/>
        <v>0</v>
      </c>
    </row>
    <row r="474" spans="1:18" x14ac:dyDescent="0.25">
      <c r="A474" s="26"/>
      <c r="B474" s="25"/>
      <c r="C474" s="15">
        <v>12</v>
      </c>
      <c r="D474" s="16"/>
      <c r="E474" s="15">
        <f>+E473</f>
        <v>4</v>
      </c>
      <c r="F474" s="11">
        <v>1</v>
      </c>
      <c r="G474" s="11">
        <v>20</v>
      </c>
      <c r="H474" s="12"/>
      <c r="I474" s="12">
        <f t="shared" si="258"/>
        <v>2.9500000000000028</v>
      </c>
      <c r="J474" s="22"/>
      <c r="K474" s="22">
        <f t="shared" si="259"/>
        <v>0.24</v>
      </c>
      <c r="L474" s="12">
        <f>SUM(H474:J474)+K474</f>
        <v>3.1900000000000031</v>
      </c>
      <c r="M474" s="12">
        <f>+ROUND(IF(C474=8,PRODUCT(E474,F474,G474,L474),0),2)</f>
        <v>0</v>
      </c>
      <c r="N474" s="12">
        <f t="shared" si="195"/>
        <v>0</v>
      </c>
      <c r="O474" s="12">
        <f t="shared" si="196"/>
        <v>255.2</v>
      </c>
      <c r="P474" s="12">
        <f t="shared" si="197"/>
        <v>0</v>
      </c>
      <c r="Q474" s="12">
        <f t="shared" si="198"/>
        <v>0</v>
      </c>
      <c r="R474" s="12">
        <f t="shared" si="199"/>
        <v>0</v>
      </c>
    </row>
    <row r="475" spans="1:18" x14ac:dyDescent="0.25">
      <c r="A475" s="26"/>
      <c r="B475" s="25" t="s">
        <v>172</v>
      </c>
      <c r="C475" s="15"/>
      <c r="D475" s="16"/>
      <c r="E475" s="15"/>
      <c r="F475" s="11"/>
      <c r="G475" s="11"/>
      <c r="H475" s="12"/>
      <c r="I475" s="12"/>
      <c r="J475" s="22"/>
      <c r="K475" s="22"/>
      <c r="L475" s="12">
        <f t="shared" ref="L475:L477" si="260">SUM(H475:J475)+K475</f>
        <v>0</v>
      </c>
      <c r="M475" s="12">
        <f t="shared" ref="M475:M480" si="261">+ROUND(IF(C475=8,PRODUCT(E475,F475,G475,L475),0),2)</f>
        <v>0</v>
      </c>
      <c r="N475" s="12">
        <f t="shared" si="195"/>
        <v>0</v>
      </c>
      <c r="O475" s="12">
        <f t="shared" si="196"/>
        <v>0</v>
      </c>
      <c r="P475" s="12">
        <f t="shared" si="197"/>
        <v>0</v>
      </c>
      <c r="Q475" s="12">
        <f t="shared" si="198"/>
        <v>0</v>
      </c>
      <c r="R475" s="12">
        <f t="shared" si="199"/>
        <v>0</v>
      </c>
    </row>
    <row r="476" spans="1:18" x14ac:dyDescent="0.25">
      <c r="A476" s="26"/>
      <c r="B476" s="25" t="s">
        <v>210</v>
      </c>
      <c r="C476" s="15">
        <v>8</v>
      </c>
      <c r="D476" s="16">
        <v>100</v>
      </c>
      <c r="E476" s="15">
        <v>4</v>
      </c>
      <c r="F476" s="11">
        <v>2</v>
      </c>
      <c r="G476" s="11">
        <f t="shared" ref="G476:G479" si="262">+ROUND(2450/D476+1,0)</f>
        <v>26</v>
      </c>
      <c r="H476" s="12"/>
      <c r="I476" s="12">
        <f>2*(0.18+0.583)+24*C476/1000</f>
        <v>1.7179999999999997</v>
      </c>
      <c r="J476" s="22"/>
      <c r="K476" s="22"/>
      <c r="L476" s="12">
        <f t="shared" si="260"/>
        <v>1.7179999999999997</v>
      </c>
      <c r="M476" s="12">
        <f t="shared" si="261"/>
        <v>357.34</v>
      </c>
      <c r="N476" s="12">
        <f t="shared" si="195"/>
        <v>0</v>
      </c>
      <c r="O476" s="12">
        <f t="shared" si="196"/>
        <v>0</v>
      </c>
      <c r="P476" s="12">
        <f t="shared" si="197"/>
        <v>0</v>
      </c>
      <c r="Q476" s="12">
        <f t="shared" si="198"/>
        <v>0</v>
      </c>
      <c r="R476" s="12">
        <f t="shared" si="199"/>
        <v>0</v>
      </c>
    </row>
    <row r="477" spans="1:18" x14ac:dyDescent="0.25">
      <c r="A477" s="26"/>
      <c r="B477" s="25" t="s">
        <v>181</v>
      </c>
      <c r="C477" s="15">
        <v>8</v>
      </c>
      <c r="D477" s="16">
        <v>100</v>
      </c>
      <c r="E477" s="15">
        <v>4</v>
      </c>
      <c r="F477" s="11">
        <v>4</v>
      </c>
      <c r="G477" s="11">
        <f t="shared" si="262"/>
        <v>26</v>
      </c>
      <c r="H477" s="12"/>
      <c r="I477" s="12">
        <f>2*(0.18+0.12)+24*C477/1000</f>
        <v>0.79200000000000004</v>
      </c>
      <c r="J477" s="22"/>
      <c r="K477" s="22"/>
      <c r="L477" s="12">
        <f t="shared" si="260"/>
        <v>0.79200000000000004</v>
      </c>
      <c r="M477" s="12">
        <f t="shared" si="261"/>
        <v>329.47</v>
      </c>
      <c r="N477" s="12">
        <f t="shared" si="195"/>
        <v>0</v>
      </c>
      <c r="O477" s="12">
        <f t="shared" si="196"/>
        <v>0</v>
      </c>
      <c r="P477" s="12">
        <f t="shared" si="197"/>
        <v>0</v>
      </c>
      <c r="Q477" s="12">
        <f t="shared" si="198"/>
        <v>0</v>
      </c>
      <c r="R477" s="12">
        <f t="shared" si="199"/>
        <v>0</v>
      </c>
    </row>
    <row r="478" spans="1:18" x14ac:dyDescent="0.25">
      <c r="A478" s="26"/>
      <c r="B478" s="25" t="s">
        <v>213</v>
      </c>
      <c r="C478" s="15">
        <v>8</v>
      </c>
      <c r="D478" s="16">
        <v>200</v>
      </c>
      <c r="E478" s="15">
        <v>4</v>
      </c>
      <c r="F478" s="11">
        <v>1</v>
      </c>
      <c r="G478" s="11">
        <f t="shared" si="262"/>
        <v>13</v>
      </c>
      <c r="H478" s="12"/>
      <c r="I478" s="12">
        <f>2*(0.18+0.516)+24*C478/1000</f>
        <v>1.5839999999999999</v>
      </c>
      <c r="J478" s="22"/>
      <c r="K478" s="22"/>
      <c r="L478" s="12">
        <f t="shared" ref="L478" si="263">SUM(H478:J478)+K478</f>
        <v>1.5839999999999999</v>
      </c>
      <c r="M478" s="12">
        <f t="shared" si="261"/>
        <v>82.37</v>
      </c>
      <c r="N478" s="12">
        <f t="shared" si="195"/>
        <v>0</v>
      </c>
      <c r="O478" s="12">
        <f t="shared" si="196"/>
        <v>0</v>
      </c>
      <c r="P478" s="12">
        <f t="shared" si="197"/>
        <v>0</v>
      </c>
      <c r="Q478" s="12">
        <f t="shared" si="198"/>
        <v>0</v>
      </c>
      <c r="R478" s="12">
        <f t="shared" si="199"/>
        <v>0</v>
      </c>
    </row>
    <row r="479" spans="1:18" x14ac:dyDescent="0.25">
      <c r="A479" s="26"/>
      <c r="B479" s="25" t="s">
        <v>177</v>
      </c>
      <c r="C479" s="15">
        <v>8</v>
      </c>
      <c r="D479" s="16">
        <v>400</v>
      </c>
      <c r="E479" s="15">
        <v>4</v>
      </c>
      <c r="F479" s="11">
        <v>2</v>
      </c>
      <c r="G479" s="11">
        <f t="shared" si="262"/>
        <v>7</v>
      </c>
      <c r="H479" s="12"/>
      <c r="I479" s="12">
        <f>0.18+(20*C479/1000)</f>
        <v>0.33999999999999997</v>
      </c>
      <c r="J479" s="22"/>
      <c r="K479" s="22"/>
      <c r="L479" s="12">
        <f t="shared" ref="L479" si="264">SUM(H479:J479)+K479</f>
        <v>0.33999999999999997</v>
      </c>
      <c r="M479" s="12">
        <f t="shared" si="261"/>
        <v>19.04</v>
      </c>
      <c r="N479" s="12">
        <f t="shared" si="195"/>
        <v>0</v>
      </c>
      <c r="O479" s="12">
        <f t="shared" si="196"/>
        <v>0</v>
      </c>
      <c r="P479" s="12">
        <f t="shared" si="197"/>
        <v>0</v>
      </c>
      <c r="Q479" s="12">
        <f t="shared" si="198"/>
        <v>0</v>
      </c>
      <c r="R479" s="12">
        <f t="shared" si="199"/>
        <v>0</v>
      </c>
    </row>
    <row r="480" spans="1:18" x14ac:dyDescent="0.25">
      <c r="A480" s="26"/>
      <c r="B480" s="45" t="s">
        <v>190</v>
      </c>
      <c r="C480" s="15">
        <v>16</v>
      </c>
      <c r="D480" s="16"/>
      <c r="E480" s="15">
        <v>4</v>
      </c>
      <c r="F480" s="11">
        <v>1</v>
      </c>
      <c r="G480" s="11">
        <v>4</v>
      </c>
      <c r="H480" s="12"/>
      <c r="I480" s="12">
        <f t="shared" ref="I480:I481" si="265">106.2-103.25</f>
        <v>2.9500000000000028</v>
      </c>
      <c r="J480" s="22"/>
      <c r="K480" s="22">
        <f t="shared" ref="K480:K481" si="266">0.5*40*C480/1000</f>
        <v>0.32</v>
      </c>
      <c r="L480" s="12">
        <f t="shared" ref="L480" si="267">SUM(H480:J480)+K480</f>
        <v>3.2700000000000027</v>
      </c>
      <c r="M480" s="12">
        <f t="shared" si="261"/>
        <v>0</v>
      </c>
      <c r="N480" s="12">
        <f t="shared" si="195"/>
        <v>0</v>
      </c>
      <c r="O480" s="12">
        <f t="shared" si="196"/>
        <v>0</v>
      </c>
      <c r="P480" s="12">
        <f t="shared" si="197"/>
        <v>52.32</v>
      </c>
      <c r="Q480" s="12">
        <f t="shared" si="198"/>
        <v>0</v>
      </c>
      <c r="R480" s="12">
        <f t="shared" si="199"/>
        <v>0</v>
      </c>
    </row>
    <row r="481" spans="1:18" x14ac:dyDescent="0.25">
      <c r="A481" s="26"/>
      <c r="B481" s="25"/>
      <c r="C481" s="15">
        <v>12</v>
      </c>
      <c r="D481" s="16"/>
      <c r="E481" s="15">
        <f>+E480</f>
        <v>4</v>
      </c>
      <c r="F481" s="11">
        <v>1</v>
      </c>
      <c r="G481" s="11">
        <v>20</v>
      </c>
      <c r="H481" s="12"/>
      <c r="I481" s="12">
        <f t="shared" si="265"/>
        <v>2.9500000000000028</v>
      </c>
      <c r="J481" s="22"/>
      <c r="K481" s="22">
        <f t="shared" si="266"/>
        <v>0.24</v>
      </c>
      <c r="L481" s="12">
        <f>SUM(H481:J481)+K481</f>
        <v>3.1900000000000031</v>
      </c>
      <c r="M481" s="12">
        <f>+ROUND(IF(C481=8,PRODUCT(E481,F481,G481,L481),0),2)</f>
        <v>0</v>
      </c>
      <c r="N481" s="12">
        <f t="shared" si="195"/>
        <v>0</v>
      </c>
      <c r="O481" s="12">
        <f t="shared" si="196"/>
        <v>255.2</v>
      </c>
      <c r="P481" s="12">
        <f t="shared" si="197"/>
        <v>0</v>
      </c>
      <c r="Q481" s="12">
        <f t="shared" si="198"/>
        <v>0</v>
      </c>
      <c r="R481" s="12">
        <f t="shared" si="199"/>
        <v>0</v>
      </c>
    </row>
    <row r="482" spans="1:18" x14ac:dyDescent="0.25">
      <c r="A482" s="26"/>
      <c r="B482" s="25" t="s">
        <v>172</v>
      </c>
      <c r="C482" s="15"/>
      <c r="D482" s="16"/>
      <c r="E482" s="15"/>
      <c r="F482" s="11"/>
      <c r="G482" s="11"/>
      <c r="H482" s="12"/>
      <c r="I482" s="12"/>
      <c r="J482" s="22"/>
      <c r="K482" s="22"/>
      <c r="L482" s="12">
        <f t="shared" ref="L482:L486" si="268">SUM(H482:J482)+K482</f>
        <v>0</v>
      </c>
      <c r="M482" s="12">
        <f t="shared" ref="M482:M547" si="269">+ROUND(IF(C482=8,PRODUCT(E482,F482,G482,L482),0),2)</f>
        <v>0</v>
      </c>
      <c r="N482" s="12">
        <f t="shared" si="195"/>
        <v>0</v>
      </c>
      <c r="O482" s="12">
        <f t="shared" si="196"/>
        <v>0</v>
      </c>
      <c r="P482" s="12">
        <f t="shared" si="197"/>
        <v>0</v>
      </c>
      <c r="Q482" s="12">
        <f t="shared" si="198"/>
        <v>0</v>
      </c>
      <c r="R482" s="12">
        <f t="shared" si="199"/>
        <v>0</v>
      </c>
    </row>
    <row r="483" spans="1:18" x14ac:dyDescent="0.25">
      <c r="A483" s="26"/>
      <c r="B483" s="25" t="s">
        <v>191</v>
      </c>
      <c r="C483" s="15">
        <v>8</v>
      </c>
      <c r="D483" s="16">
        <v>100</v>
      </c>
      <c r="E483" s="15">
        <v>4</v>
      </c>
      <c r="F483" s="11">
        <v>1</v>
      </c>
      <c r="G483" s="11">
        <f t="shared" ref="G483:G484" si="270">+ROUND(2450/D483+1,0)</f>
        <v>26</v>
      </c>
      <c r="H483" s="12"/>
      <c r="I483" s="12">
        <f>2*(0.18+1.135)+24*C483/1000</f>
        <v>2.8220000000000001</v>
      </c>
      <c r="J483" s="22"/>
      <c r="K483" s="22"/>
      <c r="L483" s="12">
        <f t="shared" si="268"/>
        <v>2.8220000000000001</v>
      </c>
      <c r="M483" s="12">
        <f t="shared" si="269"/>
        <v>293.49</v>
      </c>
      <c r="N483" s="12">
        <f t="shared" si="195"/>
        <v>0</v>
      </c>
      <c r="O483" s="12">
        <f t="shared" si="196"/>
        <v>0</v>
      </c>
      <c r="P483" s="12">
        <f t="shared" si="197"/>
        <v>0</v>
      </c>
      <c r="Q483" s="12">
        <f t="shared" si="198"/>
        <v>0</v>
      </c>
      <c r="R483" s="12">
        <f t="shared" si="199"/>
        <v>0</v>
      </c>
    </row>
    <row r="484" spans="1:18" x14ac:dyDescent="0.25">
      <c r="A484" s="26"/>
      <c r="B484" s="25" t="s">
        <v>192</v>
      </c>
      <c r="C484" s="15">
        <v>8</v>
      </c>
      <c r="D484" s="16">
        <v>100</v>
      </c>
      <c r="E484" s="15">
        <v>4</v>
      </c>
      <c r="F484" s="11">
        <v>5</v>
      </c>
      <c r="G484" s="11">
        <f t="shared" si="270"/>
        <v>26</v>
      </c>
      <c r="H484" s="12"/>
      <c r="I484" s="12">
        <f>2*(0.18+0.118)+24*C484/1000</f>
        <v>0.78800000000000003</v>
      </c>
      <c r="J484" s="22"/>
      <c r="K484" s="22"/>
      <c r="L484" s="12">
        <f t="shared" si="268"/>
        <v>0.78800000000000003</v>
      </c>
      <c r="M484" s="12">
        <f t="shared" si="269"/>
        <v>409.76</v>
      </c>
      <c r="N484" s="12">
        <f t="shared" si="195"/>
        <v>0</v>
      </c>
      <c r="O484" s="12">
        <f t="shared" si="196"/>
        <v>0</v>
      </c>
      <c r="P484" s="12">
        <f t="shared" si="197"/>
        <v>0</v>
      </c>
      <c r="Q484" s="12">
        <f t="shared" si="198"/>
        <v>0</v>
      </c>
      <c r="R484" s="12">
        <f t="shared" si="199"/>
        <v>0</v>
      </c>
    </row>
    <row r="485" spans="1:18" x14ac:dyDescent="0.25">
      <c r="A485" s="26"/>
      <c r="B485" s="45" t="s">
        <v>215</v>
      </c>
      <c r="C485" s="15">
        <v>16</v>
      </c>
      <c r="D485" s="16"/>
      <c r="E485" s="15">
        <v>2</v>
      </c>
      <c r="F485" s="11">
        <v>1</v>
      </c>
      <c r="G485" s="11">
        <v>8</v>
      </c>
      <c r="H485" s="12"/>
      <c r="I485" s="12">
        <f t="shared" ref="I485:I486" si="271">106.2-103.25</f>
        <v>2.9500000000000028</v>
      </c>
      <c r="J485" s="22"/>
      <c r="K485" s="22">
        <f>0.5*40*C485/1000</f>
        <v>0.32</v>
      </c>
      <c r="L485" s="12">
        <f t="shared" si="268"/>
        <v>3.2700000000000027</v>
      </c>
      <c r="M485" s="12">
        <f t="shared" si="269"/>
        <v>0</v>
      </c>
      <c r="N485" s="12">
        <f t="shared" si="195"/>
        <v>0</v>
      </c>
      <c r="O485" s="12">
        <f t="shared" si="196"/>
        <v>0</v>
      </c>
      <c r="P485" s="12">
        <f t="shared" si="197"/>
        <v>52.32</v>
      </c>
      <c r="Q485" s="12">
        <f t="shared" si="198"/>
        <v>0</v>
      </c>
      <c r="R485" s="12">
        <f t="shared" si="199"/>
        <v>0</v>
      </c>
    </row>
    <row r="486" spans="1:18" x14ac:dyDescent="0.25">
      <c r="A486" s="26"/>
      <c r="B486" s="45"/>
      <c r="C486" s="15">
        <v>12</v>
      </c>
      <c r="D486" s="16"/>
      <c r="E486" s="15">
        <v>2</v>
      </c>
      <c r="F486" s="11">
        <v>1</v>
      </c>
      <c r="G486" s="11">
        <v>22</v>
      </c>
      <c r="H486" s="12"/>
      <c r="I486" s="12">
        <f t="shared" si="271"/>
        <v>2.9500000000000028</v>
      </c>
      <c r="J486" s="22"/>
      <c r="K486" s="22">
        <f>0.5*40*C486/1000</f>
        <v>0.24</v>
      </c>
      <c r="L486" s="12">
        <f t="shared" si="268"/>
        <v>3.1900000000000031</v>
      </c>
      <c r="M486" s="12">
        <f t="shared" si="269"/>
        <v>0</v>
      </c>
      <c r="N486" s="12">
        <f t="shared" si="195"/>
        <v>0</v>
      </c>
      <c r="O486" s="12">
        <f t="shared" si="196"/>
        <v>140.36000000000001</v>
      </c>
      <c r="P486" s="12">
        <f t="shared" si="197"/>
        <v>0</v>
      </c>
      <c r="Q486" s="12">
        <f t="shared" si="198"/>
        <v>0</v>
      </c>
      <c r="R486" s="12">
        <f t="shared" si="199"/>
        <v>0</v>
      </c>
    </row>
    <row r="487" spans="1:18" x14ac:dyDescent="0.25">
      <c r="A487" s="26"/>
      <c r="B487" s="25" t="s">
        <v>172</v>
      </c>
      <c r="C487" s="15"/>
      <c r="D487" s="16"/>
      <c r="E487" s="15"/>
      <c r="F487" s="11"/>
      <c r="G487" s="11"/>
      <c r="H487" s="12"/>
      <c r="I487" s="12"/>
      <c r="J487" s="22"/>
      <c r="K487" s="22"/>
      <c r="L487" s="12">
        <f t="shared" ref="L487:L489" si="272">SUM(H487:J487)+K487</f>
        <v>0</v>
      </c>
      <c r="M487" s="12">
        <f t="shared" si="269"/>
        <v>0</v>
      </c>
      <c r="N487" s="12">
        <f t="shared" si="195"/>
        <v>0</v>
      </c>
      <c r="O487" s="12">
        <f t="shared" si="196"/>
        <v>0</v>
      </c>
      <c r="P487" s="12">
        <f t="shared" si="197"/>
        <v>0</v>
      </c>
      <c r="Q487" s="12">
        <f t="shared" si="198"/>
        <v>0</v>
      </c>
      <c r="R487" s="12">
        <f t="shared" si="199"/>
        <v>0</v>
      </c>
    </row>
    <row r="488" spans="1:18" x14ac:dyDescent="0.25">
      <c r="A488" s="26"/>
      <c r="B488" s="25" t="s">
        <v>210</v>
      </c>
      <c r="C488" s="15">
        <v>8</v>
      </c>
      <c r="D488" s="16">
        <v>100</v>
      </c>
      <c r="E488" s="15">
        <v>2</v>
      </c>
      <c r="F488" s="11">
        <v>2</v>
      </c>
      <c r="G488" s="11">
        <f t="shared" ref="G488:G491" si="273">+ROUND(2450/D488+1,0)</f>
        <v>26</v>
      </c>
      <c r="H488" s="12"/>
      <c r="I488" s="12">
        <f>2*(0.18+0.583)+24*C488/1000</f>
        <v>1.7179999999999997</v>
      </c>
      <c r="J488" s="22"/>
      <c r="K488" s="22"/>
      <c r="L488" s="12">
        <f t="shared" si="272"/>
        <v>1.7179999999999997</v>
      </c>
      <c r="M488" s="12">
        <f t="shared" si="269"/>
        <v>178.67</v>
      </c>
      <c r="N488" s="12">
        <f t="shared" si="195"/>
        <v>0</v>
      </c>
      <c r="O488" s="12">
        <f t="shared" si="196"/>
        <v>0</v>
      </c>
      <c r="P488" s="12">
        <f t="shared" si="197"/>
        <v>0</v>
      </c>
      <c r="Q488" s="12">
        <f t="shared" si="198"/>
        <v>0</v>
      </c>
      <c r="R488" s="12">
        <f t="shared" si="199"/>
        <v>0</v>
      </c>
    </row>
    <row r="489" spans="1:18" x14ac:dyDescent="0.25">
      <c r="A489" s="26"/>
      <c r="B489" s="25" t="s">
        <v>194</v>
      </c>
      <c r="C489" s="15">
        <v>8</v>
      </c>
      <c r="D489" s="16">
        <v>100</v>
      </c>
      <c r="E489" s="15">
        <v>2</v>
      </c>
      <c r="F489" s="11">
        <v>4</v>
      </c>
      <c r="G489" s="11">
        <f t="shared" si="273"/>
        <v>26</v>
      </c>
      <c r="H489" s="12"/>
      <c r="I489" s="12">
        <f>2*(0.18+0.122)+24*C489/1000</f>
        <v>0.79600000000000004</v>
      </c>
      <c r="J489" s="22"/>
      <c r="K489" s="22"/>
      <c r="L489" s="12">
        <f t="shared" si="272"/>
        <v>0.79600000000000004</v>
      </c>
      <c r="M489" s="12">
        <f t="shared" si="269"/>
        <v>165.57</v>
      </c>
      <c r="N489" s="12">
        <f t="shared" si="195"/>
        <v>0</v>
      </c>
      <c r="O489" s="12">
        <f t="shared" si="196"/>
        <v>0</v>
      </c>
      <c r="P489" s="12">
        <f t="shared" si="197"/>
        <v>0</v>
      </c>
      <c r="Q489" s="12">
        <f t="shared" si="198"/>
        <v>0</v>
      </c>
      <c r="R489" s="12">
        <f t="shared" si="199"/>
        <v>0</v>
      </c>
    </row>
    <row r="490" spans="1:18" x14ac:dyDescent="0.25">
      <c r="A490" s="26"/>
      <c r="B490" s="25" t="s">
        <v>216</v>
      </c>
      <c r="C490" s="15">
        <v>8</v>
      </c>
      <c r="D490" s="16">
        <v>200</v>
      </c>
      <c r="E490" s="15">
        <v>2</v>
      </c>
      <c r="F490" s="11">
        <v>1</v>
      </c>
      <c r="G490" s="11">
        <f t="shared" si="273"/>
        <v>13</v>
      </c>
      <c r="H490" s="12"/>
      <c r="I490" s="12">
        <f>2*(0.18+0.671)+24*C490/1000</f>
        <v>1.8939999999999999</v>
      </c>
      <c r="J490" s="22"/>
      <c r="K490" s="22"/>
      <c r="L490" s="12">
        <f t="shared" ref="L490" si="274">SUM(H490:J490)+K490</f>
        <v>1.8939999999999999</v>
      </c>
      <c r="M490" s="12">
        <f t="shared" si="269"/>
        <v>49.24</v>
      </c>
      <c r="N490" s="12">
        <f t="shared" si="195"/>
        <v>0</v>
      </c>
      <c r="O490" s="12">
        <f t="shared" si="196"/>
        <v>0</v>
      </c>
      <c r="P490" s="12">
        <f t="shared" si="197"/>
        <v>0</v>
      </c>
      <c r="Q490" s="12">
        <f t="shared" si="198"/>
        <v>0</v>
      </c>
      <c r="R490" s="12">
        <f t="shared" si="199"/>
        <v>0</v>
      </c>
    </row>
    <row r="491" spans="1:18" x14ac:dyDescent="0.25">
      <c r="A491" s="26"/>
      <c r="B491" s="25" t="s">
        <v>177</v>
      </c>
      <c r="C491" s="15">
        <v>8</v>
      </c>
      <c r="D491" s="16">
        <v>400</v>
      </c>
      <c r="E491" s="15">
        <v>2</v>
      </c>
      <c r="F491" s="11">
        <v>1</v>
      </c>
      <c r="G491" s="11">
        <f t="shared" si="273"/>
        <v>7</v>
      </c>
      <c r="H491" s="12"/>
      <c r="I491" s="12">
        <f>0.18+(20*C491/1000)</f>
        <v>0.33999999999999997</v>
      </c>
      <c r="J491" s="22"/>
      <c r="K491" s="22"/>
      <c r="L491" s="12">
        <f t="shared" ref="L491" si="275">SUM(H491:J491)+K491</f>
        <v>0.33999999999999997</v>
      </c>
      <c r="M491" s="12">
        <f t="shared" si="269"/>
        <v>4.76</v>
      </c>
      <c r="N491" s="12">
        <f t="shared" si="195"/>
        <v>0</v>
      </c>
      <c r="O491" s="12">
        <f t="shared" si="196"/>
        <v>0</v>
      </c>
      <c r="P491" s="12">
        <f t="shared" si="197"/>
        <v>0</v>
      </c>
      <c r="Q491" s="12">
        <f t="shared" si="198"/>
        <v>0</v>
      </c>
      <c r="R491" s="12">
        <f t="shared" si="199"/>
        <v>0</v>
      </c>
    </row>
    <row r="492" spans="1:18" x14ac:dyDescent="0.25">
      <c r="A492" s="26"/>
      <c r="B492" s="45" t="s">
        <v>221</v>
      </c>
      <c r="C492" s="15">
        <v>16</v>
      </c>
      <c r="D492" s="16"/>
      <c r="E492" s="15">
        <v>1</v>
      </c>
      <c r="F492" s="11">
        <v>1</v>
      </c>
      <c r="G492" s="11">
        <v>16</v>
      </c>
      <c r="H492" s="12"/>
      <c r="I492" s="12">
        <f t="shared" ref="I492:I493" si="276">106.2-103.25</f>
        <v>2.9500000000000028</v>
      </c>
      <c r="J492" s="22"/>
      <c r="K492" s="22">
        <f t="shared" ref="K492:K493" si="277">0.5*40*C492/1000</f>
        <v>0.32</v>
      </c>
      <c r="L492" s="12">
        <f t="shared" ref="L492:L493" si="278">SUM(H492:J492)+K492</f>
        <v>3.2700000000000027</v>
      </c>
      <c r="M492" s="12">
        <f t="shared" si="269"/>
        <v>0</v>
      </c>
      <c r="N492" s="12">
        <f t="shared" si="195"/>
        <v>0</v>
      </c>
      <c r="O492" s="12">
        <f t="shared" si="196"/>
        <v>0</v>
      </c>
      <c r="P492" s="12">
        <f t="shared" si="197"/>
        <v>52.32</v>
      </c>
      <c r="Q492" s="12">
        <f t="shared" si="198"/>
        <v>0</v>
      </c>
      <c r="R492" s="12">
        <f t="shared" si="199"/>
        <v>0</v>
      </c>
    </row>
    <row r="493" spans="1:18" x14ac:dyDescent="0.25">
      <c r="A493" s="26"/>
      <c r="B493" s="45"/>
      <c r="C493" s="15">
        <v>12</v>
      </c>
      <c r="D493" s="16"/>
      <c r="E493" s="15">
        <v>1</v>
      </c>
      <c r="F493" s="11">
        <v>1</v>
      </c>
      <c r="G493" s="11">
        <v>40</v>
      </c>
      <c r="H493" s="12"/>
      <c r="I493" s="12">
        <f t="shared" si="276"/>
        <v>2.9500000000000028</v>
      </c>
      <c r="J493" s="22"/>
      <c r="K493" s="22">
        <f t="shared" si="277"/>
        <v>0.24</v>
      </c>
      <c r="L493" s="12">
        <f t="shared" si="278"/>
        <v>3.1900000000000031</v>
      </c>
      <c r="M493" s="12">
        <f t="shared" si="269"/>
        <v>0</v>
      </c>
      <c r="N493" s="12">
        <f t="shared" si="195"/>
        <v>0</v>
      </c>
      <c r="O493" s="12">
        <f t="shared" si="196"/>
        <v>127.6</v>
      </c>
      <c r="P493" s="12">
        <f t="shared" si="197"/>
        <v>0</v>
      </c>
      <c r="Q493" s="12">
        <f t="shared" si="198"/>
        <v>0</v>
      </c>
      <c r="R493" s="12">
        <f t="shared" si="199"/>
        <v>0</v>
      </c>
    </row>
    <row r="494" spans="1:18" x14ac:dyDescent="0.25">
      <c r="A494" s="26"/>
      <c r="B494" s="25" t="s">
        <v>172</v>
      </c>
      <c r="C494" s="15"/>
      <c r="D494" s="16"/>
      <c r="E494" s="15"/>
      <c r="F494" s="11"/>
      <c r="G494" s="11"/>
      <c r="H494" s="12"/>
      <c r="I494" s="12"/>
      <c r="J494" s="22"/>
      <c r="K494" s="22"/>
      <c r="L494" s="12">
        <f t="shared" ref="L494:L496" si="279">SUM(H494:J494)+K494</f>
        <v>0</v>
      </c>
      <c r="M494" s="12">
        <f t="shared" si="269"/>
        <v>0</v>
      </c>
      <c r="N494" s="12">
        <f t="shared" si="195"/>
        <v>0</v>
      </c>
      <c r="O494" s="12">
        <f t="shared" si="196"/>
        <v>0</v>
      </c>
      <c r="P494" s="12">
        <f t="shared" si="197"/>
        <v>0</v>
      </c>
      <c r="Q494" s="12">
        <f t="shared" si="198"/>
        <v>0</v>
      </c>
      <c r="R494" s="12">
        <f t="shared" si="199"/>
        <v>0</v>
      </c>
    </row>
    <row r="495" spans="1:18" x14ac:dyDescent="0.25">
      <c r="A495" s="26"/>
      <c r="B495" s="25" t="s">
        <v>204</v>
      </c>
      <c r="C495" s="15">
        <v>8</v>
      </c>
      <c r="D495" s="16">
        <v>100</v>
      </c>
      <c r="E495" s="15">
        <v>1</v>
      </c>
      <c r="F495" s="11">
        <v>2</v>
      </c>
      <c r="G495" s="11">
        <f t="shared" ref="G495:G498" si="280">+ROUND(2450/D495+1,0)</f>
        <v>26</v>
      </c>
      <c r="H495" s="12"/>
      <c r="I495" s="12">
        <f>2*(0.18+0.983)+24*C495/1000</f>
        <v>2.5180000000000002</v>
      </c>
      <c r="J495" s="22"/>
      <c r="K495" s="22"/>
      <c r="L495" s="12">
        <f t="shared" si="279"/>
        <v>2.5180000000000002</v>
      </c>
      <c r="M495" s="12">
        <f t="shared" si="269"/>
        <v>130.94</v>
      </c>
      <c r="N495" s="12">
        <f t="shared" si="195"/>
        <v>0</v>
      </c>
      <c r="O495" s="12">
        <f t="shared" si="196"/>
        <v>0</v>
      </c>
      <c r="P495" s="12">
        <f t="shared" si="197"/>
        <v>0</v>
      </c>
      <c r="Q495" s="12">
        <f t="shared" si="198"/>
        <v>0</v>
      </c>
      <c r="R495" s="12">
        <f t="shared" si="199"/>
        <v>0</v>
      </c>
    </row>
    <row r="496" spans="1:18" x14ac:dyDescent="0.25">
      <c r="A496" s="26"/>
      <c r="B496" s="25" t="s">
        <v>194</v>
      </c>
      <c r="C496" s="15">
        <v>8</v>
      </c>
      <c r="D496" s="16">
        <v>100</v>
      </c>
      <c r="E496" s="15">
        <v>1</v>
      </c>
      <c r="F496" s="11">
        <v>8</v>
      </c>
      <c r="G496" s="11">
        <f t="shared" si="280"/>
        <v>26</v>
      </c>
      <c r="H496" s="12"/>
      <c r="I496" s="12">
        <f>2*(0.18+0.122)+24*C496/1000</f>
        <v>0.79600000000000004</v>
      </c>
      <c r="J496" s="22"/>
      <c r="K496" s="22"/>
      <c r="L496" s="12">
        <f t="shared" si="279"/>
        <v>0.79600000000000004</v>
      </c>
      <c r="M496" s="12">
        <f t="shared" si="269"/>
        <v>165.57</v>
      </c>
      <c r="N496" s="12">
        <f t="shared" si="195"/>
        <v>0</v>
      </c>
      <c r="O496" s="12">
        <f t="shared" si="196"/>
        <v>0</v>
      </c>
      <c r="P496" s="12">
        <f t="shared" si="197"/>
        <v>0</v>
      </c>
      <c r="Q496" s="12">
        <f t="shared" si="198"/>
        <v>0</v>
      </c>
      <c r="R496" s="12">
        <f t="shared" si="199"/>
        <v>0</v>
      </c>
    </row>
    <row r="497" spans="1:18" x14ac:dyDescent="0.25">
      <c r="A497" s="26"/>
      <c r="B497" s="25" t="s">
        <v>222</v>
      </c>
      <c r="C497" s="15">
        <v>8</v>
      </c>
      <c r="D497" s="16">
        <v>200</v>
      </c>
      <c r="E497" s="15">
        <v>1</v>
      </c>
      <c r="F497" s="11">
        <v>1</v>
      </c>
      <c r="G497" s="11">
        <f t="shared" si="280"/>
        <v>13</v>
      </c>
      <c r="H497" s="12"/>
      <c r="I497" s="12">
        <f>2*(0.18+1.616)+24*C497/1000</f>
        <v>3.7840000000000003</v>
      </c>
      <c r="J497" s="22"/>
      <c r="K497" s="22"/>
      <c r="L497" s="12">
        <f t="shared" ref="L497:L498" si="281">SUM(H497:J497)+K497</f>
        <v>3.7840000000000003</v>
      </c>
      <c r="M497" s="12">
        <f t="shared" si="269"/>
        <v>49.19</v>
      </c>
      <c r="N497" s="12">
        <f t="shared" si="195"/>
        <v>0</v>
      </c>
      <c r="O497" s="12">
        <f t="shared" si="196"/>
        <v>0</v>
      </c>
      <c r="P497" s="12">
        <f t="shared" si="197"/>
        <v>0</v>
      </c>
      <c r="Q497" s="12">
        <f t="shared" si="198"/>
        <v>0</v>
      </c>
      <c r="R497" s="12">
        <f t="shared" si="199"/>
        <v>0</v>
      </c>
    </row>
    <row r="498" spans="1:18" x14ac:dyDescent="0.25">
      <c r="A498" s="26"/>
      <c r="B498" s="25" t="s">
        <v>177</v>
      </c>
      <c r="C498" s="15">
        <v>8</v>
      </c>
      <c r="D498" s="16">
        <v>400</v>
      </c>
      <c r="E498" s="15">
        <v>1</v>
      </c>
      <c r="F498" s="11">
        <v>4</v>
      </c>
      <c r="G498" s="11">
        <f t="shared" si="280"/>
        <v>7</v>
      </c>
      <c r="H498" s="12"/>
      <c r="I498" s="12">
        <f>0.18+(20*C498/1000)</f>
        <v>0.33999999999999997</v>
      </c>
      <c r="J498" s="22"/>
      <c r="K498" s="22"/>
      <c r="L498" s="12">
        <f t="shared" si="281"/>
        <v>0.33999999999999997</v>
      </c>
      <c r="M498" s="12">
        <f t="shared" si="269"/>
        <v>9.52</v>
      </c>
      <c r="N498" s="12">
        <f t="shared" si="195"/>
        <v>0</v>
      </c>
      <c r="O498" s="12">
        <f t="shared" si="196"/>
        <v>0</v>
      </c>
      <c r="P498" s="12">
        <f t="shared" si="197"/>
        <v>0</v>
      </c>
      <c r="Q498" s="12">
        <f t="shared" si="198"/>
        <v>0</v>
      </c>
      <c r="R498" s="12">
        <f t="shared" si="199"/>
        <v>0</v>
      </c>
    </row>
    <row r="499" spans="1:18" x14ac:dyDescent="0.25">
      <c r="A499" s="26"/>
      <c r="B499" s="45" t="s">
        <v>198</v>
      </c>
      <c r="C499" s="15">
        <v>16</v>
      </c>
      <c r="D499" s="16"/>
      <c r="E499" s="15">
        <v>6</v>
      </c>
      <c r="F499" s="11">
        <v>1</v>
      </c>
      <c r="G499" s="11">
        <v>8</v>
      </c>
      <c r="H499" s="12"/>
      <c r="I499" s="12">
        <f t="shared" ref="I499:I501" si="282">106.2-103.25</f>
        <v>2.9500000000000028</v>
      </c>
      <c r="J499" s="22"/>
      <c r="K499" s="22">
        <f t="shared" ref="K499:K501" si="283">0.5*40*C499/1000</f>
        <v>0.32</v>
      </c>
      <c r="L499" s="12">
        <f t="shared" ref="L499:L509" si="284">SUM(H499:J499)+K499</f>
        <v>3.2700000000000027</v>
      </c>
      <c r="M499" s="12">
        <f t="shared" si="269"/>
        <v>0</v>
      </c>
      <c r="N499" s="12">
        <f t="shared" si="195"/>
        <v>0</v>
      </c>
      <c r="O499" s="12">
        <f t="shared" si="196"/>
        <v>0</v>
      </c>
      <c r="P499" s="12">
        <f t="shared" si="197"/>
        <v>156.96</v>
      </c>
      <c r="Q499" s="12">
        <f t="shared" si="198"/>
        <v>0</v>
      </c>
      <c r="R499" s="12">
        <f t="shared" si="199"/>
        <v>0</v>
      </c>
    </row>
    <row r="500" spans="1:18" x14ac:dyDescent="0.25">
      <c r="A500" s="26"/>
      <c r="B500" s="25"/>
      <c r="C500" s="15">
        <v>12</v>
      </c>
      <c r="D500" s="16"/>
      <c r="E500" s="15">
        <v>6</v>
      </c>
      <c r="F500" s="11">
        <v>1</v>
      </c>
      <c r="G500" s="11">
        <v>16</v>
      </c>
      <c r="H500" s="12"/>
      <c r="I500" s="12">
        <f t="shared" si="282"/>
        <v>2.9500000000000028</v>
      </c>
      <c r="J500" s="22"/>
      <c r="K500" s="22">
        <f t="shared" si="283"/>
        <v>0.24</v>
      </c>
      <c r="L500" s="12">
        <f t="shared" si="284"/>
        <v>3.1900000000000031</v>
      </c>
      <c r="M500" s="12">
        <f t="shared" si="269"/>
        <v>0</v>
      </c>
      <c r="N500" s="12">
        <f t="shared" si="195"/>
        <v>0</v>
      </c>
      <c r="O500" s="12">
        <f t="shared" si="196"/>
        <v>306.24</v>
      </c>
      <c r="P500" s="12">
        <f t="shared" si="197"/>
        <v>0</v>
      </c>
      <c r="Q500" s="12">
        <f t="shared" si="198"/>
        <v>0</v>
      </c>
      <c r="R500" s="12">
        <f t="shared" si="199"/>
        <v>0</v>
      </c>
    </row>
    <row r="501" spans="1:18" x14ac:dyDescent="0.25">
      <c r="A501" s="26"/>
      <c r="B501" s="25"/>
      <c r="C501" s="15">
        <v>10</v>
      </c>
      <c r="D501" s="16"/>
      <c r="E501" s="15">
        <v>6</v>
      </c>
      <c r="F501" s="11">
        <v>1</v>
      </c>
      <c r="G501" s="11">
        <v>10</v>
      </c>
      <c r="H501" s="12"/>
      <c r="I501" s="12">
        <f t="shared" si="282"/>
        <v>2.9500000000000028</v>
      </c>
      <c r="J501" s="22"/>
      <c r="K501" s="22">
        <f t="shared" si="283"/>
        <v>0.2</v>
      </c>
      <c r="L501" s="12">
        <f t="shared" si="284"/>
        <v>3.150000000000003</v>
      </c>
      <c r="M501" s="12">
        <f t="shared" si="269"/>
        <v>0</v>
      </c>
      <c r="N501" s="12">
        <f t="shared" si="195"/>
        <v>189</v>
      </c>
      <c r="O501" s="12">
        <f t="shared" si="196"/>
        <v>0</v>
      </c>
      <c r="P501" s="12">
        <f t="shared" si="197"/>
        <v>0</v>
      </c>
      <c r="Q501" s="12">
        <f t="shared" si="198"/>
        <v>0</v>
      </c>
      <c r="R501" s="12">
        <f t="shared" si="199"/>
        <v>0</v>
      </c>
    </row>
    <row r="502" spans="1:18" x14ac:dyDescent="0.25">
      <c r="A502" s="26"/>
      <c r="B502" s="25" t="s">
        <v>172</v>
      </c>
      <c r="C502" s="15"/>
      <c r="D502" s="16"/>
      <c r="E502" s="15"/>
      <c r="F502" s="11"/>
      <c r="G502" s="11"/>
      <c r="H502" s="12"/>
      <c r="I502" s="12"/>
      <c r="J502" s="22"/>
      <c r="K502" s="22"/>
      <c r="L502" s="12">
        <f t="shared" si="284"/>
        <v>0</v>
      </c>
      <c r="M502" s="12">
        <f t="shared" si="269"/>
        <v>0</v>
      </c>
      <c r="N502" s="12">
        <f t="shared" si="195"/>
        <v>0</v>
      </c>
      <c r="O502" s="12">
        <f t="shared" si="196"/>
        <v>0</v>
      </c>
      <c r="P502" s="12">
        <f t="shared" si="197"/>
        <v>0</v>
      </c>
      <c r="Q502" s="12">
        <f t="shared" si="198"/>
        <v>0</v>
      </c>
      <c r="R502" s="12">
        <f t="shared" si="199"/>
        <v>0</v>
      </c>
    </row>
    <row r="503" spans="1:18" x14ac:dyDescent="0.25">
      <c r="A503" s="26"/>
      <c r="B503" s="25" t="s">
        <v>188</v>
      </c>
      <c r="C503" s="15">
        <v>8</v>
      </c>
      <c r="D503" s="16">
        <v>100</v>
      </c>
      <c r="E503" s="15">
        <v>6</v>
      </c>
      <c r="F503" s="11">
        <v>1</v>
      </c>
      <c r="G503" s="11">
        <f t="shared" ref="G503:G510" si="285">+ROUND(2450/D503+1,0)</f>
        <v>26</v>
      </c>
      <c r="H503" s="12"/>
      <c r="I503" s="12">
        <f>2*(0.18+0.6)+24*C503/1000</f>
        <v>1.752</v>
      </c>
      <c r="J503" s="22"/>
      <c r="K503" s="22"/>
      <c r="L503" s="12">
        <f t="shared" si="284"/>
        <v>1.752</v>
      </c>
      <c r="M503" s="12">
        <f t="shared" si="269"/>
        <v>273.31</v>
      </c>
      <c r="N503" s="12">
        <f t="shared" si="195"/>
        <v>0</v>
      </c>
      <c r="O503" s="12">
        <f t="shared" si="196"/>
        <v>0</v>
      </c>
      <c r="P503" s="12">
        <f t="shared" si="197"/>
        <v>0</v>
      </c>
      <c r="Q503" s="12">
        <f t="shared" si="198"/>
        <v>0</v>
      </c>
      <c r="R503" s="12">
        <f t="shared" si="199"/>
        <v>0</v>
      </c>
    </row>
    <row r="504" spans="1:18" x14ac:dyDescent="0.25">
      <c r="A504" s="26"/>
      <c r="B504" s="25" t="s">
        <v>174</v>
      </c>
      <c r="C504" s="15">
        <v>8</v>
      </c>
      <c r="D504" s="16">
        <v>100</v>
      </c>
      <c r="E504" s="15">
        <v>6</v>
      </c>
      <c r="F504" s="11">
        <v>1</v>
      </c>
      <c r="G504" s="11">
        <f t="shared" si="285"/>
        <v>26</v>
      </c>
      <c r="H504" s="12"/>
      <c r="I504" s="12">
        <f>2*(0.18+0.248)+24*C504/1000</f>
        <v>1.048</v>
      </c>
      <c r="J504" s="22"/>
      <c r="K504" s="22"/>
      <c r="L504" s="12">
        <f t="shared" si="284"/>
        <v>1.048</v>
      </c>
      <c r="M504" s="12">
        <f t="shared" si="269"/>
        <v>163.49</v>
      </c>
      <c r="N504" s="12">
        <f t="shared" si="195"/>
        <v>0</v>
      </c>
      <c r="O504" s="12">
        <f t="shared" si="196"/>
        <v>0</v>
      </c>
      <c r="P504" s="12">
        <f t="shared" si="197"/>
        <v>0</v>
      </c>
      <c r="Q504" s="12">
        <f t="shared" si="198"/>
        <v>0</v>
      </c>
      <c r="R504" s="12">
        <f t="shared" si="199"/>
        <v>0</v>
      </c>
    </row>
    <row r="505" spans="1:18" x14ac:dyDescent="0.25">
      <c r="A505" s="26"/>
      <c r="B505" s="25" t="s">
        <v>173</v>
      </c>
      <c r="C505" s="15">
        <v>8</v>
      </c>
      <c r="D505" s="16">
        <v>100</v>
      </c>
      <c r="E505" s="15">
        <v>6</v>
      </c>
      <c r="F505" s="11">
        <v>1</v>
      </c>
      <c r="G505" s="11">
        <f t="shared" si="285"/>
        <v>26</v>
      </c>
      <c r="H505" s="12"/>
      <c r="I505" s="12">
        <f>0.18+(20*C505/1000)</f>
        <v>0.33999999999999997</v>
      </c>
      <c r="J505" s="22"/>
      <c r="K505" s="22"/>
      <c r="L505" s="12">
        <f t="shared" si="284"/>
        <v>0.33999999999999997</v>
      </c>
      <c r="M505" s="12">
        <f t="shared" si="269"/>
        <v>53.04</v>
      </c>
      <c r="N505" s="12">
        <f t="shared" si="195"/>
        <v>0</v>
      </c>
      <c r="O505" s="12">
        <f t="shared" si="196"/>
        <v>0</v>
      </c>
      <c r="P505" s="12">
        <f t="shared" si="197"/>
        <v>0</v>
      </c>
      <c r="Q505" s="12">
        <f t="shared" si="198"/>
        <v>0</v>
      </c>
      <c r="R505" s="12">
        <f t="shared" si="199"/>
        <v>0</v>
      </c>
    </row>
    <row r="506" spans="1:18" x14ac:dyDescent="0.25">
      <c r="A506" s="26"/>
      <c r="B506" s="25" t="s">
        <v>189</v>
      </c>
      <c r="C506" s="15">
        <v>8</v>
      </c>
      <c r="D506" s="16">
        <v>100</v>
      </c>
      <c r="E506" s="15">
        <v>6</v>
      </c>
      <c r="F506" s="11">
        <v>2</v>
      </c>
      <c r="G506" s="11">
        <f t="shared" si="285"/>
        <v>26</v>
      </c>
      <c r="H506" s="12"/>
      <c r="I506" s="12">
        <f>2*(0.18+0.385)+24*C506/1000</f>
        <v>1.3219999999999998</v>
      </c>
      <c r="J506" s="22"/>
      <c r="K506" s="22"/>
      <c r="L506" s="12">
        <f t="shared" si="284"/>
        <v>1.3219999999999998</v>
      </c>
      <c r="M506" s="12">
        <f t="shared" si="269"/>
        <v>412.46</v>
      </c>
      <c r="N506" s="12">
        <f t="shared" si="195"/>
        <v>0</v>
      </c>
      <c r="O506" s="12">
        <f t="shared" si="196"/>
        <v>0</v>
      </c>
      <c r="P506" s="12">
        <f t="shared" si="197"/>
        <v>0</v>
      </c>
      <c r="Q506" s="12">
        <f t="shared" si="198"/>
        <v>0</v>
      </c>
      <c r="R506" s="12">
        <f t="shared" si="199"/>
        <v>0</v>
      </c>
    </row>
    <row r="507" spans="1:18" x14ac:dyDescent="0.25">
      <c r="A507" s="26"/>
      <c r="B507" s="25" t="s">
        <v>175</v>
      </c>
      <c r="C507" s="15">
        <v>8</v>
      </c>
      <c r="D507" s="16">
        <v>100</v>
      </c>
      <c r="E507" s="15">
        <v>6</v>
      </c>
      <c r="F507" s="11">
        <v>1</v>
      </c>
      <c r="G507" s="11">
        <f t="shared" si="285"/>
        <v>26</v>
      </c>
      <c r="H507" s="12"/>
      <c r="I507" s="12">
        <f>2*(0.18+0.268)+24*C507/1000</f>
        <v>1.0880000000000001</v>
      </c>
      <c r="J507" s="22"/>
      <c r="K507" s="22"/>
      <c r="L507" s="12">
        <f t="shared" si="284"/>
        <v>1.0880000000000001</v>
      </c>
      <c r="M507" s="12">
        <f t="shared" si="269"/>
        <v>169.73</v>
      </c>
      <c r="N507" s="12">
        <f t="shared" si="195"/>
        <v>0</v>
      </c>
      <c r="O507" s="12">
        <f t="shared" si="196"/>
        <v>0</v>
      </c>
      <c r="P507" s="12">
        <f t="shared" si="197"/>
        <v>0</v>
      </c>
      <c r="Q507" s="12">
        <f t="shared" si="198"/>
        <v>0</v>
      </c>
      <c r="R507" s="12">
        <f t="shared" si="199"/>
        <v>0</v>
      </c>
    </row>
    <row r="508" spans="1:18" x14ac:dyDescent="0.25">
      <c r="A508" s="26"/>
      <c r="B508" s="25" t="s">
        <v>173</v>
      </c>
      <c r="C508" s="15">
        <v>8</v>
      </c>
      <c r="D508" s="16">
        <v>100</v>
      </c>
      <c r="E508" s="15">
        <v>6</v>
      </c>
      <c r="F508" s="11">
        <v>1</v>
      </c>
      <c r="G508" s="11">
        <f t="shared" si="285"/>
        <v>26</v>
      </c>
      <c r="H508" s="12"/>
      <c r="I508" s="12">
        <f>0.18+(20*C508/1000)</f>
        <v>0.33999999999999997</v>
      </c>
      <c r="J508" s="22"/>
      <c r="K508" s="22"/>
      <c r="L508" s="12">
        <f t="shared" si="284"/>
        <v>0.33999999999999997</v>
      </c>
      <c r="M508" s="12">
        <f t="shared" si="269"/>
        <v>53.04</v>
      </c>
      <c r="N508" s="12">
        <f t="shared" si="195"/>
        <v>0</v>
      </c>
      <c r="O508" s="12">
        <f t="shared" si="196"/>
        <v>0</v>
      </c>
      <c r="P508" s="12">
        <f t="shared" si="197"/>
        <v>0</v>
      </c>
      <c r="Q508" s="12">
        <f t="shared" si="198"/>
        <v>0</v>
      </c>
      <c r="R508" s="12">
        <f t="shared" si="199"/>
        <v>0</v>
      </c>
    </row>
    <row r="509" spans="1:18" x14ac:dyDescent="0.25">
      <c r="A509" s="26"/>
      <c r="B509" s="25" t="s">
        <v>179</v>
      </c>
      <c r="C509" s="15">
        <v>8</v>
      </c>
      <c r="D509" s="16">
        <v>200</v>
      </c>
      <c r="E509" s="15">
        <v>6</v>
      </c>
      <c r="F509" s="11">
        <v>1</v>
      </c>
      <c r="G509" s="11">
        <f t="shared" si="285"/>
        <v>13</v>
      </c>
      <c r="H509" s="12"/>
      <c r="I509" s="12">
        <f>2*(0.18+1.066)+24*C509/1000</f>
        <v>2.6840000000000002</v>
      </c>
      <c r="J509" s="22"/>
      <c r="K509" s="22"/>
      <c r="L509" s="12">
        <f t="shared" si="284"/>
        <v>2.6840000000000002</v>
      </c>
      <c r="M509" s="12">
        <f t="shared" si="269"/>
        <v>209.35</v>
      </c>
      <c r="N509" s="12">
        <f t="shared" si="195"/>
        <v>0</v>
      </c>
      <c r="O509" s="12">
        <f t="shared" si="196"/>
        <v>0</v>
      </c>
      <c r="P509" s="12">
        <f t="shared" si="197"/>
        <v>0</v>
      </c>
      <c r="Q509" s="12">
        <f t="shared" si="198"/>
        <v>0</v>
      </c>
      <c r="R509" s="12">
        <f t="shared" si="199"/>
        <v>0</v>
      </c>
    </row>
    <row r="510" spans="1:18" x14ac:dyDescent="0.25">
      <c r="A510" s="26"/>
      <c r="B510" s="25" t="s">
        <v>177</v>
      </c>
      <c r="C510" s="15">
        <v>8</v>
      </c>
      <c r="D510" s="16">
        <v>400</v>
      </c>
      <c r="E510" s="15">
        <v>6</v>
      </c>
      <c r="F510" s="11">
        <v>2</v>
      </c>
      <c r="G510" s="11">
        <f t="shared" si="285"/>
        <v>7</v>
      </c>
      <c r="H510" s="12"/>
      <c r="I510" s="12">
        <f>0.18+(20*C510/1000)</f>
        <v>0.33999999999999997</v>
      </c>
      <c r="J510" s="22"/>
      <c r="K510" s="22"/>
      <c r="L510" s="12">
        <f t="shared" ref="L510" si="286">SUM(H510:J510)+K510</f>
        <v>0.33999999999999997</v>
      </c>
      <c r="M510" s="12">
        <f t="shared" si="269"/>
        <v>28.56</v>
      </c>
      <c r="N510" s="12">
        <f t="shared" si="195"/>
        <v>0</v>
      </c>
      <c r="O510" s="12">
        <f t="shared" si="196"/>
        <v>0</v>
      </c>
      <c r="P510" s="12">
        <f t="shared" si="197"/>
        <v>0</v>
      </c>
      <c r="Q510" s="12">
        <f t="shared" si="198"/>
        <v>0</v>
      </c>
      <c r="R510" s="12">
        <f t="shared" si="199"/>
        <v>0</v>
      </c>
    </row>
    <row r="511" spans="1:18" x14ac:dyDescent="0.25">
      <c r="A511" s="26"/>
      <c r="B511" s="45" t="s">
        <v>199</v>
      </c>
      <c r="C511" s="15">
        <v>16</v>
      </c>
      <c r="D511" s="16"/>
      <c r="E511" s="15">
        <v>2</v>
      </c>
      <c r="F511" s="11">
        <v>1</v>
      </c>
      <c r="G511" s="11">
        <v>8</v>
      </c>
      <c r="H511" s="12"/>
      <c r="I511" s="12">
        <f t="shared" ref="I511:I513" si="287">106.2-103.25</f>
        <v>2.9500000000000028</v>
      </c>
      <c r="J511" s="22"/>
      <c r="K511" s="22">
        <f t="shared" ref="K511:K513" si="288">0.5*40*C511/1000</f>
        <v>0.32</v>
      </c>
      <c r="L511" s="12">
        <f t="shared" ref="L511:L518" si="289">SUM(H511:J511)+K511</f>
        <v>3.2700000000000027</v>
      </c>
      <c r="M511" s="12">
        <f t="shared" si="269"/>
        <v>0</v>
      </c>
      <c r="N511" s="12">
        <f t="shared" si="195"/>
        <v>0</v>
      </c>
      <c r="O511" s="12">
        <f t="shared" si="196"/>
        <v>0</v>
      </c>
      <c r="P511" s="12">
        <f t="shared" si="197"/>
        <v>52.32</v>
      </c>
      <c r="Q511" s="12">
        <f t="shared" si="198"/>
        <v>0</v>
      </c>
      <c r="R511" s="12">
        <f t="shared" si="199"/>
        <v>0</v>
      </c>
    </row>
    <row r="512" spans="1:18" x14ac:dyDescent="0.25">
      <c r="A512" s="26"/>
      <c r="B512" s="45"/>
      <c r="C512" s="15">
        <v>12</v>
      </c>
      <c r="D512" s="16"/>
      <c r="E512" s="15">
        <v>2</v>
      </c>
      <c r="F512" s="11">
        <v>1</v>
      </c>
      <c r="G512" s="11">
        <v>20</v>
      </c>
      <c r="H512" s="12"/>
      <c r="I512" s="12">
        <f t="shared" si="287"/>
        <v>2.9500000000000028</v>
      </c>
      <c r="J512" s="22"/>
      <c r="K512" s="22">
        <f t="shared" si="288"/>
        <v>0.24</v>
      </c>
      <c r="L512" s="12">
        <f t="shared" si="289"/>
        <v>3.1900000000000031</v>
      </c>
      <c r="M512" s="12">
        <f t="shared" si="269"/>
        <v>0</v>
      </c>
      <c r="N512" s="12">
        <f t="shared" si="195"/>
        <v>0</v>
      </c>
      <c r="O512" s="12">
        <f t="shared" si="196"/>
        <v>127.6</v>
      </c>
      <c r="P512" s="12">
        <f t="shared" si="197"/>
        <v>0</v>
      </c>
      <c r="Q512" s="12">
        <f t="shared" si="198"/>
        <v>0</v>
      </c>
      <c r="R512" s="12">
        <f t="shared" si="199"/>
        <v>0</v>
      </c>
    </row>
    <row r="513" spans="1:18" x14ac:dyDescent="0.25">
      <c r="A513" s="26"/>
      <c r="B513" s="45"/>
      <c r="C513" s="15">
        <v>10</v>
      </c>
      <c r="D513" s="16"/>
      <c r="E513" s="15">
        <v>2</v>
      </c>
      <c r="F513" s="11">
        <v>1</v>
      </c>
      <c r="G513" s="11">
        <v>20</v>
      </c>
      <c r="H513" s="12"/>
      <c r="I513" s="12">
        <f t="shared" si="287"/>
        <v>2.9500000000000028</v>
      </c>
      <c r="J513" s="22"/>
      <c r="K513" s="22">
        <f t="shared" si="288"/>
        <v>0.2</v>
      </c>
      <c r="L513" s="12">
        <f t="shared" si="289"/>
        <v>3.150000000000003</v>
      </c>
      <c r="M513" s="12">
        <f t="shared" si="269"/>
        <v>0</v>
      </c>
      <c r="N513" s="12">
        <f t="shared" si="195"/>
        <v>126</v>
      </c>
      <c r="O513" s="12">
        <f t="shared" si="196"/>
        <v>0</v>
      </c>
      <c r="P513" s="12">
        <f t="shared" si="197"/>
        <v>0</v>
      </c>
      <c r="Q513" s="12">
        <f t="shared" si="198"/>
        <v>0</v>
      </c>
      <c r="R513" s="12">
        <f t="shared" si="199"/>
        <v>0</v>
      </c>
    </row>
    <row r="514" spans="1:18" x14ac:dyDescent="0.25">
      <c r="A514" s="26"/>
      <c r="B514" s="25" t="s">
        <v>172</v>
      </c>
      <c r="C514" s="15"/>
      <c r="D514" s="16"/>
      <c r="E514" s="15"/>
      <c r="F514" s="11"/>
      <c r="G514" s="11"/>
      <c r="H514" s="12"/>
      <c r="I514" s="12"/>
      <c r="J514" s="22"/>
      <c r="K514" s="22"/>
      <c r="L514" s="12">
        <f t="shared" si="289"/>
        <v>0</v>
      </c>
      <c r="M514" s="12">
        <f t="shared" si="269"/>
        <v>0</v>
      </c>
      <c r="N514" s="12">
        <f t="shared" si="195"/>
        <v>0</v>
      </c>
      <c r="O514" s="12">
        <f t="shared" si="196"/>
        <v>0</v>
      </c>
      <c r="P514" s="12">
        <f t="shared" si="197"/>
        <v>0</v>
      </c>
      <c r="Q514" s="12">
        <f t="shared" si="198"/>
        <v>0</v>
      </c>
      <c r="R514" s="12">
        <f t="shared" si="199"/>
        <v>0</v>
      </c>
    </row>
    <row r="515" spans="1:18" x14ac:dyDescent="0.25">
      <c r="A515" s="26"/>
      <c r="B515" s="25" t="s">
        <v>200</v>
      </c>
      <c r="C515" s="15">
        <v>8</v>
      </c>
      <c r="D515" s="16">
        <v>100</v>
      </c>
      <c r="E515" s="15">
        <v>2</v>
      </c>
      <c r="F515" s="11">
        <v>2</v>
      </c>
      <c r="G515" s="11">
        <f t="shared" ref="G515:G519" si="290">+ROUND(2450/D515+1,0)</f>
        <v>26</v>
      </c>
      <c r="H515" s="12"/>
      <c r="I515" s="12">
        <f>2*(0.18+0.683)+24*C515/1000</f>
        <v>1.9179999999999999</v>
      </c>
      <c r="J515" s="22"/>
      <c r="K515" s="22"/>
      <c r="L515" s="12">
        <f t="shared" si="289"/>
        <v>1.9179999999999999</v>
      </c>
      <c r="M515" s="12">
        <f t="shared" si="269"/>
        <v>199.47</v>
      </c>
      <c r="N515" s="12">
        <f t="shared" si="195"/>
        <v>0</v>
      </c>
      <c r="O515" s="12">
        <f t="shared" si="196"/>
        <v>0</v>
      </c>
      <c r="P515" s="12">
        <f t="shared" si="197"/>
        <v>0</v>
      </c>
      <c r="Q515" s="12">
        <f t="shared" si="198"/>
        <v>0</v>
      </c>
      <c r="R515" s="12">
        <f t="shared" si="199"/>
        <v>0</v>
      </c>
    </row>
    <row r="516" spans="1:18" x14ac:dyDescent="0.25">
      <c r="A516" s="26"/>
      <c r="B516" s="25" t="s">
        <v>201</v>
      </c>
      <c r="C516" s="15">
        <v>8</v>
      </c>
      <c r="D516" s="16">
        <v>100</v>
      </c>
      <c r="E516" s="15">
        <v>2</v>
      </c>
      <c r="F516" s="11">
        <f>2*2</f>
        <v>4</v>
      </c>
      <c r="G516" s="11">
        <f t="shared" si="290"/>
        <v>26</v>
      </c>
      <c r="H516" s="12"/>
      <c r="I516" s="12">
        <f>2*(0.18+0.128)+24*C516/1000</f>
        <v>0.80800000000000005</v>
      </c>
      <c r="J516" s="22"/>
      <c r="K516" s="22"/>
      <c r="L516" s="12">
        <f t="shared" si="289"/>
        <v>0.80800000000000005</v>
      </c>
      <c r="M516" s="12">
        <f t="shared" si="269"/>
        <v>168.06</v>
      </c>
      <c r="N516" s="12">
        <f t="shared" si="195"/>
        <v>0</v>
      </c>
      <c r="O516" s="12">
        <f t="shared" si="196"/>
        <v>0</v>
      </c>
      <c r="P516" s="12">
        <f t="shared" si="197"/>
        <v>0</v>
      </c>
      <c r="Q516" s="12">
        <f t="shared" si="198"/>
        <v>0</v>
      </c>
      <c r="R516" s="12">
        <f t="shared" si="199"/>
        <v>0</v>
      </c>
    </row>
    <row r="517" spans="1:18" x14ac:dyDescent="0.25">
      <c r="A517" s="26"/>
      <c r="B517" s="25" t="s">
        <v>173</v>
      </c>
      <c r="C517" s="15">
        <v>8</v>
      </c>
      <c r="D517" s="16">
        <v>100</v>
      </c>
      <c r="E517" s="15">
        <v>2</v>
      </c>
      <c r="F517" s="11">
        <v>2</v>
      </c>
      <c r="G517" s="11">
        <f t="shared" si="290"/>
        <v>26</v>
      </c>
      <c r="H517" s="12"/>
      <c r="I517" s="12">
        <f>0.18+(20*C517/1000)</f>
        <v>0.33999999999999997</v>
      </c>
      <c r="J517" s="22"/>
      <c r="K517" s="22"/>
      <c r="L517" s="12">
        <f t="shared" si="289"/>
        <v>0.33999999999999997</v>
      </c>
      <c r="M517" s="12">
        <f t="shared" si="269"/>
        <v>35.36</v>
      </c>
      <c r="N517" s="12">
        <f t="shared" si="195"/>
        <v>0</v>
      </c>
      <c r="O517" s="12">
        <f t="shared" si="196"/>
        <v>0</v>
      </c>
      <c r="P517" s="12">
        <f t="shared" si="197"/>
        <v>0</v>
      </c>
      <c r="Q517" s="12">
        <f t="shared" si="198"/>
        <v>0</v>
      </c>
      <c r="R517" s="12">
        <f t="shared" si="199"/>
        <v>0</v>
      </c>
    </row>
    <row r="518" spans="1:18" x14ac:dyDescent="0.25">
      <c r="A518" s="26"/>
      <c r="B518" s="25" t="s">
        <v>202</v>
      </c>
      <c r="C518" s="15">
        <v>8</v>
      </c>
      <c r="D518" s="16">
        <v>200</v>
      </c>
      <c r="E518" s="15">
        <v>2</v>
      </c>
      <c r="F518" s="11">
        <v>1</v>
      </c>
      <c r="G518" s="11">
        <f t="shared" si="290"/>
        <v>13</v>
      </c>
      <c r="H518" s="12"/>
      <c r="I518" s="12">
        <f>2*(0.18+2.061)+24*C518/1000</f>
        <v>4.6740000000000004</v>
      </c>
      <c r="J518" s="22"/>
      <c r="K518" s="22"/>
      <c r="L518" s="12">
        <f t="shared" si="289"/>
        <v>4.6740000000000004</v>
      </c>
      <c r="M518" s="12">
        <f t="shared" si="269"/>
        <v>121.52</v>
      </c>
      <c r="N518" s="12">
        <f t="shared" si="195"/>
        <v>0</v>
      </c>
      <c r="O518" s="12">
        <f t="shared" si="196"/>
        <v>0</v>
      </c>
      <c r="P518" s="12">
        <f t="shared" si="197"/>
        <v>0</v>
      </c>
      <c r="Q518" s="12">
        <f t="shared" si="198"/>
        <v>0</v>
      </c>
      <c r="R518" s="12">
        <f t="shared" si="199"/>
        <v>0</v>
      </c>
    </row>
    <row r="519" spans="1:18" x14ac:dyDescent="0.25">
      <c r="A519" s="26"/>
      <c r="B519" s="25" t="s">
        <v>177</v>
      </c>
      <c r="C519" s="15">
        <v>8</v>
      </c>
      <c r="D519" s="16">
        <v>400</v>
      </c>
      <c r="E519" s="15">
        <v>2</v>
      </c>
      <c r="F519" s="11">
        <v>5</v>
      </c>
      <c r="G519" s="11">
        <f t="shared" si="290"/>
        <v>7</v>
      </c>
      <c r="H519" s="12"/>
      <c r="I519" s="12">
        <f>0.18+(20*C519/1000)</f>
        <v>0.33999999999999997</v>
      </c>
      <c r="J519" s="22"/>
      <c r="K519" s="22"/>
      <c r="L519" s="12">
        <f t="shared" ref="L519" si="291">SUM(H519:J519)+K519</f>
        <v>0.33999999999999997</v>
      </c>
      <c r="M519" s="12">
        <f t="shared" si="269"/>
        <v>23.8</v>
      </c>
      <c r="N519" s="12">
        <f t="shared" si="195"/>
        <v>0</v>
      </c>
      <c r="O519" s="12">
        <f t="shared" si="196"/>
        <v>0</v>
      </c>
      <c r="P519" s="12">
        <f t="shared" si="197"/>
        <v>0</v>
      </c>
      <c r="Q519" s="12">
        <f t="shared" si="198"/>
        <v>0</v>
      </c>
      <c r="R519" s="12">
        <f t="shared" si="199"/>
        <v>0</v>
      </c>
    </row>
    <row r="520" spans="1:18" x14ac:dyDescent="0.25">
      <c r="A520" s="26"/>
      <c r="B520" s="45" t="s">
        <v>203</v>
      </c>
      <c r="C520" s="15">
        <v>16</v>
      </c>
      <c r="D520" s="16"/>
      <c r="E520" s="15">
        <v>2</v>
      </c>
      <c r="F520" s="11">
        <v>1</v>
      </c>
      <c r="G520" s="11">
        <v>16</v>
      </c>
      <c r="H520" s="12"/>
      <c r="I520" s="12">
        <f t="shared" ref="I520:I522" si="292">106.2-103.25</f>
        <v>2.9500000000000028</v>
      </c>
      <c r="J520" s="22"/>
      <c r="K520" s="22">
        <f t="shared" ref="K520:K522" si="293">0.5*40*C520/1000</f>
        <v>0.32</v>
      </c>
      <c r="L520" s="12">
        <f t="shared" ref="L520:L526" si="294">SUM(H520:J520)+K520</f>
        <v>3.2700000000000027</v>
      </c>
      <c r="M520" s="12">
        <f t="shared" si="269"/>
        <v>0</v>
      </c>
      <c r="N520" s="12">
        <f t="shared" si="195"/>
        <v>0</v>
      </c>
      <c r="O520" s="12">
        <f t="shared" si="196"/>
        <v>0</v>
      </c>
      <c r="P520" s="12">
        <f t="shared" si="197"/>
        <v>104.64</v>
      </c>
      <c r="Q520" s="12">
        <f t="shared" si="198"/>
        <v>0</v>
      </c>
      <c r="R520" s="12">
        <f t="shared" si="199"/>
        <v>0</v>
      </c>
    </row>
    <row r="521" spans="1:18" x14ac:dyDescent="0.25">
      <c r="A521" s="26"/>
      <c r="B521" s="45"/>
      <c r="C521" s="15">
        <v>12</v>
      </c>
      <c r="D521" s="16"/>
      <c r="E521" s="15">
        <v>2</v>
      </c>
      <c r="F521" s="11">
        <v>1</v>
      </c>
      <c r="G521" s="11">
        <v>24</v>
      </c>
      <c r="H521" s="12"/>
      <c r="I521" s="12">
        <f t="shared" si="292"/>
        <v>2.9500000000000028</v>
      </c>
      <c r="J521" s="22"/>
      <c r="K521" s="22">
        <f t="shared" si="293"/>
        <v>0.24</v>
      </c>
      <c r="L521" s="12">
        <f t="shared" si="294"/>
        <v>3.1900000000000031</v>
      </c>
      <c r="M521" s="12">
        <f t="shared" si="269"/>
        <v>0</v>
      </c>
      <c r="N521" s="12">
        <f t="shared" si="195"/>
        <v>0</v>
      </c>
      <c r="O521" s="12">
        <f t="shared" si="196"/>
        <v>153.12</v>
      </c>
      <c r="P521" s="12">
        <f t="shared" si="197"/>
        <v>0</v>
      </c>
      <c r="Q521" s="12">
        <f t="shared" si="198"/>
        <v>0</v>
      </c>
      <c r="R521" s="12">
        <f t="shared" si="199"/>
        <v>0</v>
      </c>
    </row>
    <row r="522" spans="1:18" x14ac:dyDescent="0.25">
      <c r="A522" s="26"/>
      <c r="B522" s="45"/>
      <c r="C522" s="15">
        <v>10</v>
      </c>
      <c r="D522" s="16"/>
      <c r="E522" s="15">
        <v>2</v>
      </c>
      <c r="F522" s="11">
        <v>1</v>
      </c>
      <c r="G522" s="11">
        <v>20</v>
      </c>
      <c r="H522" s="12"/>
      <c r="I522" s="12">
        <f t="shared" si="292"/>
        <v>2.9500000000000028</v>
      </c>
      <c r="J522" s="22"/>
      <c r="K522" s="22">
        <f t="shared" si="293"/>
        <v>0.2</v>
      </c>
      <c r="L522" s="12">
        <f t="shared" si="294"/>
        <v>3.150000000000003</v>
      </c>
      <c r="M522" s="12">
        <f t="shared" si="269"/>
        <v>0</v>
      </c>
      <c r="N522" s="12">
        <f t="shared" si="195"/>
        <v>126</v>
      </c>
      <c r="O522" s="12">
        <f t="shared" si="196"/>
        <v>0</v>
      </c>
      <c r="P522" s="12">
        <f t="shared" si="197"/>
        <v>0</v>
      </c>
      <c r="Q522" s="12">
        <f t="shared" si="198"/>
        <v>0</v>
      </c>
      <c r="R522" s="12">
        <f t="shared" si="199"/>
        <v>0</v>
      </c>
    </row>
    <row r="523" spans="1:18" x14ac:dyDescent="0.25">
      <c r="A523" s="26"/>
      <c r="B523" s="25" t="s">
        <v>172</v>
      </c>
      <c r="C523" s="15"/>
      <c r="D523" s="16"/>
      <c r="E523" s="15"/>
      <c r="F523" s="11"/>
      <c r="G523" s="11"/>
      <c r="H523" s="12"/>
      <c r="I523" s="12"/>
      <c r="J523" s="22"/>
      <c r="K523" s="22"/>
      <c r="L523" s="12">
        <f t="shared" si="294"/>
        <v>0</v>
      </c>
      <c r="M523" s="12">
        <f t="shared" si="269"/>
        <v>0</v>
      </c>
      <c r="N523" s="12">
        <f t="shared" si="195"/>
        <v>0</v>
      </c>
      <c r="O523" s="12">
        <f t="shared" si="196"/>
        <v>0</v>
      </c>
      <c r="P523" s="12">
        <f t="shared" si="197"/>
        <v>0</v>
      </c>
      <c r="Q523" s="12">
        <f t="shared" si="198"/>
        <v>0</v>
      </c>
      <c r="R523" s="12">
        <f t="shared" si="199"/>
        <v>0</v>
      </c>
    </row>
    <row r="524" spans="1:18" x14ac:dyDescent="0.25">
      <c r="A524" s="26"/>
      <c r="B524" s="25" t="s">
        <v>204</v>
      </c>
      <c r="C524" s="15">
        <v>8</v>
      </c>
      <c r="D524" s="16">
        <v>100</v>
      </c>
      <c r="E524" s="15">
        <v>2</v>
      </c>
      <c r="F524" s="11">
        <v>2</v>
      </c>
      <c r="G524" s="11">
        <f t="shared" ref="G524:G527" si="295">+ROUND(2450/D524+1,0)</f>
        <v>26</v>
      </c>
      <c r="H524" s="12"/>
      <c r="I524" s="12">
        <f>2*(0.18+0.983)+24*C524/1000</f>
        <v>2.5180000000000002</v>
      </c>
      <c r="J524" s="22"/>
      <c r="K524" s="22"/>
      <c r="L524" s="12">
        <f t="shared" si="294"/>
        <v>2.5180000000000002</v>
      </c>
      <c r="M524" s="12">
        <f t="shared" si="269"/>
        <v>261.87</v>
      </c>
      <c r="N524" s="12">
        <f t="shared" si="195"/>
        <v>0</v>
      </c>
      <c r="O524" s="12">
        <f t="shared" si="196"/>
        <v>0</v>
      </c>
      <c r="P524" s="12">
        <f t="shared" si="197"/>
        <v>0</v>
      </c>
      <c r="Q524" s="12">
        <f t="shared" si="198"/>
        <v>0</v>
      </c>
      <c r="R524" s="12">
        <f t="shared" si="199"/>
        <v>0</v>
      </c>
    </row>
    <row r="525" spans="1:18" x14ac:dyDescent="0.25">
      <c r="A525" s="26"/>
      <c r="B525" s="25" t="s">
        <v>205</v>
      </c>
      <c r="C525" s="15">
        <v>8</v>
      </c>
      <c r="D525" s="16">
        <v>100</v>
      </c>
      <c r="E525" s="15">
        <v>2</v>
      </c>
      <c r="F525" s="11">
        <f>4*2</f>
        <v>8</v>
      </c>
      <c r="G525" s="11">
        <f t="shared" si="295"/>
        <v>26</v>
      </c>
      <c r="H525" s="12"/>
      <c r="I525" s="12">
        <f>2*(0.18+0.124)+24*C525/1000</f>
        <v>0.8</v>
      </c>
      <c r="J525" s="22"/>
      <c r="K525" s="22"/>
      <c r="L525" s="12">
        <f t="shared" si="294"/>
        <v>0.8</v>
      </c>
      <c r="M525" s="12">
        <f t="shared" si="269"/>
        <v>332.8</v>
      </c>
      <c r="N525" s="12">
        <f t="shared" si="195"/>
        <v>0</v>
      </c>
      <c r="O525" s="12">
        <f t="shared" si="196"/>
        <v>0</v>
      </c>
      <c r="P525" s="12">
        <f t="shared" si="197"/>
        <v>0</v>
      </c>
      <c r="Q525" s="12">
        <f t="shared" si="198"/>
        <v>0</v>
      </c>
      <c r="R525" s="12">
        <f t="shared" si="199"/>
        <v>0</v>
      </c>
    </row>
    <row r="526" spans="1:18" x14ac:dyDescent="0.25">
      <c r="A526" s="26"/>
      <c r="B526" s="25" t="s">
        <v>206</v>
      </c>
      <c r="C526" s="15">
        <v>8</v>
      </c>
      <c r="D526" s="16">
        <v>200</v>
      </c>
      <c r="E526" s="15">
        <v>2</v>
      </c>
      <c r="F526" s="11">
        <v>1</v>
      </c>
      <c r="G526" s="11">
        <f t="shared" si="295"/>
        <v>13</v>
      </c>
      <c r="H526" s="12"/>
      <c r="I526" s="12">
        <f>2*(0.18+2.081)+24*C526/1000</f>
        <v>4.7140000000000004</v>
      </c>
      <c r="J526" s="22"/>
      <c r="K526" s="22"/>
      <c r="L526" s="12">
        <f t="shared" si="294"/>
        <v>4.7140000000000004</v>
      </c>
      <c r="M526" s="12">
        <f t="shared" si="269"/>
        <v>122.56</v>
      </c>
      <c r="N526" s="12">
        <f t="shared" si="195"/>
        <v>0</v>
      </c>
      <c r="O526" s="12">
        <f t="shared" si="196"/>
        <v>0</v>
      </c>
      <c r="P526" s="12">
        <f t="shared" si="197"/>
        <v>0</v>
      </c>
      <c r="Q526" s="12">
        <f t="shared" si="198"/>
        <v>0</v>
      </c>
      <c r="R526" s="12">
        <f t="shared" si="199"/>
        <v>0</v>
      </c>
    </row>
    <row r="527" spans="1:18" x14ac:dyDescent="0.25">
      <c r="A527" s="26"/>
      <c r="B527" s="25" t="s">
        <v>177</v>
      </c>
      <c r="C527" s="15">
        <v>8</v>
      </c>
      <c r="D527" s="16">
        <v>400</v>
      </c>
      <c r="E527" s="15">
        <v>2</v>
      </c>
      <c r="F527" s="11">
        <v>5</v>
      </c>
      <c r="G527" s="11">
        <f t="shared" si="295"/>
        <v>7</v>
      </c>
      <c r="H527" s="12"/>
      <c r="I527" s="12">
        <f>0.18+(20*C527/1000)</f>
        <v>0.33999999999999997</v>
      </c>
      <c r="J527" s="22"/>
      <c r="K527" s="22"/>
      <c r="L527" s="12">
        <f t="shared" ref="L527" si="296">SUM(H527:J527)+K527</f>
        <v>0.33999999999999997</v>
      </c>
      <c r="M527" s="12">
        <f t="shared" si="269"/>
        <v>23.8</v>
      </c>
      <c r="N527" s="12">
        <f t="shared" si="195"/>
        <v>0</v>
      </c>
      <c r="O527" s="12">
        <f t="shared" si="196"/>
        <v>0</v>
      </c>
      <c r="P527" s="12">
        <f t="shared" si="197"/>
        <v>0</v>
      </c>
      <c r="Q527" s="12">
        <f t="shared" si="198"/>
        <v>0</v>
      </c>
      <c r="R527" s="12">
        <f t="shared" si="199"/>
        <v>0</v>
      </c>
    </row>
    <row r="528" spans="1:18" x14ac:dyDescent="0.25">
      <c r="A528" s="26"/>
      <c r="B528" s="45" t="s">
        <v>207</v>
      </c>
      <c r="C528" s="15">
        <v>16</v>
      </c>
      <c r="D528" s="16"/>
      <c r="E528" s="15">
        <v>2</v>
      </c>
      <c r="F528" s="11">
        <v>1</v>
      </c>
      <c r="G528" s="11">
        <v>8</v>
      </c>
      <c r="H528" s="12"/>
      <c r="I528" s="12">
        <f t="shared" ref="I528:I530" si="297">106.2-103.25</f>
        <v>2.9500000000000028</v>
      </c>
      <c r="J528" s="22"/>
      <c r="K528" s="22">
        <f t="shared" ref="K528:K530" si="298">0.5*40*C528/1000</f>
        <v>0.32</v>
      </c>
      <c r="L528" s="12">
        <f t="shared" ref="L528:L545" si="299">SUM(H528:J528)+K528</f>
        <v>3.2700000000000027</v>
      </c>
      <c r="M528" s="12">
        <f t="shared" si="269"/>
        <v>0</v>
      </c>
      <c r="N528" s="12">
        <f t="shared" si="195"/>
        <v>0</v>
      </c>
      <c r="O528" s="12">
        <f t="shared" si="196"/>
        <v>0</v>
      </c>
      <c r="P528" s="12">
        <f t="shared" si="197"/>
        <v>52.32</v>
      </c>
      <c r="Q528" s="12">
        <f t="shared" si="198"/>
        <v>0</v>
      </c>
      <c r="R528" s="12">
        <f t="shared" si="199"/>
        <v>0</v>
      </c>
    </row>
    <row r="529" spans="1:18" x14ac:dyDescent="0.25">
      <c r="A529" s="26"/>
      <c r="B529" s="25"/>
      <c r="C529" s="15">
        <v>12</v>
      </c>
      <c r="D529" s="16"/>
      <c r="E529" s="15">
        <v>2</v>
      </c>
      <c r="F529" s="11">
        <v>1</v>
      </c>
      <c r="G529" s="11">
        <v>16</v>
      </c>
      <c r="H529" s="12"/>
      <c r="I529" s="12">
        <f t="shared" si="297"/>
        <v>2.9500000000000028</v>
      </c>
      <c r="J529" s="22"/>
      <c r="K529" s="22">
        <f t="shared" si="298"/>
        <v>0.24</v>
      </c>
      <c r="L529" s="12">
        <f t="shared" si="299"/>
        <v>3.1900000000000031</v>
      </c>
      <c r="M529" s="12">
        <f t="shared" si="269"/>
        <v>0</v>
      </c>
      <c r="N529" s="12">
        <f t="shared" si="195"/>
        <v>0</v>
      </c>
      <c r="O529" s="12">
        <f t="shared" si="196"/>
        <v>102.08</v>
      </c>
      <c r="P529" s="12">
        <f t="shared" si="197"/>
        <v>0</v>
      </c>
      <c r="Q529" s="12">
        <f t="shared" si="198"/>
        <v>0</v>
      </c>
      <c r="R529" s="12">
        <f t="shared" si="199"/>
        <v>0</v>
      </c>
    </row>
    <row r="530" spans="1:18" x14ac:dyDescent="0.25">
      <c r="A530" s="26"/>
      <c r="B530" s="25"/>
      <c r="C530" s="15">
        <v>10</v>
      </c>
      <c r="D530" s="16"/>
      <c r="E530" s="15">
        <v>2</v>
      </c>
      <c r="F530" s="11">
        <v>1</v>
      </c>
      <c r="G530" s="11">
        <v>6</v>
      </c>
      <c r="H530" s="12"/>
      <c r="I530" s="12">
        <f t="shared" si="297"/>
        <v>2.9500000000000028</v>
      </c>
      <c r="J530" s="22"/>
      <c r="K530" s="22">
        <f t="shared" si="298"/>
        <v>0.2</v>
      </c>
      <c r="L530" s="12">
        <f t="shared" si="299"/>
        <v>3.150000000000003</v>
      </c>
      <c r="M530" s="12">
        <f t="shared" si="269"/>
        <v>0</v>
      </c>
      <c r="N530" s="12">
        <f t="shared" si="195"/>
        <v>37.799999999999997</v>
      </c>
      <c r="O530" s="12">
        <f t="shared" si="196"/>
        <v>0</v>
      </c>
      <c r="P530" s="12">
        <f t="shared" si="197"/>
        <v>0</v>
      </c>
      <c r="Q530" s="12">
        <f t="shared" si="198"/>
        <v>0</v>
      </c>
      <c r="R530" s="12">
        <f t="shared" si="199"/>
        <v>0</v>
      </c>
    </row>
    <row r="531" spans="1:18" x14ac:dyDescent="0.25">
      <c r="A531" s="26"/>
      <c r="B531" s="25" t="s">
        <v>172</v>
      </c>
      <c r="C531" s="15"/>
      <c r="D531" s="16"/>
      <c r="E531" s="15"/>
      <c r="F531" s="11"/>
      <c r="G531" s="11"/>
      <c r="H531" s="12"/>
      <c r="I531" s="12"/>
      <c r="J531" s="22"/>
      <c r="K531" s="22"/>
      <c r="L531" s="12">
        <f t="shared" si="299"/>
        <v>0</v>
      </c>
      <c r="M531" s="12">
        <f t="shared" si="269"/>
        <v>0</v>
      </c>
      <c r="N531" s="12">
        <f t="shared" si="195"/>
        <v>0</v>
      </c>
      <c r="O531" s="12">
        <f t="shared" si="196"/>
        <v>0</v>
      </c>
      <c r="P531" s="12">
        <f t="shared" si="197"/>
        <v>0</v>
      </c>
      <c r="Q531" s="12">
        <f t="shared" si="198"/>
        <v>0</v>
      </c>
      <c r="R531" s="12">
        <f t="shared" si="199"/>
        <v>0</v>
      </c>
    </row>
    <row r="532" spans="1:18" x14ac:dyDescent="0.25">
      <c r="A532" s="26"/>
      <c r="B532" s="25" t="s">
        <v>188</v>
      </c>
      <c r="C532" s="15">
        <v>8</v>
      </c>
      <c r="D532" s="16">
        <v>100</v>
      </c>
      <c r="E532" s="15">
        <v>2</v>
      </c>
      <c r="F532" s="11">
        <v>1</v>
      </c>
      <c r="G532" s="11">
        <f t="shared" ref="G532:G539" si="300">+ROUND(2450/D532+1,0)</f>
        <v>26</v>
      </c>
      <c r="H532" s="12"/>
      <c r="I532" s="12">
        <f>2*(0.18+0.6)+24*C532/1000</f>
        <v>1.752</v>
      </c>
      <c r="J532" s="22"/>
      <c r="K532" s="22"/>
      <c r="L532" s="12">
        <f t="shared" si="299"/>
        <v>1.752</v>
      </c>
      <c r="M532" s="12">
        <f t="shared" si="269"/>
        <v>91.1</v>
      </c>
      <c r="N532" s="12">
        <f t="shared" si="195"/>
        <v>0</v>
      </c>
      <c r="O532" s="12">
        <f t="shared" si="196"/>
        <v>0</v>
      </c>
      <c r="P532" s="12">
        <f t="shared" si="197"/>
        <v>0</v>
      </c>
      <c r="Q532" s="12">
        <f t="shared" si="198"/>
        <v>0</v>
      </c>
      <c r="R532" s="12">
        <f t="shared" si="199"/>
        <v>0</v>
      </c>
    </row>
    <row r="533" spans="1:18" x14ac:dyDescent="0.25">
      <c r="A533" s="26"/>
      <c r="B533" s="25" t="s">
        <v>174</v>
      </c>
      <c r="C533" s="15">
        <v>8</v>
      </c>
      <c r="D533" s="16">
        <v>100</v>
      </c>
      <c r="E533" s="15">
        <v>2</v>
      </c>
      <c r="F533" s="11">
        <v>1</v>
      </c>
      <c r="G533" s="11">
        <f t="shared" si="300"/>
        <v>26</v>
      </c>
      <c r="H533" s="12"/>
      <c r="I533" s="12">
        <f>2*(0.18+0.248)+24*C533/1000</f>
        <v>1.048</v>
      </c>
      <c r="J533" s="22"/>
      <c r="K533" s="22"/>
      <c r="L533" s="12">
        <f t="shared" si="299"/>
        <v>1.048</v>
      </c>
      <c r="M533" s="12">
        <f t="shared" si="269"/>
        <v>54.5</v>
      </c>
      <c r="N533" s="12">
        <f t="shared" si="195"/>
        <v>0</v>
      </c>
      <c r="O533" s="12">
        <f t="shared" si="196"/>
        <v>0</v>
      </c>
      <c r="P533" s="12">
        <f t="shared" si="197"/>
        <v>0</v>
      </c>
      <c r="Q533" s="12">
        <f t="shared" si="198"/>
        <v>0</v>
      </c>
      <c r="R533" s="12">
        <f t="shared" si="199"/>
        <v>0</v>
      </c>
    </row>
    <row r="534" spans="1:18" x14ac:dyDescent="0.25">
      <c r="A534" s="26"/>
      <c r="B534" s="25" t="s">
        <v>173</v>
      </c>
      <c r="C534" s="15">
        <v>8</v>
      </c>
      <c r="D534" s="16">
        <v>100</v>
      </c>
      <c r="E534" s="15">
        <v>2</v>
      </c>
      <c r="F534" s="11">
        <v>1</v>
      </c>
      <c r="G534" s="11">
        <f t="shared" si="300"/>
        <v>26</v>
      </c>
      <c r="H534" s="12"/>
      <c r="I534" s="12">
        <f>0.18+(20*C534/1000)</f>
        <v>0.33999999999999997</v>
      </c>
      <c r="J534" s="22"/>
      <c r="K534" s="22"/>
      <c r="L534" s="12">
        <f t="shared" si="299"/>
        <v>0.33999999999999997</v>
      </c>
      <c r="M534" s="12">
        <f t="shared" si="269"/>
        <v>17.68</v>
      </c>
      <c r="N534" s="12">
        <f t="shared" si="195"/>
        <v>0</v>
      </c>
      <c r="O534" s="12">
        <f t="shared" si="196"/>
        <v>0</v>
      </c>
      <c r="P534" s="12">
        <f t="shared" si="197"/>
        <v>0</v>
      </c>
      <c r="Q534" s="12">
        <f t="shared" si="198"/>
        <v>0</v>
      </c>
      <c r="R534" s="12">
        <f t="shared" si="199"/>
        <v>0</v>
      </c>
    </row>
    <row r="535" spans="1:18" x14ac:dyDescent="0.25">
      <c r="A535" s="26"/>
      <c r="B535" s="25" t="s">
        <v>189</v>
      </c>
      <c r="C535" s="15">
        <v>8</v>
      </c>
      <c r="D535" s="16">
        <v>100</v>
      </c>
      <c r="E535" s="15">
        <v>2</v>
      </c>
      <c r="F535" s="11">
        <v>2</v>
      </c>
      <c r="G535" s="11">
        <f t="shared" si="300"/>
        <v>26</v>
      </c>
      <c r="H535" s="12"/>
      <c r="I535" s="12">
        <f>2*(0.18+0.385)+24*C535/1000</f>
        <v>1.3219999999999998</v>
      </c>
      <c r="J535" s="22"/>
      <c r="K535" s="22"/>
      <c r="L535" s="12">
        <f t="shared" si="299"/>
        <v>1.3219999999999998</v>
      </c>
      <c r="M535" s="12">
        <f t="shared" si="269"/>
        <v>137.49</v>
      </c>
      <c r="N535" s="12">
        <f t="shared" si="195"/>
        <v>0</v>
      </c>
      <c r="O535" s="12">
        <f t="shared" si="196"/>
        <v>0</v>
      </c>
      <c r="P535" s="12">
        <f t="shared" si="197"/>
        <v>0</v>
      </c>
      <c r="Q535" s="12">
        <f t="shared" si="198"/>
        <v>0</v>
      </c>
      <c r="R535" s="12">
        <f t="shared" si="199"/>
        <v>0</v>
      </c>
    </row>
    <row r="536" spans="1:18" x14ac:dyDescent="0.25">
      <c r="A536" s="26"/>
      <c r="B536" s="25" t="s">
        <v>175</v>
      </c>
      <c r="C536" s="15">
        <v>8</v>
      </c>
      <c r="D536" s="16">
        <v>100</v>
      </c>
      <c r="E536" s="15">
        <v>2</v>
      </c>
      <c r="F536" s="11">
        <v>1</v>
      </c>
      <c r="G536" s="11">
        <f t="shared" si="300"/>
        <v>26</v>
      </c>
      <c r="H536" s="12"/>
      <c r="I536" s="12">
        <f>2*(0.18+0.268)+24*C536/1000</f>
        <v>1.0880000000000001</v>
      </c>
      <c r="J536" s="22"/>
      <c r="K536" s="22"/>
      <c r="L536" s="12">
        <f t="shared" si="299"/>
        <v>1.0880000000000001</v>
      </c>
      <c r="M536" s="12">
        <f t="shared" si="269"/>
        <v>56.58</v>
      </c>
      <c r="N536" s="12">
        <f t="shared" si="195"/>
        <v>0</v>
      </c>
      <c r="O536" s="12">
        <f t="shared" si="196"/>
        <v>0</v>
      </c>
      <c r="P536" s="12">
        <f t="shared" si="197"/>
        <v>0</v>
      </c>
      <c r="Q536" s="12">
        <f t="shared" si="198"/>
        <v>0</v>
      </c>
      <c r="R536" s="12">
        <f t="shared" si="199"/>
        <v>0</v>
      </c>
    </row>
    <row r="537" spans="1:18" x14ac:dyDescent="0.25">
      <c r="A537" s="26"/>
      <c r="B537" s="25" t="s">
        <v>173</v>
      </c>
      <c r="C537" s="15">
        <v>8</v>
      </c>
      <c r="D537" s="16">
        <v>100</v>
      </c>
      <c r="E537" s="15">
        <v>2</v>
      </c>
      <c r="F537" s="11">
        <v>1</v>
      </c>
      <c r="G537" s="11">
        <f t="shared" si="300"/>
        <v>26</v>
      </c>
      <c r="H537" s="12"/>
      <c r="I537" s="12">
        <f>0.18+(20*C537/1000)</f>
        <v>0.33999999999999997</v>
      </c>
      <c r="J537" s="22"/>
      <c r="K537" s="22"/>
      <c r="L537" s="12">
        <f t="shared" si="299"/>
        <v>0.33999999999999997</v>
      </c>
      <c r="M537" s="12">
        <f t="shared" si="269"/>
        <v>17.68</v>
      </c>
      <c r="N537" s="12">
        <f t="shared" si="195"/>
        <v>0</v>
      </c>
      <c r="O537" s="12">
        <f t="shared" si="196"/>
        <v>0</v>
      </c>
      <c r="P537" s="12">
        <f t="shared" si="197"/>
        <v>0</v>
      </c>
      <c r="Q537" s="12">
        <f t="shared" si="198"/>
        <v>0</v>
      </c>
      <c r="R537" s="12">
        <f t="shared" si="199"/>
        <v>0</v>
      </c>
    </row>
    <row r="538" spans="1:18" x14ac:dyDescent="0.25">
      <c r="A538" s="26"/>
      <c r="B538" s="25" t="s">
        <v>208</v>
      </c>
      <c r="C538" s="15">
        <v>8</v>
      </c>
      <c r="D538" s="16">
        <v>200</v>
      </c>
      <c r="E538" s="15">
        <v>2</v>
      </c>
      <c r="F538" s="11">
        <v>1</v>
      </c>
      <c r="G538" s="11">
        <f t="shared" si="300"/>
        <v>13</v>
      </c>
      <c r="H538" s="12"/>
      <c r="I538" s="12">
        <f>2*(0.18+0.751)+24*C538/1000</f>
        <v>2.0540000000000003</v>
      </c>
      <c r="J538" s="22"/>
      <c r="K538" s="22"/>
      <c r="L538" s="12">
        <f t="shared" si="299"/>
        <v>2.0540000000000003</v>
      </c>
      <c r="M538" s="12">
        <f t="shared" si="269"/>
        <v>53.4</v>
      </c>
      <c r="N538" s="12">
        <f t="shared" si="195"/>
        <v>0</v>
      </c>
      <c r="O538" s="12">
        <f t="shared" si="196"/>
        <v>0</v>
      </c>
      <c r="P538" s="12">
        <f t="shared" si="197"/>
        <v>0</v>
      </c>
      <c r="Q538" s="12">
        <f t="shared" si="198"/>
        <v>0</v>
      </c>
      <c r="R538" s="12">
        <f t="shared" si="199"/>
        <v>0</v>
      </c>
    </row>
    <row r="539" spans="1:18" x14ac:dyDescent="0.25">
      <c r="A539" s="26"/>
      <c r="B539" s="25" t="s">
        <v>177</v>
      </c>
      <c r="C539" s="15">
        <v>8</v>
      </c>
      <c r="D539" s="16">
        <v>400</v>
      </c>
      <c r="E539" s="15">
        <v>2</v>
      </c>
      <c r="F539" s="11">
        <v>1</v>
      </c>
      <c r="G539" s="11">
        <f t="shared" si="300"/>
        <v>7</v>
      </c>
      <c r="H539" s="12"/>
      <c r="I539" s="12">
        <f>0.18+(20*C539/1000)</f>
        <v>0.33999999999999997</v>
      </c>
      <c r="J539" s="22"/>
      <c r="K539" s="22"/>
      <c r="L539" s="12">
        <f t="shared" si="299"/>
        <v>0.33999999999999997</v>
      </c>
      <c r="M539" s="12">
        <f t="shared" si="269"/>
        <v>4.76</v>
      </c>
      <c r="N539" s="12">
        <f t="shared" si="195"/>
        <v>0</v>
      </c>
      <c r="O539" s="12">
        <f t="shared" si="196"/>
        <v>0</v>
      </c>
      <c r="P539" s="12">
        <f t="shared" si="197"/>
        <v>0</v>
      </c>
      <c r="Q539" s="12">
        <f t="shared" si="198"/>
        <v>0</v>
      </c>
      <c r="R539" s="12">
        <f t="shared" si="199"/>
        <v>0</v>
      </c>
    </row>
    <row r="540" spans="1:18" x14ac:dyDescent="0.25">
      <c r="A540" s="26"/>
      <c r="B540" s="45" t="s">
        <v>209</v>
      </c>
      <c r="C540" s="15">
        <v>16</v>
      </c>
      <c r="D540" s="16"/>
      <c r="E540" s="15">
        <v>2</v>
      </c>
      <c r="F540" s="11">
        <v>1</v>
      </c>
      <c r="G540" s="11">
        <v>8</v>
      </c>
      <c r="H540" s="12"/>
      <c r="I540" s="12">
        <f t="shared" ref="I540:I542" si="301">106.2-103.25</f>
        <v>2.9500000000000028</v>
      </c>
      <c r="J540" s="22"/>
      <c r="K540" s="22">
        <f t="shared" ref="K540:K542" si="302">0.5*40*C540/1000</f>
        <v>0.32</v>
      </c>
      <c r="L540" s="12">
        <f t="shared" si="299"/>
        <v>3.2700000000000027</v>
      </c>
      <c r="M540" s="12">
        <f t="shared" si="269"/>
        <v>0</v>
      </c>
      <c r="N540" s="12">
        <f t="shared" si="195"/>
        <v>0</v>
      </c>
      <c r="O540" s="12">
        <f t="shared" si="196"/>
        <v>0</v>
      </c>
      <c r="P540" s="12">
        <f t="shared" si="197"/>
        <v>52.32</v>
      </c>
      <c r="Q540" s="12">
        <f t="shared" si="198"/>
        <v>0</v>
      </c>
      <c r="R540" s="12">
        <f t="shared" si="199"/>
        <v>0</v>
      </c>
    </row>
    <row r="541" spans="1:18" x14ac:dyDescent="0.25">
      <c r="A541" s="26"/>
      <c r="B541" s="45"/>
      <c r="C541" s="15">
        <v>12</v>
      </c>
      <c r="D541" s="16"/>
      <c r="E541" s="15">
        <v>2</v>
      </c>
      <c r="F541" s="11">
        <v>1</v>
      </c>
      <c r="G541" s="11">
        <v>16</v>
      </c>
      <c r="H541" s="12"/>
      <c r="I541" s="12">
        <f t="shared" si="301"/>
        <v>2.9500000000000028</v>
      </c>
      <c r="J541" s="22"/>
      <c r="K541" s="22">
        <f t="shared" si="302"/>
        <v>0.24</v>
      </c>
      <c r="L541" s="12">
        <f t="shared" si="299"/>
        <v>3.1900000000000031</v>
      </c>
      <c r="M541" s="12">
        <f t="shared" si="269"/>
        <v>0</v>
      </c>
      <c r="N541" s="12">
        <f t="shared" si="195"/>
        <v>0</v>
      </c>
      <c r="O541" s="12">
        <f t="shared" si="196"/>
        <v>102.08</v>
      </c>
      <c r="P541" s="12">
        <f t="shared" si="197"/>
        <v>0</v>
      </c>
      <c r="Q541" s="12">
        <f t="shared" si="198"/>
        <v>0</v>
      </c>
      <c r="R541" s="12">
        <f t="shared" si="199"/>
        <v>0</v>
      </c>
    </row>
    <row r="542" spans="1:18" x14ac:dyDescent="0.25">
      <c r="A542" s="26"/>
      <c r="B542" s="45"/>
      <c r="C542" s="15">
        <v>10</v>
      </c>
      <c r="D542" s="16"/>
      <c r="E542" s="15">
        <v>2</v>
      </c>
      <c r="F542" s="11">
        <v>1</v>
      </c>
      <c r="G542" s="11">
        <v>22</v>
      </c>
      <c r="H542" s="12"/>
      <c r="I542" s="12">
        <f t="shared" si="301"/>
        <v>2.9500000000000028</v>
      </c>
      <c r="J542" s="22"/>
      <c r="K542" s="22">
        <f t="shared" si="302"/>
        <v>0.2</v>
      </c>
      <c r="L542" s="12">
        <f t="shared" si="299"/>
        <v>3.150000000000003</v>
      </c>
      <c r="M542" s="12">
        <f t="shared" si="269"/>
        <v>0</v>
      </c>
      <c r="N542" s="12">
        <f t="shared" si="195"/>
        <v>138.6</v>
      </c>
      <c r="O542" s="12">
        <f t="shared" si="196"/>
        <v>0</v>
      </c>
      <c r="P542" s="12">
        <f t="shared" si="197"/>
        <v>0</v>
      </c>
      <c r="Q542" s="12">
        <f t="shared" si="198"/>
        <v>0</v>
      </c>
      <c r="R542" s="12">
        <f t="shared" si="199"/>
        <v>0</v>
      </c>
    </row>
    <row r="543" spans="1:18" x14ac:dyDescent="0.25">
      <c r="A543" s="26"/>
      <c r="B543" s="25" t="s">
        <v>172</v>
      </c>
      <c r="C543" s="15"/>
      <c r="D543" s="16"/>
      <c r="E543" s="15"/>
      <c r="F543" s="11"/>
      <c r="G543" s="11"/>
      <c r="H543" s="12"/>
      <c r="I543" s="12"/>
      <c r="J543" s="22"/>
      <c r="K543" s="22"/>
      <c r="L543" s="12">
        <f t="shared" si="299"/>
        <v>0</v>
      </c>
      <c r="M543" s="12">
        <f t="shared" si="269"/>
        <v>0</v>
      </c>
      <c r="N543" s="12">
        <f t="shared" si="195"/>
        <v>0</v>
      </c>
      <c r="O543" s="12">
        <f t="shared" si="196"/>
        <v>0</v>
      </c>
      <c r="P543" s="12">
        <f t="shared" si="197"/>
        <v>0</v>
      </c>
      <c r="Q543" s="12">
        <f t="shared" si="198"/>
        <v>0</v>
      </c>
      <c r="R543" s="12">
        <f t="shared" si="199"/>
        <v>0</v>
      </c>
    </row>
    <row r="544" spans="1:18" x14ac:dyDescent="0.25">
      <c r="A544" s="26"/>
      <c r="B544" s="25" t="s">
        <v>286</v>
      </c>
      <c r="C544" s="15">
        <v>8</v>
      </c>
      <c r="D544" s="16">
        <v>100</v>
      </c>
      <c r="E544" s="15">
        <v>2</v>
      </c>
      <c r="F544" s="11">
        <v>2</v>
      </c>
      <c r="G544" s="11">
        <f t="shared" ref="G544:G547" si="303">+ROUND(2450/D544+1,0)</f>
        <v>26</v>
      </c>
      <c r="H544" s="12"/>
      <c r="I544" s="12">
        <f>2*(0.14+0.583)+24*C544/1000</f>
        <v>1.6379999999999999</v>
      </c>
      <c r="J544" s="22"/>
      <c r="K544" s="22"/>
      <c r="L544" s="12">
        <f t="shared" si="299"/>
        <v>1.6379999999999999</v>
      </c>
      <c r="M544" s="12">
        <f t="shared" si="269"/>
        <v>170.35</v>
      </c>
      <c r="N544" s="12">
        <f t="shared" si="195"/>
        <v>0</v>
      </c>
      <c r="O544" s="12">
        <f t="shared" si="196"/>
        <v>0</v>
      </c>
      <c r="P544" s="12">
        <f t="shared" si="197"/>
        <v>0</v>
      </c>
      <c r="Q544" s="12">
        <f t="shared" si="198"/>
        <v>0</v>
      </c>
      <c r="R544" s="12">
        <f t="shared" si="199"/>
        <v>0</v>
      </c>
    </row>
    <row r="545" spans="1:19" x14ac:dyDescent="0.25">
      <c r="A545" s="26"/>
      <c r="B545" s="25" t="s">
        <v>287</v>
      </c>
      <c r="C545" s="15">
        <v>8</v>
      </c>
      <c r="D545" s="16">
        <v>100</v>
      </c>
      <c r="E545" s="15">
        <v>2</v>
      </c>
      <c r="F545" s="11">
        <f>2*2</f>
        <v>4</v>
      </c>
      <c r="G545" s="11">
        <f t="shared" si="303"/>
        <v>26</v>
      </c>
      <c r="H545" s="12"/>
      <c r="I545" s="12">
        <f>2*(0.14+0.133)+24*C545/1000</f>
        <v>0.73799999999999999</v>
      </c>
      <c r="J545" s="22"/>
      <c r="K545" s="22"/>
      <c r="L545" s="12">
        <f t="shared" si="299"/>
        <v>0.73799999999999999</v>
      </c>
      <c r="M545" s="12">
        <f t="shared" si="269"/>
        <v>153.5</v>
      </c>
      <c r="N545" s="12">
        <f t="shared" si="195"/>
        <v>0</v>
      </c>
      <c r="O545" s="12">
        <f t="shared" si="196"/>
        <v>0</v>
      </c>
      <c r="P545" s="12">
        <f t="shared" si="197"/>
        <v>0</v>
      </c>
      <c r="Q545" s="12">
        <f t="shared" si="198"/>
        <v>0</v>
      </c>
      <c r="R545" s="12">
        <f t="shared" si="199"/>
        <v>0</v>
      </c>
    </row>
    <row r="546" spans="1:19" x14ac:dyDescent="0.25">
      <c r="A546" s="26"/>
      <c r="B546" s="25" t="s">
        <v>288</v>
      </c>
      <c r="C546" s="15">
        <v>8</v>
      </c>
      <c r="D546" s="16">
        <v>200</v>
      </c>
      <c r="E546" s="15">
        <v>2</v>
      </c>
      <c r="F546" s="11">
        <v>1</v>
      </c>
      <c r="G546" s="11">
        <f t="shared" si="303"/>
        <v>13</v>
      </c>
      <c r="H546" s="12"/>
      <c r="I546" s="12">
        <f>2*(0.14+2.261)+24*C546/1000</f>
        <v>4.9940000000000007</v>
      </c>
      <c r="J546" s="22"/>
      <c r="K546" s="22"/>
      <c r="L546" s="12">
        <f t="shared" ref="L546:L547" si="304">SUM(H546:J546)+K546</f>
        <v>4.9940000000000007</v>
      </c>
      <c r="M546" s="12">
        <f t="shared" si="269"/>
        <v>129.84</v>
      </c>
      <c r="N546" s="12">
        <f t="shared" si="195"/>
        <v>0</v>
      </c>
      <c r="O546" s="12">
        <f t="shared" si="196"/>
        <v>0</v>
      </c>
      <c r="P546" s="12">
        <f t="shared" si="197"/>
        <v>0</v>
      </c>
      <c r="Q546" s="12">
        <f t="shared" si="198"/>
        <v>0</v>
      </c>
      <c r="R546" s="12">
        <f t="shared" si="199"/>
        <v>0</v>
      </c>
    </row>
    <row r="547" spans="1:19" x14ac:dyDescent="0.25">
      <c r="A547" s="26"/>
      <c r="B547" s="25" t="s">
        <v>177</v>
      </c>
      <c r="C547" s="15">
        <v>8</v>
      </c>
      <c r="D547" s="16">
        <v>400</v>
      </c>
      <c r="E547" s="15">
        <v>2</v>
      </c>
      <c r="F547" s="11">
        <v>5</v>
      </c>
      <c r="G547" s="11">
        <f t="shared" si="303"/>
        <v>7</v>
      </c>
      <c r="H547" s="12"/>
      <c r="I547" s="12">
        <f>0.14+(20*C547/1000)</f>
        <v>0.30000000000000004</v>
      </c>
      <c r="J547" s="22"/>
      <c r="K547" s="22"/>
      <c r="L547" s="12">
        <f t="shared" si="304"/>
        <v>0.30000000000000004</v>
      </c>
      <c r="M547" s="12">
        <f t="shared" si="269"/>
        <v>21</v>
      </c>
      <c r="N547" s="12">
        <f t="shared" si="195"/>
        <v>0</v>
      </c>
      <c r="O547" s="12">
        <f t="shared" si="196"/>
        <v>0</v>
      </c>
      <c r="P547" s="12">
        <f t="shared" si="197"/>
        <v>0</v>
      </c>
      <c r="Q547" s="12">
        <f t="shared" si="198"/>
        <v>0</v>
      </c>
      <c r="R547" s="12">
        <f t="shared" si="199"/>
        <v>0</v>
      </c>
    </row>
    <row r="548" spans="1:19" x14ac:dyDescent="0.25">
      <c r="A548" s="26"/>
      <c r="B548" s="25"/>
      <c r="C548" s="15"/>
      <c r="D548" s="16"/>
      <c r="E548" s="15"/>
      <c r="F548" s="11"/>
      <c r="G548" s="11"/>
      <c r="H548" s="12"/>
      <c r="I548" s="12"/>
      <c r="J548" s="22"/>
      <c r="K548" s="22"/>
      <c r="L548" s="12">
        <f t="shared" ref="L548" si="305">SUM(H548:J548)+K548</f>
        <v>0</v>
      </c>
      <c r="M548" s="12">
        <f t="shared" ref="M548" si="306">+ROUND(IF(C548=8,PRODUCT(E548,F548,G548,L548),0),2)</f>
        <v>0</v>
      </c>
      <c r="N548" s="12">
        <f t="shared" si="195"/>
        <v>0</v>
      </c>
      <c r="O548" s="12">
        <f t="shared" si="196"/>
        <v>0</v>
      </c>
      <c r="P548" s="12">
        <f t="shared" si="197"/>
        <v>0</v>
      </c>
      <c r="Q548" s="12">
        <f t="shared" si="198"/>
        <v>0</v>
      </c>
      <c r="R548" s="12">
        <f t="shared" si="199"/>
        <v>0</v>
      </c>
    </row>
    <row r="549" spans="1:19" x14ac:dyDescent="0.25">
      <c r="A549" s="32"/>
      <c r="B549" s="24" t="s">
        <v>220</v>
      </c>
      <c r="C549" s="33"/>
      <c r="D549" s="34"/>
      <c r="E549" s="33"/>
      <c r="F549" s="35"/>
      <c r="G549" s="35"/>
      <c r="H549" s="36"/>
      <c r="I549" s="36"/>
      <c r="J549" s="36"/>
      <c r="K549" s="36"/>
      <c r="L549" s="36"/>
      <c r="M549" s="37">
        <f>SUM(M368:M548)*0.395</f>
        <v>4286.6861499999986</v>
      </c>
      <c r="N549" s="37">
        <f>SUM(N368:N548)*0.617</f>
        <v>5423.1831999999995</v>
      </c>
      <c r="O549" s="37">
        <f>SUM(O368:O548)*0.889</f>
        <v>3788.7757599999995</v>
      </c>
      <c r="P549" s="37">
        <f>SUM(P368:P548)*1.58</f>
        <v>4939.2696000000024</v>
      </c>
      <c r="Q549" s="37">
        <f>SUM(Q368:Q548)*2.46</f>
        <v>1780.056</v>
      </c>
      <c r="R549" s="37">
        <f>SUM(R368:R548)*3.85</f>
        <v>212.52</v>
      </c>
      <c r="S549" s="50">
        <f>SUM(M549:R549)</f>
        <v>20430.490710000002</v>
      </c>
    </row>
    <row r="550" spans="1:19" x14ac:dyDescent="0.25">
      <c r="A550" s="26"/>
      <c r="B550" s="45" t="s">
        <v>223</v>
      </c>
      <c r="C550" s="15"/>
      <c r="D550" s="16"/>
      <c r="E550" s="15"/>
      <c r="F550" s="11"/>
      <c r="G550" s="11"/>
      <c r="H550" s="12"/>
      <c r="I550" s="12"/>
      <c r="J550" s="22"/>
      <c r="K550" s="47"/>
      <c r="L550" s="12"/>
      <c r="M550" s="12"/>
      <c r="N550" s="12"/>
      <c r="O550" s="12"/>
      <c r="P550" s="12"/>
      <c r="Q550" s="12"/>
      <c r="R550" s="12"/>
    </row>
    <row r="551" spans="1:19" x14ac:dyDescent="0.25">
      <c r="A551" s="26"/>
      <c r="B551" s="45" t="s">
        <v>162</v>
      </c>
      <c r="C551" s="15">
        <v>16</v>
      </c>
      <c r="D551" s="16"/>
      <c r="E551" s="15">
        <v>32</v>
      </c>
      <c r="F551" s="11">
        <v>1</v>
      </c>
      <c r="G551" s="11">
        <v>4</v>
      </c>
      <c r="H551" s="12"/>
      <c r="I551" s="12">
        <f>106.2-103.25</f>
        <v>2.9500000000000028</v>
      </c>
      <c r="J551" s="22"/>
      <c r="K551" s="22">
        <f>0.5*40*C551/1000</f>
        <v>0.32</v>
      </c>
      <c r="L551" s="12">
        <f>SUM(H551:J551)+K551</f>
        <v>3.2700000000000027</v>
      </c>
      <c r="M551" s="12">
        <f t="shared" ref="M551:M650" si="307">+ROUND(IF(C551=8,PRODUCT(E551,F551,G551,L551),0),2)</f>
        <v>0</v>
      </c>
      <c r="N551" s="12">
        <f t="shared" ref="N551:N735" si="308">+ROUND(IF(C551=10,PRODUCT(E551,F551,G551,L551),0),2)</f>
        <v>0</v>
      </c>
      <c r="O551" s="12">
        <f t="shared" ref="O551:O735" si="309">+ROUND(IF(C551=12,PRODUCT(E551,F551,G551,L551),0),2)</f>
        <v>0</v>
      </c>
      <c r="P551" s="12">
        <f t="shared" ref="P551:P735" si="310">+ROUND(IF(C551=16,PRODUCT(E551,F551,G551,L551),0),2)</f>
        <v>418.56</v>
      </c>
      <c r="Q551" s="12">
        <f t="shared" ref="Q551:Q735" si="311">+ROUND(IF(C551=20,PRODUCT(E551,F551,G551,L551),0),2)</f>
        <v>0</v>
      </c>
      <c r="R551" s="12">
        <f t="shared" ref="R551:R735" si="312">+ROUND(IF(C551=25,PRODUCT(E551,F551,G551,L551),0),2)</f>
        <v>0</v>
      </c>
    </row>
    <row r="552" spans="1:19" x14ac:dyDescent="0.25">
      <c r="A552" s="26"/>
      <c r="B552" s="25"/>
      <c r="C552" s="15">
        <v>12</v>
      </c>
      <c r="D552" s="16"/>
      <c r="E552" s="15">
        <f>+E551</f>
        <v>32</v>
      </c>
      <c r="F552" s="11">
        <v>1</v>
      </c>
      <c r="G552" s="11">
        <v>10</v>
      </c>
      <c r="H552" s="12"/>
      <c r="I552" s="12">
        <f>106.2-103.25</f>
        <v>2.9500000000000028</v>
      </c>
      <c r="J552" s="22"/>
      <c r="K552" s="22">
        <f>0.5*40*C552/1000</f>
        <v>0.24</v>
      </c>
      <c r="L552" s="12">
        <f t="shared" ref="L552:L579" si="313">SUM(H552:J552)+K552</f>
        <v>3.1900000000000031</v>
      </c>
      <c r="M552" s="12">
        <f t="shared" si="307"/>
        <v>0</v>
      </c>
      <c r="N552" s="12">
        <f t="shared" si="308"/>
        <v>0</v>
      </c>
      <c r="O552" s="12">
        <f t="shared" si="309"/>
        <v>1020.8</v>
      </c>
      <c r="P552" s="12">
        <f t="shared" si="310"/>
        <v>0</v>
      </c>
      <c r="Q552" s="12">
        <f t="shared" si="311"/>
        <v>0</v>
      </c>
      <c r="R552" s="12">
        <f t="shared" si="312"/>
        <v>0</v>
      </c>
    </row>
    <row r="553" spans="1:19" x14ac:dyDescent="0.25">
      <c r="A553" s="26"/>
      <c r="B553" s="25" t="s">
        <v>160</v>
      </c>
      <c r="C553" s="15">
        <v>10</v>
      </c>
      <c r="D553" s="16">
        <v>75</v>
      </c>
      <c r="E553" s="15">
        <f>+E552</f>
        <v>32</v>
      </c>
      <c r="F553" s="11">
        <v>2</v>
      </c>
      <c r="G553" s="11">
        <f>+ROUND(600/D553,0)</f>
        <v>8</v>
      </c>
      <c r="H553" s="12"/>
      <c r="I553" s="12">
        <f>2*(0.22+0.52)+24*0.01</f>
        <v>1.72</v>
      </c>
      <c r="J553" s="22"/>
      <c r="K553" s="22"/>
      <c r="L553" s="12">
        <f t="shared" si="313"/>
        <v>1.72</v>
      </c>
      <c r="M553" s="12">
        <f t="shared" si="307"/>
        <v>0</v>
      </c>
      <c r="N553" s="12">
        <f t="shared" si="308"/>
        <v>880.64</v>
      </c>
      <c r="O553" s="12">
        <f t="shared" si="309"/>
        <v>0</v>
      </c>
      <c r="P553" s="12">
        <f t="shared" si="310"/>
        <v>0</v>
      </c>
      <c r="Q553" s="12">
        <f t="shared" si="311"/>
        <v>0</v>
      </c>
      <c r="R553" s="12">
        <f t="shared" si="312"/>
        <v>0</v>
      </c>
    </row>
    <row r="554" spans="1:19" x14ac:dyDescent="0.25">
      <c r="A554" s="26"/>
      <c r="B554" s="25"/>
      <c r="C554" s="15">
        <v>10</v>
      </c>
      <c r="D554" s="16">
        <v>75</v>
      </c>
      <c r="E554" s="15">
        <f t="shared" ref="E554:E558" si="314">+E553</f>
        <v>32</v>
      </c>
      <c r="F554" s="11">
        <v>2</v>
      </c>
      <c r="G554" s="11">
        <f t="shared" ref="G554:G555" si="315">+ROUND(600/D554,0)</f>
        <v>8</v>
      </c>
      <c r="H554" s="12"/>
      <c r="I554" s="12">
        <f>2*(0.22+0.115)+24*0.01</f>
        <v>0.91</v>
      </c>
      <c r="J554" s="22"/>
      <c r="K554" s="22"/>
      <c r="L554" s="12">
        <f t="shared" si="313"/>
        <v>0.91</v>
      </c>
      <c r="M554" s="12">
        <f t="shared" si="307"/>
        <v>0</v>
      </c>
      <c r="N554" s="12">
        <f t="shared" si="308"/>
        <v>465.92</v>
      </c>
      <c r="O554" s="12">
        <f t="shared" si="309"/>
        <v>0</v>
      </c>
      <c r="P554" s="12">
        <f t="shared" si="310"/>
        <v>0</v>
      </c>
      <c r="Q554" s="12">
        <f t="shared" si="311"/>
        <v>0</v>
      </c>
      <c r="R554" s="12">
        <f t="shared" si="312"/>
        <v>0</v>
      </c>
    </row>
    <row r="555" spans="1:19" x14ac:dyDescent="0.25">
      <c r="A555" s="26"/>
      <c r="B555" s="25"/>
      <c r="C555" s="15">
        <v>10</v>
      </c>
      <c r="D555" s="16">
        <v>75</v>
      </c>
      <c r="E555" s="15">
        <f t="shared" si="314"/>
        <v>32</v>
      </c>
      <c r="F555" s="11">
        <f>2*2</f>
        <v>4</v>
      </c>
      <c r="G555" s="11">
        <f t="shared" si="315"/>
        <v>8</v>
      </c>
      <c r="H555" s="12"/>
      <c r="I555" s="12">
        <f>+(0.16+0.16+0.22)+0.24*0.01</f>
        <v>0.54239999999999999</v>
      </c>
      <c r="J555" s="22"/>
      <c r="K555" s="22"/>
      <c r="L555" s="12">
        <f t="shared" si="313"/>
        <v>0.54239999999999999</v>
      </c>
      <c r="M555" s="12">
        <f t="shared" si="307"/>
        <v>0</v>
      </c>
      <c r="N555" s="12">
        <f t="shared" si="308"/>
        <v>555.41999999999996</v>
      </c>
      <c r="O555" s="12">
        <f t="shared" si="309"/>
        <v>0</v>
      </c>
      <c r="P555" s="12">
        <f t="shared" si="310"/>
        <v>0</v>
      </c>
      <c r="Q555" s="12">
        <f t="shared" si="311"/>
        <v>0</v>
      </c>
      <c r="R555" s="12">
        <f t="shared" si="312"/>
        <v>0</v>
      </c>
    </row>
    <row r="556" spans="1:19" x14ac:dyDescent="0.25">
      <c r="A556" s="26"/>
      <c r="B556" s="25" t="s">
        <v>161</v>
      </c>
      <c r="C556" s="15">
        <v>8</v>
      </c>
      <c r="D556" s="16">
        <v>150</v>
      </c>
      <c r="E556" s="15">
        <f t="shared" si="314"/>
        <v>32</v>
      </c>
      <c r="F556" s="11">
        <v>1</v>
      </c>
      <c r="G556" s="11">
        <f>+ROUND(1250/D556+1,0)</f>
        <v>9</v>
      </c>
      <c r="H556" s="12"/>
      <c r="I556" s="12">
        <f>2*(0.22+0.52)+24*0.008</f>
        <v>1.6719999999999999</v>
      </c>
      <c r="J556" s="22"/>
      <c r="K556" s="22"/>
      <c r="L556" s="12">
        <f t="shared" si="313"/>
        <v>1.6719999999999999</v>
      </c>
      <c r="M556" s="12">
        <f t="shared" si="307"/>
        <v>481.54</v>
      </c>
      <c r="N556" s="12">
        <f t="shared" si="308"/>
        <v>0</v>
      </c>
      <c r="O556" s="12">
        <f t="shared" si="309"/>
        <v>0</v>
      </c>
      <c r="P556" s="12">
        <f t="shared" si="310"/>
        <v>0</v>
      </c>
      <c r="Q556" s="12">
        <f t="shared" si="311"/>
        <v>0</v>
      </c>
      <c r="R556" s="12">
        <f t="shared" si="312"/>
        <v>0</v>
      </c>
    </row>
    <row r="557" spans="1:19" x14ac:dyDescent="0.25">
      <c r="A557" s="26"/>
      <c r="B557" s="25"/>
      <c r="C557" s="15">
        <v>8</v>
      </c>
      <c r="D557" s="16">
        <v>150</v>
      </c>
      <c r="E557" s="15">
        <f t="shared" si="314"/>
        <v>32</v>
      </c>
      <c r="F557" s="11">
        <v>1</v>
      </c>
      <c r="G557" s="11">
        <f t="shared" ref="G557:G558" si="316">+ROUND(1250/D557+1,0)</f>
        <v>9</v>
      </c>
      <c r="H557" s="12"/>
      <c r="I557" s="12">
        <f>2*(0.22+0.115)+24*0.008</f>
        <v>0.8620000000000001</v>
      </c>
      <c r="J557" s="22"/>
      <c r="K557" s="22"/>
      <c r="L557" s="12">
        <f t="shared" si="313"/>
        <v>0.8620000000000001</v>
      </c>
      <c r="M557" s="12">
        <f t="shared" si="307"/>
        <v>248.26</v>
      </c>
      <c r="N557" s="12">
        <f t="shared" si="308"/>
        <v>0</v>
      </c>
      <c r="O557" s="12">
        <f t="shared" si="309"/>
        <v>0</v>
      </c>
      <c r="P557" s="12">
        <f t="shared" si="310"/>
        <v>0</v>
      </c>
      <c r="Q557" s="12">
        <f t="shared" si="311"/>
        <v>0</v>
      </c>
      <c r="R557" s="12">
        <f t="shared" si="312"/>
        <v>0</v>
      </c>
    </row>
    <row r="558" spans="1:19" x14ac:dyDescent="0.25">
      <c r="A558" s="26"/>
      <c r="B558" s="25"/>
      <c r="C558" s="15">
        <v>8</v>
      </c>
      <c r="D558" s="16">
        <v>150</v>
      </c>
      <c r="E558" s="15">
        <f t="shared" si="314"/>
        <v>32</v>
      </c>
      <c r="F558" s="11">
        <v>2</v>
      </c>
      <c r="G558" s="11">
        <f t="shared" si="316"/>
        <v>9</v>
      </c>
      <c r="H558" s="12"/>
      <c r="I558" s="12">
        <f>+(0.16+0.16+0.22)+0.2*0.008</f>
        <v>0.54160000000000008</v>
      </c>
      <c r="J558" s="22"/>
      <c r="K558" s="22"/>
      <c r="L558" s="12">
        <f t="shared" si="313"/>
        <v>0.54160000000000008</v>
      </c>
      <c r="M558" s="12">
        <f t="shared" si="307"/>
        <v>311.95999999999998</v>
      </c>
      <c r="N558" s="12">
        <f t="shared" si="308"/>
        <v>0</v>
      </c>
      <c r="O558" s="12">
        <f t="shared" si="309"/>
        <v>0</v>
      </c>
      <c r="P558" s="12">
        <f t="shared" si="310"/>
        <v>0</v>
      </c>
      <c r="Q558" s="12">
        <f t="shared" si="311"/>
        <v>0</v>
      </c>
      <c r="R558" s="12">
        <f t="shared" si="312"/>
        <v>0</v>
      </c>
    </row>
    <row r="559" spans="1:19" x14ac:dyDescent="0.25">
      <c r="A559" s="26"/>
      <c r="B559" s="45" t="s">
        <v>163</v>
      </c>
      <c r="C559" s="15">
        <v>16</v>
      </c>
      <c r="D559" s="16"/>
      <c r="E559" s="15">
        <v>22</v>
      </c>
      <c r="F559" s="11">
        <v>1</v>
      </c>
      <c r="G559" s="11">
        <v>10</v>
      </c>
      <c r="H559" s="12"/>
      <c r="I559" s="12">
        <f t="shared" ref="I559:I560" si="317">106.2-103.25</f>
        <v>2.9500000000000028</v>
      </c>
      <c r="J559" s="22"/>
      <c r="K559" s="22">
        <f>0.5*40*C559/1000</f>
        <v>0.32</v>
      </c>
      <c r="L559" s="12">
        <f t="shared" si="313"/>
        <v>3.2700000000000027</v>
      </c>
      <c r="M559" s="12">
        <f t="shared" si="307"/>
        <v>0</v>
      </c>
      <c r="N559" s="12">
        <f t="shared" si="308"/>
        <v>0</v>
      </c>
      <c r="O559" s="12">
        <f t="shared" si="309"/>
        <v>0</v>
      </c>
      <c r="P559" s="12">
        <f t="shared" si="310"/>
        <v>719.4</v>
      </c>
      <c r="Q559" s="12">
        <f t="shared" si="311"/>
        <v>0</v>
      </c>
      <c r="R559" s="12">
        <f t="shared" si="312"/>
        <v>0</v>
      </c>
    </row>
    <row r="560" spans="1:19" x14ac:dyDescent="0.25">
      <c r="A560" s="26"/>
      <c r="B560" s="45"/>
      <c r="C560" s="15">
        <v>12</v>
      </c>
      <c r="D560" s="16"/>
      <c r="E560" s="15">
        <v>22</v>
      </c>
      <c r="F560" s="11">
        <v>1</v>
      </c>
      <c r="G560" s="11">
        <v>4</v>
      </c>
      <c r="H560" s="12"/>
      <c r="I560" s="12">
        <f t="shared" si="317"/>
        <v>2.9500000000000028</v>
      </c>
      <c r="J560" s="22"/>
      <c r="K560" s="22">
        <f>0.5*40*C560/1000</f>
        <v>0.24</v>
      </c>
      <c r="L560" s="12">
        <f t="shared" ref="L560" si="318">SUM(H560:J560)+K560</f>
        <v>3.1900000000000031</v>
      </c>
      <c r="M560" s="12">
        <f t="shared" ref="M560" si="319">+ROUND(IF(C560=8,PRODUCT(E560,F560,G560,L560),0),2)</f>
        <v>0</v>
      </c>
      <c r="N560" s="12">
        <f t="shared" ref="N560" si="320">+ROUND(IF(C560=10,PRODUCT(E560,F560,G560,L560),0),2)</f>
        <v>0</v>
      </c>
      <c r="O560" s="12">
        <f t="shared" ref="O560" si="321">+ROUND(IF(C560=12,PRODUCT(E560,F560,G560,L560),0),2)</f>
        <v>280.72000000000003</v>
      </c>
      <c r="P560" s="12">
        <f t="shared" ref="P560" si="322">+ROUND(IF(C560=16,PRODUCT(E560,F560,G560,L560),0),2)</f>
        <v>0</v>
      </c>
      <c r="Q560" s="12">
        <f t="shared" ref="Q560" si="323">+ROUND(IF(C560=20,PRODUCT(E560,F560,G560,L560),0),2)</f>
        <v>0</v>
      </c>
      <c r="R560" s="12">
        <f t="shared" ref="R560" si="324">+ROUND(IF(C560=25,PRODUCT(E560,F560,G560,L560),0),2)</f>
        <v>0</v>
      </c>
    </row>
    <row r="561" spans="1:18" x14ac:dyDescent="0.25">
      <c r="A561" s="26"/>
      <c r="B561" s="25" t="s">
        <v>160</v>
      </c>
      <c r="C561" s="15">
        <v>10</v>
      </c>
      <c r="D561" s="16">
        <v>75</v>
      </c>
      <c r="E561" s="15">
        <v>22</v>
      </c>
      <c r="F561" s="11">
        <v>2</v>
      </c>
      <c r="G561" s="11">
        <f>+ROUND(600/D561,0)</f>
        <v>8</v>
      </c>
      <c r="H561" s="12"/>
      <c r="I561" s="12">
        <f>2*(0.22+0.52)+24*0.01</f>
        <v>1.72</v>
      </c>
      <c r="J561" s="22"/>
      <c r="K561" s="22"/>
      <c r="L561" s="12">
        <f t="shared" si="313"/>
        <v>1.72</v>
      </c>
      <c r="M561" s="12">
        <f t="shared" si="307"/>
        <v>0</v>
      </c>
      <c r="N561" s="12">
        <f t="shared" si="308"/>
        <v>605.44000000000005</v>
      </c>
      <c r="O561" s="12">
        <f t="shared" si="309"/>
        <v>0</v>
      </c>
      <c r="P561" s="12">
        <f t="shared" si="310"/>
        <v>0</v>
      </c>
      <c r="Q561" s="12">
        <f t="shared" si="311"/>
        <v>0</v>
      </c>
      <c r="R561" s="12">
        <f t="shared" si="312"/>
        <v>0</v>
      </c>
    </row>
    <row r="562" spans="1:18" x14ac:dyDescent="0.25">
      <c r="A562" s="26"/>
      <c r="B562" s="25"/>
      <c r="C562" s="15">
        <v>10</v>
      </c>
      <c r="D562" s="16">
        <v>75</v>
      </c>
      <c r="E562" s="15">
        <v>22</v>
      </c>
      <c r="F562" s="11">
        <v>2</v>
      </c>
      <c r="G562" s="11">
        <f t="shared" ref="G562:G563" si="325">+ROUND(600/D562,0)</f>
        <v>8</v>
      </c>
      <c r="H562" s="12"/>
      <c r="I562" s="12">
        <f>2*(0.22+0.115)+24*0.01</f>
        <v>0.91</v>
      </c>
      <c r="J562" s="22"/>
      <c r="K562" s="22"/>
      <c r="L562" s="12">
        <f t="shared" si="313"/>
        <v>0.91</v>
      </c>
      <c r="M562" s="12">
        <f t="shared" si="307"/>
        <v>0</v>
      </c>
      <c r="N562" s="12">
        <f t="shared" si="308"/>
        <v>320.32</v>
      </c>
      <c r="O562" s="12">
        <f t="shared" si="309"/>
        <v>0</v>
      </c>
      <c r="P562" s="12">
        <f t="shared" si="310"/>
        <v>0</v>
      </c>
      <c r="Q562" s="12">
        <f t="shared" si="311"/>
        <v>0</v>
      </c>
      <c r="R562" s="12">
        <f t="shared" si="312"/>
        <v>0</v>
      </c>
    </row>
    <row r="563" spans="1:18" x14ac:dyDescent="0.25">
      <c r="A563" s="26"/>
      <c r="B563" s="25"/>
      <c r="C563" s="15">
        <v>10</v>
      </c>
      <c r="D563" s="16">
        <v>75</v>
      </c>
      <c r="E563" s="15">
        <v>22</v>
      </c>
      <c r="F563" s="11">
        <f>2*2</f>
        <v>4</v>
      </c>
      <c r="G563" s="11">
        <f t="shared" si="325"/>
        <v>8</v>
      </c>
      <c r="H563" s="12"/>
      <c r="I563" s="12">
        <f>+(0.16+0.16+0.22)+0.24*0.01</f>
        <v>0.54239999999999999</v>
      </c>
      <c r="J563" s="22"/>
      <c r="K563" s="22"/>
      <c r="L563" s="12">
        <f t="shared" si="313"/>
        <v>0.54239999999999999</v>
      </c>
      <c r="M563" s="12">
        <f t="shared" si="307"/>
        <v>0</v>
      </c>
      <c r="N563" s="12">
        <f t="shared" si="308"/>
        <v>381.85</v>
      </c>
      <c r="O563" s="12">
        <f t="shared" si="309"/>
        <v>0</v>
      </c>
      <c r="P563" s="12">
        <f t="shared" si="310"/>
        <v>0</v>
      </c>
      <c r="Q563" s="12">
        <f t="shared" si="311"/>
        <v>0</v>
      </c>
      <c r="R563" s="12">
        <f t="shared" si="312"/>
        <v>0</v>
      </c>
    </row>
    <row r="564" spans="1:18" x14ac:dyDescent="0.25">
      <c r="A564" s="26"/>
      <c r="B564" s="25" t="s">
        <v>161</v>
      </c>
      <c r="C564" s="15">
        <v>8</v>
      </c>
      <c r="D564" s="16">
        <v>150</v>
      </c>
      <c r="E564" s="15">
        <v>22</v>
      </c>
      <c r="F564" s="11">
        <v>1</v>
      </c>
      <c r="G564" s="11">
        <f t="shared" ref="G564:G566" si="326">+ROUND(1250/D564+1,0)</f>
        <v>9</v>
      </c>
      <c r="H564" s="12"/>
      <c r="I564" s="12">
        <f>2*(0.22+0.52)+24*0.008</f>
        <v>1.6719999999999999</v>
      </c>
      <c r="J564" s="22"/>
      <c r="K564" s="22"/>
      <c r="L564" s="12">
        <f t="shared" si="313"/>
        <v>1.6719999999999999</v>
      </c>
      <c r="M564" s="12">
        <f t="shared" si="307"/>
        <v>331.06</v>
      </c>
      <c r="N564" s="12">
        <f t="shared" si="308"/>
        <v>0</v>
      </c>
      <c r="O564" s="12">
        <f t="shared" si="309"/>
        <v>0</v>
      </c>
      <c r="P564" s="12">
        <f t="shared" si="310"/>
        <v>0</v>
      </c>
      <c r="Q564" s="12">
        <f t="shared" si="311"/>
        <v>0</v>
      </c>
      <c r="R564" s="12">
        <f t="shared" si="312"/>
        <v>0</v>
      </c>
    </row>
    <row r="565" spans="1:18" x14ac:dyDescent="0.25">
      <c r="A565" s="26"/>
      <c r="B565" s="25"/>
      <c r="C565" s="15">
        <v>8</v>
      </c>
      <c r="D565" s="16">
        <v>150</v>
      </c>
      <c r="E565" s="15">
        <v>22</v>
      </c>
      <c r="F565" s="11">
        <v>1</v>
      </c>
      <c r="G565" s="11">
        <f t="shared" si="326"/>
        <v>9</v>
      </c>
      <c r="H565" s="12"/>
      <c r="I565" s="12">
        <f>2*(0.22+0.115)+24*0.008</f>
        <v>0.8620000000000001</v>
      </c>
      <c r="J565" s="22"/>
      <c r="K565" s="22"/>
      <c r="L565" s="12">
        <f t="shared" si="313"/>
        <v>0.8620000000000001</v>
      </c>
      <c r="M565" s="12">
        <f t="shared" si="307"/>
        <v>170.68</v>
      </c>
      <c r="N565" s="12">
        <f t="shared" si="308"/>
        <v>0</v>
      </c>
      <c r="O565" s="12">
        <f t="shared" si="309"/>
        <v>0</v>
      </c>
      <c r="P565" s="12">
        <f t="shared" si="310"/>
        <v>0</v>
      </c>
      <c r="Q565" s="12">
        <f t="shared" si="311"/>
        <v>0</v>
      </c>
      <c r="R565" s="12">
        <f t="shared" si="312"/>
        <v>0</v>
      </c>
    </row>
    <row r="566" spans="1:18" x14ac:dyDescent="0.25">
      <c r="A566" s="26"/>
      <c r="B566" s="25"/>
      <c r="C566" s="15">
        <v>8</v>
      </c>
      <c r="D566" s="16">
        <v>150</v>
      </c>
      <c r="E566" s="15">
        <v>22</v>
      </c>
      <c r="F566" s="11">
        <v>2</v>
      </c>
      <c r="G566" s="11">
        <f t="shared" si="326"/>
        <v>9</v>
      </c>
      <c r="H566" s="12"/>
      <c r="I566" s="12">
        <f>+(0.16+0.16+0.22)+0.2*0.008</f>
        <v>0.54160000000000008</v>
      </c>
      <c r="J566" s="22"/>
      <c r="K566" s="22"/>
      <c r="L566" s="12">
        <f t="shared" si="313"/>
        <v>0.54160000000000008</v>
      </c>
      <c r="M566" s="12">
        <f t="shared" si="307"/>
        <v>214.47</v>
      </c>
      <c r="N566" s="12">
        <f t="shared" si="308"/>
        <v>0</v>
      </c>
      <c r="O566" s="12">
        <f t="shared" si="309"/>
        <v>0</v>
      </c>
      <c r="P566" s="12">
        <f t="shared" si="310"/>
        <v>0</v>
      </c>
      <c r="Q566" s="12">
        <f t="shared" si="311"/>
        <v>0</v>
      </c>
      <c r="R566" s="12">
        <f t="shared" si="312"/>
        <v>0</v>
      </c>
    </row>
    <row r="567" spans="1:18" x14ac:dyDescent="0.25">
      <c r="A567" s="26"/>
      <c r="B567" s="45" t="s">
        <v>164</v>
      </c>
      <c r="C567" s="15">
        <v>16</v>
      </c>
      <c r="D567" s="16"/>
      <c r="E567" s="15">
        <v>4</v>
      </c>
      <c r="F567" s="11">
        <v>1</v>
      </c>
      <c r="G567" s="11">
        <v>4</v>
      </c>
      <c r="H567" s="12"/>
      <c r="I567" s="12">
        <f t="shared" ref="I567:I568" si="327">106.2-103.25</f>
        <v>2.9500000000000028</v>
      </c>
      <c r="J567" s="22"/>
      <c r="K567" s="22">
        <f>0.5*40*C567/1000</f>
        <v>0.32</v>
      </c>
      <c r="L567" s="12">
        <f t="shared" si="313"/>
        <v>3.2700000000000027</v>
      </c>
      <c r="M567" s="12">
        <f t="shared" si="307"/>
        <v>0</v>
      </c>
      <c r="N567" s="12">
        <f t="shared" si="308"/>
        <v>0</v>
      </c>
      <c r="O567" s="12">
        <f t="shared" si="309"/>
        <v>0</v>
      </c>
      <c r="P567" s="12">
        <f t="shared" si="310"/>
        <v>52.32</v>
      </c>
      <c r="Q567" s="12">
        <f t="shared" si="311"/>
        <v>0</v>
      </c>
      <c r="R567" s="12">
        <f t="shared" si="312"/>
        <v>0</v>
      </c>
    </row>
    <row r="568" spans="1:18" x14ac:dyDescent="0.25">
      <c r="A568" s="26"/>
      <c r="B568" s="25"/>
      <c r="C568" s="15">
        <v>20</v>
      </c>
      <c r="D568" s="16"/>
      <c r="E568" s="15">
        <f>+E567</f>
        <v>4</v>
      </c>
      <c r="F568" s="11">
        <v>1</v>
      </c>
      <c r="G568" s="11">
        <v>10</v>
      </c>
      <c r="H568" s="12"/>
      <c r="I568" s="12">
        <f t="shared" si="327"/>
        <v>2.9500000000000028</v>
      </c>
      <c r="J568" s="22"/>
      <c r="K568" s="22">
        <f>0.5*40*C568/1000</f>
        <v>0.4</v>
      </c>
      <c r="L568" s="12">
        <f t="shared" si="313"/>
        <v>3.3500000000000028</v>
      </c>
      <c r="M568" s="12">
        <f t="shared" si="307"/>
        <v>0</v>
      </c>
      <c r="N568" s="12">
        <f t="shared" si="308"/>
        <v>0</v>
      </c>
      <c r="O568" s="12">
        <f t="shared" si="309"/>
        <v>0</v>
      </c>
      <c r="P568" s="12">
        <f t="shared" si="310"/>
        <v>0</v>
      </c>
      <c r="Q568" s="12">
        <f t="shared" si="311"/>
        <v>134</v>
      </c>
      <c r="R568" s="12">
        <f t="shared" si="312"/>
        <v>0</v>
      </c>
    </row>
    <row r="569" spans="1:18" x14ac:dyDescent="0.25">
      <c r="A569" s="26"/>
      <c r="B569" s="25" t="s">
        <v>160</v>
      </c>
      <c r="C569" s="15">
        <v>10</v>
      </c>
      <c r="D569" s="16">
        <v>75</v>
      </c>
      <c r="E569" s="15">
        <f>+E568</f>
        <v>4</v>
      </c>
      <c r="F569" s="11">
        <v>2</v>
      </c>
      <c r="G569" s="11">
        <f>+ROUND(600/D569,0)</f>
        <v>8</v>
      </c>
      <c r="H569" s="12"/>
      <c r="I569" s="12">
        <f>2*(0.22+0.52)+24*0.01</f>
        <v>1.72</v>
      </c>
      <c r="J569" s="22"/>
      <c r="K569" s="22"/>
      <c r="L569" s="12">
        <f t="shared" si="313"/>
        <v>1.72</v>
      </c>
      <c r="M569" s="12">
        <f t="shared" si="307"/>
        <v>0</v>
      </c>
      <c r="N569" s="12">
        <f t="shared" si="308"/>
        <v>110.08</v>
      </c>
      <c r="O569" s="12">
        <f t="shared" si="309"/>
        <v>0</v>
      </c>
      <c r="P569" s="12">
        <f t="shared" si="310"/>
        <v>0</v>
      </c>
      <c r="Q569" s="12">
        <f t="shared" si="311"/>
        <v>0</v>
      </c>
      <c r="R569" s="12">
        <f t="shared" si="312"/>
        <v>0</v>
      </c>
    </row>
    <row r="570" spans="1:18" x14ac:dyDescent="0.25">
      <c r="A570" s="26"/>
      <c r="B570" s="25"/>
      <c r="C570" s="15">
        <v>10</v>
      </c>
      <c r="D570" s="16">
        <v>75</v>
      </c>
      <c r="E570" s="15">
        <f t="shared" ref="E570:E574" si="328">+E569</f>
        <v>4</v>
      </c>
      <c r="F570" s="11">
        <v>2</v>
      </c>
      <c r="G570" s="11">
        <f t="shared" ref="G570:G571" si="329">+ROUND(600/D570,0)</f>
        <v>8</v>
      </c>
      <c r="H570" s="12"/>
      <c r="I570" s="12">
        <f>2*(0.22+0.115)+24*0.01</f>
        <v>0.91</v>
      </c>
      <c r="J570" s="22"/>
      <c r="K570" s="22"/>
      <c r="L570" s="12">
        <f t="shared" si="313"/>
        <v>0.91</v>
      </c>
      <c r="M570" s="12">
        <f t="shared" si="307"/>
        <v>0</v>
      </c>
      <c r="N570" s="12">
        <f t="shared" si="308"/>
        <v>58.24</v>
      </c>
      <c r="O570" s="12">
        <f t="shared" si="309"/>
        <v>0</v>
      </c>
      <c r="P570" s="12">
        <f t="shared" si="310"/>
        <v>0</v>
      </c>
      <c r="Q570" s="12">
        <f t="shared" si="311"/>
        <v>0</v>
      </c>
      <c r="R570" s="12">
        <f t="shared" si="312"/>
        <v>0</v>
      </c>
    </row>
    <row r="571" spans="1:18" x14ac:dyDescent="0.25">
      <c r="A571" s="26"/>
      <c r="B571" s="25"/>
      <c r="C571" s="15">
        <v>10</v>
      </c>
      <c r="D571" s="16">
        <v>75</v>
      </c>
      <c r="E571" s="15">
        <f t="shared" si="328"/>
        <v>4</v>
      </c>
      <c r="F571" s="11">
        <f>2*2</f>
        <v>4</v>
      </c>
      <c r="G571" s="11">
        <f t="shared" si="329"/>
        <v>8</v>
      </c>
      <c r="H571" s="12"/>
      <c r="I571" s="12">
        <f>+(0.16+0.16+0.22)+0.24*0.01</f>
        <v>0.54239999999999999</v>
      </c>
      <c r="J571" s="22"/>
      <c r="K571" s="22"/>
      <c r="L571" s="12">
        <f t="shared" si="313"/>
        <v>0.54239999999999999</v>
      </c>
      <c r="M571" s="12">
        <f t="shared" si="307"/>
        <v>0</v>
      </c>
      <c r="N571" s="12">
        <f t="shared" si="308"/>
        <v>69.430000000000007</v>
      </c>
      <c r="O571" s="12">
        <f t="shared" si="309"/>
        <v>0</v>
      </c>
      <c r="P571" s="12">
        <f t="shared" si="310"/>
        <v>0</v>
      </c>
      <c r="Q571" s="12">
        <f t="shared" si="311"/>
        <v>0</v>
      </c>
      <c r="R571" s="12">
        <f t="shared" si="312"/>
        <v>0</v>
      </c>
    </row>
    <row r="572" spans="1:18" x14ac:dyDescent="0.25">
      <c r="A572" s="26"/>
      <c r="B572" s="25" t="s">
        <v>161</v>
      </c>
      <c r="C572" s="15">
        <v>8</v>
      </c>
      <c r="D572" s="16">
        <v>150</v>
      </c>
      <c r="E572" s="15">
        <f t="shared" si="328"/>
        <v>4</v>
      </c>
      <c r="F572" s="11">
        <v>1</v>
      </c>
      <c r="G572" s="11">
        <f t="shared" ref="G572:G574" si="330">+ROUND(1250/D572+1,0)</f>
        <v>9</v>
      </c>
      <c r="H572" s="12"/>
      <c r="I572" s="12">
        <f>2*(0.22+0.52)+24*0.008</f>
        <v>1.6719999999999999</v>
      </c>
      <c r="J572" s="22"/>
      <c r="K572" s="22"/>
      <c r="L572" s="12">
        <f t="shared" si="313"/>
        <v>1.6719999999999999</v>
      </c>
      <c r="M572" s="12">
        <f t="shared" si="307"/>
        <v>60.19</v>
      </c>
      <c r="N572" s="12">
        <f t="shared" si="308"/>
        <v>0</v>
      </c>
      <c r="O572" s="12">
        <f t="shared" si="309"/>
        <v>0</v>
      </c>
      <c r="P572" s="12">
        <f t="shared" si="310"/>
        <v>0</v>
      </c>
      <c r="Q572" s="12">
        <f t="shared" si="311"/>
        <v>0</v>
      </c>
      <c r="R572" s="12">
        <f t="shared" si="312"/>
        <v>0</v>
      </c>
    </row>
    <row r="573" spans="1:18" x14ac:dyDescent="0.25">
      <c r="A573" s="26"/>
      <c r="B573" s="25"/>
      <c r="C573" s="15">
        <v>8</v>
      </c>
      <c r="D573" s="16">
        <v>150</v>
      </c>
      <c r="E573" s="15">
        <f t="shared" si="328"/>
        <v>4</v>
      </c>
      <c r="F573" s="11">
        <v>1</v>
      </c>
      <c r="G573" s="11">
        <f t="shared" si="330"/>
        <v>9</v>
      </c>
      <c r="H573" s="12"/>
      <c r="I573" s="12">
        <f>2*(0.22+0.115)+24*0.008</f>
        <v>0.8620000000000001</v>
      </c>
      <c r="J573" s="22"/>
      <c r="K573" s="22"/>
      <c r="L573" s="12">
        <f t="shared" si="313"/>
        <v>0.8620000000000001</v>
      </c>
      <c r="M573" s="12">
        <f t="shared" si="307"/>
        <v>31.03</v>
      </c>
      <c r="N573" s="12">
        <f t="shared" si="308"/>
        <v>0</v>
      </c>
      <c r="O573" s="12">
        <f t="shared" si="309"/>
        <v>0</v>
      </c>
      <c r="P573" s="12">
        <f t="shared" si="310"/>
        <v>0</v>
      </c>
      <c r="Q573" s="12">
        <f t="shared" si="311"/>
        <v>0</v>
      </c>
      <c r="R573" s="12">
        <f t="shared" si="312"/>
        <v>0</v>
      </c>
    </row>
    <row r="574" spans="1:18" x14ac:dyDescent="0.25">
      <c r="A574" s="26"/>
      <c r="B574" s="25"/>
      <c r="C574" s="15">
        <v>8</v>
      </c>
      <c r="D574" s="16">
        <v>150</v>
      </c>
      <c r="E574" s="15">
        <f t="shared" si="328"/>
        <v>4</v>
      </c>
      <c r="F574" s="11">
        <v>2</v>
      </c>
      <c r="G574" s="11">
        <f t="shared" si="330"/>
        <v>9</v>
      </c>
      <c r="H574" s="12"/>
      <c r="I574" s="12">
        <f>+(0.16+0.16+0.22)+0.2*0.008</f>
        <v>0.54160000000000008</v>
      </c>
      <c r="J574" s="22"/>
      <c r="K574" s="22"/>
      <c r="L574" s="12">
        <f t="shared" si="313"/>
        <v>0.54160000000000008</v>
      </c>
      <c r="M574" s="12">
        <f t="shared" si="307"/>
        <v>39</v>
      </c>
      <c r="N574" s="12">
        <f t="shared" si="308"/>
        <v>0</v>
      </c>
      <c r="O574" s="12">
        <f t="shared" si="309"/>
        <v>0</v>
      </c>
      <c r="P574" s="12">
        <f t="shared" si="310"/>
        <v>0</v>
      </c>
      <c r="Q574" s="12">
        <f t="shared" si="311"/>
        <v>0</v>
      </c>
      <c r="R574" s="12">
        <f t="shared" si="312"/>
        <v>0</v>
      </c>
    </row>
    <row r="575" spans="1:18" x14ac:dyDescent="0.25">
      <c r="A575" s="26"/>
      <c r="B575" s="45" t="s">
        <v>165</v>
      </c>
      <c r="C575" s="15">
        <v>20</v>
      </c>
      <c r="D575" s="16"/>
      <c r="E575" s="15">
        <v>16</v>
      </c>
      <c r="F575" s="11">
        <v>1</v>
      </c>
      <c r="G575" s="11">
        <v>4</v>
      </c>
      <c r="H575" s="12"/>
      <c r="I575" s="12">
        <f>106.2-103.25</f>
        <v>2.9500000000000028</v>
      </c>
      <c r="J575" s="22"/>
      <c r="K575" s="22">
        <f>0.5*40*C575/1000</f>
        <v>0.4</v>
      </c>
      <c r="L575" s="12">
        <f t="shared" si="313"/>
        <v>3.3500000000000028</v>
      </c>
      <c r="M575" s="12">
        <f t="shared" si="307"/>
        <v>0</v>
      </c>
      <c r="N575" s="12">
        <f t="shared" si="308"/>
        <v>0</v>
      </c>
      <c r="O575" s="12">
        <f t="shared" si="309"/>
        <v>0</v>
      </c>
      <c r="P575" s="12">
        <f t="shared" si="310"/>
        <v>0</v>
      </c>
      <c r="Q575" s="12">
        <f t="shared" si="311"/>
        <v>214.4</v>
      </c>
      <c r="R575" s="12">
        <f t="shared" si="312"/>
        <v>0</v>
      </c>
    </row>
    <row r="576" spans="1:18" x14ac:dyDescent="0.25">
      <c r="A576" s="26"/>
      <c r="B576" s="45"/>
      <c r="C576" s="15">
        <v>16</v>
      </c>
      <c r="D576" s="16"/>
      <c r="E576" s="15">
        <v>16</v>
      </c>
      <c r="F576" s="11">
        <v>1</v>
      </c>
      <c r="G576" s="11">
        <v>12</v>
      </c>
      <c r="H576" s="12"/>
      <c r="I576" s="12">
        <f>106.2-103.25</f>
        <v>2.9500000000000028</v>
      </c>
      <c r="J576" s="22"/>
      <c r="K576" s="22">
        <f>0.5*40*C576/1000</f>
        <v>0.32</v>
      </c>
      <c r="L576" s="12">
        <f t="shared" si="313"/>
        <v>3.2700000000000027</v>
      </c>
      <c r="M576" s="12">
        <f t="shared" si="307"/>
        <v>0</v>
      </c>
      <c r="N576" s="12">
        <f t="shared" si="308"/>
        <v>0</v>
      </c>
      <c r="O576" s="12">
        <f t="shared" si="309"/>
        <v>0</v>
      </c>
      <c r="P576" s="12">
        <f t="shared" si="310"/>
        <v>627.84</v>
      </c>
      <c r="Q576" s="12">
        <f t="shared" si="311"/>
        <v>0</v>
      </c>
      <c r="R576" s="12">
        <f t="shared" si="312"/>
        <v>0</v>
      </c>
    </row>
    <row r="577" spans="1:18" x14ac:dyDescent="0.25">
      <c r="A577" s="26"/>
      <c r="B577" s="25" t="s">
        <v>160</v>
      </c>
      <c r="C577" s="15">
        <v>10</v>
      </c>
      <c r="D577" s="16">
        <v>75</v>
      </c>
      <c r="E577" s="15">
        <f>+E575</f>
        <v>16</v>
      </c>
      <c r="F577" s="11">
        <v>2</v>
      </c>
      <c r="G577" s="11">
        <f>+ROUND(750/D577,0)</f>
        <v>10</v>
      </c>
      <c r="H577" s="12"/>
      <c r="I577" s="12">
        <f>2*(0.22+0.67)+24*0.01</f>
        <v>2.02</v>
      </c>
      <c r="J577" s="22"/>
      <c r="K577" s="22"/>
      <c r="L577" s="12">
        <f t="shared" si="313"/>
        <v>2.02</v>
      </c>
      <c r="M577" s="12">
        <f t="shared" si="307"/>
        <v>0</v>
      </c>
      <c r="N577" s="12">
        <f t="shared" si="308"/>
        <v>646.4</v>
      </c>
      <c r="O577" s="12">
        <f t="shared" si="309"/>
        <v>0</v>
      </c>
      <c r="P577" s="12">
        <f t="shared" si="310"/>
        <v>0</v>
      </c>
      <c r="Q577" s="12">
        <f t="shared" si="311"/>
        <v>0</v>
      </c>
      <c r="R577" s="12">
        <f t="shared" si="312"/>
        <v>0</v>
      </c>
    </row>
    <row r="578" spans="1:18" x14ac:dyDescent="0.25">
      <c r="A578" s="26"/>
      <c r="B578" s="25"/>
      <c r="C578" s="15">
        <v>10</v>
      </c>
      <c r="D578" s="16">
        <v>75</v>
      </c>
      <c r="E578" s="15">
        <f t="shared" ref="E578:E584" si="331">+E577</f>
        <v>16</v>
      </c>
      <c r="F578" s="11">
        <v>2</v>
      </c>
      <c r="G578" s="11">
        <f t="shared" ref="G578:G580" si="332">+ROUND(750/D578,0)</f>
        <v>10</v>
      </c>
      <c r="H578" s="12"/>
      <c r="I578" s="12">
        <f>2*(0.22+0.132)+24*0.01</f>
        <v>0.94399999999999995</v>
      </c>
      <c r="J578" s="22"/>
      <c r="K578" s="22"/>
      <c r="L578" s="12">
        <f t="shared" si="313"/>
        <v>0.94399999999999995</v>
      </c>
      <c r="M578" s="12">
        <f t="shared" si="307"/>
        <v>0</v>
      </c>
      <c r="N578" s="12">
        <f t="shared" si="308"/>
        <v>302.08</v>
      </c>
      <c r="O578" s="12">
        <f t="shared" si="309"/>
        <v>0</v>
      </c>
      <c r="P578" s="12">
        <f t="shared" si="310"/>
        <v>0</v>
      </c>
      <c r="Q578" s="12">
        <f t="shared" si="311"/>
        <v>0</v>
      </c>
      <c r="R578" s="12">
        <f t="shared" si="312"/>
        <v>0</v>
      </c>
    </row>
    <row r="579" spans="1:18" x14ac:dyDescent="0.25">
      <c r="A579" s="26"/>
      <c r="B579" s="25"/>
      <c r="C579" s="15">
        <v>10</v>
      </c>
      <c r="D579" s="16">
        <v>75</v>
      </c>
      <c r="E579" s="15">
        <f t="shared" si="331"/>
        <v>16</v>
      </c>
      <c r="F579" s="11">
        <f>2*2</f>
        <v>4</v>
      </c>
      <c r="G579" s="11">
        <f t="shared" si="332"/>
        <v>10</v>
      </c>
      <c r="H579" s="12"/>
      <c r="I579" s="12">
        <f>+(0.165+0.165+0.22)+0.2*0.01</f>
        <v>0.55200000000000005</v>
      </c>
      <c r="J579" s="22"/>
      <c r="K579" s="22"/>
      <c r="L579" s="12">
        <f t="shared" si="313"/>
        <v>0.55200000000000005</v>
      </c>
      <c r="M579" s="12">
        <f t="shared" si="307"/>
        <v>0</v>
      </c>
      <c r="N579" s="12">
        <f t="shared" si="308"/>
        <v>353.28</v>
      </c>
      <c r="O579" s="12">
        <f t="shared" si="309"/>
        <v>0</v>
      </c>
      <c r="P579" s="12">
        <f t="shared" si="310"/>
        <v>0</v>
      </c>
      <c r="Q579" s="12">
        <f t="shared" si="311"/>
        <v>0</v>
      </c>
      <c r="R579" s="12">
        <f t="shared" si="312"/>
        <v>0</v>
      </c>
    </row>
    <row r="580" spans="1:18" x14ac:dyDescent="0.25">
      <c r="A580" s="26"/>
      <c r="B580" s="25"/>
      <c r="C580" s="15">
        <v>10</v>
      </c>
      <c r="D580" s="16">
        <v>75</v>
      </c>
      <c r="E580" s="15">
        <f t="shared" si="331"/>
        <v>16</v>
      </c>
      <c r="F580" s="11">
        <v>2</v>
      </c>
      <c r="G580" s="11">
        <f t="shared" si="332"/>
        <v>10</v>
      </c>
      <c r="H580" s="12"/>
      <c r="I580" s="12">
        <f>0.22+2*10*0.01</f>
        <v>0.42000000000000004</v>
      </c>
      <c r="J580" s="22"/>
      <c r="K580" s="22"/>
      <c r="L580" s="12">
        <f t="shared" ref="L580:L643" si="333">SUM(H580:J580)+K580</f>
        <v>0.42000000000000004</v>
      </c>
      <c r="M580" s="12">
        <f t="shared" si="307"/>
        <v>0</v>
      </c>
      <c r="N580" s="12">
        <f t="shared" si="308"/>
        <v>134.4</v>
      </c>
      <c r="O580" s="12">
        <f t="shared" si="309"/>
        <v>0</v>
      </c>
      <c r="P580" s="12">
        <f t="shared" si="310"/>
        <v>0</v>
      </c>
      <c r="Q580" s="12">
        <f t="shared" si="311"/>
        <v>0</v>
      </c>
      <c r="R580" s="12">
        <f t="shared" si="312"/>
        <v>0</v>
      </c>
    </row>
    <row r="581" spans="1:18" x14ac:dyDescent="0.25">
      <c r="A581" s="26"/>
      <c r="B581" s="25" t="s">
        <v>161</v>
      </c>
      <c r="C581" s="15">
        <v>8</v>
      </c>
      <c r="D581" s="16">
        <v>150</v>
      </c>
      <c r="E581" s="15">
        <f t="shared" si="331"/>
        <v>16</v>
      </c>
      <c r="F581" s="11">
        <v>1</v>
      </c>
      <c r="G581" s="11">
        <f>+ROUND(950/D581+1,0)</f>
        <v>7</v>
      </c>
      <c r="H581" s="12"/>
      <c r="I581" s="12">
        <f>2*(0.22+0.67)+24*0.008</f>
        <v>1.972</v>
      </c>
      <c r="J581" s="22"/>
      <c r="K581" s="22"/>
      <c r="L581" s="12">
        <f t="shared" si="333"/>
        <v>1.972</v>
      </c>
      <c r="M581" s="12">
        <f t="shared" si="307"/>
        <v>220.86</v>
      </c>
      <c r="N581" s="12">
        <f t="shared" si="308"/>
        <v>0</v>
      </c>
      <c r="O581" s="12">
        <f t="shared" si="309"/>
        <v>0</v>
      </c>
      <c r="P581" s="12">
        <f t="shared" si="310"/>
        <v>0</v>
      </c>
      <c r="Q581" s="12">
        <f t="shared" si="311"/>
        <v>0</v>
      </c>
      <c r="R581" s="12">
        <f t="shared" si="312"/>
        <v>0</v>
      </c>
    </row>
    <row r="582" spans="1:18" x14ac:dyDescent="0.25">
      <c r="A582" s="26"/>
      <c r="B582" s="25"/>
      <c r="C582" s="15">
        <v>8</v>
      </c>
      <c r="D582" s="16">
        <v>150</v>
      </c>
      <c r="E582" s="15">
        <f t="shared" si="331"/>
        <v>16</v>
      </c>
      <c r="F582" s="11">
        <v>1</v>
      </c>
      <c r="G582" s="11">
        <f t="shared" ref="G582:G584" si="334">+ROUND(950/D582+1,0)</f>
        <v>7</v>
      </c>
      <c r="H582" s="12"/>
      <c r="I582" s="12">
        <f>2*(0.22+0.132)+24*0.008</f>
        <v>0.89599999999999991</v>
      </c>
      <c r="J582" s="22"/>
      <c r="K582" s="22"/>
      <c r="L582" s="12">
        <f t="shared" si="333"/>
        <v>0.89599999999999991</v>
      </c>
      <c r="M582" s="12">
        <f t="shared" si="307"/>
        <v>100.35</v>
      </c>
      <c r="N582" s="12">
        <f t="shared" si="308"/>
        <v>0</v>
      </c>
      <c r="O582" s="12">
        <f t="shared" si="309"/>
        <v>0</v>
      </c>
      <c r="P582" s="12">
        <f t="shared" si="310"/>
        <v>0</v>
      </c>
      <c r="Q582" s="12">
        <f t="shared" si="311"/>
        <v>0</v>
      </c>
      <c r="R582" s="12">
        <f t="shared" si="312"/>
        <v>0</v>
      </c>
    </row>
    <row r="583" spans="1:18" x14ac:dyDescent="0.25">
      <c r="A583" s="26"/>
      <c r="B583" s="25"/>
      <c r="C583" s="15">
        <v>8</v>
      </c>
      <c r="D583" s="16">
        <v>150</v>
      </c>
      <c r="E583" s="15">
        <f t="shared" si="331"/>
        <v>16</v>
      </c>
      <c r="F583" s="11">
        <v>2</v>
      </c>
      <c r="G583" s="11">
        <f t="shared" si="334"/>
        <v>7</v>
      </c>
      <c r="H583" s="12"/>
      <c r="I583" s="12">
        <f>+(0.165+0.165+0.22)+0.2*0.008</f>
        <v>0.55160000000000009</v>
      </c>
      <c r="J583" s="22"/>
      <c r="K583" s="22"/>
      <c r="L583" s="12">
        <f t="shared" si="333"/>
        <v>0.55160000000000009</v>
      </c>
      <c r="M583" s="12">
        <f t="shared" si="307"/>
        <v>123.56</v>
      </c>
      <c r="N583" s="12">
        <f t="shared" si="308"/>
        <v>0</v>
      </c>
      <c r="O583" s="12">
        <f t="shared" si="309"/>
        <v>0</v>
      </c>
      <c r="P583" s="12">
        <f t="shared" si="310"/>
        <v>0</v>
      </c>
      <c r="Q583" s="12">
        <f t="shared" si="311"/>
        <v>0</v>
      </c>
      <c r="R583" s="12">
        <f t="shared" si="312"/>
        <v>0</v>
      </c>
    </row>
    <row r="584" spans="1:18" x14ac:dyDescent="0.25">
      <c r="A584" s="26"/>
      <c r="B584" s="25"/>
      <c r="C584" s="15">
        <v>8</v>
      </c>
      <c r="D584" s="16">
        <v>150</v>
      </c>
      <c r="E584" s="15">
        <f t="shared" si="331"/>
        <v>16</v>
      </c>
      <c r="F584" s="11">
        <v>1</v>
      </c>
      <c r="G584" s="11">
        <f t="shared" si="334"/>
        <v>7</v>
      </c>
      <c r="H584" s="12"/>
      <c r="I584" s="12">
        <f>0.22+2*10*0.008</f>
        <v>0.38</v>
      </c>
      <c r="J584" s="22"/>
      <c r="K584" s="22"/>
      <c r="L584" s="12">
        <f t="shared" si="333"/>
        <v>0.38</v>
      </c>
      <c r="M584" s="12">
        <f t="shared" si="307"/>
        <v>42.56</v>
      </c>
      <c r="N584" s="12">
        <f t="shared" si="308"/>
        <v>0</v>
      </c>
      <c r="O584" s="12">
        <f t="shared" si="309"/>
        <v>0</v>
      </c>
      <c r="P584" s="12">
        <f t="shared" si="310"/>
        <v>0</v>
      </c>
      <c r="Q584" s="12">
        <f t="shared" si="311"/>
        <v>0</v>
      </c>
      <c r="R584" s="12">
        <f t="shared" si="312"/>
        <v>0</v>
      </c>
    </row>
    <row r="585" spans="1:18" x14ac:dyDescent="0.25">
      <c r="A585" s="26"/>
      <c r="B585" s="45" t="s">
        <v>166</v>
      </c>
      <c r="C585" s="15">
        <v>16</v>
      </c>
      <c r="D585" s="16"/>
      <c r="E585" s="15">
        <v>14</v>
      </c>
      <c r="F585" s="11">
        <v>1</v>
      </c>
      <c r="G585" s="11">
        <v>4</v>
      </c>
      <c r="H585" s="12"/>
      <c r="I585" s="12">
        <f t="shared" ref="I585:I586" si="335">106.2-103.25</f>
        <v>2.9500000000000028</v>
      </c>
      <c r="J585" s="22"/>
      <c r="K585" s="22">
        <f t="shared" ref="K585:K586" si="336">0.5*40*C585/1000</f>
        <v>0.32</v>
      </c>
      <c r="L585" s="12">
        <f t="shared" si="333"/>
        <v>3.2700000000000027</v>
      </c>
      <c r="M585" s="12">
        <f t="shared" si="307"/>
        <v>0</v>
      </c>
      <c r="N585" s="12">
        <f t="shared" si="308"/>
        <v>0</v>
      </c>
      <c r="O585" s="12">
        <f t="shared" si="309"/>
        <v>0</v>
      </c>
      <c r="P585" s="12">
        <f t="shared" si="310"/>
        <v>183.12</v>
      </c>
      <c r="Q585" s="12">
        <f t="shared" si="311"/>
        <v>0</v>
      </c>
      <c r="R585" s="12">
        <f t="shared" si="312"/>
        <v>0</v>
      </c>
    </row>
    <row r="586" spans="1:18" x14ac:dyDescent="0.25">
      <c r="A586" s="26"/>
      <c r="B586" s="25"/>
      <c r="C586" s="15">
        <v>12</v>
      </c>
      <c r="D586" s="16"/>
      <c r="E586" s="15">
        <f>+E585</f>
        <v>14</v>
      </c>
      <c r="F586" s="11">
        <v>1</v>
      </c>
      <c r="G586" s="11">
        <v>12</v>
      </c>
      <c r="H586" s="12"/>
      <c r="I586" s="12">
        <f t="shared" si="335"/>
        <v>2.9500000000000028</v>
      </c>
      <c r="J586" s="22"/>
      <c r="K586" s="22">
        <f t="shared" si="336"/>
        <v>0.24</v>
      </c>
      <c r="L586" s="12">
        <f t="shared" si="333"/>
        <v>3.1900000000000031</v>
      </c>
      <c r="M586" s="12">
        <f t="shared" si="307"/>
        <v>0</v>
      </c>
      <c r="N586" s="12">
        <f t="shared" si="308"/>
        <v>0</v>
      </c>
      <c r="O586" s="12">
        <f t="shared" si="309"/>
        <v>535.91999999999996</v>
      </c>
      <c r="P586" s="12">
        <f t="shared" si="310"/>
        <v>0</v>
      </c>
      <c r="Q586" s="12">
        <f t="shared" si="311"/>
        <v>0</v>
      </c>
      <c r="R586" s="12">
        <f t="shared" si="312"/>
        <v>0</v>
      </c>
    </row>
    <row r="587" spans="1:18" x14ac:dyDescent="0.25">
      <c r="A587" s="26"/>
      <c r="B587" s="25" t="s">
        <v>160</v>
      </c>
      <c r="C587" s="15">
        <v>10</v>
      </c>
      <c r="D587" s="16">
        <v>75</v>
      </c>
      <c r="E587" s="15">
        <f t="shared" ref="E587:E594" si="337">+E586</f>
        <v>14</v>
      </c>
      <c r="F587" s="11">
        <v>2</v>
      </c>
      <c r="G587" s="11">
        <f>+ROUND(750/D587,0)</f>
        <v>10</v>
      </c>
      <c r="H587" s="12"/>
      <c r="I587" s="12">
        <f>2*(0.22+0.67)+24*0.01</f>
        <v>2.02</v>
      </c>
      <c r="J587" s="22"/>
      <c r="K587" s="22"/>
      <c r="L587" s="12">
        <f t="shared" si="333"/>
        <v>2.02</v>
      </c>
      <c r="M587" s="12">
        <f t="shared" si="307"/>
        <v>0</v>
      </c>
      <c r="N587" s="12">
        <f t="shared" si="308"/>
        <v>565.6</v>
      </c>
      <c r="O587" s="12">
        <f t="shared" si="309"/>
        <v>0</v>
      </c>
      <c r="P587" s="12">
        <f t="shared" si="310"/>
        <v>0</v>
      </c>
      <c r="Q587" s="12">
        <f t="shared" si="311"/>
        <v>0</v>
      </c>
      <c r="R587" s="12">
        <f t="shared" si="312"/>
        <v>0</v>
      </c>
    </row>
    <row r="588" spans="1:18" x14ac:dyDescent="0.25">
      <c r="A588" s="26"/>
      <c r="B588" s="25"/>
      <c r="C588" s="15">
        <v>10</v>
      </c>
      <c r="D588" s="16">
        <v>75</v>
      </c>
      <c r="E588" s="15">
        <f t="shared" si="337"/>
        <v>14</v>
      </c>
      <c r="F588" s="11">
        <v>2</v>
      </c>
      <c r="G588" s="11">
        <f t="shared" ref="G588:G590" si="338">+ROUND(750/D588,0)</f>
        <v>10</v>
      </c>
      <c r="H588" s="12"/>
      <c r="I588" s="12">
        <f>2*(0.22+0.132)+24*0.01</f>
        <v>0.94399999999999995</v>
      </c>
      <c r="J588" s="22"/>
      <c r="K588" s="22"/>
      <c r="L588" s="12">
        <f t="shared" si="333"/>
        <v>0.94399999999999995</v>
      </c>
      <c r="M588" s="12">
        <f t="shared" si="307"/>
        <v>0</v>
      </c>
      <c r="N588" s="12">
        <f t="shared" si="308"/>
        <v>264.32</v>
      </c>
      <c r="O588" s="12">
        <f t="shared" si="309"/>
        <v>0</v>
      </c>
      <c r="P588" s="12">
        <f t="shared" si="310"/>
        <v>0</v>
      </c>
      <c r="Q588" s="12">
        <f t="shared" si="311"/>
        <v>0</v>
      </c>
      <c r="R588" s="12">
        <f t="shared" si="312"/>
        <v>0</v>
      </c>
    </row>
    <row r="589" spans="1:18" x14ac:dyDescent="0.25">
      <c r="A589" s="26"/>
      <c r="B589" s="25"/>
      <c r="C589" s="15">
        <v>10</v>
      </c>
      <c r="D589" s="16">
        <v>75</v>
      </c>
      <c r="E589" s="15">
        <f t="shared" si="337"/>
        <v>14</v>
      </c>
      <c r="F589" s="11">
        <f>2*2</f>
        <v>4</v>
      </c>
      <c r="G589" s="11">
        <f t="shared" si="338"/>
        <v>10</v>
      </c>
      <c r="H589" s="12"/>
      <c r="I589" s="12">
        <f>+(0.165+0.165+0.22)+0.2*0.01</f>
        <v>0.55200000000000005</v>
      </c>
      <c r="J589" s="22"/>
      <c r="K589" s="22"/>
      <c r="L589" s="12">
        <f t="shared" si="333"/>
        <v>0.55200000000000005</v>
      </c>
      <c r="M589" s="12">
        <f t="shared" si="307"/>
        <v>0</v>
      </c>
      <c r="N589" s="12">
        <f t="shared" si="308"/>
        <v>309.12</v>
      </c>
      <c r="O589" s="12">
        <f t="shared" si="309"/>
        <v>0</v>
      </c>
      <c r="P589" s="12">
        <f t="shared" si="310"/>
        <v>0</v>
      </c>
      <c r="Q589" s="12">
        <f t="shared" si="311"/>
        <v>0</v>
      </c>
      <c r="R589" s="12">
        <f t="shared" si="312"/>
        <v>0</v>
      </c>
    </row>
    <row r="590" spans="1:18" x14ac:dyDescent="0.25">
      <c r="A590" s="26"/>
      <c r="B590" s="25"/>
      <c r="C590" s="15">
        <v>10</v>
      </c>
      <c r="D590" s="16">
        <v>75</v>
      </c>
      <c r="E590" s="15">
        <f t="shared" si="337"/>
        <v>14</v>
      </c>
      <c r="F590" s="11">
        <v>2</v>
      </c>
      <c r="G590" s="11">
        <f t="shared" si="338"/>
        <v>10</v>
      </c>
      <c r="H590" s="12"/>
      <c r="I590" s="12">
        <f>0.22+2*10*0.01</f>
        <v>0.42000000000000004</v>
      </c>
      <c r="J590" s="22"/>
      <c r="K590" s="22"/>
      <c r="L590" s="12">
        <f t="shared" si="333"/>
        <v>0.42000000000000004</v>
      </c>
      <c r="M590" s="12">
        <f t="shared" si="307"/>
        <v>0</v>
      </c>
      <c r="N590" s="12">
        <f t="shared" si="308"/>
        <v>117.6</v>
      </c>
      <c r="O590" s="12">
        <f t="shared" si="309"/>
        <v>0</v>
      </c>
      <c r="P590" s="12">
        <f t="shared" si="310"/>
        <v>0</v>
      </c>
      <c r="Q590" s="12">
        <f t="shared" si="311"/>
        <v>0</v>
      </c>
      <c r="R590" s="12">
        <f t="shared" si="312"/>
        <v>0</v>
      </c>
    </row>
    <row r="591" spans="1:18" x14ac:dyDescent="0.25">
      <c r="A591" s="26"/>
      <c r="B591" s="25" t="s">
        <v>161</v>
      </c>
      <c r="C591" s="15">
        <v>8</v>
      </c>
      <c r="D591" s="16">
        <v>150</v>
      </c>
      <c r="E591" s="15">
        <f t="shared" si="337"/>
        <v>14</v>
      </c>
      <c r="F591" s="11">
        <v>1</v>
      </c>
      <c r="G591" s="11">
        <f t="shared" ref="G591:G594" si="339">+ROUND(950/D591+1,0)</f>
        <v>7</v>
      </c>
      <c r="H591" s="12"/>
      <c r="I591" s="12">
        <f>2*(0.22+0.67)+24*0.008</f>
        <v>1.972</v>
      </c>
      <c r="J591" s="22"/>
      <c r="K591" s="22"/>
      <c r="L591" s="12">
        <f t="shared" si="333"/>
        <v>1.972</v>
      </c>
      <c r="M591" s="12">
        <f t="shared" si="307"/>
        <v>193.26</v>
      </c>
      <c r="N591" s="12">
        <f t="shared" si="308"/>
        <v>0</v>
      </c>
      <c r="O591" s="12">
        <f t="shared" si="309"/>
        <v>0</v>
      </c>
      <c r="P591" s="12">
        <f t="shared" si="310"/>
        <v>0</v>
      </c>
      <c r="Q591" s="12">
        <f t="shared" si="311"/>
        <v>0</v>
      </c>
      <c r="R591" s="12">
        <f t="shared" si="312"/>
        <v>0</v>
      </c>
    </row>
    <row r="592" spans="1:18" x14ac:dyDescent="0.25">
      <c r="A592" s="26"/>
      <c r="B592" s="25"/>
      <c r="C592" s="15">
        <v>8</v>
      </c>
      <c r="D592" s="16">
        <v>150</v>
      </c>
      <c r="E592" s="15">
        <f t="shared" si="337"/>
        <v>14</v>
      </c>
      <c r="F592" s="11">
        <v>1</v>
      </c>
      <c r="G592" s="11">
        <f t="shared" si="339"/>
        <v>7</v>
      </c>
      <c r="H592" s="12"/>
      <c r="I592" s="12">
        <f>2*(0.22+0.132)+24*0.008</f>
        <v>0.89599999999999991</v>
      </c>
      <c r="J592" s="22"/>
      <c r="K592" s="22"/>
      <c r="L592" s="12">
        <f t="shared" si="333"/>
        <v>0.89599999999999991</v>
      </c>
      <c r="M592" s="12">
        <f t="shared" si="307"/>
        <v>87.81</v>
      </c>
      <c r="N592" s="12">
        <f t="shared" si="308"/>
        <v>0</v>
      </c>
      <c r="O592" s="12">
        <f t="shared" si="309"/>
        <v>0</v>
      </c>
      <c r="P592" s="12">
        <f t="shared" si="310"/>
        <v>0</v>
      </c>
      <c r="Q592" s="12">
        <f t="shared" si="311"/>
        <v>0</v>
      </c>
      <c r="R592" s="12">
        <f t="shared" si="312"/>
        <v>0</v>
      </c>
    </row>
    <row r="593" spans="1:18" x14ac:dyDescent="0.25">
      <c r="A593" s="26"/>
      <c r="B593" s="25"/>
      <c r="C593" s="15">
        <v>8</v>
      </c>
      <c r="D593" s="16">
        <v>150</v>
      </c>
      <c r="E593" s="15">
        <f t="shared" si="337"/>
        <v>14</v>
      </c>
      <c r="F593" s="11">
        <v>2</v>
      </c>
      <c r="G593" s="11">
        <f t="shared" si="339"/>
        <v>7</v>
      </c>
      <c r="H593" s="12"/>
      <c r="I593" s="12">
        <f>+(0.165+0.165+0.22)+0.2*0.008</f>
        <v>0.55160000000000009</v>
      </c>
      <c r="J593" s="22"/>
      <c r="K593" s="22"/>
      <c r="L593" s="12">
        <f t="shared" si="333"/>
        <v>0.55160000000000009</v>
      </c>
      <c r="M593" s="12">
        <f t="shared" si="307"/>
        <v>108.11</v>
      </c>
      <c r="N593" s="12">
        <f t="shared" si="308"/>
        <v>0</v>
      </c>
      <c r="O593" s="12">
        <f t="shared" si="309"/>
        <v>0</v>
      </c>
      <c r="P593" s="12">
        <f t="shared" si="310"/>
        <v>0</v>
      </c>
      <c r="Q593" s="12">
        <f t="shared" si="311"/>
        <v>0</v>
      </c>
      <c r="R593" s="12">
        <f t="shared" si="312"/>
        <v>0</v>
      </c>
    </row>
    <row r="594" spans="1:18" x14ac:dyDescent="0.25">
      <c r="A594" s="26"/>
      <c r="B594" s="25"/>
      <c r="C594" s="15">
        <v>8</v>
      </c>
      <c r="D594" s="16">
        <v>150</v>
      </c>
      <c r="E594" s="15">
        <f t="shared" si="337"/>
        <v>14</v>
      </c>
      <c r="F594" s="11">
        <v>1</v>
      </c>
      <c r="G594" s="11">
        <f t="shared" si="339"/>
        <v>7</v>
      </c>
      <c r="H594" s="12"/>
      <c r="I594" s="12">
        <f>0.22+2*10*0.008</f>
        <v>0.38</v>
      </c>
      <c r="J594" s="22"/>
      <c r="K594" s="22"/>
      <c r="L594" s="12">
        <f t="shared" si="333"/>
        <v>0.38</v>
      </c>
      <c r="M594" s="12">
        <f t="shared" si="307"/>
        <v>37.24</v>
      </c>
      <c r="N594" s="12">
        <f t="shared" si="308"/>
        <v>0</v>
      </c>
      <c r="O594" s="12">
        <f t="shared" si="309"/>
        <v>0</v>
      </c>
      <c r="P594" s="12">
        <f t="shared" si="310"/>
        <v>0</v>
      </c>
      <c r="Q594" s="12">
        <f t="shared" si="311"/>
        <v>0</v>
      </c>
      <c r="R594" s="12">
        <f t="shared" si="312"/>
        <v>0</v>
      </c>
    </row>
    <row r="595" spans="1:18" x14ac:dyDescent="0.25">
      <c r="A595" s="26"/>
      <c r="B595" s="45" t="s">
        <v>167</v>
      </c>
      <c r="C595" s="15">
        <v>16</v>
      </c>
      <c r="D595" s="16"/>
      <c r="E595" s="15">
        <v>14</v>
      </c>
      <c r="F595" s="11">
        <v>1</v>
      </c>
      <c r="G595" s="11">
        <v>4</v>
      </c>
      <c r="H595" s="12"/>
      <c r="I595" s="12">
        <f t="shared" ref="I595:I596" si="340">106.2-103.25</f>
        <v>2.9500000000000028</v>
      </c>
      <c r="J595" s="22"/>
      <c r="K595" s="22">
        <f t="shared" ref="K595:K596" si="341">0.5*40*C595/1000</f>
        <v>0.32</v>
      </c>
      <c r="L595" s="12">
        <f t="shared" si="333"/>
        <v>3.2700000000000027</v>
      </c>
      <c r="M595" s="12">
        <f t="shared" si="307"/>
        <v>0</v>
      </c>
      <c r="N595" s="12">
        <f t="shared" si="308"/>
        <v>0</v>
      </c>
      <c r="O595" s="12">
        <f t="shared" si="309"/>
        <v>0</v>
      </c>
      <c r="P595" s="12">
        <f t="shared" si="310"/>
        <v>183.12</v>
      </c>
      <c r="Q595" s="12">
        <f t="shared" si="311"/>
        <v>0</v>
      </c>
      <c r="R595" s="12">
        <f t="shared" si="312"/>
        <v>0</v>
      </c>
    </row>
    <row r="596" spans="1:18" x14ac:dyDescent="0.25">
      <c r="A596" s="26"/>
      <c r="B596" s="25"/>
      <c r="C596" s="15">
        <v>12</v>
      </c>
      <c r="D596" s="16"/>
      <c r="E596" s="15">
        <f>+E595</f>
        <v>14</v>
      </c>
      <c r="F596" s="11">
        <v>1</v>
      </c>
      <c r="G596" s="11">
        <v>12</v>
      </c>
      <c r="H596" s="12"/>
      <c r="I596" s="12">
        <f t="shared" si="340"/>
        <v>2.9500000000000028</v>
      </c>
      <c r="J596" s="22"/>
      <c r="K596" s="22">
        <f t="shared" si="341"/>
        <v>0.24</v>
      </c>
      <c r="L596" s="12">
        <f t="shared" si="333"/>
        <v>3.1900000000000031</v>
      </c>
      <c r="M596" s="12">
        <f t="shared" si="307"/>
        <v>0</v>
      </c>
      <c r="N596" s="12">
        <f t="shared" si="308"/>
        <v>0</v>
      </c>
      <c r="O596" s="12">
        <f t="shared" si="309"/>
        <v>535.91999999999996</v>
      </c>
      <c r="P596" s="12">
        <f t="shared" si="310"/>
        <v>0</v>
      </c>
      <c r="Q596" s="12">
        <f t="shared" si="311"/>
        <v>0</v>
      </c>
      <c r="R596" s="12">
        <f t="shared" si="312"/>
        <v>0</v>
      </c>
    </row>
    <row r="597" spans="1:18" x14ac:dyDescent="0.25">
      <c r="A597" s="26"/>
      <c r="B597" s="25" t="s">
        <v>160</v>
      </c>
      <c r="C597" s="15">
        <v>10</v>
      </c>
      <c r="D597" s="16">
        <v>75</v>
      </c>
      <c r="E597" s="15">
        <f t="shared" ref="E597:E604" si="342">+E596</f>
        <v>14</v>
      </c>
      <c r="F597" s="11">
        <v>2</v>
      </c>
      <c r="G597" s="11">
        <f>+ROUND(715/D597,0)</f>
        <v>10</v>
      </c>
      <c r="H597" s="12"/>
      <c r="I597" s="12">
        <f>2*(0.22+0.635)+24*0.01</f>
        <v>1.95</v>
      </c>
      <c r="J597" s="22"/>
      <c r="K597" s="22"/>
      <c r="L597" s="12">
        <f t="shared" si="333"/>
        <v>1.95</v>
      </c>
      <c r="M597" s="12">
        <f t="shared" si="307"/>
        <v>0</v>
      </c>
      <c r="N597" s="12">
        <f t="shared" si="308"/>
        <v>546</v>
      </c>
      <c r="O597" s="12">
        <f t="shared" si="309"/>
        <v>0</v>
      </c>
      <c r="P597" s="12">
        <f t="shared" si="310"/>
        <v>0</v>
      </c>
      <c r="Q597" s="12">
        <f t="shared" si="311"/>
        <v>0</v>
      </c>
      <c r="R597" s="12">
        <f t="shared" si="312"/>
        <v>0</v>
      </c>
    </row>
    <row r="598" spans="1:18" x14ac:dyDescent="0.25">
      <c r="A598" s="26"/>
      <c r="B598" s="25"/>
      <c r="C598" s="15">
        <v>10</v>
      </c>
      <c r="D598" s="16">
        <v>75</v>
      </c>
      <c r="E598" s="15">
        <f t="shared" si="342"/>
        <v>14</v>
      </c>
      <c r="F598" s="11">
        <v>2</v>
      </c>
      <c r="G598" s="11">
        <f t="shared" ref="G598:G600" si="343">+ROUND(715/D598,0)</f>
        <v>10</v>
      </c>
      <c r="H598" s="12"/>
      <c r="I598" s="12">
        <f>2*(0.22+0.132)+24*0.01</f>
        <v>0.94399999999999995</v>
      </c>
      <c r="J598" s="22"/>
      <c r="K598" s="22"/>
      <c r="L598" s="12">
        <f t="shared" si="333"/>
        <v>0.94399999999999995</v>
      </c>
      <c r="M598" s="12">
        <f t="shared" si="307"/>
        <v>0</v>
      </c>
      <c r="N598" s="12">
        <f t="shared" si="308"/>
        <v>264.32</v>
      </c>
      <c r="O598" s="12">
        <f t="shared" si="309"/>
        <v>0</v>
      </c>
      <c r="P598" s="12">
        <f t="shared" si="310"/>
        <v>0</v>
      </c>
      <c r="Q598" s="12">
        <f t="shared" si="311"/>
        <v>0</v>
      </c>
      <c r="R598" s="12">
        <f t="shared" si="312"/>
        <v>0</v>
      </c>
    </row>
    <row r="599" spans="1:18" x14ac:dyDescent="0.25">
      <c r="A599" s="26"/>
      <c r="B599" s="25"/>
      <c r="C599" s="15">
        <v>10</v>
      </c>
      <c r="D599" s="16">
        <v>75</v>
      </c>
      <c r="E599" s="15">
        <f t="shared" si="342"/>
        <v>14</v>
      </c>
      <c r="F599" s="11">
        <f>2*2</f>
        <v>4</v>
      </c>
      <c r="G599" s="11">
        <f t="shared" si="343"/>
        <v>10</v>
      </c>
      <c r="H599" s="12"/>
      <c r="I599" s="12">
        <f>+(0.165+0.165+0.22)+0.2*0.01</f>
        <v>0.55200000000000005</v>
      </c>
      <c r="J599" s="22"/>
      <c r="K599" s="22"/>
      <c r="L599" s="12">
        <f t="shared" si="333"/>
        <v>0.55200000000000005</v>
      </c>
      <c r="M599" s="12">
        <f t="shared" si="307"/>
        <v>0</v>
      </c>
      <c r="N599" s="12">
        <f t="shared" si="308"/>
        <v>309.12</v>
      </c>
      <c r="O599" s="12">
        <f t="shared" si="309"/>
        <v>0</v>
      </c>
      <c r="P599" s="12">
        <f t="shared" si="310"/>
        <v>0</v>
      </c>
      <c r="Q599" s="12">
        <f t="shared" si="311"/>
        <v>0</v>
      </c>
      <c r="R599" s="12">
        <f t="shared" si="312"/>
        <v>0</v>
      </c>
    </row>
    <row r="600" spans="1:18" x14ac:dyDescent="0.25">
      <c r="A600" s="26"/>
      <c r="B600" s="25"/>
      <c r="C600" s="15">
        <v>10</v>
      </c>
      <c r="D600" s="16">
        <v>75</v>
      </c>
      <c r="E600" s="15">
        <f t="shared" si="342"/>
        <v>14</v>
      </c>
      <c r="F600" s="11">
        <v>2</v>
      </c>
      <c r="G600" s="11">
        <f t="shared" si="343"/>
        <v>10</v>
      </c>
      <c r="H600" s="12"/>
      <c r="I600" s="12">
        <f>0.22+2*10*0.01</f>
        <v>0.42000000000000004</v>
      </c>
      <c r="J600" s="22"/>
      <c r="K600" s="22"/>
      <c r="L600" s="12">
        <f t="shared" si="333"/>
        <v>0.42000000000000004</v>
      </c>
      <c r="M600" s="12">
        <f t="shared" si="307"/>
        <v>0</v>
      </c>
      <c r="N600" s="12">
        <f t="shared" si="308"/>
        <v>117.6</v>
      </c>
      <c r="O600" s="12">
        <f t="shared" si="309"/>
        <v>0</v>
      </c>
      <c r="P600" s="12">
        <f t="shared" si="310"/>
        <v>0</v>
      </c>
      <c r="Q600" s="12">
        <f t="shared" si="311"/>
        <v>0</v>
      </c>
      <c r="R600" s="12">
        <f t="shared" si="312"/>
        <v>0</v>
      </c>
    </row>
    <row r="601" spans="1:18" x14ac:dyDescent="0.25">
      <c r="A601" s="26"/>
      <c r="B601" s="25" t="s">
        <v>161</v>
      </c>
      <c r="C601" s="15">
        <v>8</v>
      </c>
      <c r="D601" s="16">
        <v>150</v>
      </c>
      <c r="E601" s="15">
        <f t="shared" si="342"/>
        <v>14</v>
      </c>
      <c r="F601" s="11">
        <v>1</v>
      </c>
      <c r="G601" s="11">
        <f>+ROUND(1020/D601+1,0)</f>
        <v>8</v>
      </c>
      <c r="H601" s="12"/>
      <c r="I601" s="12">
        <f>2*(0.22+0.635)+24*0.008</f>
        <v>1.9019999999999999</v>
      </c>
      <c r="J601" s="22"/>
      <c r="K601" s="22"/>
      <c r="L601" s="12">
        <f t="shared" si="333"/>
        <v>1.9019999999999999</v>
      </c>
      <c r="M601" s="12">
        <f t="shared" si="307"/>
        <v>213.02</v>
      </c>
      <c r="N601" s="12">
        <f t="shared" si="308"/>
        <v>0</v>
      </c>
      <c r="O601" s="12">
        <f t="shared" si="309"/>
        <v>0</v>
      </c>
      <c r="P601" s="12">
        <f t="shared" si="310"/>
        <v>0</v>
      </c>
      <c r="Q601" s="12">
        <f t="shared" si="311"/>
        <v>0</v>
      </c>
      <c r="R601" s="12">
        <f t="shared" si="312"/>
        <v>0</v>
      </c>
    </row>
    <row r="602" spans="1:18" x14ac:dyDescent="0.25">
      <c r="A602" s="26"/>
      <c r="B602" s="25"/>
      <c r="C602" s="15">
        <v>8</v>
      </c>
      <c r="D602" s="16">
        <v>150</v>
      </c>
      <c r="E602" s="15">
        <f t="shared" si="342"/>
        <v>14</v>
      </c>
      <c r="F602" s="11">
        <v>1</v>
      </c>
      <c r="G602" s="11">
        <f>+ROUND(1020/D602+1,0)</f>
        <v>8</v>
      </c>
      <c r="H602" s="12"/>
      <c r="I602" s="12">
        <f>2*(0.22+0.132)+24*0.008</f>
        <v>0.89599999999999991</v>
      </c>
      <c r="J602" s="22"/>
      <c r="K602" s="22"/>
      <c r="L602" s="12">
        <f t="shared" si="333"/>
        <v>0.89599999999999991</v>
      </c>
      <c r="M602" s="12">
        <f t="shared" si="307"/>
        <v>100.35</v>
      </c>
      <c r="N602" s="12">
        <f t="shared" si="308"/>
        <v>0</v>
      </c>
      <c r="O602" s="12">
        <f t="shared" si="309"/>
        <v>0</v>
      </c>
      <c r="P602" s="12">
        <f t="shared" si="310"/>
        <v>0</v>
      </c>
      <c r="Q602" s="12">
        <f t="shared" si="311"/>
        <v>0</v>
      </c>
      <c r="R602" s="12">
        <f t="shared" si="312"/>
        <v>0</v>
      </c>
    </row>
    <row r="603" spans="1:18" x14ac:dyDescent="0.25">
      <c r="A603" s="26"/>
      <c r="B603" s="25"/>
      <c r="C603" s="15">
        <v>8</v>
      </c>
      <c r="D603" s="16">
        <v>150</v>
      </c>
      <c r="E603" s="15">
        <f t="shared" si="342"/>
        <v>14</v>
      </c>
      <c r="F603" s="11">
        <v>2</v>
      </c>
      <c r="G603" s="11">
        <f t="shared" ref="G603:G604" si="344">+ROUND(1020/D603+1,0)</f>
        <v>8</v>
      </c>
      <c r="H603" s="12"/>
      <c r="I603" s="12">
        <f>+(0.165+0.165+0.22)+0.2*0.008</f>
        <v>0.55160000000000009</v>
      </c>
      <c r="J603" s="22"/>
      <c r="K603" s="22"/>
      <c r="L603" s="12">
        <f t="shared" si="333"/>
        <v>0.55160000000000009</v>
      </c>
      <c r="M603" s="12">
        <f t="shared" si="307"/>
        <v>123.56</v>
      </c>
      <c r="N603" s="12">
        <f t="shared" si="308"/>
        <v>0</v>
      </c>
      <c r="O603" s="12">
        <f t="shared" si="309"/>
        <v>0</v>
      </c>
      <c r="P603" s="12">
        <f t="shared" si="310"/>
        <v>0</v>
      </c>
      <c r="Q603" s="12">
        <f t="shared" si="311"/>
        <v>0</v>
      </c>
      <c r="R603" s="12">
        <f t="shared" si="312"/>
        <v>0</v>
      </c>
    </row>
    <row r="604" spans="1:18" x14ac:dyDescent="0.25">
      <c r="A604" s="26"/>
      <c r="B604" s="25"/>
      <c r="C604" s="15">
        <v>8</v>
      </c>
      <c r="D604" s="16">
        <v>150</v>
      </c>
      <c r="E604" s="15">
        <f t="shared" si="342"/>
        <v>14</v>
      </c>
      <c r="F604" s="11">
        <v>1</v>
      </c>
      <c r="G604" s="11">
        <f t="shared" si="344"/>
        <v>8</v>
      </c>
      <c r="H604" s="12"/>
      <c r="I604" s="12">
        <f>0.22+2*10*0.008</f>
        <v>0.38</v>
      </c>
      <c r="J604" s="22"/>
      <c r="K604" s="22"/>
      <c r="L604" s="12">
        <f t="shared" si="333"/>
        <v>0.38</v>
      </c>
      <c r="M604" s="12">
        <f t="shared" si="307"/>
        <v>42.56</v>
      </c>
      <c r="N604" s="12">
        <f t="shared" si="308"/>
        <v>0</v>
      </c>
      <c r="O604" s="12">
        <f t="shared" si="309"/>
        <v>0</v>
      </c>
      <c r="P604" s="12">
        <f t="shared" si="310"/>
        <v>0</v>
      </c>
      <c r="Q604" s="12">
        <f t="shared" si="311"/>
        <v>0</v>
      </c>
      <c r="R604" s="12">
        <f t="shared" si="312"/>
        <v>0</v>
      </c>
    </row>
    <row r="605" spans="1:18" x14ac:dyDescent="0.25">
      <c r="A605" s="26"/>
      <c r="B605" s="45" t="s">
        <v>168</v>
      </c>
      <c r="C605" s="15">
        <v>16</v>
      </c>
      <c r="D605" s="16"/>
      <c r="E605" s="15">
        <v>4</v>
      </c>
      <c r="F605" s="11">
        <v>1</v>
      </c>
      <c r="G605" s="11">
        <v>4</v>
      </c>
      <c r="H605" s="12"/>
      <c r="I605" s="12">
        <f t="shared" ref="I605:I606" si="345">106.2-103.25</f>
        <v>2.9500000000000028</v>
      </c>
      <c r="J605" s="22"/>
      <c r="K605" s="22">
        <f t="shared" ref="K605:K606" si="346">0.5*40*C605/1000</f>
        <v>0.32</v>
      </c>
      <c r="L605" s="12">
        <f t="shared" si="333"/>
        <v>3.2700000000000027</v>
      </c>
      <c r="M605" s="12">
        <f t="shared" si="307"/>
        <v>0</v>
      </c>
      <c r="N605" s="12">
        <f t="shared" si="308"/>
        <v>0</v>
      </c>
      <c r="O605" s="12">
        <f t="shared" si="309"/>
        <v>0</v>
      </c>
      <c r="P605" s="12">
        <f t="shared" si="310"/>
        <v>52.32</v>
      </c>
      <c r="Q605" s="12">
        <f t="shared" si="311"/>
        <v>0</v>
      </c>
      <c r="R605" s="12">
        <f t="shared" si="312"/>
        <v>0</v>
      </c>
    </row>
    <row r="606" spans="1:18" x14ac:dyDescent="0.25">
      <c r="A606" s="26"/>
      <c r="B606" s="25"/>
      <c r="C606" s="15">
        <v>12</v>
      </c>
      <c r="D606" s="16"/>
      <c r="E606" s="15">
        <f>+E605</f>
        <v>4</v>
      </c>
      <c r="F606" s="11">
        <v>1</v>
      </c>
      <c r="G606" s="11">
        <v>14</v>
      </c>
      <c r="H606" s="12"/>
      <c r="I606" s="12">
        <f t="shared" si="345"/>
        <v>2.9500000000000028</v>
      </c>
      <c r="J606" s="22"/>
      <c r="K606" s="22">
        <f t="shared" si="346"/>
        <v>0.24</v>
      </c>
      <c r="L606" s="12">
        <f t="shared" si="333"/>
        <v>3.1900000000000031</v>
      </c>
      <c r="M606" s="12">
        <f t="shared" si="307"/>
        <v>0</v>
      </c>
      <c r="N606" s="12">
        <f t="shared" si="308"/>
        <v>0</v>
      </c>
      <c r="O606" s="12">
        <f t="shared" si="309"/>
        <v>178.64</v>
      </c>
      <c r="P606" s="12">
        <f t="shared" si="310"/>
        <v>0</v>
      </c>
      <c r="Q606" s="12">
        <f t="shared" si="311"/>
        <v>0</v>
      </c>
      <c r="R606" s="12">
        <f t="shared" si="312"/>
        <v>0</v>
      </c>
    </row>
    <row r="607" spans="1:18" x14ac:dyDescent="0.25">
      <c r="A607" s="26"/>
      <c r="B607" s="25" t="s">
        <v>160</v>
      </c>
      <c r="C607" s="15">
        <v>10</v>
      </c>
      <c r="D607" s="16">
        <v>75</v>
      </c>
      <c r="E607" s="15">
        <f t="shared" ref="E607:E612" si="347">+E606</f>
        <v>4</v>
      </c>
      <c r="F607" s="11">
        <v>2</v>
      </c>
      <c r="G607" s="11">
        <f>+ROUND(800/D607,0)</f>
        <v>11</v>
      </c>
      <c r="H607" s="12"/>
      <c r="I607" s="12">
        <f>2*(0.22+0.72)+24*0.01</f>
        <v>2.12</v>
      </c>
      <c r="J607" s="22"/>
      <c r="K607" s="22"/>
      <c r="L607" s="12">
        <f t="shared" si="333"/>
        <v>2.12</v>
      </c>
      <c r="M607" s="12">
        <f t="shared" si="307"/>
        <v>0</v>
      </c>
      <c r="N607" s="12">
        <f t="shared" si="308"/>
        <v>186.56</v>
      </c>
      <c r="O607" s="12">
        <f t="shared" si="309"/>
        <v>0</v>
      </c>
      <c r="P607" s="12">
        <f t="shared" si="310"/>
        <v>0</v>
      </c>
      <c r="Q607" s="12">
        <f t="shared" si="311"/>
        <v>0</v>
      </c>
      <c r="R607" s="12">
        <f t="shared" si="312"/>
        <v>0</v>
      </c>
    </row>
    <row r="608" spans="1:18" x14ac:dyDescent="0.25">
      <c r="A608" s="26"/>
      <c r="B608" s="25"/>
      <c r="C608" s="15">
        <v>10</v>
      </c>
      <c r="D608" s="16">
        <v>75</v>
      </c>
      <c r="E608" s="15">
        <f t="shared" si="347"/>
        <v>4</v>
      </c>
      <c r="F608" s="11">
        <f>2*2</f>
        <v>4</v>
      </c>
      <c r="G608" s="11">
        <f t="shared" ref="G608:G609" si="348">+ROUND(800/D608,0)</f>
        <v>11</v>
      </c>
      <c r="H608" s="12"/>
      <c r="I608" s="12">
        <f>2*(0.22+0.115)+24*0.01</f>
        <v>0.91</v>
      </c>
      <c r="J608" s="22"/>
      <c r="K608" s="22"/>
      <c r="L608" s="12">
        <f t="shared" si="333"/>
        <v>0.91</v>
      </c>
      <c r="M608" s="12">
        <f t="shared" si="307"/>
        <v>0</v>
      </c>
      <c r="N608" s="12">
        <f t="shared" si="308"/>
        <v>160.16</v>
      </c>
      <c r="O608" s="12">
        <f t="shared" si="309"/>
        <v>0</v>
      </c>
      <c r="P608" s="12">
        <f t="shared" si="310"/>
        <v>0</v>
      </c>
      <c r="Q608" s="12">
        <f t="shared" si="311"/>
        <v>0</v>
      </c>
      <c r="R608" s="12">
        <f t="shared" si="312"/>
        <v>0</v>
      </c>
    </row>
    <row r="609" spans="1:18" x14ac:dyDescent="0.25">
      <c r="A609" s="26"/>
      <c r="B609" s="25"/>
      <c r="C609" s="15">
        <v>10</v>
      </c>
      <c r="D609" s="16">
        <v>75</v>
      </c>
      <c r="E609" s="15">
        <f t="shared" si="347"/>
        <v>4</v>
      </c>
      <c r="F609" s="11">
        <f>2*2</f>
        <v>4</v>
      </c>
      <c r="G609" s="11">
        <f t="shared" si="348"/>
        <v>11</v>
      </c>
      <c r="H609" s="12"/>
      <c r="I609" s="12">
        <f>+(0.165+0.165+0.22)+0.2*0.01</f>
        <v>0.55200000000000005</v>
      </c>
      <c r="J609" s="22"/>
      <c r="K609" s="22"/>
      <c r="L609" s="12">
        <f t="shared" si="333"/>
        <v>0.55200000000000005</v>
      </c>
      <c r="M609" s="12">
        <f t="shared" si="307"/>
        <v>0</v>
      </c>
      <c r="N609" s="12">
        <f t="shared" si="308"/>
        <v>97.15</v>
      </c>
      <c r="O609" s="12">
        <f t="shared" si="309"/>
        <v>0</v>
      </c>
      <c r="P609" s="12">
        <f t="shared" si="310"/>
        <v>0</v>
      </c>
      <c r="Q609" s="12">
        <f t="shared" si="311"/>
        <v>0</v>
      </c>
      <c r="R609" s="12">
        <f t="shared" si="312"/>
        <v>0</v>
      </c>
    </row>
    <row r="610" spans="1:18" x14ac:dyDescent="0.25">
      <c r="A610" s="26"/>
      <c r="B610" s="25" t="s">
        <v>161</v>
      </c>
      <c r="C610" s="15">
        <v>8</v>
      </c>
      <c r="D610" s="16">
        <v>150</v>
      </c>
      <c r="E610" s="15">
        <f t="shared" si="347"/>
        <v>4</v>
      </c>
      <c r="F610" s="11">
        <v>1</v>
      </c>
      <c r="G610" s="11">
        <f>+ROUND(800/D610+1,0)</f>
        <v>6</v>
      </c>
      <c r="H610" s="12"/>
      <c r="I610" s="12">
        <f>2*(0.22+0.72)+24*0.008</f>
        <v>2.0720000000000001</v>
      </c>
      <c r="J610" s="22"/>
      <c r="K610" s="22"/>
      <c r="L610" s="12">
        <f t="shared" si="333"/>
        <v>2.0720000000000001</v>
      </c>
      <c r="M610" s="12">
        <f t="shared" si="307"/>
        <v>49.73</v>
      </c>
      <c r="N610" s="12">
        <f t="shared" si="308"/>
        <v>0</v>
      </c>
      <c r="O610" s="12">
        <f t="shared" si="309"/>
        <v>0</v>
      </c>
      <c r="P610" s="12">
        <f t="shared" si="310"/>
        <v>0</v>
      </c>
      <c r="Q610" s="12">
        <f t="shared" si="311"/>
        <v>0</v>
      </c>
      <c r="R610" s="12">
        <f t="shared" si="312"/>
        <v>0</v>
      </c>
    </row>
    <row r="611" spans="1:18" x14ac:dyDescent="0.25">
      <c r="A611" s="26"/>
      <c r="B611" s="25"/>
      <c r="C611" s="15">
        <v>8</v>
      </c>
      <c r="D611" s="16">
        <v>150</v>
      </c>
      <c r="E611" s="15">
        <f t="shared" si="347"/>
        <v>4</v>
      </c>
      <c r="F611" s="11">
        <v>2</v>
      </c>
      <c r="G611" s="11">
        <f t="shared" ref="G611:G612" si="349">+ROUND(800/D611+1,0)</f>
        <v>6</v>
      </c>
      <c r="H611" s="12"/>
      <c r="I611" s="12">
        <f>2*(0.22+0.115)+24*0.008</f>
        <v>0.8620000000000001</v>
      </c>
      <c r="J611" s="22"/>
      <c r="K611" s="22"/>
      <c r="L611" s="12">
        <f t="shared" si="333"/>
        <v>0.8620000000000001</v>
      </c>
      <c r="M611" s="12">
        <f t="shared" si="307"/>
        <v>41.38</v>
      </c>
      <c r="N611" s="12">
        <f t="shared" si="308"/>
        <v>0</v>
      </c>
      <c r="O611" s="12">
        <f t="shared" si="309"/>
        <v>0</v>
      </c>
      <c r="P611" s="12">
        <f t="shared" si="310"/>
        <v>0</v>
      </c>
      <c r="Q611" s="12">
        <f t="shared" si="311"/>
        <v>0</v>
      </c>
      <c r="R611" s="12">
        <f t="shared" si="312"/>
        <v>0</v>
      </c>
    </row>
    <row r="612" spans="1:18" x14ac:dyDescent="0.25">
      <c r="A612" s="26"/>
      <c r="B612" s="25"/>
      <c r="C612" s="15">
        <v>8</v>
      </c>
      <c r="D612" s="16">
        <v>150</v>
      </c>
      <c r="E612" s="15">
        <f t="shared" si="347"/>
        <v>4</v>
      </c>
      <c r="F612" s="11">
        <v>2</v>
      </c>
      <c r="G612" s="11">
        <f t="shared" si="349"/>
        <v>6</v>
      </c>
      <c r="H612" s="12"/>
      <c r="I612" s="12">
        <f>+(0.165+0.165+0.22)+0.2*0.008</f>
        <v>0.55160000000000009</v>
      </c>
      <c r="J612" s="22"/>
      <c r="K612" s="22"/>
      <c r="L612" s="12">
        <f t="shared" si="333"/>
        <v>0.55160000000000009</v>
      </c>
      <c r="M612" s="12">
        <f t="shared" si="307"/>
        <v>26.48</v>
      </c>
      <c r="N612" s="12">
        <f t="shared" si="308"/>
        <v>0</v>
      </c>
      <c r="O612" s="12">
        <f t="shared" si="309"/>
        <v>0</v>
      </c>
      <c r="P612" s="12">
        <f t="shared" si="310"/>
        <v>0</v>
      </c>
      <c r="Q612" s="12">
        <f t="shared" si="311"/>
        <v>0</v>
      </c>
      <c r="R612" s="12">
        <f t="shared" si="312"/>
        <v>0</v>
      </c>
    </row>
    <row r="613" spans="1:18" x14ac:dyDescent="0.25">
      <c r="A613" s="26"/>
      <c r="B613" s="45" t="s">
        <v>169</v>
      </c>
      <c r="C613" s="15">
        <v>16</v>
      </c>
      <c r="D613" s="16"/>
      <c r="E613" s="15">
        <v>4</v>
      </c>
      <c r="F613" s="11">
        <v>1</v>
      </c>
      <c r="G613" s="11">
        <v>14</v>
      </c>
      <c r="H613" s="12"/>
      <c r="I613" s="12">
        <f t="shared" ref="I613" si="350">106.2-103.25</f>
        <v>2.9500000000000028</v>
      </c>
      <c r="J613" s="22"/>
      <c r="K613" s="22">
        <f>0.5*40*C613/1000</f>
        <v>0.32</v>
      </c>
      <c r="L613" s="12">
        <f t="shared" si="333"/>
        <v>3.2700000000000027</v>
      </c>
      <c r="M613" s="12">
        <f t="shared" si="307"/>
        <v>0</v>
      </c>
      <c r="N613" s="12">
        <f t="shared" si="308"/>
        <v>0</v>
      </c>
      <c r="O613" s="12">
        <f t="shared" si="309"/>
        <v>0</v>
      </c>
      <c r="P613" s="12">
        <f t="shared" si="310"/>
        <v>183.12</v>
      </c>
      <c r="Q613" s="12">
        <f t="shared" si="311"/>
        <v>0</v>
      </c>
      <c r="R613" s="12">
        <f t="shared" si="312"/>
        <v>0</v>
      </c>
    </row>
    <row r="614" spans="1:18" x14ac:dyDescent="0.25">
      <c r="A614" s="26"/>
      <c r="B614" s="25" t="s">
        <v>160</v>
      </c>
      <c r="C614" s="15">
        <v>10</v>
      </c>
      <c r="D614" s="16">
        <v>75</v>
      </c>
      <c r="E614" s="15">
        <f>+E613</f>
        <v>4</v>
      </c>
      <c r="F614" s="11">
        <v>2</v>
      </c>
      <c r="G614" s="11">
        <f>+ROUND(600/D614,0)</f>
        <v>8</v>
      </c>
      <c r="H614" s="12"/>
      <c r="I614" s="12">
        <f>2*(0.22+0.52)+24*0.01</f>
        <v>1.72</v>
      </c>
      <c r="J614" s="22"/>
      <c r="K614" s="22"/>
      <c r="L614" s="12">
        <f t="shared" si="333"/>
        <v>1.72</v>
      </c>
      <c r="M614" s="12">
        <f t="shared" si="307"/>
        <v>0</v>
      </c>
      <c r="N614" s="12">
        <f t="shared" si="308"/>
        <v>110.08</v>
      </c>
      <c r="O614" s="12">
        <f t="shared" si="309"/>
        <v>0</v>
      </c>
      <c r="P614" s="12">
        <f t="shared" si="310"/>
        <v>0</v>
      </c>
      <c r="Q614" s="12">
        <f t="shared" si="311"/>
        <v>0</v>
      </c>
      <c r="R614" s="12">
        <f t="shared" si="312"/>
        <v>0</v>
      </c>
    </row>
    <row r="615" spans="1:18" x14ac:dyDescent="0.25">
      <c r="A615" s="26"/>
      <c r="B615" s="25"/>
      <c r="C615" s="15">
        <v>10</v>
      </c>
      <c r="D615" s="16">
        <v>75</v>
      </c>
      <c r="E615" s="15">
        <f t="shared" ref="E615:E619" si="351">+E614</f>
        <v>4</v>
      </c>
      <c r="F615" s="11">
        <v>2</v>
      </c>
      <c r="G615" s="11">
        <f t="shared" ref="G615:G616" si="352">+ROUND(600/D615,0)</f>
        <v>8</v>
      </c>
      <c r="H615" s="12"/>
      <c r="I615" s="12">
        <f>2*(0.22+0.115)+24*0.01</f>
        <v>0.91</v>
      </c>
      <c r="J615" s="22"/>
      <c r="K615" s="22"/>
      <c r="L615" s="12">
        <f t="shared" si="333"/>
        <v>0.91</v>
      </c>
      <c r="M615" s="12">
        <f t="shared" si="307"/>
        <v>0</v>
      </c>
      <c r="N615" s="12">
        <f t="shared" si="308"/>
        <v>58.24</v>
      </c>
      <c r="O615" s="12">
        <f t="shared" si="309"/>
        <v>0</v>
      </c>
      <c r="P615" s="12">
        <f t="shared" si="310"/>
        <v>0</v>
      </c>
      <c r="Q615" s="12">
        <f t="shared" si="311"/>
        <v>0</v>
      </c>
      <c r="R615" s="12">
        <f t="shared" si="312"/>
        <v>0</v>
      </c>
    </row>
    <row r="616" spans="1:18" x14ac:dyDescent="0.25">
      <c r="A616" s="26"/>
      <c r="B616" s="25"/>
      <c r="C616" s="15">
        <v>10</v>
      </c>
      <c r="D616" s="16">
        <v>75</v>
      </c>
      <c r="E616" s="15">
        <f t="shared" si="351"/>
        <v>4</v>
      </c>
      <c r="F616" s="11">
        <f>2*2</f>
        <v>4</v>
      </c>
      <c r="G616" s="11">
        <f t="shared" si="352"/>
        <v>8</v>
      </c>
      <c r="H616" s="12"/>
      <c r="I616" s="12">
        <f>+(0.16+0.16+0.22)+0.24*0.01</f>
        <v>0.54239999999999999</v>
      </c>
      <c r="J616" s="22"/>
      <c r="K616" s="22"/>
      <c r="L616" s="12">
        <f t="shared" si="333"/>
        <v>0.54239999999999999</v>
      </c>
      <c r="M616" s="12">
        <f t="shared" si="307"/>
        <v>0</v>
      </c>
      <c r="N616" s="12">
        <f t="shared" si="308"/>
        <v>69.430000000000007</v>
      </c>
      <c r="O616" s="12">
        <f t="shared" si="309"/>
        <v>0</v>
      </c>
      <c r="P616" s="12">
        <f t="shared" si="310"/>
        <v>0</v>
      </c>
      <c r="Q616" s="12">
        <f t="shared" si="311"/>
        <v>0</v>
      </c>
      <c r="R616" s="12">
        <f t="shared" si="312"/>
        <v>0</v>
      </c>
    </row>
    <row r="617" spans="1:18" x14ac:dyDescent="0.25">
      <c r="A617" s="26"/>
      <c r="B617" s="25" t="s">
        <v>161</v>
      </c>
      <c r="C617" s="15">
        <v>8</v>
      </c>
      <c r="D617" s="16">
        <v>150</v>
      </c>
      <c r="E617" s="15">
        <f t="shared" si="351"/>
        <v>4</v>
      </c>
      <c r="F617" s="11">
        <v>1</v>
      </c>
      <c r="G617" s="11">
        <f>+ROUND(1250/D617+1,0)</f>
        <v>9</v>
      </c>
      <c r="H617" s="12"/>
      <c r="I617" s="12">
        <f>2*(0.22+0.52)+24*0.008</f>
        <v>1.6719999999999999</v>
      </c>
      <c r="J617" s="22"/>
      <c r="K617" s="22"/>
      <c r="L617" s="12">
        <f t="shared" si="333"/>
        <v>1.6719999999999999</v>
      </c>
      <c r="M617" s="12">
        <f t="shared" si="307"/>
        <v>60.19</v>
      </c>
      <c r="N617" s="12">
        <f t="shared" si="308"/>
        <v>0</v>
      </c>
      <c r="O617" s="12">
        <f t="shared" si="309"/>
        <v>0</v>
      </c>
      <c r="P617" s="12">
        <f t="shared" si="310"/>
        <v>0</v>
      </c>
      <c r="Q617" s="12">
        <f t="shared" si="311"/>
        <v>0</v>
      </c>
      <c r="R617" s="12">
        <f t="shared" si="312"/>
        <v>0</v>
      </c>
    </row>
    <row r="618" spans="1:18" x14ac:dyDescent="0.25">
      <c r="A618" s="26"/>
      <c r="B618" s="25"/>
      <c r="C618" s="15">
        <v>8</v>
      </c>
      <c r="D618" s="16">
        <v>150</v>
      </c>
      <c r="E618" s="15">
        <f t="shared" si="351"/>
        <v>4</v>
      </c>
      <c r="F618" s="11">
        <v>1</v>
      </c>
      <c r="G618" s="11">
        <f t="shared" ref="G618:G619" si="353">+ROUND(1250/D618+1,0)</f>
        <v>9</v>
      </c>
      <c r="H618" s="12"/>
      <c r="I618" s="12">
        <f>2*(0.22+0.115)+24*0.008</f>
        <v>0.8620000000000001</v>
      </c>
      <c r="J618" s="22"/>
      <c r="K618" s="22"/>
      <c r="L618" s="12">
        <f t="shared" si="333"/>
        <v>0.8620000000000001</v>
      </c>
      <c r="M618" s="12">
        <f t="shared" si="307"/>
        <v>31.03</v>
      </c>
      <c r="N618" s="12">
        <f t="shared" si="308"/>
        <v>0</v>
      </c>
      <c r="O618" s="12">
        <f t="shared" si="309"/>
        <v>0</v>
      </c>
      <c r="P618" s="12">
        <f t="shared" si="310"/>
        <v>0</v>
      </c>
      <c r="Q618" s="12">
        <f t="shared" si="311"/>
        <v>0</v>
      </c>
      <c r="R618" s="12">
        <f t="shared" si="312"/>
        <v>0</v>
      </c>
    </row>
    <row r="619" spans="1:18" x14ac:dyDescent="0.25">
      <c r="A619" s="26"/>
      <c r="B619" s="25"/>
      <c r="C619" s="15">
        <v>8</v>
      </c>
      <c r="D619" s="16">
        <v>150</v>
      </c>
      <c r="E619" s="15">
        <f t="shared" si="351"/>
        <v>4</v>
      </c>
      <c r="F619" s="11">
        <v>2</v>
      </c>
      <c r="G619" s="11">
        <f t="shared" si="353"/>
        <v>9</v>
      </c>
      <c r="H619" s="12"/>
      <c r="I619" s="12">
        <f>+(0.16+0.16+0.22)+0.2*0.008</f>
        <v>0.54160000000000008</v>
      </c>
      <c r="J619" s="22"/>
      <c r="K619" s="22"/>
      <c r="L619" s="12">
        <f t="shared" si="333"/>
        <v>0.54160000000000008</v>
      </c>
      <c r="M619" s="12">
        <f t="shared" si="307"/>
        <v>39</v>
      </c>
      <c r="N619" s="12">
        <f t="shared" si="308"/>
        <v>0</v>
      </c>
      <c r="O619" s="12">
        <f t="shared" si="309"/>
        <v>0</v>
      </c>
      <c r="P619" s="12">
        <f t="shared" si="310"/>
        <v>0</v>
      </c>
      <c r="Q619" s="12">
        <f t="shared" si="311"/>
        <v>0</v>
      </c>
      <c r="R619" s="12">
        <f t="shared" si="312"/>
        <v>0</v>
      </c>
    </row>
    <row r="620" spans="1:18" x14ac:dyDescent="0.25">
      <c r="A620" s="26"/>
      <c r="B620" s="45" t="s">
        <v>428</v>
      </c>
      <c r="C620" s="15"/>
      <c r="D620" s="16"/>
      <c r="E620" s="15"/>
      <c r="F620" s="11"/>
      <c r="G620" s="11"/>
      <c r="H620" s="12"/>
      <c r="I620" s="12"/>
      <c r="J620" s="22"/>
      <c r="K620" s="22"/>
      <c r="L620" s="12">
        <f t="shared" si="333"/>
        <v>0</v>
      </c>
      <c r="M620" s="12">
        <f t="shared" si="307"/>
        <v>0</v>
      </c>
      <c r="N620" s="12">
        <f t="shared" si="308"/>
        <v>0</v>
      </c>
      <c r="O620" s="12">
        <f t="shared" si="309"/>
        <v>0</v>
      </c>
      <c r="P620" s="12">
        <f t="shared" si="310"/>
        <v>0</v>
      </c>
      <c r="Q620" s="12">
        <f t="shared" si="311"/>
        <v>0</v>
      </c>
      <c r="R620" s="12">
        <f t="shared" si="312"/>
        <v>0</v>
      </c>
    </row>
    <row r="621" spans="1:18" x14ac:dyDescent="0.25">
      <c r="A621" s="26"/>
      <c r="B621" s="45" t="s">
        <v>171</v>
      </c>
      <c r="C621" s="15">
        <v>16</v>
      </c>
      <c r="D621" s="16"/>
      <c r="E621" s="15">
        <v>2</v>
      </c>
      <c r="F621" s="11">
        <v>1</v>
      </c>
      <c r="G621" s="11">
        <v>8</v>
      </c>
      <c r="H621" s="12"/>
      <c r="I621" s="12">
        <f t="shared" ref="I621:I623" si="354">106.2-103.25</f>
        <v>2.9500000000000028</v>
      </c>
      <c r="J621" s="22"/>
      <c r="K621" s="22">
        <f t="shared" ref="K621:K623" si="355">0.5*40*C621/1000</f>
        <v>0.32</v>
      </c>
      <c r="L621" s="12">
        <f t="shared" si="333"/>
        <v>3.2700000000000027</v>
      </c>
      <c r="M621" s="12">
        <f t="shared" si="307"/>
        <v>0</v>
      </c>
      <c r="N621" s="12">
        <f t="shared" si="308"/>
        <v>0</v>
      </c>
      <c r="O621" s="12">
        <f t="shared" si="309"/>
        <v>0</v>
      </c>
      <c r="P621" s="12">
        <f t="shared" si="310"/>
        <v>52.32</v>
      </c>
      <c r="Q621" s="12">
        <f t="shared" si="311"/>
        <v>0</v>
      </c>
      <c r="R621" s="12">
        <f t="shared" si="312"/>
        <v>0</v>
      </c>
    </row>
    <row r="622" spans="1:18" x14ac:dyDescent="0.25">
      <c r="A622" s="26"/>
      <c r="B622" s="25"/>
      <c r="C622" s="15">
        <v>12</v>
      </c>
      <c r="D622" s="16"/>
      <c r="E622" s="15">
        <v>2</v>
      </c>
      <c r="F622" s="11">
        <v>1</v>
      </c>
      <c r="G622" s="11">
        <v>16</v>
      </c>
      <c r="H622" s="12"/>
      <c r="I622" s="12">
        <f t="shared" si="354"/>
        <v>2.9500000000000028</v>
      </c>
      <c r="J622" s="22"/>
      <c r="K622" s="22">
        <f t="shared" si="355"/>
        <v>0.24</v>
      </c>
      <c r="L622" s="12">
        <f t="shared" si="333"/>
        <v>3.1900000000000031</v>
      </c>
      <c r="M622" s="12">
        <f t="shared" si="307"/>
        <v>0</v>
      </c>
      <c r="N622" s="12">
        <f t="shared" si="308"/>
        <v>0</v>
      </c>
      <c r="O622" s="12">
        <f t="shared" si="309"/>
        <v>102.08</v>
      </c>
      <c r="P622" s="12">
        <f t="shared" si="310"/>
        <v>0</v>
      </c>
      <c r="Q622" s="12">
        <f t="shared" si="311"/>
        <v>0</v>
      </c>
      <c r="R622" s="12">
        <f t="shared" si="312"/>
        <v>0</v>
      </c>
    </row>
    <row r="623" spans="1:18" x14ac:dyDescent="0.25">
      <c r="A623" s="26"/>
      <c r="B623" s="25"/>
      <c r="C623" s="15">
        <v>10</v>
      </c>
      <c r="D623" s="16"/>
      <c r="E623" s="15">
        <v>2</v>
      </c>
      <c r="F623" s="11">
        <v>1</v>
      </c>
      <c r="G623" s="11">
        <v>8</v>
      </c>
      <c r="H623" s="12"/>
      <c r="I623" s="12">
        <f t="shared" si="354"/>
        <v>2.9500000000000028</v>
      </c>
      <c r="J623" s="22"/>
      <c r="K623" s="22">
        <f t="shared" si="355"/>
        <v>0.2</v>
      </c>
      <c r="L623" s="12">
        <f t="shared" si="333"/>
        <v>3.150000000000003</v>
      </c>
      <c r="M623" s="12">
        <f t="shared" si="307"/>
        <v>0</v>
      </c>
      <c r="N623" s="12">
        <f t="shared" si="308"/>
        <v>50.4</v>
      </c>
      <c r="O623" s="12">
        <f t="shared" si="309"/>
        <v>0</v>
      </c>
      <c r="P623" s="12">
        <f t="shared" si="310"/>
        <v>0</v>
      </c>
      <c r="Q623" s="12">
        <f t="shared" si="311"/>
        <v>0</v>
      </c>
      <c r="R623" s="12">
        <f t="shared" si="312"/>
        <v>0</v>
      </c>
    </row>
    <row r="624" spans="1:18" x14ac:dyDescent="0.25">
      <c r="A624" s="26"/>
      <c r="B624" s="25" t="s">
        <v>172</v>
      </c>
      <c r="C624" s="15"/>
      <c r="D624" s="16"/>
      <c r="E624" s="15"/>
      <c r="F624" s="11"/>
      <c r="G624" s="11"/>
      <c r="H624" s="12"/>
      <c r="I624" s="12"/>
      <c r="J624" s="22"/>
      <c r="K624" s="22"/>
      <c r="L624" s="12">
        <f t="shared" si="333"/>
        <v>0</v>
      </c>
      <c r="M624" s="12">
        <f t="shared" si="307"/>
        <v>0</v>
      </c>
      <c r="N624" s="12">
        <f t="shared" si="308"/>
        <v>0</v>
      </c>
      <c r="O624" s="12">
        <f t="shared" si="309"/>
        <v>0</v>
      </c>
      <c r="P624" s="12">
        <f t="shared" si="310"/>
        <v>0</v>
      </c>
      <c r="Q624" s="12">
        <f t="shared" si="311"/>
        <v>0</v>
      </c>
      <c r="R624" s="12">
        <f t="shared" si="312"/>
        <v>0</v>
      </c>
    </row>
    <row r="625" spans="1:18" x14ac:dyDescent="0.25">
      <c r="A625" s="26"/>
      <c r="B625" s="25" t="s">
        <v>188</v>
      </c>
      <c r="C625" s="15">
        <v>8</v>
      </c>
      <c r="D625" s="16">
        <v>100</v>
      </c>
      <c r="E625" s="15">
        <v>2</v>
      </c>
      <c r="F625" s="11">
        <v>1</v>
      </c>
      <c r="G625" s="11">
        <f>+ROUND(2450/D625+1,0)</f>
        <v>26</v>
      </c>
      <c r="H625" s="12"/>
      <c r="I625" s="12">
        <f>2*(0.18+0.6)+24*C625/1000</f>
        <v>1.752</v>
      </c>
      <c r="J625" s="22"/>
      <c r="K625" s="22"/>
      <c r="L625" s="12">
        <f t="shared" si="333"/>
        <v>1.752</v>
      </c>
      <c r="M625" s="12">
        <f t="shared" si="307"/>
        <v>91.1</v>
      </c>
      <c r="N625" s="12">
        <f t="shared" si="308"/>
        <v>0</v>
      </c>
      <c r="O625" s="12">
        <f t="shared" si="309"/>
        <v>0</v>
      </c>
      <c r="P625" s="12">
        <f t="shared" si="310"/>
        <v>0</v>
      </c>
      <c r="Q625" s="12">
        <f t="shared" si="311"/>
        <v>0</v>
      </c>
      <c r="R625" s="12">
        <f t="shared" si="312"/>
        <v>0</v>
      </c>
    </row>
    <row r="626" spans="1:18" x14ac:dyDescent="0.25">
      <c r="A626" s="26"/>
      <c r="B626" s="25" t="s">
        <v>174</v>
      </c>
      <c r="C626" s="15">
        <v>8</v>
      </c>
      <c r="D626" s="16">
        <v>100</v>
      </c>
      <c r="E626" s="15">
        <v>2</v>
      </c>
      <c r="F626" s="11">
        <v>1</v>
      </c>
      <c r="G626" s="11">
        <f t="shared" ref="G626:G632" si="356">+ROUND(2450/D626+1,0)</f>
        <v>26</v>
      </c>
      <c r="H626" s="12"/>
      <c r="I626" s="12">
        <f>2*(0.18+0.248)+24*C626/1000</f>
        <v>1.048</v>
      </c>
      <c r="J626" s="22"/>
      <c r="K626" s="22"/>
      <c r="L626" s="12">
        <f t="shared" si="333"/>
        <v>1.048</v>
      </c>
      <c r="M626" s="12">
        <f t="shared" si="307"/>
        <v>54.5</v>
      </c>
      <c r="N626" s="12">
        <f t="shared" si="308"/>
        <v>0</v>
      </c>
      <c r="O626" s="12">
        <f t="shared" si="309"/>
        <v>0</v>
      </c>
      <c r="P626" s="12">
        <f t="shared" si="310"/>
        <v>0</v>
      </c>
      <c r="Q626" s="12">
        <f t="shared" si="311"/>
        <v>0</v>
      </c>
      <c r="R626" s="12">
        <f t="shared" si="312"/>
        <v>0</v>
      </c>
    </row>
    <row r="627" spans="1:18" x14ac:dyDescent="0.25">
      <c r="A627" s="26"/>
      <c r="B627" s="25" t="s">
        <v>173</v>
      </c>
      <c r="C627" s="15">
        <v>8</v>
      </c>
      <c r="D627" s="16">
        <v>100</v>
      </c>
      <c r="E627" s="15">
        <v>2</v>
      </c>
      <c r="F627" s="11">
        <v>1</v>
      </c>
      <c r="G627" s="11">
        <f t="shared" si="356"/>
        <v>26</v>
      </c>
      <c r="H627" s="12"/>
      <c r="I627" s="12">
        <f>0.18+(20*C627/1000)</f>
        <v>0.33999999999999997</v>
      </c>
      <c r="J627" s="22"/>
      <c r="K627" s="22"/>
      <c r="L627" s="12">
        <f t="shared" si="333"/>
        <v>0.33999999999999997</v>
      </c>
      <c r="M627" s="12">
        <f t="shared" si="307"/>
        <v>17.68</v>
      </c>
      <c r="N627" s="12">
        <f t="shared" si="308"/>
        <v>0</v>
      </c>
      <c r="O627" s="12">
        <f t="shared" si="309"/>
        <v>0</v>
      </c>
      <c r="P627" s="12">
        <f t="shared" si="310"/>
        <v>0</v>
      </c>
      <c r="Q627" s="12">
        <f t="shared" si="311"/>
        <v>0</v>
      </c>
      <c r="R627" s="12">
        <f t="shared" si="312"/>
        <v>0</v>
      </c>
    </row>
    <row r="628" spans="1:18" x14ac:dyDescent="0.25">
      <c r="A628" s="26"/>
      <c r="B628" s="25" t="s">
        <v>189</v>
      </c>
      <c r="C628" s="15">
        <v>8</v>
      </c>
      <c r="D628" s="16">
        <v>100</v>
      </c>
      <c r="E628" s="15">
        <v>2</v>
      </c>
      <c r="F628" s="11">
        <v>2</v>
      </c>
      <c r="G628" s="11">
        <f t="shared" si="356"/>
        <v>26</v>
      </c>
      <c r="H628" s="12"/>
      <c r="I628" s="12">
        <f>2*(0.18+0.385)+24*C628/1000</f>
        <v>1.3219999999999998</v>
      </c>
      <c r="J628" s="22"/>
      <c r="K628" s="22"/>
      <c r="L628" s="12">
        <f t="shared" si="333"/>
        <v>1.3219999999999998</v>
      </c>
      <c r="M628" s="12">
        <f t="shared" si="307"/>
        <v>137.49</v>
      </c>
      <c r="N628" s="12">
        <f t="shared" si="308"/>
        <v>0</v>
      </c>
      <c r="O628" s="12">
        <f t="shared" si="309"/>
        <v>0</v>
      </c>
      <c r="P628" s="12">
        <f t="shared" si="310"/>
        <v>0</v>
      </c>
      <c r="Q628" s="12">
        <f t="shared" si="311"/>
        <v>0</v>
      </c>
      <c r="R628" s="12">
        <f t="shared" si="312"/>
        <v>0</v>
      </c>
    </row>
    <row r="629" spans="1:18" x14ac:dyDescent="0.25">
      <c r="A629" s="26"/>
      <c r="B629" s="25" t="s">
        <v>175</v>
      </c>
      <c r="C629" s="15">
        <v>8</v>
      </c>
      <c r="D629" s="16">
        <v>100</v>
      </c>
      <c r="E629" s="15">
        <v>2</v>
      </c>
      <c r="F629" s="11">
        <v>1</v>
      </c>
      <c r="G629" s="11">
        <f t="shared" si="356"/>
        <v>26</v>
      </c>
      <c r="H629" s="12"/>
      <c r="I629" s="12">
        <f>2*(0.18+0.268)+24*C629/1000</f>
        <v>1.0880000000000001</v>
      </c>
      <c r="J629" s="22"/>
      <c r="K629" s="22"/>
      <c r="L629" s="12">
        <f t="shared" si="333"/>
        <v>1.0880000000000001</v>
      </c>
      <c r="M629" s="12">
        <f t="shared" si="307"/>
        <v>56.58</v>
      </c>
      <c r="N629" s="12">
        <f t="shared" si="308"/>
        <v>0</v>
      </c>
      <c r="O629" s="12">
        <f t="shared" si="309"/>
        <v>0</v>
      </c>
      <c r="P629" s="12">
        <f t="shared" si="310"/>
        <v>0</v>
      </c>
      <c r="Q629" s="12">
        <f t="shared" si="311"/>
        <v>0</v>
      </c>
      <c r="R629" s="12">
        <f t="shared" si="312"/>
        <v>0</v>
      </c>
    </row>
    <row r="630" spans="1:18" x14ac:dyDescent="0.25">
      <c r="A630" s="26"/>
      <c r="B630" s="25" t="s">
        <v>173</v>
      </c>
      <c r="C630" s="15">
        <v>8</v>
      </c>
      <c r="D630" s="16">
        <v>100</v>
      </c>
      <c r="E630" s="15">
        <v>2</v>
      </c>
      <c r="F630" s="11">
        <v>1</v>
      </c>
      <c r="G630" s="11">
        <f t="shared" si="356"/>
        <v>26</v>
      </c>
      <c r="H630" s="12"/>
      <c r="I630" s="12">
        <f>0.18+(20*C630/1000)</f>
        <v>0.33999999999999997</v>
      </c>
      <c r="J630" s="22"/>
      <c r="K630" s="22"/>
      <c r="L630" s="12">
        <f t="shared" si="333"/>
        <v>0.33999999999999997</v>
      </c>
      <c r="M630" s="12">
        <f t="shared" si="307"/>
        <v>17.68</v>
      </c>
      <c r="N630" s="12">
        <f t="shared" si="308"/>
        <v>0</v>
      </c>
      <c r="O630" s="12">
        <f t="shared" si="309"/>
        <v>0</v>
      </c>
      <c r="P630" s="12">
        <f t="shared" si="310"/>
        <v>0</v>
      </c>
      <c r="Q630" s="12">
        <f t="shared" si="311"/>
        <v>0</v>
      </c>
      <c r="R630" s="12">
        <f t="shared" si="312"/>
        <v>0</v>
      </c>
    </row>
    <row r="631" spans="1:18" x14ac:dyDescent="0.25">
      <c r="A631" s="26"/>
      <c r="B631" s="25" t="s">
        <v>176</v>
      </c>
      <c r="C631" s="15">
        <v>8</v>
      </c>
      <c r="D631" s="16">
        <v>200</v>
      </c>
      <c r="E631" s="15">
        <v>2</v>
      </c>
      <c r="F631" s="11">
        <v>1</v>
      </c>
      <c r="G631" s="11">
        <f t="shared" si="356"/>
        <v>13</v>
      </c>
      <c r="H631" s="12"/>
      <c r="I631" s="12">
        <f>2*(0.18+0.866)+24*C631/1000</f>
        <v>2.2840000000000003</v>
      </c>
      <c r="J631" s="22"/>
      <c r="K631" s="22"/>
      <c r="L631" s="12">
        <f t="shared" si="333"/>
        <v>2.2840000000000003</v>
      </c>
      <c r="M631" s="12">
        <f t="shared" si="307"/>
        <v>59.38</v>
      </c>
      <c r="N631" s="12">
        <f t="shared" si="308"/>
        <v>0</v>
      </c>
      <c r="O631" s="12">
        <f t="shared" si="309"/>
        <v>0</v>
      </c>
      <c r="P631" s="12">
        <f t="shared" si="310"/>
        <v>0</v>
      </c>
      <c r="Q631" s="12">
        <f t="shared" si="311"/>
        <v>0</v>
      </c>
      <c r="R631" s="12">
        <f t="shared" si="312"/>
        <v>0</v>
      </c>
    </row>
    <row r="632" spans="1:18" x14ac:dyDescent="0.25">
      <c r="A632" s="26"/>
      <c r="B632" s="25" t="s">
        <v>177</v>
      </c>
      <c r="C632" s="15">
        <v>8</v>
      </c>
      <c r="D632" s="16">
        <v>400</v>
      </c>
      <c r="E632" s="15">
        <v>2</v>
      </c>
      <c r="F632" s="11">
        <v>2</v>
      </c>
      <c r="G632" s="11">
        <f t="shared" si="356"/>
        <v>7</v>
      </c>
      <c r="H632" s="12"/>
      <c r="I632" s="12">
        <f>0.18+(20*C632/1000)</f>
        <v>0.33999999999999997</v>
      </c>
      <c r="J632" s="22"/>
      <c r="K632" s="22"/>
      <c r="L632" s="12">
        <f t="shared" si="333"/>
        <v>0.33999999999999997</v>
      </c>
      <c r="M632" s="12">
        <f t="shared" si="307"/>
        <v>9.52</v>
      </c>
      <c r="N632" s="12">
        <f t="shared" si="308"/>
        <v>0</v>
      </c>
      <c r="O632" s="12">
        <f t="shared" si="309"/>
        <v>0</v>
      </c>
      <c r="P632" s="12">
        <f t="shared" si="310"/>
        <v>0</v>
      </c>
      <c r="Q632" s="12">
        <f t="shared" si="311"/>
        <v>0</v>
      </c>
      <c r="R632" s="12">
        <f t="shared" si="312"/>
        <v>0</v>
      </c>
    </row>
    <row r="633" spans="1:18" x14ac:dyDescent="0.25">
      <c r="A633" s="26"/>
      <c r="B633" s="45" t="s">
        <v>178</v>
      </c>
      <c r="C633" s="15">
        <v>16</v>
      </c>
      <c r="D633" s="16"/>
      <c r="E633" s="15">
        <v>2</v>
      </c>
      <c r="F633" s="11">
        <v>1</v>
      </c>
      <c r="G633" s="11">
        <v>8</v>
      </c>
      <c r="H633" s="12"/>
      <c r="I633" s="12">
        <f t="shared" ref="I633:I635" si="357">106.2-103.25</f>
        <v>2.9500000000000028</v>
      </c>
      <c r="J633" s="22"/>
      <c r="K633" s="22">
        <f t="shared" ref="K633:K635" si="358">0.5*40*C633/1000</f>
        <v>0.32</v>
      </c>
      <c r="L633" s="12">
        <f t="shared" si="333"/>
        <v>3.2700000000000027</v>
      </c>
      <c r="M633" s="12">
        <f t="shared" si="307"/>
        <v>0</v>
      </c>
      <c r="N633" s="12">
        <f t="shared" si="308"/>
        <v>0</v>
      </c>
      <c r="O633" s="12">
        <f t="shared" si="309"/>
        <v>0</v>
      </c>
      <c r="P633" s="12">
        <f t="shared" si="310"/>
        <v>52.32</v>
      </c>
      <c r="Q633" s="12">
        <f t="shared" si="311"/>
        <v>0</v>
      </c>
      <c r="R633" s="12">
        <f t="shared" si="312"/>
        <v>0</v>
      </c>
    </row>
    <row r="634" spans="1:18" x14ac:dyDescent="0.25">
      <c r="A634" s="26"/>
      <c r="B634" s="25"/>
      <c r="C634" s="15">
        <v>12</v>
      </c>
      <c r="D634" s="16"/>
      <c r="E634" s="15">
        <v>2</v>
      </c>
      <c r="F634" s="11">
        <v>1</v>
      </c>
      <c r="G634" s="11">
        <v>16</v>
      </c>
      <c r="H634" s="12"/>
      <c r="I634" s="12">
        <f t="shared" si="357"/>
        <v>2.9500000000000028</v>
      </c>
      <c r="J634" s="22"/>
      <c r="K634" s="22">
        <f t="shared" si="358"/>
        <v>0.24</v>
      </c>
      <c r="L634" s="12">
        <f t="shared" si="333"/>
        <v>3.1900000000000031</v>
      </c>
      <c r="M634" s="12">
        <f t="shared" si="307"/>
        <v>0</v>
      </c>
      <c r="N634" s="12">
        <f t="shared" si="308"/>
        <v>0</v>
      </c>
      <c r="O634" s="12">
        <f t="shared" si="309"/>
        <v>102.08</v>
      </c>
      <c r="P634" s="12">
        <f t="shared" si="310"/>
        <v>0</v>
      </c>
      <c r="Q634" s="12">
        <f t="shared" si="311"/>
        <v>0</v>
      </c>
      <c r="R634" s="12">
        <f t="shared" si="312"/>
        <v>0</v>
      </c>
    </row>
    <row r="635" spans="1:18" x14ac:dyDescent="0.25">
      <c r="A635" s="26"/>
      <c r="B635" s="25"/>
      <c r="C635" s="15">
        <v>10</v>
      </c>
      <c r="D635" s="16"/>
      <c r="E635" s="15">
        <v>2</v>
      </c>
      <c r="F635" s="11">
        <v>1</v>
      </c>
      <c r="G635" s="11">
        <v>10</v>
      </c>
      <c r="H635" s="12"/>
      <c r="I635" s="12">
        <f t="shared" si="357"/>
        <v>2.9500000000000028</v>
      </c>
      <c r="J635" s="22"/>
      <c r="K635" s="22">
        <f t="shared" si="358"/>
        <v>0.2</v>
      </c>
      <c r="L635" s="12">
        <f t="shared" si="333"/>
        <v>3.150000000000003</v>
      </c>
      <c r="M635" s="12">
        <f t="shared" si="307"/>
        <v>0</v>
      </c>
      <c r="N635" s="12">
        <f t="shared" si="308"/>
        <v>63</v>
      </c>
      <c r="O635" s="12">
        <f t="shared" si="309"/>
        <v>0</v>
      </c>
      <c r="P635" s="12">
        <f t="shared" si="310"/>
        <v>0</v>
      </c>
      <c r="Q635" s="12">
        <f t="shared" si="311"/>
        <v>0</v>
      </c>
      <c r="R635" s="12">
        <f t="shared" si="312"/>
        <v>0</v>
      </c>
    </row>
    <row r="636" spans="1:18" x14ac:dyDescent="0.25">
      <c r="A636" s="26"/>
      <c r="B636" s="25" t="s">
        <v>172</v>
      </c>
      <c r="C636" s="15"/>
      <c r="D636" s="16"/>
      <c r="E636" s="15"/>
      <c r="F636" s="11"/>
      <c r="G636" s="11"/>
      <c r="H636" s="12"/>
      <c r="I636" s="12"/>
      <c r="J636" s="22"/>
      <c r="K636" s="22"/>
      <c r="L636" s="12">
        <f t="shared" si="333"/>
        <v>0</v>
      </c>
      <c r="M636" s="12">
        <f t="shared" si="307"/>
        <v>0</v>
      </c>
      <c r="N636" s="12">
        <f t="shared" si="308"/>
        <v>0</v>
      </c>
      <c r="O636" s="12">
        <f t="shared" si="309"/>
        <v>0</v>
      </c>
      <c r="P636" s="12">
        <f t="shared" si="310"/>
        <v>0</v>
      </c>
      <c r="Q636" s="12">
        <f t="shared" si="311"/>
        <v>0</v>
      </c>
      <c r="R636" s="12">
        <f t="shared" si="312"/>
        <v>0</v>
      </c>
    </row>
    <row r="637" spans="1:18" x14ac:dyDescent="0.25">
      <c r="A637" s="26"/>
      <c r="B637" s="25" t="s">
        <v>188</v>
      </c>
      <c r="C637" s="15">
        <v>8</v>
      </c>
      <c r="D637" s="16">
        <v>100</v>
      </c>
      <c r="E637" s="15">
        <v>2</v>
      </c>
      <c r="F637" s="11">
        <v>1</v>
      </c>
      <c r="G637" s="11">
        <f t="shared" ref="G637:G644" si="359">+ROUND(2450/D637+1,0)</f>
        <v>26</v>
      </c>
      <c r="H637" s="12"/>
      <c r="I637" s="12">
        <f>2*(0.18+0.6)+24*C637/1000</f>
        <v>1.752</v>
      </c>
      <c r="J637" s="22"/>
      <c r="K637" s="22"/>
      <c r="L637" s="12">
        <f t="shared" si="333"/>
        <v>1.752</v>
      </c>
      <c r="M637" s="12">
        <f t="shared" si="307"/>
        <v>91.1</v>
      </c>
      <c r="N637" s="12">
        <f t="shared" si="308"/>
        <v>0</v>
      </c>
      <c r="O637" s="12">
        <f t="shared" si="309"/>
        <v>0</v>
      </c>
      <c r="P637" s="12">
        <f t="shared" si="310"/>
        <v>0</v>
      </c>
      <c r="Q637" s="12">
        <f t="shared" si="311"/>
        <v>0</v>
      </c>
      <c r="R637" s="12">
        <f t="shared" si="312"/>
        <v>0</v>
      </c>
    </row>
    <row r="638" spans="1:18" x14ac:dyDescent="0.25">
      <c r="A638" s="26"/>
      <c r="B638" s="25" t="s">
        <v>174</v>
      </c>
      <c r="C638" s="15">
        <v>8</v>
      </c>
      <c r="D638" s="16">
        <v>100</v>
      </c>
      <c r="E638" s="15">
        <v>2</v>
      </c>
      <c r="F638" s="11">
        <v>1</v>
      </c>
      <c r="G638" s="11">
        <f t="shared" si="359"/>
        <v>26</v>
      </c>
      <c r="H638" s="12"/>
      <c r="I638" s="12">
        <f>2*(0.18+0.248)+24*C638/1000</f>
        <v>1.048</v>
      </c>
      <c r="J638" s="22"/>
      <c r="K638" s="22"/>
      <c r="L638" s="12">
        <f t="shared" si="333"/>
        <v>1.048</v>
      </c>
      <c r="M638" s="12">
        <f t="shared" si="307"/>
        <v>54.5</v>
      </c>
      <c r="N638" s="12">
        <f t="shared" si="308"/>
        <v>0</v>
      </c>
      <c r="O638" s="12">
        <f t="shared" si="309"/>
        <v>0</v>
      </c>
      <c r="P638" s="12">
        <f t="shared" si="310"/>
        <v>0</v>
      </c>
      <c r="Q638" s="12">
        <f t="shared" si="311"/>
        <v>0</v>
      </c>
      <c r="R638" s="12">
        <f t="shared" si="312"/>
        <v>0</v>
      </c>
    </row>
    <row r="639" spans="1:18" x14ac:dyDescent="0.25">
      <c r="A639" s="26"/>
      <c r="B639" s="25" t="s">
        <v>173</v>
      </c>
      <c r="C639" s="15">
        <v>8</v>
      </c>
      <c r="D639" s="16">
        <v>100</v>
      </c>
      <c r="E639" s="15">
        <v>2</v>
      </c>
      <c r="F639" s="11">
        <v>1</v>
      </c>
      <c r="G639" s="11">
        <f t="shared" si="359"/>
        <v>26</v>
      </c>
      <c r="H639" s="12"/>
      <c r="I639" s="12">
        <f>0.18+(20*C639/1000)</f>
        <v>0.33999999999999997</v>
      </c>
      <c r="J639" s="22"/>
      <c r="K639" s="22"/>
      <c r="L639" s="12">
        <f t="shared" si="333"/>
        <v>0.33999999999999997</v>
      </c>
      <c r="M639" s="12">
        <f t="shared" si="307"/>
        <v>17.68</v>
      </c>
      <c r="N639" s="12">
        <f t="shared" si="308"/>
        <v>0</v>
      </c>
      <c r="O639" s="12">
        <f t="shared" si="309"/>
        <v>0</v>
      </c>
      <c r="P639" s="12">
        <f t="shared" si="310"/>
        <v>0</v>
      </c>
      <c r="Q639" s="12">
        <f t="shared" si="311"/>
        <v>0</v>
      </c>
      <c r="R639" s="12">
        <f t="shared" si="312"/>
        <v>0</v>
      </c>
    </row>
    <row r="640" spans="1:18" x14ac:dyDescent="0.25">
      <c r="A640" s="26"/>
      <c r="B640" s="25" t="s">
        <v>189</v>
      </c>
      <c r="C640" s="15">
        <v>8</v>
      </c>
      <c r="D640" s="16">
        <v>100</v>
      </c>
      <c r="E640" s="15">
        <v>2</v>
      </c>
      <c r="F640" s="11">
        <v>2</v>
      </c>
      <c r="G640" s="11">
        <f t="shared" si="359"/>
        <v>26</v>
      </c>
      <c r="H640" s="12"/>
      <c r="I640" s="12">
        <f>2*(0.18+0.385)+24*C640/1000</f>
        <v>1.3219999999999998</v>
      </c>
      <c r="J640" s="22"/>
      <c r="K640" s="22"/>
      <c r="L640" s="12">
        <f t="shared" si="333"/>
        <v>1.3219999999999998</v>
      </c>
      <c r="M640" s="12">
        <f t="shared" si="307"/>
        <v>137.49</v>
      </c>
      <c r="N640" s="12">
        <f t="shared" si="308"/>
        <v>0</v>
      </c>
      <c r="O640" s="12">
        <f t="shared" si="309"/>
        <v>0</v>
      </c>
      <c r="P640" s="12">
        <f t="shared" si="310"/>
        <v>0</v>
      </c>
      <c r="Q640" s="12">
        <f t="shared" si="311"/>
        <v>0</v>
      </c>
      <c r="R640" s="12">
        <f t="shared" si="312"/>
        <v>0</v>
      </c>
    </row>
    <row r="641" spans="1:18" x14ac:dyDescent="0.25">
      <c r="A641" s="26"/>
      <c r="B641" s="25" t="s">
        <v>175</v>
      </c>
      <c r="C641" s="15">
        <v>8</v>
      </c>
      <c r="D641" s="16">
        <v>100</v>
      </c>
      <c r="E641" s="15">
        <v>2</v>
      </c>
      <c r="F641" s="11">
        <v>1</v>
      </c>
      <c r="G641" s="11">
        <f t="shared" si="359"/>
        <v>26</v>
      </c>
      <c r="H641" s="12"/>
      <c r="I641" s="12">
        <f>2*(0.18+0.268)+24*C641/1000</f>
        <v>1.0880000000000001</v>
      </c>
      <c r="J641" s="22"/>
      <c r="K641" s="22"/>
      <c r="L641" s="12">
        <f t="shared" si="333"/>
        <v>1.0880000000000001</v>
      </c>
      <c r="M641" s="12">
        <f t="shared" si="307"/>
        <v>56.58</v>
      </c>
      <c r="N641" s="12">
        <f t="shared" si="308"/>
        <v>0</v>
      </c>
      <c r="O641" s="12">
        <f t="shared" si="309"/>
        <v>0</v>
      </c>
      <c r="P641" s="12">
        <f t="shared" si="310"/>
        <v>0</v>
      </c>
      <c r="Q641" s="12">
        <f t="shared" si="311"/>
        <v>0</v>
      </c>
      <c r="R641" s="12">
        <f t="shared" si="312"/>
        <v>0</v>
      </c>
    </row>
    <row r="642" spans="1:18" x14ac:dyDescent="0.25">
      <c r="A642" s="26"/>
      <c r="B642" s="25" t="s">
        <v>173</v>
      </c>
      <c r="C642" s="15">
        <v>8</v>
      </c>
      <c r="D642" s="16">
        <v>100</v>
      </c>
      <c r="E642" s="15">
        <v>2</v>
      </c>
      <c r="F642" s="11">
        <v>1</v>
      </c>
      <c r="G642" s="11">
        <f t="shared" si="359"/>
        <v>26</v>
      </c>
      <c r="H642" s="12"/>
      <c r="I642" s="12">
        <f>0.18+(20*C642/1000)</f>
        <v>0.33999999999999997</v>
      </c>
      <c r="J642" s="22"/>
      <c r="K642" s="22"/>
      <c r="L642" s="12">
        <f t="shared" si="333"/>
        <v>0.33999999999999997</v>
      </c>
      <c r="M642" s="12">
        <f t="shared" si="307"/>
        <v>17.68</v>
      </c>
      <c r="N642" s="12">
        <f t="shared" si="308"/>
        <v>0</v>
      </c>
      <c r="O642" s="12">
        <f t="shared" si="309"/>
        <v>0</v>
      </c>
      <c r="P642" s="12">
        <f t="shared" si="310"/>
        <v>0</v>
      </c>
      <c r="Q642" s="12">
        <f t="shared" si="311"/>
        <v>0</v>
      </c>
      <c r="R642" s="12">
        <f t="shared" si="312"/>
        <v>0</v>
      </c>
    </row>
    <row r="643" spans="1:18" x14ac:dyDescent="0.25">
      <c r="A643" s="26"/>
      <c r="B643" s="25" t="s">
        <v>179</v>
      </c>
      <c r="C643" s="15">
        <v>8</v>
      </c>
      <c r="D643" s="16">
        <v>200</v>
      </c>
      <c r="E643" s="15">
        <v>2</v>
      </c>
      <c r="F643" s="11">
        <v>1</v>
      </c>
      <c r="G643" s="11">
        <f t="shared" si="359"/>
        <v>13</v>
      </c>
      <c r="H643" s="12"/>
      <c r="I643" s="12">
        <f>2*(0.18+1.066)+24*C643/1000</f>
        <v>2.6840000000000002</v>
      </c>
      <c r="J643" s="22"/>
      <c r="K643" s="22"/>
      <c r="L643" s="12">
        <f t="shared" si="333"/>
        <v>2.6840000000000002</v>
      </c>
      <c r="M643" s="12">
        <f t="shared" si="307"/>
        <v>69.78</v>
      </c>
      <c r="N643" s="12">
        <f t="shared" si="308"/>
        <v>0</v>
      </c>
      <c r="O643" s="12">
        <f t="shared" si="309"/>
        <v>0</v>
      </c>
      <c r="P643" s="12">
        <f t="shared" si="310"/>
        <v>0</v>
      </c>
      <c r="Q643" s="12">
        <f t="shared" si="311"/>
        <v>0</v>
      </c>
      <c r="R643" s="12">
        <f t="shared" si="312"/>
        <v>0</v>
      </c>
    </row>
    <row r="644" spans="1:18" x14ac:dyDescent="0.25">
      <c r="A644" s="26"/>
      <c r="B644" s="25" t="s">
        <v>177</v>
      </c>
      <c r="C644" s="15">
        <v>8</v>
      </c>
      <c r="D644" s="16">
        <v>400</v>
      </c>
      <c r="E644" s="15">
        <v>2</v>
      </c>
      <c r="F644" s="11">
        <v>2</v>
      </c>
      <c r="G644" s="11">
        <f t="shared" si="359"/>
        <v>7</v>
      </c>
      <c r="H644" s="12"/>
      <c r="I644" s="12">
        <f>0.18+(20*C644/1000)</f>
        <v>0.33999999999999997</v>
      </c>
      <c r="J644" s="22"/>
      <c r="K644" s="22"/>
      <c r="L644" s="12">
        <f t="shared" ref="L644:L649" si="360">SUM(H644:J644)+K644</f>
        <v>0.33999999999999997</v>
      </c>
      <c r="M644" s="12">
        <f t="shared" si="307"/>
        <v>9.52</v>
      </c>
      <c r="N644" s="12">
        <f t="shared" si="308"/>
        <v>0</v>
      </c>
      <c r="O644" s="12">
        <f t="shared" si="309"/>
        <v>0</v>
      </c>
      <c r="P644" s="12">
        <f t="shared" si="310"/>
        <v>0</v>
      </c>
      <c r="Q644" s="12">
        <f t="shared" si="311"/>
        <v>0</v>
      </c>
      <c r="R644" s="12">
        <f t="shared" si="312"/>
        <v>0</v>
      </c>
    </row>
    <row r="645" spans="1:18" x14ac:dyDescent="0.25">
      <c r="A645" s="26"/>
      <c r="B645" s="45" t="s">
        <v>180</v>
      </c>
      <c r="C645" s="15">
        <v>16</v>
      </c>
      <c r="D645" s="16"/>
      <c r="E645" s="15">
        <v>2</v>
      </c>
      <c r="F645" s="11">
        <v>1</v>
      </c>
      <c r="G645" s="11">
        <v>4</v>
      </c>
      <c r="H645" s="12"/>
      <c r="I645" s="12">
        <f t="shared" ref="I645:I646" si="361">106.2-103.25</f>
        <v>2.9500000000000028</v>
      </c>
      <c r="J645" s="22"/>
      <c r="K645" s="22">
        <f t="shared" ref="K645:K646" si="362">0.5*40*C645/1000</f>
        <v>0.32</v>
      </c>
      <c r="L645" s="12">
        <f t="shared" si="360"/>
        <v>3.2700000000000027</v>
      </c>
      <c r="M645" s="12">
        <f t="shared" si="307"/>
        <v>0</v>
      </c>
      <c r="N645" s="12">
        <f t="shared" si="308"/>
        <v>0</v>
      </c>
      <c r="O645" s="12">
        <f t="shared" si="309"/>
        <v>0</v>
      </c>
      <c r="P645" s="12">
        <f t="shared" si="310"/>
        <v>26.16</v>
      </c>
      <c r="Q645" s="12">
        <f t="shared" si="311"/>
        <v>0</v>
      </c>
      <c r="R645" s="12">
        <f t="shared" si="312"/>
        <v>0</v>
      </c>
    </row>
    <row r="646" spans="1:18" x14ac:dyDescent="0.25">
      <c r="A646" s="26"/>
      <c r="B646" s="25"/>
      <c r="C646" s="15">
        <v>12</v>
      </c>
      <c r="D646" s="16"/>
      <c r="E646" s="15">
        <v>2</v>
      </c>
      <c r="F646" s="11">
        <v>1</v>
      </c>
      <c r="G646" s="11">
        <v>16</v>
      </c>
      <c r="H646" s="12"/>
      <c r="I646" s="12">
        <f t="shared" si="361"/>
        <v>2.9500000000000028</v>
      </c>
      <c r="J646" s="22"/>
      <c r="K646" s="22">
        <f t="shared" si="362"/>
        <v>0.24</v>
      </c>
      <c r="L646" s="12">
        <f t="shared" si="360"/>
        <v>3.1900000000000031</v>
      </c>
      <c r="M646" s="12">
        <f t="shared" si="307"/>
        <v>0</v>
      </c>
      <c r="N646" s="12">
        <f t="shared" si="308"/>
        <v>0</v>
      </c>
      <c r="O646" s="12">
        <f t="shared" si="309"/>
        <v>102.08</v>
      </c>
      <c r="P646" s="12">
        <f t="shared" si="310"/>
        <v>0</v>
      </c>
      <c r="Q646" s="12">
        <f t="shared" si="311"/>
        <v>0</v>
      </c>
      <c r="R646" s="12">
        <f t="shared" si="312"/>
        <v>0</v>
      </c>
    </row>
    <row r="647" spans="1:18" x14ac:dyDescent="0.25">
      <c r="A647" s="26"/>
      <c r="B647" s="25" t="s">
        <v>172</v>
      </c>
      <c r="C647" s="15"/>
      <c r="D647" s="16"/>
      <c r="E647" s="15"/>
      <c r="F647" s="11"/>
      <c r="G647" s="11"/>
      <c r="H647" s="12"/>
      <c r="I647" s="12"/>
      <c r="J647" s="22"/>
      <c r="K647" s="22"/>
      <c r="L647" s="12">
        <f t="shared" si="360"/>
        <v>0</v>
      </c>
      <c r="M647" s="12">
        <f t="shared" si="307"/>
        <v>0</v>
      </c>
      <c r="N647" s="12">
        <f t="shared" si="308"/>
        <v>0</v>
      </c>
      <c r="O647" s="12">
        <f t="shared" si="309"/>
        <v>0</v>
      </c>
      <c r="P647" s="12">
        <f t="shared" si="310"/>
        <v>0</v>
      </c>
      <c r="Q647" s="12">
        <f t="shared" si="311"/>
        <v>0</v>
      </c>
      <c r="R647" s="12">
        <f t="shared" si="312"/>
        <v>0</v>
      </c>
    </row>
    <row r="648" spans="1:18" x14ac:dyDescent="0.25">
      <c r="A648" s="26"/>
      <c r="B648" s="25" t="s">
        <v>187</v>
      </c>
      <c r="C648" s="15">
        <v>8</v>
      </c>
      <c r="D648" s="16">
        <v>100</v>
      </c>
      <c r="E648" s="15">
        <v>2</v>
      </c>
      <c r="F648" s="11">
        <v>1</v>
      </c>
      <c r="G648" s="11">
        <f t="shared" ref="G648:G649" si="363">+ROUND(2450/D648+1,0)</f>
        <v>26</v>
      </c>
      <c r="H648" s="12"/>
      <c r="I648" s="12">
        <f>2*(0.18+0.95)+24*C648/1000</f>
        <v>2.452</v>
      </c>
      <c r="J648" s="22"/>
      <c r="K648" s="22"/>
      <c r="L648" s="12">
        <f t="shared" si="360"/>
        <v>2.452</v>
      </c>
      <c r="M648" s="12">
        <f t="shared" si="307"/>
        <v>127.5</v>
      </c>
      <c r="N648" s="12">
        <f t="shared" si="308"/>
        <v>0</v>
      </c>
      <c r="O648" s="12">
        <f t="shared" si="309"/>
        <v>0</v>
      </c>
      <c r="P648" s="12">
        <f t="shared" si="310"/>
        <v>0</v>
      </c>
      <c r="Q648" s="12">
        <f t="shared" si="311"/>
        <v>0</v>
      </c>
      <c r="R648" s="12">
        <f t="shared" si="312"/>
        <v>0</v>
      </c>
    </row>
    <row r="649" spans="1:18" x14ac:dyDescent="0.25">
      <c r="A649" s="26"/>
      <c r="B649" s="25" t="s">
        <v>181</v>
      </c>
      <c r="C649" s="15">
        <v>8</v>
      </c>
      <c r="D649" s="16">
        <v>100</v>
      </c>
      <c r="E649" s="15">
        <v>2</v>
      </c>
      <c r="F649" s="11">
        <v>4</v>
      </c>
      <c r="G649" s="11">
        <f t="shared" si="363"/>
        <v>26</v>
      </c>
      <c r="H649" s="12"/>
      <c r="I649" s="12">
        <f>2*(0.18+0.12)+24*C649/1000</f>
        <v>0.79200000000000004</v>
      </c>
      <c r="J649" s="22"/>
      <c r="K649" s="22"/>
      <c r="L649" s="12">
        <f t="shared" si="360"/>
        <v>0.79200000000000004</v>
      </c>
      <c r="M649" s="12">
        <f t="shared" si="307"/>
        <v>164.74</v>
      </c>
      <c r="N649" s="12">
        <f t="shared" si="308"/>
        <v>0</v>
      </c>
      <c r="O649" s="12">
        <f t="shared" si="309"/>
        <v>0</v>
      </c>
      <c r="P649" s="12">
        <f t="shared" si="310"/>
        <v>0</v>
      </c>
      <c r="Q649" s="12">
        <f t="shared" si="311"/>
        <v>0</v>
      </c>
      <c r="R649" s="12">
        <f t="shared" si="312"/>
        <v>0</v>
      </c>
    </row>
    <row r="650" spans="1:18" x14ac:dyDescent="0.25">
      <c r="A650" s="26"/>
      <c r="B650" s="45" t="s">
        <v>182</v>
      </c>
      <c r="C650" s="15">
        <v>16</v>
      </c>
      <c r="D650" s="16"/>
      <c r="E650" s="15">
        <v>2</v>
      </c>
      <c r="F650" s="11">
        <v>1</v>
      </c>
      <c r="G650" s="11">
        <v>4</v>
      </c>
      <c r="H650" s="12"/>
      <c r="I650" s="12">
        <f t="shared" ref="I650:I651" si="364">106.2-103.25</f>
        <v>2.9500000000000028</v>
      </c>
      <c r="J650" s="22"/>
      <c r="K650" s="22">
        <f t="shared" ref="K650:K651" si="365">0.5*40*C650/1000</f>
        <v>0.32</v>
      </c>
      <c r="L650" s="12">
        <f t="shared" ref="L650" si="366">SUM(H650:J650)+K650</f>
        <v>3.2700000000000027</v>
      </c>
      <c r="M650" s="12">
        <f t="shared" si="307"/>
        <v>0</v>
      </c>
      <c r="N650" s="12">
        <f t="shared" si="308"/>
        <v>0</v>
      </c>
      <c r="O650" s="12">
        <f t="shared" si="309"/>
        <v>0</v>
      </c>
      <c r="P650" s="12">
        <f t="shared" si="310"/>
        <v>26.16</v>
      </c>
      <c r="Q650" s="12">
        <f t="shared" si="311"/>
        <v>0</v>
      </c>
      <c r="R650" s="12">
        <f t="shared" si="312"/>
        <v>0</v>
      </c>
    </row>
    <row r="651" spans="1:18" x14ac:dyDescent="0.25">
      <c r="A651" s="26"/>
      <c r="B651" s="25"/>
      <c r="C651" s="15">
        <v>12</v>
      </c>
      <c r="D651" s="16"/>
      <c r="E651" s="15">
        <v>2</v>
      </c>
      <c r="F651" s="11">
        <v>1</v>
      </c>
      <c r="G651" s="11">
        <v>18</v>
      </c>
      <c r="H651" s="12"/>
      <c r="I651" s="12">
        <f t="shared" si="364"/>
        <v>2.9500000000000028</v>
      </c>
      <c r="J651" s="22"/>
      <c r="K651" s="22">
        <f t="shared" si="365"/>
        <v>0.24</v>
      </c>
      <c r="L651" s="12">
        <f>SUM(H651:J651)+K651</f>
        <v>3.1900000000000031</v>
      </c>
      <c r="M651" s="12">
        <f>+ROUND(IF(C651=8,PRODUCT(E651,F651,G651,L651),0),2)</f>
        <v>0</v>
      </c>
      <c r="N651" s="12">
        <f t="shared" si="308"/>
        <v>0</v>
      </c>
      <c r="O651" s="12">
        <f t="shared" si="309"/>
        <v>114.84</v>
      </c>
      <c r="P651" s="12">
        <f t="shared" si="310"/>
        <v>0</v>
      </c>
      <c r="Q651" s="12">
        <f t="shared" si="311"/>
        <v>0</v>
      </c>
      <c r="R651" s="12">
        <f t="shared" si="312"/>
        <v>0</v>
      </c>
    </row>
    <row r="652" spans="1:18" x14ac:dyDescent="0.25">
      <c r="A652" s="26"/>
      <c r="B652" s="25" t="s">
        <v>172</v>
      </c>
      <c r="C652" s="15"/>
      <c r="D652" s="16"/>
      <c r="E652" s="15"/>
      <c r="F652" s="11"/>
      <c r="G652" s="11"/>
      <c r="H652" s="12"/>
      <c r="I652" s="12"/>
      <c r="J652" s="22"/>
      <c r="K652" s="22"/>
      <c r="L652" s="12">
        <f t="shared" ref="L652:L654" si="367">SUM(H652:J652)+K652</f>
        <v>0</v>
      </c>
      <c r="M652" s="12">
        <f t="shared" ref="M652:M656" si="368">+ROUND(IF(C652=8,PRODUCT(E652,F652,G652,L652),0),2)</f>
        <v>0</v>
      </c>
      <c r="N652" s="12">
        <f t="shared" si="308"/>
        <v>0</v>
      </c>
      <c r="O652" s="12">
        <f t="shared" si="309"/>
        <v>0</v>
      </c>
      <c r="P652" s="12">
        <f t="shared" si="310"/>
        <v>0</v>
      </c>
      <c r="Q652" s="12">
        <f t="shared" si="311"/>
        <v>0</v>
      </c>
      <c r="R652" s="12">
        <f t="shared" si="312"/>
        <v>0</v>
      </c>
    </row>
    <row r="653" spans="1:18" x14ac:dyDescent="0.25">
      <c r="A653" s="26"/>
      <c r="B653" s="25" t="s">
        <v>186</v>
      </c>
      <c r="C653" s="15">
        <v>8</v>
      </c>
      <c r="D653" s="16">
        <v>100</v>
      </c>
      <c r="E653" s="15">
        <v>2</v>
      </c>
      <c r="F653" s="11">
        <v>1</v>
      </c>
      <c r="G653" s="11">
        <f t="shared" ref="G653:G655" si="369">+ROUND(2450/D653+1,0)</f>
        <v>26</v>
      </c>
      <c r="H653" s="12"/>
      <c r="I653" s="12">
        <f>2*(0.18+1.1)+24*C653/1000</f>
        <v>2.7520000000000002</v>
      </c>
      <c r="J653" s="22"/>
      <c r="K653" s="22"/>
      <c r="L653" s="12">
        <f t="shared" si="367"/>
        <v>2.7520000000000002</v>
      </c>
      <c r="M653" s="12">
        <f t="shared" si="368"/>
        <v>143.1</v>
      </c>
      <c r="N653" s="12">
        <f t="shared" si="308"/>
        <v>0</v>
      </c>
      <c r="O653" s="12">
        <f t="shared" si="309"/>
        <v>0</v>
      </c>
      <c r="P653" s="12">
        <f t="shared" si="310"/>
        <v>0</v>
      </c>
      <c r="Q653" s="12">
        <f t="shared" si="311"/>
        <v>0</v>
      </c>
      <c r="R653" s="12">
        <f t="shared" si="312"/>
        <v>0</v>
      </c>
    </row>
    <row r="654" spans="1:18" x14ac:dyDescent="0.25">
      <c r="A654" s="26"/>
      <c r="B654" s="25" t="s">
        <v>183</v>
      </c>
      <c r="C654" s="15">
        <v>8</v>
      </c>
      <c r="D654" s="16">
        <v>100</v>
      </c>
      <c r="E654" s="15">
        <v>2</v>
      </c>
      <c r="F654" s="11">
        <v>4</v>
      </c>
      <c r="G654" s="11">
        <f t="shared" si="369"/>
        <v>26</v>
      </c>
      <c r="H654" s="12"/>
      <c r="I654" s="12">
        <f>2*(0.18+0.125)+24*C654/1000</f>
        <v>0.80200000000000005</v>
      </c>
      <c r="J654" s="22"/>
      <c r="K654" s="22"/>
      <c r="L654" s="12">
        <f t="shared" si="367"/>
        <v>0.80200000000000005</v>
      </c>
      <c r="M654" s="12">
        <f t="shared" si="368"/>
        <v>166.82</v>
      </c>
      <c r="N654" s="12">
        <f t="shared" si="308"/>
        <v>0</v>
      </c>
      <c r="O654" s="12">
        <f t="shared" si="309"/>
        <v>0</v>
      </c>
      <c r="P654" s="12">
        <f t="shared" si="310"/>
        <v>0</v>
      </c>
      <c r="Q654" s="12">
        <f t="shared" si="311"/>
        <v>0</v>
      </c>
      <c r="R654" s="12">
        <f t="shared" si="312"/>
        <v>0</v>
      </c>
    </row>
    <row r="655" spans="1:18" x14ac:dyDescent="0.25">
      <c r="A655" s="26"/>
      <c r="B655" s="25" t="s">
        <v>184</v>
      </c>
      <c r="C655" s="15">
        <v>8</v>
      </c>
      <c r="D655" s="16">
        <v>100</v>
      </c>
      <c r="E655" s="15">
        <v>2</v>
      </c>
      <c r="F655" s="11">
        <v>1</v>
      </c>
      <c r="G655" s="11">
        <f t="shared" si="369"/>
        <v>26</v>
      </c>
      <c r="H655" s="12"/>
      <c r="I655" s="12">
        <f>0.18+(20*C655/1000)</f>
        <v>0.33999999999999997</v>
      </c>
      <c r="J655" s="22"/>
      <c r="K655" s="22"/>
      <c r="L655" s="12">
        <f t="shared" ref="L655:L656" si="370">SUM(H655:J655)+K655</f>
        <v>0.33999999999999997</v>
      </c>
      <c r="M655" s="12">
        <f t="shared" si="368"/>
        <v>17.68</v>
      </c>
      <c r="N655" s="12">
        <f t="shared" si="308"/>
        <v>0</v>
      </c>
      <c r="O655" s="12">
        <f t="shared" si="309"/>
        <v>0</v>
      </c>
      <c r="P655" s="12">
        <f t="shared" si="310"/>
        <v>0</v>
      </c>
      <c r="Q655" s="12">
        <f t="shared" si="311"/>
        <v>0</v>
      </c>
      <c r="R655" s="12">
        <f t="shared" si="312"/>
        <v>0</v>
      </c>
    </row>
    <row r="656" spans="1:18" x14ac:dyDescent="0.25">
      <c r="A656" s="26"/>
      <c r="B656" s="45" t="s">
        <v>226</v>
      </c>
      <c r="C656" s="15">
        <v>16</v>
      </c>
      <c r="D656" s="16"/>
      <c r="E656" s="15">
        <v>4</v>
      </c>
      <c r="F656" s="11">
        <v>1</v>
      </c>
      <c r="G656" s="11">
        <v>8</v>
      </c>
      <c r="H656" s="12"/>
      <c r="I656" s="12">
        <f t="shared" ref="I656:I658" si="371">106.2-103.25</f>
        <v>2.9500000000000028</v>
      </c>
      <c r="J656" s="22"/>
      <c r="K656" s="22">
        <f t="shared" ref="K656:K657" si="372">0.5*40*C656/1000</f>
        <v>0.32</v>
      </c>
      <c r="L656" s="12">
        <f t="shared" si="370"/>
        <v>3.2700000000000027</v>
      </c>
      <c r="M656" s="12">
        <f t="shared" si="368"/>
        <v>0</v>
      </c>
      <c r="N656" s="12">
        <f t="shared" si="308"/>
        <v>0</v>
      </c>
      <c r="O656" s="12">
        <f t="shared" si="309"/>
        <v>0</v>
      </c>
      <c r="P656" s="12">
        <f t="shared" si="310"/>
        <v>104.64</v>
      </c>
      <c r="Q656" s="12">
        <f t="shared" si="311"/>
        <v>0</v>
      </c>
      <c r="R656" s="12">
        <f t="shared" si="312"/>
        <v>0</v>
      </c>
    </row>
    <row r="657" spans="1:18" x14ac:dyDescent="0.25">
      <c r="A657" s="26"/>
      <c r="B657" s="25"/>
      <c r="C657" s="15">
        <v>12</v>
      </c>
      <c r="D657" s="16"/>
      <c r="E657" s="15">
        <f>+E656</f>
        <v>4</v>
      </c>
      <c r="F657" s="11">
        <v>1</v>
      </c>
      <c r="G657" s="11">
        <v>8</v>
      </c>
      <c r="H657" s="12"/>
      <c r="I657" s="12">
        <f t="shared" si="371"/>
        <v>2.9500000000000028</v>
      </c>
      <c r="J657" s="22"/>
      <c r="K657" s="22">
        <f t="shared" si="372"/>
        <v>0.24</v>
      </c>
      <c r="L657" s="12">
        <f>SUM(H657:J657)+K657</f>
        <v>3.1900000000000031</v>
      </c>
      <c r="M657" s="12">
        <f>+ROUND(IF(C657=8,PRODUCT(E657,F657,G657,L657),0),2)</f>
        <v>0</v>
      </c>
      <c r="N657" s="12">
        <f t="shared" si="308"/>
        <v>0</v>
      </c>
      <c r="O657" s="12">
        <f t="shared" si="309"/>
        <v>102.08</v>
      </c>
      <c r="P657" s="12">
        <f t="shared" si="310"/>
        <v>0</v>
      </c>
      <c r="Q657" s="12">
        <f t="shared" si="311"/>
        <v>0</v>
      </c>
      <c r="R657" s="12">
        <f t="shared" si="312"/>
        <v>0</v>
      </c>
    </row>
    <row r="658" spans="1:18" x14ac:dyDescent="0.25">
      <c r="A658" s="26"/>
      <c r="B658" s="25"/>
      <c r="C658" s="15">
        <v>10</v>
      </c>
      <c r="D658" s="16"/>
      <c r="E658" s="15">
        <f>+E657</f>
        <v>4</v>
      </c>
      <c r="F658" s="11">
        <v>1</v>
      </c>
      <c r="G658" s="11">
        <v>8</v>
      </c>
      <c r="H658" s="12"/>
      <c r="I658" s="12">
        <f t="shared" si="371"/>
        <v>2.9500000000000028</v>
      </c>
      <c r="J658" s="22"/>
      <c r="K658" s="22">
        <f t="shared" ref="K658" si="373">0.5*40*C658/1000</f>
        <v>0.2</v>
      </c>
      <c r="L658" s="12">
        <f>SUM(H658:J658)+K658</f>
        <v>3.150000000000003</v>
      </c>
      <c r="M658" s="12">
        <f>+ROUND(IF(C658=8,PRODUCT(E658,F658,G658,L658),0),2)</f>
        <v>0</v>
      </c>
      <c r="N658" s="12">
        <f t="shared" ref="N658" si="374">+ROUND(IF(C658=10,PRODUCT(E658,F658,G658,L658),0),2)</f>
        <v>100.8</v>
      </c>
      <c r="O658" s="12">
        <f t="shared" ref="O658" si="375">+ROUND(IF(C658=12,PRODUCT(E658,F658,G658,L658),0),2)</f>
        <v>0</v>
      </c>
      <c r="P658" s="12">
        <f t="shared" ref="P658" si="376">+ROUND(IF(C658=16,PRODUCT(E658,F658,G658,L658),0),2)</f>
        <v>0</v>
      </c>
      <c r="Q658" s="12">
        <f t="shared" ref="Q658" si="377">+ROUND(IF(C658=20,PRODUCT(E658,F658,G658,L658),0),2)</f>
        <v>0</v>
      </c>
      <c r="R658" s="12">
        <f t="shared" ref="R658" si="378">+ROUND(IF(C658=25,PRODUCT(E658,F658,G658,L658),0),2)</f>
        <v>0</v>
      </c>
    </row>
    <row r="659" spans="1:18" x14ac:dyDescent="0.25">
      <c r="A659" s="26"/>
      <c r="B659" s="25" t="s">
        <v>172</v>
      </c>
      <c r="C659" s="15"/>
      <c r="D659" s="16"/>
      <c r="E659" s="15"/>
      <c r="F659" s="11"/>
      <c r="G659" s="11"/>
      <c r="H659" s="12"/>
      <c r="I659" s="12"/>
      <c r="J659" s="22"/>
      <c r="K659" s="22"/>
      <c r="L659" s="12">
        <f t="shared" ref="L659:L661" si="379">SUM(H659:J659)+K659</f>
        <v>0</v>
      </c>
      <c r="M659" s="12">
        <f t="shared" ref="M659:M664" si="380">+ROUND(IF(C659=8,PRODUCT(E659,F659,G659,L659),0),2)</f>
        <v>0</v>
      </c>
      <c r="N659" s="12">
        <f t="shared" si="308"/>
        <v>0</v>
      </c>
      <c r="O659" s="12">
        <f t="shared" si="309"/>
        <v>0</v>
      </c>
      <c r="P659" s="12">
        <f t="shared" si="310"/>
        <v>0</v>
      </c>
      <c r="Q659" s="12">
        <f t="shared" si="311"/>
        <v>0</v>
      </c>
      <c r="R659" s="12">
        <f t="shared" si="312"/>
        <v>0</v>
      </c>
    </row>
    <row r="660" spans="1:18" x14ac:dyDescent="0.25">
      <c r="A660" s="26"/>
      <c r="B660" s="25" t="s">
        <v>224</v>
      </c>
      <c r="C660" s="15">
        <v>8</v>
      </c>
      <c r="D660" s="16">
        <v>100</v>
      </c>
      <c r="E660" s="15">
        <v>4</v>
      </c>
      <c r="F660" s="11">
        <v>2</v>
      </c>
      <c r="G660" s="11">
        <f t="shared" ref="G660:G663" si="381">+ROUND(2450/D660+1,0)</f>
        <v>26</v>
      </c>
      <c r="H660" s="12"/>
      <c r="I660" s="12">
        <f>2*(0.18+0.383)+24*C660/1000</f>
        <v>1.3179999999999998</v>
      </c>
      <c r="J660" s="22"/>
      <c r="K660" s="22"/>
      <c r="L660" s="12">
        <f t="shared" si="379"/>
        <v>1.3179999999999998</v>
      </c>
      <c r="M660" s="12">
        <f t="shared" si="380"/>
        <v>274.14</v>
      </c>
      <c r="N660" s="12">
        <f t="shared" si="308"/>
        <v>0</v>
      </c>
      <c r="O660" s="12">
        <f t="shared" si="309"/>
        <v>0</v>
      </c>
      <c r="P660" s="12">
        <f t="shared" si="310"/>
        <v>0</v>
      </c>
      <c r="Q660" s="12">
        <f t="shared" si="311"/>
        <v>0</v>
      </c>
      <c r="R660" s="12">
        <f t="shared" si="312"/>
        <v>0</v>
      </c>
    </row>
    <row r="661" spans="1:18" x14ac:dyDescent="0.25">
      <c r="A661" s="26"/>
      <c r="B661" s="25" t="s">
        <v>181</v>
      </c>
      <c r="C661" s="15">
        <v>8</v>
      </c>
      <c r="D661" s="16">
        <v>100</v>
      </c>
      <c r="E661" s="15">
        <v>4</v>
      </c>
      <c r="F661" s="11">
        <v>2</v>
      </c>
      <c r="G661" s="11">
        <f t="shared" si="381"/>
        <v>26</v>
      </c>
      <c r="H661" s="12"/>
      <c r="I661" s="12">
        <f>2*(0.18+0.12)+24*C661/1000</f>
        <v>0.79200000000000004</v>
      </c>
      <c r="J661" s="22"/>
      <c r="K661" s="22"/>
      <c r="L661" s="12">
        <f t="shared" si="379"/>
        <v>0.79200000000000004</v>
      </c>
      <c r="M661" s="12">
        <f t="shared" si="380"/>
        <v>164.74</v>
      </c>
      <c r="N661" s="12">
        <f t="shared" si="308"/>
        <v>0</v>
      </c>
      <c r="O661" s="12">
        <f t="shared" si="309"/>
        <v>0</v>
      </c>
      <c r="P661" s="12">
        <f t="shared" si="310"/>
        <v>0</v>
      </c>
      <c r="Q661" s="12">
        <f t="shared" si="311"/>
        <v>0</v>
      </c>
      <c r="R661" s="12">
        <f t="shared" si="312"/>
        <v>0</v>
      </c>
    </row>
    <row r="662" spans="1:18" x14ac:dyDescent="0.25">
      <c r="A662" s="26"/>
      <c r="B662" s="25" t="s">
        <v>225</v>
      </c>
      <c r="C662" s="15">
        <v>8</v>
      </c>
      <c r="D662" s="16">
        <v>200</v>
      </c>
      <c r="E662" s="15">
        <v>4</v>
      </c>
      <c r="F662" s="11">
        <v>1</v>
      </c>
      <c r="G662" s="11">
        <f t="shared" si="381"/>
        <v>13</v>
      </c>
      <c r="H662" s="12"/>
      <c r="I662" s="12">
        <f>2*(0.18+0.916)+24*C662/1000</f>
        <v>2.3840000000000003</v>
      </c>
      <c r="J662" s="22"/>
      <c r="K662" s="22"/>
      <c r="L662" s="12">
        <f t="shared" ref="L662" si="382">SUM(H662:J662)+K662</f>
        <v>2.3840000000000003</v>
      </c>
      <c r="M662" s="12">
        <f t="shared" si="380"/>
        <v>123.97</v>
      </c>
      <c r="N662" s="12">
        <f t="shared" si="308"/>
        <v>0</v>
      </c>
      <c r="O662" s="12">
        <f t="shared" si="309"/>
        <v>0</v>
      </c>
      <c r="P662" s="12">
        <f t="shared" si="310"/>
        <v>0</v>
      </c>
      <c r="Q662" s="12">
        <f t="shared" si="311"/>
        <v>0</v>
      </c>
      <c r="R662" s="12">
        <f t="shared" si="312"/>
        <v>0</v>
      </c>
    </row>
    <row r="663" spans="1:18" x14ac:dyDescent="0.25">
      <c r="A663" s="26"/>
      <c r="B663" s="25" t="s">
        <v>177</v>
      </c>
      <c r="C663" s="15">
        <v>8</v>
      </c>
      <c r="D663" s="16">
        <v>400</v>
      </c>
      <c r="E663" s="15">
        <v>4</v>
      </c>
      <c r="F663" s="11">
        <v>2</v>
      </c>
      <c r="G663" s="11">
        <f t="shared" si="381"/>
        <v>7</v>
      </c>
      <c r="H663" s="12"/>
      <c r="I663" s="12">
        <f>0.18+(20*C663/1000)</f>
        <v>0.33999999999999997</v>
      </c>
      <c r="J663" s="22"/>
      <c r="K663" s="22"/>
      <c r="L663" s="12">
        <f t="shared" ref="L663" si="383">SUM(H663:J663)+K663</f>
        <v>0.33999999999999997</v>
      </c>
      <c r="M663" s="12">
        <f t="shared" si="380"/>
        <v>19.04</v>
      </c>
      <c r="N663" s="12">
        <f t="shared" si="308"/>
        <v>0</v>
      </c>
      <c r="O663" s="12">
        <f t="shared" si="309"/>
        <v>0</v>
      </c>
      <c r="P663" s="12">
        <f t="shared" si="310"/>
        <v>0</v>
      </c>
      <c r="Q663" s="12">
        <f t="shared" si="311"/>
        <v>0</v>
      </c>
      <c r="R663" s="12">
        <f t="shared" si="312"/>
        <v>0</v>
      </c>
    </row>
    <row r="664" spans="1:18" x14ac:dyDescent="0.25">
      <c r="A664" s="26"/>
      <c r="B664" s="45" t="s">
        <v>190</v>
      </c>
      <c r="C664" s="15">
        <v>16</v>
      </c>
      <c r="D664" s="16"/>
      <c r="E664" s="15">
        <v>4</v>
      </c>
      <c r="F664" s="11">
        <v>1</v>
      </c>
      <c r="G664" s="11">
        <v>4</v>
      </c>
      <c r="H664" s="12"/>
      <c r="I664" s="12">
        <f t="shared" ref="I664:I665" si="384">106.2-103.25</f>
        <v>2.9500000000000028</v>
      </c>
      <c r="J664" s="22"/>
      <c r="K664" s="22">
        <f t="shared" ref="K664:K665" si="385">0.5*40*C664/1000</f>
        <v>0.32</v>
      </c>
      <c r="L664" s="12">
        <f t="shared" ref="L664" si="386">SUM(H664:J664)+K664</f>
        <v>3.2700000000000027</v>
      </c>
      <c r="M664" s="12">
        <f t="shared" si="380"/>
        <v>0</v>
      </c>
      <c r="N664" s="12">
        <f t="shared" si="308"/>
        <v>0</v>
      </c>
      <c r="O664" s="12">
        <f t="shared" si="309"/>
        <v>0</v>
      </c>
      <c r="P664" s="12">
        <f t="shared" si="310"/>
        <v>52.32</v>
      </c>
      <c r="Q664" s="12">
        <f t="shared" si="311"/>
        <v>0</v>
      </c>
      <c r="R664" s="12">
        <f t="shared" si="312"/>
        <v>0</v>
      </c>
    </row>
    <row r="665" spans="1:18" x14ac:dyDescent="0.25">
      <c r="A665" s="26"/>
      <c r="B665" s="25"/>
      <c r="C665" s="15">
        <v>12</v>
      </c>
      <c r="D665" s="16"/>
      <c r="E665" s="15">
        <f>+E664</f>
        <v>4</v>
      </c>
      <c r="F665" s="11">
        <v>1</v>
      </c>
      <c r="G665" s="11">
        <v>20</v>
      </c>
      <c r="H665" s="12"/>
      <c r="I665" s="12">
        <f t="shared" si="384"/>
        <v>2.9500000000000028</v>
      </c>
      <c r="J665" s="22"/>
      <c r="K665" s="22">
        <f t="shared" si="385"/>
        <v>0.24</v>
      </c>
      <c r="L665" s="12">
        <f>SUM(H665:J665)+K665</f>
        <v>3.1900000000000031</v>
      </c>
      <c r="M665" s="12">
        <f>+ROUND(IF(C665=8,PRODUCT(E665,F665,G665,L665),0),2)</f>
        <v>0</v>
      </c>
      <c r="N665" s="12">
        <f t="shared" si="308"/>
        <v>0</v>
      </c>
      <c r="O665" s="12">
        <f t="shared" si="309"/>
        <v>255.2</v>
      </c>
      <c r="P665" s="12">
        <f t="shared" si="310"/>
        <v>0</v>
      </c>
      <c r="Q665" s="12">
        <f t="shared" si="311"/>
        <v>0</v>
      </c>
      <c r="R665" s="12">
        <f t="shared" si="312"/>
        <v>0</v>
      </c>
    </row>
    <row r="666" spans="1:18" x14ac:dyDescent="0.25">
      <c r="A666" s="26"/>
      <c r="B666" s="25" t="s">
        <v>172</v>
      </c>
      <c r="C666" s="15"/>
      <c r="D666" s="16"/>
      <c r="E666" s="15"/>
      <c r="F666" s="11"/>
      <c r="G666" s="11"/>
      <c r="H666" s="12"/>
      <c r="I666" s="12"/>
      <c r="J666" s="22"/>
      <c r="K666" s="22"/>
      <c r="L666" s="12">
        <f t="shared" ref="L666:L670" si="387">SUM(H666:J666)+K666</f>
        <v>0</v>
      </c>
      <c r="M666" s="12">
        <f t="shared" ref="M666:M734" si="388">+ROUND(IF(C666=8,PRODUCT(E666,F666,G666,L666),0),2)</f>
        <v>0</v>
      </c>
      <c r="N666" s="12">
        <f t="shared" si="308"/>
        <v>0</v>
      </c>
      <c r="O666" s="12">
        <f t="shared" si="309"/>
        <v>0</v>
      </c>
      <c r="P666" s="12">
        <f t="shared" si="310"/>
        <v>0</v>
      </c>
      <c r="Q666" s="12">
        <f t="shared" si="311"/>
        <v>0</v>
      </c>
      <c r="R666" s="12">
        <f t="shared" si="312"/>
        <v>0</v>
      </c>
    </row>
    <row r="667" spans="1:18" x14ac:dyDescent="0.25">
      <c r="A667" s="26"/>
      <c r="B667" s="25" t="s">
        <v>191</v>
      </c>
      <c r="C667" s="15">
        <v>8</v>
      </c>
      <c r="D667" s="16">
        <v>100</v>
      </c>
      <c r="E667" s="15">
        <v>4</v>
      </c>
      <c r="F667" s="11">
        <v>1</v>
      </c>
      <c r="G667" s="11">
        <f t="shared" ref="G667:G668" si="389">+ROUND(2450/D667+1,0)</f>
        <v>26</v>
      </c>
      <c r="H667" s="12"/>
      <c r="I667" s="12">
        <f>2*(0.18+1.135)+24*C667/1000</f>
        <v>2.8220000000000001</v>
      </c>
      <c r="J667" s="22"/>
      <c r="K667" s="22"/>
      <c r="L667" s="12">
        <f t="shared" si="387"/>
        <v>2.8220000000000001</v>
      </c>
      <c r="M667" s="12">
        <f t="shared" si="388"/>
        <v>293.49</v>
      </c>
      <c r="N667" s="12">
        <f t="shared" si="308"/>
        <v>0</v>
      </c>
      <c r="O667" s="12">
        <f t="shared" si="309"/>
        <v>0</v>
      </c>
      <c r="P667" s="12">
        <f t="shared" si="310"/>
        <v>0</v>
      </c>
      <c r="Q667" s="12">
        <f t="shared" si="311"/>
        <v>0</v>
      </c>
      <c r="R667" s="12">
        <f t="shared" si="312"/>
        <v>0</v>
      </c>
    </row>
    <row r="668" spans="1:18" x14ac:dyDescent="0.25">
      <c r="A668" s="26"/>
      <c r="B668" s="25" t="s">
        <v>192</v>
      </c>
      <c r="C668" s="15">
        <v>8</v>
      </c>
      <c r="D668" s="16">
        <v>100</v>
      </c>
      <c r="E668" s="15">
        <v>4</v>
      </c>
      <c r="F668" s="11">
        <v>5</v>
      </c>
      <c r="G668" s="11">
        <f t="shared" si="389"/>
        <v>26</v>
      </c>
      <c r="H668" s="12"/>
      <c r="I668" s="12">
        <f>2*(0.18+0.118)+24*C668/1000</f>
        <v>0.78800000000000003</v>
      </c>
      <c r="J668" s="22"/>
      <c r="K668" s="22"/>
      <c r="L668" s="12">
        <f t="shared" si="387"/>
        <v>0.78800000000000003</v>
      </c>
      <c r="M668" s="12">
        <f t="shared" si="388"/>
        <v>409.76</v>
      </c>
      <c r="N668" s="12">
        <f t="shared" si="308"/>
        <v>0</v>
      </c>
      <c r="O668" s="12">
        <f t="shared" si="309"/>
        <v>0</v>
      </c>
      <c r="P668" s="12">
        <f t="shared" si="310"/>
        <v>0</v>
      </c>
      <c r="Q668" s="12">
        <f t="shared" si="311"/>
        <v>0</v>
      </c>
      <c r="R668" s="12">
        <f t="shared" si="312"/>
        <v>0</v>
      </c>
    </row>
    <row r="669" spans="1:18" x14ac:dyDescent="0.25">
      <c r="A669" s="26"/>
      <c r="B669" s="45" t="s">
        <v>227</v>
      </c>
      <c r="C669" s="15">
        <v>16</v>
      </c>
      <c r="D669" s="16"/>
      <c r="E669" s="15">
        <v>2</v>
      </c>
      <c r="F669" s="11">
        <v>1</v>
      </c>
      <c r="G669" s="11">
        <v>8</v>
      </c>
      <c r="H669" s="12"/>
      <c r="I669" s="12">
        <f t="shared" ref="I669:I671" si="390">106.2-103.25</f>
        <v>2.9500000000000028</v>
      </c>
      <c r="J669" s="22"/>
      <c r="K669" s="22">
        <f>0.5*40*C669/1000</f>
        <v>0.32</v>
      </c>
      <c r="L669" s="12">
        <f t="shared" si="387"/>
        <v>3.2700000000000027</v>
      </c>
      <c r="M669" s="12">
        <f t="shared" si="388"/>
        <v>0</v>
      </c>
      <c r="N669" s="12">
        <f t="shared" si="308"/>
        <v>0</v>
      </c>
      <c r="O669" s="12">
        <f t="shared" si="309"/>
        <v>0</v>
      </c>
      <c r="P669" s="12">
        <f t="shared" si="310"/>
        <v>52.32</v>
      </c>
      <c r="Q669" s="12">
        <f t="shared" si="311"/>
        <v>0</v>
      </c>
      <c r="R669" s="12">
        <f t="shared" si="312"/>
        <v>0</v>
      </c>
    </row>
    <row r="670" spans="1:18" x14ac:dyDescent="0.25">
      <c r="A670" s="26"/>
      <c r="B670" s="45"/>
      <c r="C670" s="15">
        <v>12</v>
      </c>
      <c r="D670" s="16"/>
      <c r="E670" s="15">
        <v>2</v>
      </c>
      <c r="F670" s="11">
        <v>1</v>
      </c>
      <c r="G670" s="11">
        <v>8</v>
      </c>
      <c r="H670" s="12"/>
      <c r="I670" s="12">
        <f t="shared" si="390"/>
        <v>2.9500000000000028</v>
      </c>
      <c r="J670" s="22"/>
      <c r="K670" s="22">
        <f>0.5*40*C670/1000</f>
        <v>0.24</v>
      </c>
      <c r="L670" s="12">
        <f t="shared" si="387"/>
        <v>3.1900000000000031</v>
      </c>
      <c r="M670" s="12">
        <f t="shared" si="388"/>
        <v>0</v>
      </c>
      <c r="N670" s="12">
        <f t="shared" si="308"/>
        <v>0</v>
      </c>
      <c r="O670" s="12">
        <f t="shared" si="309"/>
        <v>51.04</v>
      </c>
      <c r="P670" s="12">
        <f t="shared" si="310"/>
        <v>0</v>
      </c>
      <c r="Q670" s="12">
        <f t="shared" si="311"/>
        <v>0</v>
      </c>
      <c r="R670" s="12">
        <f t="shared" si="312"/>
        <v>0</v>
      </c>
    </row>
    <row r="671" spans="1:18" x14ac:dyDescent="0.25">
      <c r="A671" s="26"/>
      <c r="B671" s="45"/>
      <c r="C671" s="15">
        <v>10</v>
      </c>
      <c r="D671" s="16"/>
      <c r="E671" s="15">
        <v>2</v>
      </c>
      <c r="F671" s="11">
        <v>1</v>
      </c>
      <c r="G671" s="11">
        <v>10</v>
      </c>
      <c r="H671" s="12"/>
      <c r="I671" s="12">
        <f t="shared" si="390"/>
        <v>2.9500000000000028</v>
      </c>
      <c r="J671" s="22"/>
      <c r="K671" s="22">
        <f>0.5*40*C671/1000</f>
        <v>0.2</v>
      </c>
      <c r="L671" s="12">
        <f t="shared" ref="L671" si="391">SUM(H671:J671)+K671</f>
        <v>3.150000000000003</v>
      </c>
      <c r="M671" s="12">
        <f t="shared" ref="M671" si="392">+ROUND(IF(C671=8,PRODUCT(E671,F671,G671,L671),0),2)</f>
        <v>0</v>
      </c>
      <c r="N671" s="12">
        <f t="shared" ref="N671" si="393">+ROUND(IF(C671=10,PRODUCT(E671,F671,G671,L671),0),2)</f>
        <v>63</v>
      </c>
      <c r="O671" s="12">
        <f t="shared" ref="O671" si="394">+ROUND(IF(C671=12,PRODUCT(E671,F671,G671,L671),0),2)</f>
        <v>0</v>
      </c>
      <c r="P671" s="12">
        <f t="shared" ref="P671" si="395">+ROUND(IF(C671=16,PRODUCT(E671,F671,G671,L671),0),2)</f>
        <v>0</v>
      </c>
      <c r="Q671" s="12">
        <f t="shared" ref="Q671" si="396">+ROUND(IF(C671=20,PRODUCT(E671,F671,G671,L671),0),2)</f>
        <v>0</v>
      </c>
      <c r="R671" s="12">
        <f t="shared" ref="R671" si="397">+ROUND(IF(C671=25,PRODUCT(E671,F671,G671,L671),0),2)</f>
        <v>0</v>
      </c>
    </row>
    <row r="672" spans="1:18" x14ac:dyDescent="0.25">
      <c r="A672" s="26"/>
      <c r="B672" s="25" t="s">
        <v>172</v>
      </c>
      <c r="C672" s="15"/>
      <c r="D672" s="16"/>
      <c r="E672" s="15"/>
      <c r="F672" s="11"/>
      <c r="G672" s="11"/>
      <c r="H672" s="12"/>
      <c r="I672" s="12"/>
      <c r="J672" s="22"/>
      <c r="K672" s="22"/>
      <c r="L672" s="12">
        <f t="shared" ref="L672:L674" si="398">SUM(H672:J672)+K672</f>
        <v>0</v>
      </c>
      <c r="M672" s="12">
        <f t="shared" si="388"/>
        <v>0</v>
      </c>
      <c r="N672" s="12">
        <f t="shared" si="308"/>
        <v>0</v>
      </c>
      <c r="O672" s="12">
        <f t="shared" si="309"/>
        <v>0</v>
      </c>
      <c r="P672" s="12">
        <f t="shared" si="310"/>
        <v>0</v>
      </c>
      <c r="Q672" s="12">
        <f t="shared" si="311"/>
        <v>0</v>
      </c>
      <c r="R672" s="12">
        <f t="shared" si="312"/>
        <v>0</v>
      </c>
    </row>
    <row r="673" spans="1:18" x14ac:dyDescent="0.25">
      <c r="A673" s="26"/>
      <c r="B673" s="25" t="s">
        <v>224</v>
      </c>
      <c r="C673" s="15">
        <v>8</v>
      </c>
      <c r="D673" s="16">
        <v>100</v>
      </c>
      <c r="E673" s="15">
        <v>2</v>
      </c>
      <c r="F673" s="11">
        <v>2</v>
      </c>
      <c r="G673" s="11">
        <f t="shared" ref="G673:G676" si="399">+ROUND(2450/D673+1,0)</f>
        <v>26</v>
      </c>
      <c r="H673" s="12"/>
      <c r="I673" s="12">
        <f>2*(0.18+0.383)+24*C673/1000</f>
        <v>1.3179999999999998</v>
      </c>
      <c r="J673" s="22"/>
      <c r="K673" s="22"/>
      <c r="L673" s="12">
        <f t="shared" si="398"/>
        <v>1.3179999999999998</v>
      </c>
      <c r="M673" s="12">
        <f t="shared" si="388"/>
        <v>137.07</v>
      </c>
      <c r="N673" s="12">
        <f t="shared" si="308"/>
        <v>0</v>
      </c>
      <c r="O673" s="12">
        <f t="shared" si="309"/>
        <v>0</v>
      </c>
      <c r="P673" s="12">
        <f t="shared" si="310"/>
        <v>0</v>
      </c>
      <c r="Q673" s="12">
        <f t="shared" si="311"/>
        <v>0</v>
      </c>
      <c r="R673" s="12">
        <f t="shared" si="312"/>
        <v>0</v>
      </c>
    </row>
    <row r="674" spans="1:18" x14ac:dyDescent="0.25">
      <c r="A674" s="26"/>
      <c r="B674" s="25" t="s">
        <v>194</v>
      </c>
      <c r="C674" s="15">
        <v>8</v>
      </c>
      <c r="D674" s="16">
        <v>100</v>
      </c>
      <c r="E674" s="15">
        <v>2</v>
      </c>
      <c r="F674" s="11">
        <v>2</v>
      </c>
      <c r="G674" s="11">
        <f t="shared" si="399"/>
        <v>26</v>
      </c>
      <c r="H674" s="12"/>
      <c r="I674" s="12">
        <f>2*(0.18+0.122)+24*C674/1000</f>
        <v>0.79600000000000004</v>
      </c>
      <c r="J674" s="22"/>
      <c r="K674" s="22"/>
      <c r="L674" s="12">
        <f t="shared" si="398"/>
        <v>0.79600000000000004</v>
      </c>
      <c r="M674" s="12">
        <f t="shared" si="388"/>
        <v>82.78</v>
      </c>
      <c r="N674" s="12">
        <f t="shared" si="308"/>
        <v>0</v>
      </c>
      <c r="O674" s="12">
        <f t="shared" si="309"/>
        <v>0</v>
      </c>
      <c r="P674" s="12">
        <f t="shared" si="310"/>
        <v>0</v>
      </c>
      <c r="Q674" s="12">
        <f t="shared" si="311"/>
        <v>0</v>
      </c>
      <c r="R674" s="12">
        <f t="shared" si="312"/>
        <v>0</v>
      </c>
    </row>
    <row r="675" spans="1:18" x14ac:dyDescent="0.25">
      <c r="A675" s="26"/>
      <c r="B675" s="25" t="s">
        <v>228</v>
      </c>
      <c r="C675" s="15">
        <v>8</v>
      </c>
      <c r="D675" s="16">
        <v>200</v>
      </c>
      <c r="E675" s="15">
        <v>2</v>
      </c>
      <c r="F675" s="11">
        <v>1</v>
      </c>
      <c r="G675" s="11">
        <f t="shared" si="399"/>
        <v>13</v>
      </c>
      <c r="H675" s="12"/>
      <c r="I675" s="12">
        <f>2*(0.18+1.071)+24*C675/1000</f>
        <v>2.694</v>
      </c>
      <c r="J675" s="22"/>
      <c r="K675" s="22"/>
      <c r="L675" s="12">
        <f t="shared" ref="L675" si="400">SUM(H675:J675)+K675</f>
        <v>2.694</v>
      </c>
      <c r="M675" s="12">
        <f t="shared" si="388"/>
        <v>70.040000000000006</v>
      </c>
      <c r="N675" s="12">
        <f t="shared" si="308"/>
        <v>0</v>
      </c>
      <c r="O675" s="12">
        <f t="shared" si="309"/>
        <v>0</v>
      </c>
      <c r="P675" s="12">
        <f t="shared" si="310"/>
        <v>0</v>
      </c>
      <c r="Q675" s="12">
        <f t="shared" si="311"/>
        <v>0</v>
      </c>
      <c r="R675" s="12">
        <f t="shared" si="312"/>
        <v>0</v>
      </c>
    </row>
    <row r="676" spans="1:18" x14ac:dyDescent="0.25">
      <c r="A676" s="26"/>
      <c r="B676" s="25" t="s">
        <v>177</v>
      </c>
      <c r="C676" s="15">
        <v>8</v>
      </c>
      <c r="D676" s="16">
        <v>400</v>
      </c>
      <c r="E676" s="15">
        <v>2</v>
      </c>
      <c r="F676" s="11">
        <v>2</v>
      </c>
      <c r="G676" s="11">
        <f t="shared" si="399"/>
        <v>7</v>
      </c>
      <c r="H676" s="12"/>
      <c r="I676" s="12">
        <f>0.18+(20*C676/1000)</f>
        <v>0.33999999999999997</v>
      </c>
      <c r="J676" s="22"/>
      <c r="K676" s="22"/>
      <c r="L676" s="12">
        <f t="shared" ref="L676" si="401">SUM(H676:J676)+K676</f>
        <v>0.33999999999999997</v>
      </c>
      <c r="M676" s="12">
        <f t="shared" si="388"/>
        <v>9.52</v>
      </c>
      <c r="N676" s="12">
        <f t="shared" si="308"/>
        <v>0</v>
      </c>
      <c r="O676" s="12">
        <f t="shared" si="309"/>
        <v>0</v>
      </c>
      <c r="P676" s="12">
        <f t="shared" si="310"/>
        <v>0</v>
      </c>
      <c r="Q676" s="12">
        <f t="shared" si="311"/>
        <v>0</v>
      </c>
      <c r="R676" s="12">
        <f t="shared" si="312"/>
        <v>0</v>
      </c>
    </row>
    <row r="677" spans="1:18" x14ac:dyDescent="0.25">
      <c r="A677" s="26"/>
      <c r="B677" s="45" t="s">
        <v>221</v>
      </c>
      <c r="C677" s="15">
        <v>16</v>
      </c>
      <c r="D677" s="16"/>
      <c r="E677" s="15">
        <v>1</v>
      </c>
      <c r="F677" s="11">
        <v>1</v>
      </c>
      <c r="G677" s="11">
        <v>8</v>
      </c>
      <c r="H677" s="12"/>
      <c r="I677" s="12">
        <f t="shared" ref="I677:I679" si="402">106.2-103.25</f>
        <v>2.9500000000000028</v>
      </c>
      <c r="J677" s="22"/>
      <c r="K677" s="22">
        <f t="shared" ref="K677:K678" si="403">0.5*40*C677/1000</f>
        <v>0.32</v>
      </c>
      <c r="L677" s="12">
        <f t="shared" ref="L677:L678" si="404">SUM(H677:J677)+K677</f>
        <v>3.2700000000000027</v>
      </c>
      <c r="M677" s="12">
        <f t="shared" si="388"/>
        <v>0</v>
      </c>
      <c r="N677" s="12">
        <f t="shared" si="308"/>
        <v>0</v>
      </c>
      <c r="O677" s="12">
        <f t="shared" si="309"/>
        <v>0</v>
      </c>
      <c r="P677" s="12">
        <f t="shared" si="310"/>
        <v>26.16</v>
      </c>
      <c r="Q677" s="12">
        <f t="shared" si="311"/>
        <v>0</v>
      </c>
      <c r="R677" s="12">
        <f t="shared" si="312"/>
        <v>0</v>
      </c>
    </row>
    <row r="678" spans="1:18" x14ac:dyDescent="0.25">
      <c r="A678" s="26"/>
      <c r="B678" s="45"/>
      <c r="C678" s="15">
        <v>12</v>
      </c>
      <c r="D678" s="16"/>
      <c r="E678" s="15">
        <v>1</v>
      </c>
      <c r="F678" s="11">
        <v>1</v>
      </c>
      <c r="G678" s="11">
        <v>32</v>
      </c>
      <c r="H678" s="12"/>
      <c r="I678" s="12">
        <f t="shared" si="402"/>
        <v>2.9500000000000028</v>
      </c>
      <c r="J678" s="22"/>
      <c r="K678" s="22">
        <f t="shared" si="403"/>
        <v>0.24</v>
      </c>
      <c r="L678" s="12">
        <f t="shared" si="404"/>
        <v>3.1900000000000031</v>
      </c>
      <c r="M678" s="12">
        <f t="shared" si="388"/>
        <v>0</v>
      </c>
      <c r="N678" s="12">
        <f t="shared" si="308"/>
        <v>0</v>
      </c>
      <c r="O678" s="12">
        <f t="shared" si="309"/>
        <v>102.08</v>
      </c>
      <c r="P678" s="12">
        <f t="shared" si="310"/>
        <v>0</v>
      </c>
      <c r="Q678" s="12">
        <f t="shared" si="311"/>
        <v>0</v>
      </c>
      <c r="R678" s="12">
        <f t="shared" si="312"/>
        <v>0</v>
      </c>
    </row>
    <row r="679" spans="1:18" x14ac:dyDescent="0.25">
      <c r="A679" s="26"/>
      <c r="B679" s="45"/>
      <c r="C679" s="15">
        <v>10</v>
      </c>
      <c r="D679" s="16"/>
      <c r="E679" s="15">
        <v>1</v>
      </c>
      <c r="F679" s="11">
        <v>1</v>
      </c>
      <c r="G679" s="11">
        <v>16</v>
      </c>
      <c r="H679" s="12"/>
      <c r="I679" s="12">
        <f t="shared" si="402"/>
        <v>2.9500000000000028</v>
      </c>
      <c r="J679" s="22"/>
      <c r="K679" s="22">
        <f t="shared" ref="K679" si="405">0.5*40*C679/1000</f>
        <v>0.2</v>
      </c>
      <c r="L679" s="12">
        <f t="shared" ref="L679" si="406">SUM(H679:J679)+K679</f>
        <v>3.150000000000003</v>
      </c>
      <c r="M679" s="12">
        <f t="shared" ref="M679" si="407">+ROUND(IF(C679=8,PRODUCT(E679,F679,G679,L679),0),2)</f>
        <v>0</v>
      </c>
      <c r="N679" s="12">
        <f t="shared" ref="N679" si="408">+ROUND(IF(C679=10,PRODUCT(E679,F679,G679,L679),0),2)</f>
        <v>50.4</v>
      </c>
      <c r="O679" s="12">
        <f t="shared" ref="O679" si="409">+ROUND(IF(C679=12,PRODUCT(E679,F679,G679,L679),0),2)</f>
        <v>0</v>
      </c>
      <c r="P679" s="12">
        <f t="shared" ref="P679" si="410">+ROUND(IF(C679=16,PRODUCT(E679,F679,G679,L679),0),2)</f>
        <v>0</v>
      </c>
      <c r="Q679" s="12">
        <f t="shared" ref="Q679" si="411">+ROUND(IF(C679=20,PRODUCT(E679,F679,G679,L679),0),2)</f>
        <v>0</v>
      </c>
      <c r="R679" s="12">
        <f t="shared" ref="R679" si="412">+ROUND(IF(C679=25,PRODUCT(E679,F679,G679,L679),0),2)</f>
        <v>0</v>
      </c>
    </row>
    <row r="680" spans="1:18" x14ac:dyDescent="0.25">
      <c r="A680" s="26"/>
      <c r="B680" s="25" t="s">
        <v>172</v>
      </c>
      <c r="C680" s="15"/>
      <c r="D680" s="16"/>
      <c r="E680" s="15"/>
      <c r="F680" s="11"/>
      <c r="G680" s="11"/>
      <c r="H680" s="12"/>
      <c r="I680" s="12"/>
      <c r="J680" s="22"/>
      <c r="K680" s="22"/>
      <c r="L680" s="12">
        <f t="shared" ref="L680:L682" si="413">SUM(H680:J680)+K680</f>
        <v>0</v>
      </c>
      <c r="M680" s="12">
        <f t="shared" si="388"/>
        <v>0</v>
      </c>
      <c r="N680" s="12">
        <f t="shared" si="308"/>
        <v>0</v>
      </c>
      <c r="O680" s="12">
        <f t="shared" si="309"/>
        <v>0</v>
      </c>
      <c r="P680" s="12">
        <f t="shared" si="310"/>
        <v>0</v>
      </c>
      <c r="Q680" s="12">
        <f t="shared" si="311"/>
        <v>0</v>
      </c>
      <c r="R680" s="12">
        <f t="shared" si="312"/>
        <v>0</v>
      </c>
    </row>
    <row r="681" spans="1:18" x14ac:dyDescent="0.25">
      <c r="A681" s="26"/>
      <c r="B681" s="25" t="s">
        <v>204</v>
      </c>
      <c r="C681" s="15">
        <v>8</v>
      </c>
      <c r="D681" s="16">
        <v>100</v>
      </c>
      <c r="E681" s="15">
        <v>1</v>
      </c>
      <c r="F681" s="11">
        <v>2</v>
      </c>
      <c r="G681" s="11">
        <f t="shared" ref="G681:G684" si="414">+ROUND(2450/D681+1,0)</f>
        <v>26</v>
      </c>
      <c r="H681" s="12"/>
      <c r="I681" s="12">
        <f>2*(0.18+0.983)+24*C681/1000</f>
        <v>2.5180000000000002</v>
      </c>
      <c r="J681" s="22"/>
      <c r="K681" s="22"/>
      <c r="L681" s="12">
        <f t="shared" si="413"/>
        <v>2.5180000000000002</v>
      </c>
      <c r="M681" s="12">
        <f t="shared" si="388"/>
        <v>130.94</v>
      </c>
      <c r="N681" s="12">
        <f t="shared" si="308"/>
        <v>0</v>
      </c>
      <c r="O681" s="12">
        <f t="shared" si="309"/>
        <v>0</v>
      </c>
      <c r="P681" s="12">
        <f t="shared" si="310"/>
        <v>0</v>
      </c>
      <c r="Q681" s="12">
        <f t="shared" si="311"/>
        <v>0</v>
      </c>
      <c r="R681" s="12">
        <f t="shared" si="312"/>
        <v>0</v>
      </c>
    </row>
    <row r="682" spans="1:18" x14ac:dyDescent="0.25">
      <c r="A682" s="26"/>
      <c r="B682" s="25" t="s">
        <v>194</v>
      </c>
      <c r="C682" s="15">
        <v>8</v>
      </c>
      <c r="D682" s="16">
        <v>100</v>
      </c>
      <c r="E682" s="15">
        <v>1</v>
      </c>
      <c r="F682" s="11">
        <v>8</v>
      </c>
      <c r="G682" s="11">
        <f t="shared" si="414"/>
        <v>26</v>
      </c>
      <c r="H682" s="12"/>
      <c r="I682" s="12">
        <f>2*(0.18+0.122)+24*C682/1000</f>
        <v>0.79600000000000004</v>
      </c>
      <c r="J682" s="22"/>
      <c r="K682" s="22"/>
      <c r="L682" s="12">
        <f t="shared" si="413"/>
        <v>0.79600000000000004</v>
      </c>
      <c r="M682" s="12">
        <f t="shared" si="388"/>
        <v>165.57</v>
      </c>
      <c r="N682" s="12">
        <f t="shared" si="308"/>
        <v>0</v>
      </c>
      <c r="O682" s="12">
        <f t="shared" si="309"/>
        <v>0</v>
      </c>
      <c r="P682" s="12">
        <f t="shared" si="310"/>
        <v>0</v>
      </c>
      <c r="Q682" s="12">
        <f t="shared" si="311"/>
        <v>0</v>
      </c>
      <c r="R682" s="12">
        <f t="shared" si="312"/>
        <v>0</v>
      </c>
    </row>
    <row r="683" spans="1:18" x14ac:dyDescent="0.25">
      <c r="A683" s="26"/>
      <c r="B683" s="25" t="s">
        <v>222</v>
      </c>
      <c r="C683" s="15">
        <v>8</v>
      </c>
      <c r="D683" s="16">
        <v>200</v>
      </c>
      <c r="E683" s="15">
        <v>1</v>
      </c>
      <c r="F683" s="11">
        <v>1</v>
      </c>
      <c r="G683" s="11">
        <f t="shared" si="414"/>
        <v>13</v>
      </c>
      <c r="H683" s="12"/>
      <c r="I683" s="12">
        <f>2*(0.18+1.616)+24*C683/1000</f>
        <v>3.7840000000000003</v>
      </c>
      <c r="J683" s="22"/>
      <c r="K683" s="22"/>
      <c r="L683" s="12">
        <f t="shared" ref="L683:L684" si="415">SUM(H683:J683)+K683</f>
        <v>3.7840000000000003</v>
      </c>
      <c r="M683" s="12">
        <f t="shared" si="388"/>
        <v>49.19</v>
      </c>
      <c r="N683" s="12">
        <f t="shared" si="308"/>
        <v>0</v>
      </c>
      <c r="O683" s="12">
        <f t="shared" si="309"/>
        <v>0</v>
      </c>
      <c r="P683" s="12">
        <f t="shared" si="310"/>
        <v>0</v>
      </c>
      <c r="Q683" s="12">
        <f t="shared" si="311"/>
        <v>0</v>
      </c>
      <c r="R683" s="12">
        <f t="shared" si="312"/>
        <v>0</v>
      </c>
    </row>
    <row r="684" spans="1:18" x14ac:dyDescent="0.25">
      <c r="A684" s="26"/>
      <c r="B684" s="25" t="s">
        <v>177</v>
      </c>
      <c r="C684" s="15">
        <v>8</v>
      </c>
      <c r="D684" s="16">
        <v>400</v>
      </c>
      <c r="E684" s="15">
        <v>1</v>
      </c>
      <c r="F684" s="11">
        <v>4</v>
      </c>
      <c r="G684" s="11">
        <f t="shared" si="414"/>
        <v>7</v>
      </c>
      <c r="H684" s="12"/>
      <c r="I684" s="12">
        <f>0.18+(20*C684/1000)</f>
        <v>0.33999999999999997</v>
      </c>
      <c r="J684" s="22"/>
      <c r="K684" s="22"/>
      <c r="L684" s="12">
        <f t="shared" si="415"/>
        <v>0.33999999999999997</v>
      </c>
      <c r="M684" s="12">
        <f t="shared" si="388"/>
        <v>9.52</v>
      </c>
      <c r="N684" s="12">
        <f t="shared" si="308"/>
        <v>0</v>
      </c>
      <c r="O684" s="12">
        <f t="shared" si="309"/>
        <v>0</v>
      </c>
      <c r="P684" s="12">
        <f t="shared" si="310"/>
        <v>0</v>
      </c>
      <c r="Q684" s="12">
        <f t="shared" si="311"/>
        <v>0</v>
      </c>
      <c r="R684" s="12">
        <f t="shared" si="312"/>
        <v>0</v>
      </c>
    </row>
    <row r="685" spans="1:18" x14ac:dyDescent="0.25">
      <c r="A685" s="26"/>
      <c r="B685" s="45" t="s">
        <v>198</v>
      </c>
      <c r="C685" s="15">
        <v>16</v>
      </c>
      <c r="D685" s="16"/>
      <c r="E685" s="15">
        <v>6</v>
      </c>
      <c r="F685" s="11">
        <v>1</v>
      </c>
      <c r="G685" s="11">
        <v>8</v>
      </c>
      <c r="H685" s="12"/>
      <c r="I685" s="12">
        <f t="shared" ref="I685:I687" si="416">106.2-103.25</f>
        <v>2.9500000000000028</v>
      </c>
      <c r="J685" s="22"/>
      <c r="K685" s="22">
        <f t="shared" ref="K685:K687" si="417">0.5*40*C685/1000</f>
        <v>0.32</v>
      </c>
      <c r="L685" s="12">
        <f t="shared" ref="L685:L695" si="418">SUM(H685:J685)+K685</f>
        <v>3.2700000000000027</v>
      </c>
      <c r="M685" s="12">
        <f t="shared" si="388"/>
        <v>0</v>
      </c>
      <c r="N685" s="12">
        <f t="shared" si="308"/>
        <v>0</v>
      </c>
      <c r="O685" s="12">
        <f t="shared" si="309"/>
        <v>0</v>
      </c>
      <c r="P685" s="12">
        <f t="shared" si="310"/>
        <v>156.96</v>
      </c>
      <c r="Q685" s="12">
        <f t="shared" si="311"/>
        <v>0</v>
      </c>
      <c r="R685" s="12">
        <f t="shared" si="312"/>
        <v>0</v>
      </c>
    </row>
    <row r="686" spans="1:18" x14ac:dyDescent="0.25">
      <c r="A686" s="26"/>
      <c r="B686" s="25"/>
      <c r="C686" s="15">
        <v>12</v>
      </c>
      <c r="D686" s="16"/>
      <c r="E686" s="15">
        <v>6</v>
      </c>
      <c r="F686" s="11">
        <v>1</v>
      </c>
      <c r="G686" s="11">
        <v>16</v>
      </c>
      <c r="H686" s="12"/>
      <c r="I686" s="12">
        <f t="shared" si="416"/>
        <v>2.9500000000000028</v>
      </c>
      <c r="J686" s="22"/>
      <c r="K686" s="22">
        <f t="shared" si="417"/>
        <v>0.24</v>
      </c>
      <c r="L686" s="12">
        <f t="shared" si="418"/>
        <v>3.1900000000000031</v>
      </c>
      <c r="M686" s="12">
        <f t="shared" si="388"/>
        <v>0</v>
      </c>
      <c r="N686" s="12">
        <f t="shared" si="308"/>
        <v>0</v>
      </c>
      <c r="O686" s="12">
        <f t="shared" si="309"/>
        <v>306.24</v>
      </c>
      <c r="P686" s="12">
        <f t="shared" si="310"/>
        <v>0</v>
      </c>
      <c r="Q686" s="12">
        <f t="shared" si="311"/>
        <v>0</v>
      </c>
      <c r="R686" s="12">
        <f t="shared" si="312"/>
        <v>0</v>
      </c>
    </row>
    <row r="687" spans="1:18" x14ac:dyDescent="0.25">
      <c r="A687" s="26"/>
      <c r="B687" s="25"/>
      <c r="C687" s="15">
        <v>10</v>
      </c>
      <c r="D687" s="16"/>
      <c r="E687" s="15">
        <v>6</v>
      </c>
      <c r="F687" s="11">
        <v>1</v>
      </c>
      <c r="G687" s="11">
        <v>10</v>
      </c>
      <c r="H687" s="12"/>
      <c r="I687" s="12">
        <f t="shared" si="416"/>
        <v>2.9500000000000028</v>
      </c>
      <c r="J687" s="22"/>
      <c r="K687" s="22">
        <f t="shared" si="417"/>
        <v>0.2</v>
      </c>
      <c r="L687" s="12">
        <f t="shared" si="418"/>
        <v>3.150000000000003</v>
      </c>
      <c r="M687" s="12">
        <f t="shared" si="388"/>
        <v>0</v>
      </c>
      <c r="N687" s="12">
        <f t="shared" si="308"/>
        <v>189</v>
      </c>
      <c r="O687" s="12">
        <f t="shared" si="309"/>
        <v>0</v>
      </c>
      <c r="P687" s="12">
        <f t="shared" si="310"/>
        <v>0</v>
      </c>
      <c r="Q687" s="12">
        <f t="shared" si="311"/>
        <v>0</v>
      </c>
      <c r="R687" s="12">
        <f t="shared" si="312"/>
        <v>0</v>
      </c>
    </row>
    <row r="688" spans="1:18" x14ac:dyDescent="0.25">
      <c r="A688" s="26"/>
      <c r="B688" s="25" t="s">
        <v>172</v>
      </c>
      <c r="C688" s="15"/>
      <c r="D688" s="16"/>
      <c r="E688" s="15"/>
      <c r="F688" s="11"/>
      <c r="G688" s="11"/>
      <c r="H688" s="12"/>
      <c r="I688" s="12"/>
      <c r="J688" s="22"/>
      <c r="K688" s="22"/>
      <c r="L688" s="12">
        <f t="shared" si="418"/>
        <v>0</v>
      </c>
      <c r="M688" s="12">
        <f t="shared" si="388"/>
        <v>0</v>
      </c>
      <c r="N688" s="12">
        <f t="shared" si="308"/>
        <v>0</v>
      </c>
      <c r="O688" s="12">
        <f t="shared" si="309"/>
        <v>0</v>
      </c>
      <c r="P688" s="12">
        <f t="shared" si="310"/>
        <v>0</v>
      </c>
      <c r="Q688" s="12">
        <f t="shared" si="311"/>
        <v>0</v>
      </c>
      <c r="R688" s="12">
        <f t="shared" si="312"/>
        <v>0</v>
      </c>
    </row>
    <row r="689" spans="1:18" x14ac:dyDescent="0.25">
      <c r="A689" s="26"/>
      <c r="B689" s="25" t="s">
        <v>188</v>
      </c>
      <c r="C689" s="15">
        <v>8</v>
      </c>
      <c r="D689" s="16">
        <v>100</v>
      </c>
      <c r="E689" s="15">
        <v>6</v>
      </c>
      <c r="F689" s="11">
        <v>1</v>
      </c>
      <c r="G689" s="11">
        <f t="shared" ref="G689:G696" si="419">+ROUND(2450/D689+1,0)</f>
        <v>26</v>
      </c>
      <c r="H689" s="12"/>
      <c r="I689" s="12">
        <f>2*(0.18+0.6)+24*C689/1000</f>
        <v>1.752</v>
      </c>
      <c r="J689" s="22"/>
      <c r="K689" s="22"/>
      <c r="L689" s="12">
        <f t="shared" si="418"/>
        <v>1.752</v>
      </c>
      <c r="M689" s="12">
        <f t="shared" si="388"/>
        <v>273.31</v>
      </c>
      <c r="N689" s="12">
        <f t="shared" si="308"/>
        <v>0</v>
      </c>
      <c r="O689" s="12">
        <f t="shared" si="309"/>
        <v>0</v>
      </c>
      <c r="P689" s="12">
        <f t="shared" si="310"/>
        <v>0</v>
      </c>
      <c r="Q689" s="12">
        <f t="shared" si="311"/>
        <v>0</v>
      </c>
      <c r="R689" s="12">
        <f t="shared" si="312"/>
        <v>0</v>
      </c>
    </row>
    <row r="690" spans="1:18" x14ac:dyDescent="0.25">
      <c r="A690" s="26"/>
      <c r="B690" s="25" t="s">
        <v>174</v>
      </c>
      <c r="C690" s="15">
        <v>8</v>
      </c>
      <c r="D690" s="16">
        <v>100</v>
      </c>
      <c r="E690" s="15">
        <v>6</v>
      </c>
      <c r="F690" s="11">
        <v>1</v>
      </c>
      <c r="G690" s="11">
        <f t="shared" si="419"/>
        <v>26</v>
      </c>
      <c r="H690" s="12"/>
      <c r="I690" s="12">
        <f>2*(0.18+0.248)+24*C690/1000</f>
        <v>1.048</v>
      </c>
      <c r="J690" s="22"/>
      <c r="K690" s="22"/>
      <c r="L690" s="12">
        <f t="shared" si="418"/>
        <v>1.048</v>
      </c>
      <c r="M690" s="12">
        <f t="shared" si="388"/>
        <v>163.49</v>
      </c>
      <c r="N690" s="12">
        <f t="shared" si="308"/>
        <v>0</v>
      </c>
      <c r="O690" s="12">
        <f t="shared" si="309"/>
        <v>0</v>
      </c>
      <c r="P690" s="12">
        <f t="shared" si="310"/>
        <v>0</v>
      </c>
      <c r="Q690" s="12">
        <f t="shared" si="311"/>
        <v>0</v>
      </c>
      <c r="R690" s="12">
        <f t="shared" si="312"/>
        <v>0</v>
      </c>
    </row>
    <row r="691" spans="1:18" x14ac:dyDescent="0.25">
      <c r="A691" s="26"/>
      <c r="B691" s="25" t="s">
        <v>173</v>
      </c>
      <c r="C691" s="15">
        <v>8</v>
      </c>
      <c r="D691" s="16">
        <v>100</v>
      </c>
      <c r="E691" s="15">
        <v>6</v>
      </c>
      <c r="F691" s="11">
        <v>1</v>
      </c>
      <c r="G691" s="11">
        <f t="shared" si="419"/>
        <v>26</v>
      </c>
      <c r="H691" s="12"/>
      <c r="I691" s="12">
        <f>0.18+(20*C691/1000)</f>
        <v>0.33999999999999997</v>
      </c>
      <c r="J691" s="22"/>
      <c r="K691" s="22"/>
      <c r="L691" s="12">
        <f t="shared" si="418"/>
        <v>0.33999999999999997</v>
      </c>
      <c r="M691" s="12">
        <f t="shared" si="388"/>
        <v>53.04</v>
      </c>
      <c r="N691" s="12">
        <f t="shared" si="308"/>
        <v>0</v>
      </c>
      <c r="O691" s="12">
        <f t="shared" si="309"/>
        <v>0</v>
      </c>
      <c r="P691" s="12">
        <f t="shared" si="310"/>
        <v>0</v>
      </c>
      <c r="Q691" s="12">
        <f t="shared" si="311"/>
        <v>0</v>
      </c>
      <c r="R691" s="12">
        <f t="shared" si="312"/>
        <v>0</v>
      </c>
    </row>
    <row r="692" spans="1:18" x14ac:dyDescent="0.25">
      <c r="A692" s="26"/>
      <c r="B692" s="25" t="s">
        <v>189</v>
      </c>
      <c r="C692" s="15">
        <v>8</v>
      </c>
      <c r="D692" s="16">
        <v>100</v>
      </c>
      <c r="E692" s="15">
        <v>6</v>
      </c>
      <c r="F692" s="11">
        <v>2</v>
      </c>
      <c r="G692" s="11">
        <f t="shared" si="419"/>
        <v>26</v>
      </c>
      <c r="H692" s="12"/>
      <c r="I692" s="12">
        <f>2*(0.18+0.385)+24*C692/1000</f>
        <v>1.3219999999999998</v>
      </c>
      <c r="J692" s="22"/>
      <c r="K692" s="22"/>
      <c r="L692" s="12">
        <f t="shared" si="418"/>
        <v>1.3219999999999998</v>
      </c>
      <c r="M692" s="12">
        <f t="shared" si="388"/>
        <v>412.46</v>
      </c>
      <c r="N692" s="12">
        <f t="shared" si="308"/>
        <v>0</v>
      </c>
      <c r="O692" s="12">
        <f t="shared" si="309"/>
        <v>0</v>
      </c>
      <c r="P692" s="12">
        <f t="shared" si="310"/>
        <v>0</v>
      </c>
      <c r="Q692" s="12">
        <f t="shared" si="311"/>
        <v>0</v>
      </c>
      <c r="R692" s="12">
        <f t="shared" si="312"/>
        <v>0</v>
      </c>
    </row>
    <row r="693" spans="1:18" x14ac:dyDescent="0.25">
      <c r="A693" s="26"/>
      <c r="B693" s="25" t="s">
        <v>175</v>
      </c>
      <c r="C693" s="15">
        <v>8</v>
      </c>
      <c r="D693" s="16">
        <v>100</v>
      </c>
      <c r="E693" s="15">
        <v>6</v>
      </c>
      <c r="F693" s="11">
        <v>1</v>
      </c>
      <c r="G693" s="11">
        <f t="shared" si="419"/>
        <v>26</v>
      </c>
      <c r="H693" s="12"/>
      <c r="I693" s="12">
        <f>2*(0.18+0.268)+24*C693/1000</f>
        <v>1.0880000000000001</v>
      </c>
      <c r="J693" s="22"/>
      <c r="K693" s="22"/>
      <c r="L693" s="12">
        <f t="shared" si="418"/>
        <v>1.0880000000000001</v>
      </c>
      <c r="M693" s="12">
        <f t="shared" si="388"/>
        <v>169.73</v>
      </c>
      <c r="N693" s="12">
        <f t="shared" si="308"/>
        <v>0</v>
      </c>
      <c r="O693" s="12">
        <f t="shared" si="309"/>
        <v>0</v>
      </c>
      <c r="P693" s="12">
        <f t="shared" si="310"/>
        <v>0</v>
      </c>
      <c r="Q693" s="12">
        <f t="shared" si="311"/>
        <v>0</v>
      </c>
      <c r="R693" s="12">
        <f t="shared" si="312"/>
        <v>0</v>
      </c>
    </row>
    <row r="694" spans="1:18" x14ac:dyDescent="0.25">
      <c r="A694" s="26"/>
      <c r="B694" s="25" t="s">
        <v>173</v>
      </c>
      <c r="C694" s="15">
        <v>8</v>
      </c>
      <c r="D694" s="16">
        <v>100</v>
      </c>
      <c r="E694" s="15">
        <v>6</v>
      </c>
      <c r="F694" s="11">
        <v>1</v>
      </c>
      <c r="G694" s="11">
        <f t="shared" si="419"/>
        <v>26</v>
      </c>
      <c r="H694" s="12"/>
      <c r="I694" s="12">
        <f>0.18+(20*C694/1000)</f>
        <v>0.33999999999999997</v>
      </c>
      <c r="J694" s="22"/>
      <c r="K694" s="22"/>
      <c r="L694" s="12">
        <f t="shared" si="418"/>
        <v>0.33999999999999997</v>
      </c>
      <c r="M694" s="12">
        <f t="shared" si="388"/>
        <v>53.04</v>
      </c>
      <c r="N694" s="12">
        <f t="shared" si="308"/>
        <v>0</v>
      </c>
      <c r="O694" s="12">
        <f t="shared" si="309"/>
        <v>0</v>
      </c>
      <c r="P694" s="12">
        <f t="shared" si="310"/>
        <v>0</v>
      </c>
      <c r="Q694" s="12">
        <f t="shared" si="311"/>
        <v>0</v>
      </c>
      <c r="R694" s="12">
        <f t="shared" si="312"/>
        <v>0</v>
      </c>
    </row>
    <row r="695" spans="1:18" x14ac:dyDescent="0.25">
      <c r="A695" s="26"/>
      <c r="B695" s="25" t="s">
        <v>179</v>
      </c>
      <c r="C695" s="15">
        <v>8</v>
      </c>
      <c r="D695" s="16">
        <v>200</v>
      </c>
      <c r="E695" s="15">
        <v>6</v>
      </c>
      <c r="F695" s="11">
        <v>1</v>
      </c>
      <c r="G695" s="11">
        <f t="shared" si="419"/>
        <v>13</v>
      </c>
      <c r="H695" s="12"/>
      <c r="I695" s="12">
        <f>2*(0.18+1.066)+24*C695/1000</f>
        <v>2.6840000000000002</v>
      </c>
      <c r="J695" s="22"/>
      <c r="K695" s="22"/>
      <c r="L695" s="12">
        <f t="shared" si="418"/>
        <v>2.6840000000000002</v>
      </c>
      <c r="M695" s="12">
        <f t="shared" si="388"/>
        <v>209.35</v>
      </c>
      <c r="N695" s="12">
        <f t="shared" si="308"/>
        <v>0</v>
      </c>
      <c r="O695" s="12">
        <f t="shared" si="309"/>
        <v>0</v>
      </c>
      <c r="P695" s="12">
        <f t="shared" si="310"/>
        <v>0</v>
      </c>
      <c r="Q695" s="12">
        <f t="shared" si="311"/>
        <v>0</v>
      </c>
      <c r="R695" s="12">
        <f t="shared" si="312"/>
        <v>0</v>
      </c>
    </row>
    <row r="696" spans="1:18" x14ac:dyDescent="0.25">
      <c r="A696" s="26"/>
      <c r="B696" s="25" t="s">
        <v>177</v>
      </c>
      <c r="C696" s="15">
        <v>8</v>
      </c>
      <c r="D696" s="16">
        <v>400</v>
      </c>
      <c r="E696" s="15">
        <v>6</v>
      </c>
      <c r="F696" s="11">
        <v>2</v>
      </c>
      <c r="G696" s="11">
        <f t="shared" si="419"/>
        <v>7</v>
      </c>
      <c r="H696" s="12"/>
      <c r="I696" s="12">
        <f>0.18+(20*C696/1000)</f>
        <v>0.33999999999999997</v>
      </c>
      <c r="J696" s="22"/>
      <c r="K696" s="22"/>
      <c r="L696" s="12">
        <f t="shared" ref="L696" si="420">SUM(H696:J696)+K696</f>
        <v>0.33999999999999997</v>
      </c>
      <c r="M696" s="12">
        <f t="shared" si="388"/>
        <v>28.56</v>
      </c>
      <c r="N696" s="12">
        <f t="shared" si="308"/>
        <v>0</v>
      </c>
      <c r="O696" s="12">
        <f t="shared" si="309"/>
        <v>0</v>
      </c>
      <c r="P696" s="12">
        <f t="shared" si="310"/>
        <v>0</v>
      </c>
      <c r="Q696" s="12">
        <f t="shared" si="311"/>
        <v>0</v>
      </c>
      <c r="R696" s="12">
        <f t="shared" si="312"/>
        <v>0</v>
      </c>
    </row>
    <row r="697" spans="1:18" x14ac:dyDescent="0.25">
      <c r="A697" s="26"/>
      <c r="B697" s="45" t="s">
        <v>229</v>
      </c>
      <c r="C697" s="15">
        <v>16</v>
      </c>
      <c r="D697" s="16"/>
      <c r="E697" s="15">
        <v>2</v>
      </c>
      <c r="F697" s="11">
        <v>1</v>
      </c>
      <c r="G697" s="11">
        <v>8</v>
      </c>
      <c r="H697" s="12"/>
      <c r="I697" s="12">
        <f t="shared" ref="I697:I699" si="421">106.2-103.25</f>
        <v>2.9500000000000028</v>
      </c>
      <c r="J697" s="22"/>
      <c r="K697" s="22">
        <f t="shared" ref="K697:K699" si="422">0.5*40*C697/1000</f>
        <v>0.32</v>
      </c>
      <c r="L697" s="12">
        <f t="shared" ref="L697:L704" si="423">SUM(H697:J697)+K697</f>
        <v>3.2700000000000027</v>
      </c>
      <c r="M697" s="12">
        <f t="shared" si="388"/>
        <v>0</v>
      </c>
      <c r="N697" s="12">
        <f t="shared" si="308"/>
        <v>0</v>
      </c>
      <c r="O697" s="12">
        <f t="shared" si="309"/>
        <v>0</v>
      </c>
      <c r="P697" s="12">
        <f t="shared" si="310"/>
        <v>52.32</v>
      </c>
      <c r="Q697" s="12">
        <f t="shared" si="311"/>
        <v>0</v>
      </c>
      <c r="R697" s="12">
        <f t="shared" si="312"/>
        <v>0</v>
      </c>
    </row>
    <row r="698" spans="1:18" x14ac:dyDescent="0.25">
      <c r="A698" s="26"/>
      <c r="B698" s="45"/>
      <c r="C698" s="15">
        <v>12</v>
      </c>
      <c r="D698" s="16"/>
      <c r="E698" s="15">
        <v>2</v>
      </c>
      <c r="F698" s="11">
        <v>1</v>
      </c>
      <c r="G698" s="11">
        <v>12</v>
      </c>
      <c r="H698" s="12"/>
      <c r="I698" s="12">
        <f t="shared" si="421"/>
        <v>2.9500000000000028</v>
      </c>
      <c r="J698" s="22"/>
      <c r="K698" s="22">
        <f t="shared" si="422"/>
        <v>0.24</v>
      </c>
      <c r="L698" s="12">
        <f t="shared" si="423"/>
        <v>3.1900000000000031</v>
      </c>
      <c r="M698" s="12">
        <f t="shared" si="388"/>
        <v>0</v>
      </c>
      <c r="N698" s="12">
        <f t="shared" si="308"/>
        <v>0</v>
      </c>
      <c r="O698" s="12">
        <f t="shared" si="309"/>
        <v>76.56</v>
      </c>
      <c r="P698" s="12">
        <f t="shared" si="310"/>
        <v>0</v>
      </c>
      <c r="Q698" s="12">
        <f t="shared" si="311"/>
        <v>0</v>
      </c>
      <c r="R698" s="12">
        <f t="shared" si="312"/>
        <v>0</v>
      </c>
    </row>
    <row r="699" spans="1:18" x14ac:dyDescent="0.25">
      <c r="A699" s="26"/>
      <c r="B699" s="45"/>
      <c r="C699" s="15">
        <v>10</v>
      </c>
      <c r="D699" s="16"/>
      <c r="E699" s="15">
        <v>2</v>
      </c>
      <c r="F699" s="11">
        <v>1</v>
      </c>
      <c r="G699" s="11">
        <v>24</v>
      </c>
      <c r="H699" s="12"/>
      <c r="I699" s="12">
        <f t="shared" si="421"/>
        <v>2.9500000000000028</v>
      </c>
      <c r="J699" s="22"/>
      <c r="K699" s="22">
        <f t="shared" si="422"/>
        <v>0.2</v>
      </c>
      <c r="L699" s="12">
        <f t="shared" si="423"/>
        <v>3.150000000000003</v>
      </c>
      <c r="M699" s="12">
        <f t="shared" si="388"/>
        <v>0</v>
      </c>
      <c r="N699" s="12">
        <f t="shared" si="308"/>
        <v>151.19999999999999</v>
      </c>
      <c r="O699" s="12">
        <f t="shared" si="309"/>
        <v>0</v>
      </c>
      <c r="P699" s="12">
        <f t="shared" si="310"/>
        <v>0</v>
      </c>
      <c r="Q699" s="12">
        <f t="shared" si="311"/>
        <v>0</v>
      </c>
      <c r="R699" s="12">
        <f t="shared" si="312"/>
        <v>0</v>
      </c>
    </row>
    <row r="700" spans="1:18" x14ac:dyDescent="0.25">
      <c r="A700" s="26"/>
      <c r="B700" s="25" t="s">
        <v>172</v>
      </c>
      <c r="C700" s="15"/>
      <c r="D700" s="16"/>
      <c r="E700" s="15"/>
      <c r="F700" s="11"/>
      <c r="G700" s="11"/>
      <c r="H700" s="12"/>
      <c r="I700" s="12"/>
      <c r="J700" s="22"/>
      <c r="K700" s="22"/>
      <c r="L700" s="12">
        <f t="shared" si="423"/>
        <v>0</v>
      </c>
      <c r="M700" s="12">
        <f t="shared" si="388"/>
        <v>0</v>
      </c>
      <c r="N700" s="12">
        <f t="shared" si="308"/>
        <v>0</v>
      </c>
      <c r="O700" s="12">
        <f t="shared" si="309"/>
        <v>0</v>
      </c>
      <c r="P700" s="12">
        <f t="shared" si="310"/>
        <v>0</v>
      </c>
      <c r="Q700" s="12">
        <f t="shared" si="311"/>
        <v>0</v>
      </c>
      <c r="R700" s="12">
        <f t="shared" si="312"/>
        <v>0</v>
      </c>
    </row>
    <row r="701" spans="1:18" x14ac:dyDescent="0.25">
      <c r="A701" s="26"/>
      <c r="B701" s="25" t="s">
        <v>230</v>
      </c>
      <c r="C701" s="15">
        <v>8</v>
      </c>
      <c r="D701" s="16">
        <v>100</v>
      </c>
      <c r="E701" s="15">
        <v>2</v>
      </c>
      <c r="F701" s="11">
        <v>2</v>
      </c>
      <c r="G701" s="11">
        <f t="shared" ref="G701:G705" si="424">+ROUND(2450/D701+1,0)</f>
        <v>26</v>
      </c>
      <c r="H701" s="12"/>
      <c r="I701" s="12">
        <f>2*(0.18+0.483)+24*C701/1000</f>
        <v>1.518</v>
      </c>
      <c r="J701" s="22"/>
      <c r="K701" s="22"/>
      <c r="L701" s="12">
        <f t="shared" si="423"/>
        <v>1.518</v>
      </c>
      <c r="M701" s="12">
        <f t="shared" si="388"/>
        <v>157.87</v>
      </c>
      <c r="N701" s="12">
        <f t="shared" si="308"/>
        <v>0</v>
      </c>
      <c r="O701" s="12">
        <f t="shared" si="309"/>
        <v>0</v>
      </c>
      <c r="P701" s="12">
        <f t="shared" si="310"/>
        <v>0</v>
      </c>
      <c r="Q701" s="12">
        <f t="shared" si="311"/>
        <v>0</v>
      </c>
      <c r="R701" s="12">
        <f t="shared" si="312"/>
        <v>0</v>
      </c>
    </row>
    <row r="702" spans="1:18" x14ac:dyDescent="0.25">
      <c r="A702" s="26"/>
      <c r="B702" s="25" t="s">
        <v>231</v>
      </c>
      <c r="C702" s="15">
        <v>8</v>
      </c>
      <c r="D702" s="16">
        <v>100</v>
      </c>
      <c r="E702" s="15">
        <v>2</v>
      </c>
      <c r="F702" s="11">
        <v>2</v>
      </c>
      <c r="G702" s="11">
        <f t="shared" si="424"/>
        <v>26</v>
      </c>
      <c r="H702" s="12"/>
      <c r="I702" s="12">
        <f>2*(0.18+0.25)+24*C702/1000</f>
        <v>1.052</v>
      </c>
      <c r="J702" s="22"/>
      <c r="K702" s="22"/>
      <c r="L702" s="12">
        <f t="shared" si="423"/>
        <v>1.052</v>
      </c>
      <c r="M702" s="12">
        <f t="shared" si="388"/>
        <v>109.41</v>
      </c>
      <c r="N702" s="12">
        <f t="shared" si="308"/>
        <v>0</v>
      </c>
      <c r="O702" s="12">
        <f t="shared" si="309"/>
        <v>0</v>
      </c>
      <c r="P702" s="12">
        <f t="shared" si="310"/>
        <v>0</v>
      </c>
      <c r="Q702" s="12">
        <f t="shared" si="311"/>
        <v>0</v>
      </c>
      <c r="R702" s="12">
        <f t="shared" si="312"/>
        <v>0</v>
      </c>
    </row>
    <row r="703" spans="1:18" x14ac:dyDescent="0.25">
      <c r="A703" s="26"/>
      <c r="B703" s="25" t="s">
        <v>173</v>
      </c>
      <c r="C703" s="15">
        <v>8</v>
      </c>
      <c r="D703" s="16">
        <v>100</v>
      </c>
      <c r="E703" s="15">
        <v>2</v>
      </c>
      <c r="F703" s="11">
        <v>2</v>
      </c>
      <c r="G703" s="11">
        <f t="shared" si="424"/>
        <v>26</v>
      </c>
      <c r="H703" s="12"/>
      <c r="I703" s="12">
        <f>0.18+(20*C703/1000)</f>
        <v>0.33999999999999997</v>
      </c>
      <c r="J703" s="22"/>
      <c r="K703" s="22"/>
      <c r="L703" s="12">
        <f t="shared" si="423"/>
        <v>0.33999999999999997</v>
      </c>
      <c r="M703" s="12">
        <f t="shared" si="388"/>
        <v>35.36</v>
      </c>
      <c r="N703" s="12">
        <f t="shared" si="308"/>
        <v>0</v>
      </c>
      <c r="O703" s="12">
        <f t="shared" si="309"/>
        <v>0</v>
      </c>
      <c r="P703" s="12">
        <f t="shared" si="310"/>
        <v>0</v>
      </c>
      <c r="Q703" s="12">
        <f t="shared" si="311"/>
        <v>0</v>
      </c>
      <c r="R703" s="12">
        <f t="shared" si="312"/>
        <v>0</v>
      </c>
    </row>
    <row r="704" spans="1:18" x14ac:dyDescent="0.25">
      <c r="A704" s="26"/>
      <c r="B704" s="25" t="s">
        <v>232</v>
      </c>
      <c r="C704" s="15">
        <v>8</v>
      </c>
      <c r="D704" s="16">
        <v>200</v>
      </c>
      <c r="E704" s="15">
        <v>2</v>
      </c>
      <c r="F704" s="11">
        <v>1</v>
      </c>
      <c r="G704" s="11">
        <f t="shared" si="424"/>
        <v>13</v>
      </c>
      <c r="H704" s="12"/>
      <c r="I704" s="12">
        <f>2*(0.18+2.461)+24*C704/1000</f>
        <v>5.4740000000000002</v>
      </c>
      <c r="J704" s="22"/>
      <c r="K704" s="22"/>
      <c r="L704" s="12">
        <f t="shared" si="423"/>
        <v>5.4740000000000002</v>
      </c>
      <c r="M704" s="12">
        <f t="shared" si="388"/>
        <v>142.32</v>
      </c>
      <c r="N704" s="12">
        <f t="shared" si="308"/>
        <v>0</v>
      </c>
      <c r="O704" s="12">
        <f t="shared" si="309"/>
        <v>0</v>
      </c>
      <c r="P704" s="12">
        <f t="shared" si="310"/>
        <v>0</v>
      </c>
      <c r="Q704" s="12">
        <f t="shared" si="311"/>
        <v>0</v>
      </c>
      <c r="R704" s="12">
        <f t="shared" si="312"/>
        <v>0</v>
      </c>
    </row>
    <row r="705" spans="1:18" x14ac:dyDescent="0.25">
      <c r="A705" s="26"/>
      <c r="B705" s="25" t="s">
        <v>177</v>
      </c>
      <c r="C705" s="15">
        <v>8</v>
      </c>
      <c r="D705" s="16">
        <v>400</v>
      </c>
      <c r="E705" s="15">
        <v>2</v>
      </c>
      <c r="F705" s="11">
        <v>6</v>
      </c>
      <c r="G705" s="11">
        <f t="shared" si="424"/>
        <v>7</v>
      </c>
      <c r="H705" s="12"/>
      <c r="I705" s="12">
        <f>0.18+(20*C705/1000)</f>
        <v>0.33999999999999997</v>
      </c>
      <c r="J705" s="22"/>
      <c r="K705" s="22"/>
      <c r="L705" s="12">
        <f t="shared" ref="L705" si="425">SUM(H705:J705)+K705</f>
        <v>0.33999999999999997</v>
      </c>
      <c r="M705" s="12">
        <f t="shared" si="388"/>
        <v>28.56</v>
      </c>
      <c r="N705" s="12">
        <f t="shared" si="308"/>
        <v>0</v>
      </c>
      <c r="O705" s="12">
        <f t="shared" si="309"/>
        <v>0</v>
      </c>
      <c r="P705" s="12">
        <f t="shared" si="310"/>
        <v>0</v>
      </c>
      <c r="Q705" s="12">
        <f t="shared" si="311"/>
        <v>0</v>
      </c>
      <c r="R705" s="12">
        <f t="shared" si="312"/>
        <v>0</v>
      </c>
    </row>
    <row r="706" spans="1:18" x14ac:dyDescent="0.25">
      <c r="A706" s="26"/>
      <c r="B706" s="45" t="s">
        <v>247</v>
      </c>
      <c r="C706" s="15">
        <v>16</v>
      </c>
      <c r="D706" s="16"/>
      <c r="E706" s="15">
        <v>2</v>
      </c>
      <c r="F706" s="11">
        <v>1</v>
      </c>
      <c r="G706" s="11">
        <v>8</v>
      </c>
      <c r="H706" s="12"/>
      <c r="I706" s="12">
        <f t="shared" ref="I706:I708" si="426">106.2-103.25</f>
        <v>2.9500000000000028</v>
      </c>
      <c r="J706" s="22"/>
      <c r="K706" s="22">
        <f t="shared" ref="K706:K708" si="427">0.5*40*C706/1000</f>
        <v>0.32</v>
      </c>
      <c r="L706" s="12">
        <f t="shared" ref="L706:L713" si="428">SUM(H706:J706)+K706</f>
        <v>3.2700000000000027</v>
      </c>
      <c r="M706" s="12">
        <f t="shared" si="388"/>
        <v>0</v>
      </c>
      <c r="N706" s="12">
        <f t="shared" si="308"/>
        <v>0</v>
      </c>
      <c r="O706" s="12">
        <f t="shared" si="309"/>
        <v>0</v>
      </c>
      <c r="P706" s="12">
        <f t="shared" si="310"/>
        <v>52.32</v>
      </c>
      <c r="Q706" s="12">
        <f t="shared" si="311"/>
        <v>0</v>
      </c>
      <c r="R706" s="12">
        <f t="shared" si="312"/>
        <v>0</v>
      </c>
    </row>
    <row r="707" spans="1:18" x14ac:dyDescent="0.25">
      <c r="A707" s="26"/>
      <c r="B707" s="45"/>
      <c r="C707" s="15">
        <v>12</v>
      </c>
      <c r="D707" s="16"/>
      <c r="E707" s="15">
        <v>2</v>
      </c>
      <c r="F707" s="11">
        <v>1</v>
      </c>
      <c r="G707" s="11">
        <v>20</v>
      </c>
      <c r="H707" s="12"/>
      <c r="I707" s="12">
        <f t="shared" si="426"/>
        <v>2.9500000000000028</v>
      </c>
      <c r="J707" s="22"/>
      <c r="K707" s="22">
        <f t="shared" si="427"/>
        <v>0.24</v>
      </c>
      <c r="L707" s="12">
        <f t="shared" si="428"/>
        <v>3.1900000000000031</v>
      </c>
      <c r="M707" s="12">
        <f t="shared" si="388"/>
        <v>0</v>
      </c>
      <c r="N707" s="12">
        <f t="shared" si="308"/>
        <v>0</v>
      </c>
      <c r="O707" s="12">
        <f t="shared" si="309"/>
        <v>127.6</v>
      </c>
      <c r="P707" s="12">
        <f t="shared" si="310"/>
        <v>0</v>
      </c>
      <c r="Q707" s="12">
        <f t="shared" si="311"/>
        <v>0</v>
      </c>
      <c r="R707" s="12">
        <f t="shared" si="312"/>
        <v>0</v>
      </c>
    </row>
    <row r="708" spans="1:18" x14ac:dyDescent="0.25">
      <c r="A708" s="26"/>
      <c r="B708" s="45"/>
      <c r="C708" s="15">
        <v>10</v>
      </c>
      <c r="D708" s="16"/>
      <c r="E708" s="15">
        <v>2</v>
      </c>
      <c r="F708" s="11">
        <v>1</v>
      </c>
      <c r="G708" s="11">
        <v>26</v>
      </c>
      <c r="H708" s="12"/>
      <c r="I708" s="12">
        <f t="shared" si="426"/>
        <v>2.9500000000000028</v>
      </c>
      <c r="J708" s="22"/>
      <c r="K708" s="22">
        <f t="shared" si="427"/>
        <v>0.2</v>
      </c>
      <c r="L708" s="12">
        <f t="shared" si="428"/>
        <v>3.150000000000003</v>
      </c>
      <c r="M708" s="12">
        <f t="shared" si="388"/>
        <v>0</v>
      </c>
      <c r="N708" s="12">
        <f t="shared" si="308"/>
        <v>163.80000000000001</v>
      </c>
      <c r="O708" s="12">
        <f t="shared" si="309"/>
        <v>0</v>
      </c>
      <c r="P708" s="12">
        <f t="shared" si="310"/>
        <v>0</v>
      </c>
      <c r="Q708" s="12">
        <f t="shared" si="311"/>
        <v>0</v>
      </c>
      <c r="R708" s="12">
        <f t="shared" si="312"/>
        <v>0</v>
      </c>
    </row>
    <row r="709" spans="1:18" x14ac:dyDescent="0.25">
      <c r="A709" s="26"/>
      <c r="B709" s="25" t="s">
        <v>172</v>
      </c>
      <c r="C709" s="15"/>
      <c r="D709" s="16"/>
      <c r="E709" s="15"/>
      <c r="F709" s="11"/>
      <c r="G709" s="11"/>
      <c r="H709" s="12"/>
      <c r="I709" s="12"/>
      <c r="J709" s="22"/>
      <c r="K709" s="22"/>
      <c r="L709" s="12">
        <f t="shared" si="428"/>
        <v>0</v>
      </c>
      <c r="M709" s="12">
        <f t="shared" si="388"/>
        <v>0</v>
      </c>
      <c r="N709" s="12">
        <f t="shared" si="308"/>
        <v>0</v>
      </c>
      <c r="O709" s="12">
        <f t="shared" si="309"/>
        <v>0</v>
      </c>
      <c r="P709" s="12">
        <f t="shared" si="310"/>
        <v>0</v>
      </c>
      <c r="Q709" s="12">
        <f t="shared" si="311"/>
        <v>0</v>
      </c>
      <c r="R709" s="12">
        <f t="shared" si="312"/>
        <v>0</v>
      </c>
    </row>
    <row r="710" spans="1:18" x14ac:dyDescent="0.25">
      <c r="A710" s="26"/>
      <c r="B710" s="25" t="s">
        <v>200</v>
      </c>
      <c r="C710" s="15">
        <v>8</v>
      </c>
      <c r="D710" s="16">
        <v>100</v>
      </c>
      <c r="E710" s="15">
        <v>2</v>
      </c>
      <c r="F710" s="11">
        <v>2</v>
      </c>
      <c r="G710" s="11">
        <f t="shared" ref="G710:G714" si="429">+ROUND(2450/D710+1,0)</f>
        <v>26</v>
      </c>
      <c r="H710" s="12"/>
      <c r="I710" s="12">
        <f>2*(0.18+0.683)+24*C710/1000</f>
        <v>1.9179999999999999</v>
      </c>
      <c r="J710" s="22"/>
      <c r="K710" s="22"/>
      <c r="L710" s="12">
        <f t="shared" si="428"/>
        <v>1.9179999999999999</v>
      </c>
      <c r="M710" s="12">
        <f t="shared" si="388"/>
        <v>199.47</v>
      </c>
      <c r="N710" s="12">
        <f t="shared" si="308"/>
        <v>0</v>
      </c>
      <c r="O710" s="12">
        <f t="shared" si="309"/>
        <v>0</v>
      </c>
      <c r="P710" s="12">
        <f t="shared" si="310"/>
        <v>0</v>
      </c>
      <c r="Q710" s="12">
        <f t="shared" si="311"/>
        <v>0</v>
      </c>
      <c r="R710" s="12">
        <f t="shared" si="312"/>
        <v>0</v>
      </c>
    </row>
    <row r="711" spans="1:18" x14ac:dyDescent="0.25">
      <c r="A711" s="26"/>
      <c r="B711" s="25" t="s">
        <v>205</v>
      </c>
      <c r="C711" s="15">
        <v>8</v>
      </c>
      <c r="D711" s="16">
        <v>100</v>
      </c>
      <c r="E711" s="15">
        <v>2</v>
      </c>
      <c r="F711" s="11">
        <f>2*2</f>
        <v>4</v>
      </c>
      <c r="G711" s="11">
        <f t="shared" si="429"/>
        <v>26</v>
      </c>
      <c r="H711" s="12"/>
      <c r="I711" s="12">
        <f>2*(0.18+0.124)+24*C711/1000</f>
        <v>0.8</v>
      </c>
      <c r="J711" s="22"/>
      <c r="K711" s="22"/>
      <c r="L711" s="12">
        <f t="shared" si="428"/>
        <v>0.8</v>
      </c>
      <c r="M711" s="12">
        <f t="shared" si="388"/>
        <v>166.4</v>
      </c>
      <c r="N711" s="12">
        <f t="shared" si="308"/>
        <v>0</v>
      </c>
      <c r="O711" s="12">
        <f t="shared" si="309"/>
        <v>0</v>
      </c>
      <c r="P711" s="12">
        <f t="shared" si="310"/>
        <v>0</v>
      </c>
      <c r="Q711" s="12">
        <f t="shared" si="311"/>
        <v>0</v>
      </c>
      <c r="R711" s="12">
        <f t="shared" si="312"/>
        <v>0</v>
      </c>
    </row>
    <row r="712" spans="1:18" x14ac:dyDescent="0.25">
      <c r="A712" s="26"/>
      <c r="B712" s="25" t="s">
        <v>173</v>
      </c>
      <c r="C712" s="15">
        <v>8</v>
      </c>
      <c r="D712" s="16">
        <v>100</v>
      </c>
      <c r="E712" s="15">
        <v>2</v>
      </c>
      <c r="F712" s="11">
        <v>2</v>
      </c>
      <c r="G712" s="11">
        <f t="shared" si="429"/>
        <v>26</v>
      </c>
      <c r="H712" s="12"/>
      <c r="I712" s="12">
        <f>0.18+(20*C712/1000)</f>
        <v>0.33999999999999997</v>
      </c>
      <c r="J712" s="22"/>
      <c r="K712" s="22"/>
      <c r="L712" s="12">
        <f t="shared" si="428"/>
        <v>0.33999999999999997</v>
      </c>
      <c r="M712" s="12">
        <f t="shared" ref="M712" si="430">+ROUND(IF(C712=8,PRODUCT(E712,F712,G712,L712),0),2)</f>
        <v>35.36</v>
      </c>
      <c r="N712" s="12">
        <f t="shared" ref="N712" si="431">+ROUND(IF(C712=10,PRODUCT(E712,F712,G712,L712),0),2)</f>
        <v>0</v>
      </c>
      <c r="O712" s="12">
        <f t="shared" ref="O712" si="432">+ROUND(IF(C712=12,PRODUCT(E712,F712,G712,L712),0),2)</f>
        <v>0</v>
      </c>
      <c r="P712" s="12">
        <f t="shared" ref="P712" si="433">+ROUND(IF(C712=16,PRODUCT(E712,F712,G712,L712),0),2)</f>
        <v>0</v>
      </c>
      <c r="Q712" s="12">
        <f t="shared" ref="Q712" si="434">+ROUND(IF(C712=20,PRODUCT(E712,F712,G712,L712),0),2)</f>
        <v>0</v>
      </c>
      <c r="R712" s="12">
        <f t="shared" ref="R712" si="435">+ROUND(IF(C712=25,PRODUCT(E712,F712,G712,L712),0),2)</f>
        <v>0</v>
      </c>
    </row>
    <row r="713" spans="1:18" x14ac:dyDescent="0.25">
      <c r="A713" s="26"/>
      <c r="B713" s="25" t="s">
        <v>246</v>
      </c>
      <c r="C713" s="15">
        <v>8</v>
      </c>
      <c r="D713" s="16">
        <v>200</v>
      </c>
      <c r="E713" s="15">
        <v>2</v>
      </c>
      <c r="F713" s="11">
        <v>1</v>
      </c>
      <c r="G713" s="11">
        <f t="shared" si="429"/>
        <v>13</v>
      </c>
      <c r="H713" s="12"/>
      <c r="I713" s="12">
        <f>2*(0.18+2.681)+24*C713/1000</f>
        <v>5.9140000000000006</v>
      </c>
      <c r="J713" s="22"/>
      <c r="K713" s="22"/>
      <c r="L713" s="12">
        <f t="shared" si="428"/>
        <v>5.9140000000000006</v>
      </c>
      <c r="M713" s="12">
        <f t="shared" si="388"/>
        <v>153.76</v>
      </c>
      <c r="N713" s="12">
        <f t="shared" si="308"/>
        <v>0</v>
      </c>
      <c r="O713" s="12">
        <f t="shared" si="309"/>
        <v>0</v>
      </c>
      <c r="P713" s="12">
        <f t="shared" si="310"/>
        <v>0</v>
      </c>
      <c r="Q713" s="12">
        <f t="shared" si="311"/>
        <v>0</v>
      </c>
      <c r="R713" s="12">
        <f t="shared" si="312"/>
        <v>0</v>
      </c>
    </row>
    <row r="714" spans="1:18" x14ac:dyDescent="0.25">
      <c r="A714" s="26"/>
      <c r="B714" s="25" t="s">
        <v>177</v>
      </c>
      <c r="C714" s="15">
        <v>8</v>
      </c>
      <c r="D714" s="16">
        <v>400</v>
      </c>
      <c r="E714" s="15">
        <v>2</v>
      </c>
      <c r="F714" s="11">
        <v>6</v>
      </c>
      <c r="G714" s="11">
        <f t="shared" si="429"/>
        <v>7</v>
      </c>
      <c r="H714" s="12"/>
      <c r="I714" s="12">
        <f>0.18+(20*C714/1000)</f>
        <v>0.33999999999999997</v>
      </c>
      <c r="J714" s="22"/>
      <c r="K714" s="22"/>
      <c r="L714" s="12">
        <f t="shared" ref="L714" si="436">SUM(H714:J714)+K714</f>
        <v>0.33999999999999997</v>
      </c>
      <c r="M714" s="12">
        <f t="shared" si="388"/>
        <v>28.56</v>
      </c>
      <c r="N714" s="12">
        <f t="shared" si="308"/>
        <v>0</v>
      </c>
      <c r="O714" s="12">
        <f t="shared" si="309"/>
        <v>0</v>
      </c>
      <c r="P714" s="12">
        <f t="shared" si="310"/>
        <v>0</v>
      </c>
      <c r="Q714" s="12">
        <f t="shared" si="311"/>
        <v>0</v>
      </c>
      <c r="R714" s="12">
        <f t="shared" si="312"/>
        <v>0</v>
      </c>
    </row>
    <row r="715" spans="1:18" x14ac:dyDescent="0.25">
      <c r="A715" s="26"/>
      <c r="B715" s="45" t="s">
        <v>207</v>
      </c>
      <c r="C715" s="15">
        <v>16</v>
      </c>
      <c r="D715" s="16"/>
      <c r="E715" s="15">
        <v>2</v>
      </c>
      <c r="F715" s="11">
        <v>1</v>
      </c>
      <c r="G715" s="11">
        <v>8</v>
      </c>
      <c r="H715" s="12"/>
      <c r="I715" s="12">
        <f t="shared" ref="I715:I717" si="437">106.2-103.25</f>
        <v>2.9500000000000028</v>
      </c>
      <c r="J715" s="22"/>
      <c r="K715" s="22">
        <f t="shared" ref="K715:K717" si="438">0.5*40*C715/1000</f>
        <v>0.32</v>
      </c>
      <c r="L715" s="12">
        <f t="shared" ref="L715:L732" si="439">SUM(H715:J715)+K715</f>
        <v>3.2700000000000027</v>
      </c>
      <c r="M715" s="12">
        <f t="shared" si="388"/>
        <v>0</v>
      </c>
      <c r="N715" s="12">
        <f t="shared" si="308"/>
        <v>0</v>
      </c>
      <c r="O715" s="12">
        <f t="shared" si="309"/>
        <v>0</v>
      </c>
      <c r="P715" s="12">
        <f t="shared" si="310"/>
        <v>52.32</v>
      </c>
      <c r="Q715" s="12">
        <f t="shared" si="311"/>
        <v>0</v>
      </c>
      <c r="R715" s="12">
        <f t="shared" si="312"/>
        <v>0</v>
      </c>
    </row>
    <row r="716" spans="1:18" x14ac:dyDescent="0.25">
      <c r="A716" s="26"/>
      <c r="B716" s="25"/>
      <c r="C716" s="15">
        <v>12</v>
      </c>
      <c r="D716" s="16"/>
      <c r="E716" s="15">
        <v>2</v>
      </c>
      <c r="F716" s="11">
        <v>1</v>
      </c>
      <c r="G716" s="11">
        <v>16</v>
      </c>
      <c r="H716" s="12"/>
      <c r="I716" s="12">
        <f t="shared" si="437"/>
        <v>2.9500000000000028</v>
      </c>
      <c r="J716" s="22"/>
      <c r="K716" s="22">
        <f t="shared" si="438"/>
        <v>0.24</v>
      </c>
      <c r="L716" s="12">
        <f t="shared" si="439"/>
        <v>3.1900000000000031</v>
      </c>
      <c r="M716" s="12">
        <f t="shared" si="388"/>
        <v>0</v>
      </c>
      <c r="N716" s="12">
        <f t="shared" si="308"/>
        <v>0</v>
      </c>
      <c r="O716" s="12">
        <f t="shared" si="309"/>
        <v>102.08</v>
      </c>
      <c r="P716" s="12">
        <f t="shared" si="310"/>
        <v>0</v>
      </c>
      <c r="Q716" s="12">
        <f t="shared" si="311"/>
        <v>0</v>
      </c>
      <c r="R716" s="12">
        <f t="shared" si="312"/>
        <v>0</v>
      </c>
    </row>
    <row r="717" spans="1:18" x14ac:dyDescent="0.25">
      <c r="A717" s="26"/>
      <c r="B717" s="25"/>
      <c r="C717" s="15">
        <v>10</v>
      </c>
      <c r="D717" s="16"/>
      <c r="E717" s="15">
        <v>2</v>
      </c>
      <c r="F717" s="11">
        <v>1</v>
      </c>
      <c r="G717" s="11">
        <v>6</v>
      </c>
      <c r="H717" s="12"/>
      <c r="I717" s="12">
        <f t="shared" si="437"/>
        <v>2.9500000000000028</v>
      </c>
      <c r="J717" s="22"/>
      <c r="K717" s="22">
        <f t="shared" si="438"/>
        <v>0.2</v>
      </c>
      <c r="L717" s="12">
        <f t="shared" si="439"/>
        <v>3.150000000000003</v>
      </c>
      <c r="M717" s="12">
        <f t="shared" si="388"/>
        <v>0</v>
      </c>
      <c r="N717" s="12">
        <f t="shared" si="308"/>
        <v>37.799999999999997</v>
      </c>
      <c r="O717" s="12">
        <f t="shared" si="309"/>
        <v>0</v>
      </c>
      <c r="P717" s="12">
        <f t="shared" si="310"/>
        <v>0</v>
      </c>
      <c r="Q717" s="12">
        <f t="shared" si="311"/>
        <v>0</v>
      </c>
      <c r="R717" s="12">
        <f t="shared" si="312"/>
        <v>0</v>
      </c>
    </row>
    <row r="718" spans="1:18" x14ac:dyDescent="0.25">
      <c r="A718" s="26"/>
      <c r="B718" s="25" t="s">
        <v>172</v>
      </c>
      <c r="C718" s="15"/>
      <c r="D718" s="16"/>
      <c r="E718" s="15"/>
      <c r="F718" s="11"/>
      <c r="G718" s="11"/>
      <c r="H718" s="12"/>
      <c r="I718" s="12"/>
      <c r="J718" s="22"/>
      <c r="K718" s="22"/>
      <c r="L718" s="12">
        <f t="shared" si="439"/>
        <v>0</v>
      </c>
      <c r="M718" s="12">
        <f t="shared" si="388"/>
        <v>0</v>
      </c>
      <c r="N718" s="12">
        <f t="shared" si="308"/>
        <v>0</v>
      </c>
      <c r="O718" s="12">
        <f t="shared" si="309"/>
        <v>0</v>
      </c>
      <c r="P718" s="12">
        <f t="shared" si="310"/>
        <v>0</v>
      </c>
      <c r="Q718" s="12">
        <f t="shared" si="311"/>
        <v>0</v>
      </c>
      <c r="R718" s="12">
        <f t="shared" si="312"/>
        <v>0</v>
      </c>
    </row>
    <row r="719" spans="1:18" x14ac:dyDescent="0.25">
      <c r="A719" s="26"/>
      <c r="B719" s="25" t="s">
        <v>188</v>
      </c>
      <c r="C719" s="15">
        <v>8</v>
      </c>
      <c r="D719" s="16">
        <v>100</v>
      </c>
      <c r="E719" s="15">
        <v>2</v>
      </c>
      <c r="F719" s="11">
        <v>1</v>
      </c>
      <c r="G719" s="11">
        <f t="shared" ref="G719:G726" si="440">+ROUND(2450/D719+1,0)</f>
        <v>26</v>
      </c>
      <c r="H719" s="12"/>
      <c r="I719" s="12">
        <f>2*(0.18+0.6)+24*C719/1000</f>
        <v>1.752</v>
      </c>
      <c r="J719" s="22"/>
      <c r="K719" s="22"/>
      <c r="L719" s="12">
        <f t="shared" si="439"/>
        <v>1.752</v>
      </c>
      <c r="M719" s="12">
        <f t="shared" si="388"/>
        <v>91.1</v>
      </c>
      <c r="N719" s="12">
        <f t="shared" si="308"/>
        <v>0</v>
      </c>
      <c r="O719" s="12">
        <f t="shared" si="309"/>
        <v>0</v>
      </c>
      <c r="P719" s="12">
        <f t="shared" si="310"/>
        <v>0</v>
      </c>
      <c r="Q719" s="12">
        <f t="shared" si="311"/>
        <v>0</v>
      </c>
      <c r="R719" s="12">
        <f t="shared" si="312"/>
        <v>0</v>
      </c>
    </row>
    <row r="720" spans="1:18" x14ac:dyDescent="0.25">
      <c r="A720" s="26"/>
      <c r="B720" s="25" t="s">
        <v>174</v>
      </c>
      <c r="C720" s="15">
        <v>8</v>
      </c>
      <c r="D720" s="16">
        <v>100</v>
      </c>
      <c r="E720" s="15">
        <v>2</v>
      </c>
      <c r="F720" s="11">
        <v>1</v>
      </c>
      <c r="G720" s="11">
        <f t="shared" si="440"/>
        <v>26</v>
      </c>
      <c r="H720" s="12"/>
      <c r="I720" s="12">
        <f>2*(0.18+0.248)+24*C720/1000</f>
        <v>1.048</v>
      </c>
      <c r="J720" s="22"/>
      <c r="K720" s="22"/>
      <c r="L720" s="12">
        <f t="shared" si="439"/>
        <v>1.048</v>
      </c>
      <c r="M720" s="12">
        <f t="shared" si="388"/>
        <v>54.5</v>
      </c>
      <c r="N720" s="12">
        <f t="shared" si="308"/>
        <v>0</v>
      </c>
      <c r="O720" s="12">
        <f t="shared" si="309"/>
        <v>0</v>
      </c>
      <c r="P720" s="12">
        <f t="shared" si="310"/>
        <v>0</v>
      </c>
      <c r="Q720" s="12">
        <f t="shared" si="311"/>
        <v>0</v>
      </c>
      <c r="R720" s="12">
        <f t="shared" si="312"/>
        <v>0</v>
      </c>
    </row>
    <row r="721" spans="1:19" x14ac:dyDescent="0.25">
      <c r="A721" s="26"/>
      <c r="B721" s="25" t="s">
        <v>173</v>
      </c>
      <c r="C721" s="15">
        <v>8</v>
      </c>
      <c r="D721" s="16">
        <v>100</v>
      </c>
      <c r="E721" s="15">
        <v>2</v>
      </c>
      <c r="F721" s="11">
        <v>1</v>
      </c>
      <c r="G721" s="11">
        <f t="shared" si="440"/>
        <v>26</v>
      </c>
      <c r="H721" s="12"/>
      <c r="I721" s="12">
        <f>0.18+(20*C721/1000)</f>
        <v>0.33999999999999997</v>
      </c>
      <c r="J721" s="22"/>
      <c r="K721" s="22"/>
      <c r="L721" s="12">
        <f t="shared" si="439"/>
        <v>0.33999999999999997</v>
      </c>
      <c r="M721" s="12">
        <f t="shared" si="388"/>
        <v>17.68</v>
      </c>
      <c r="N721" s="12">
        <f t="shared" si="308"/>
        <v>0</v>
      </c>
      <c r="O721" s="12">
        <f t="shared" si="309"/>
        <v>0</v>
      </c>
      <c r="P721" s="12">
        <f t="shared" si="310"/>
        <v>0</v>
      </c>
      <c r="Q721" s="12">
        <f t="shared" si="311"/>
        <v>0</v>
      </c>
      <c r="R721" s="12">
        <f t="shared" si="312"/>
        <v>0</v>
      </c>
    </row>
    <row r="722" spans="1:19" x14ac:dyDescent="0.25">
      <c r="A722" s="26"/>
      <c r="B722" s="25" t="s">
        <v>189</v>
      </c>
      <c r="C722" s="15">
        <v>8</v>
      </c>
      <c r="D722" s="16">
        <v>100</v>
      </c>
      <c r="E722" s="15">
        <v>2</v>
      </c>
      <c r="F722" s="11">
        <v>2</v>
      </c>
      <c r="G722" s="11">
        <f t="shared" si="440"/>
        <v>26</v>
      </c>
      <c r="H722" s="12"/>
      <c r="I722" s="12">
        <f>2*(0.18+0.385)+24*C722/1000</f>
        <v>1.3219999999999998</v>
      </c>
      <c r="J722" s="22"/>
      <c r="K722" s="22"/>
      <c r="L722" s="12">
        <f t="shared" si="439"/>
        <v>1.3219999999999998</v>
      </c>
      <c r="M722" s="12">
        <f t="shared" si="388"/>
        <v>137.49</v>
      </c>
      <c r="N722" s="12">
        <f t="shared" si="308"/>
        <v>0</v>
      </c>
      <c r="O722" s="12">
        <f t="shared" si="309"/>
        <v>0</v>
      </c>
      <c r="P722" s="12">
        <f t="shared" si="310"/>
        <v>0</v>
      </c>
      <c r="Q722" s="12">
        <f t="shared" si="311"/>
        <v>0</v>
      </c>
      <c r="R722" s="12">
        <f t="shared" si="312"/>
        <v>0</v>
      </c>
    </row>
    <row r="723" spans="1:19" x14ac:dyDescent="0.25">
      <c r="A723" s="26"/>
      <c r="B723" s="25" t="s">
        <v>175</v>
      </c>
      <c r="C723" s="15">
        <v>8</v>
      </c>
      <c r="D723" s="16">
        <v>100</v>
      </c>
      <c r="E723" s="15">
        <v>2</v>
      </c>
      <c r="F723" s="11">
        <v>1</v>
      </c>
      <c r="G723" s="11">
        <f t="shared" si="440"/>
        <v>26</v>
      </c>
      <c r="H723" s="12"/>
      <c r="I723" s="12">
        <f>2*(0.18+0.268)+24*C723/1000</f>
        <v>1.0880000000000001</v>
      </c>
      <c r="J723" s="22"/>
      <c r="K723" s="22"/>
      <c r="L723" s="12">
        <f t="shared" si="439"/>
        <v>1.0880000000000001</v>
      </c>
      <c r="M723" s="12">
        <f t="shared" si="388"/>
        <v>56.58</v>
      </c>
      <c r="N723" s="12">
        <f t="shared" si="308"/>
        <v>0</v>
      </c>
      <c r="O723" s="12">
        <f t="shared" si="309"/>
        <v>0</v>
      </c>
      <c r="P723" s="12">
        <f t="shared" si="310"/>
        <v>0</v>
      </c>
      <c r="Q723" s="12">
        <f t="shared" si="311"/>
        <v>0</v>
      </c>
      <c r="R723" s="12">
        <f t="shared" si="312"/>
        <v>0</v>
      </c>
    </row>
    <row r="724" spans="1:19" x14ac:dyDescent="0.25">
      <c r="A724" s="26"/>
      <c r="B724" s="25" t="s">
        <v>173</v>
      </c>
      <c r="C724" s="15">
        <v>8</v>
      </c>
      <c r="D724" s="16">
        <v>100</v>
      </c>
      <c r="E724" s="15">
        <v>2</v>
      </c>
      <c r="F724" s="11">
        <v>1</v>
      </c>
      <c r="G724" s="11">
        <f t="shared" si="440"/>
        <v>26</v>
      </c>
      <c r="H724" s="12"/>
      <c r="I724" s="12">
        <f>0.18+(20*C724/1000)</f>
        <v>0.33999999999999997</v>
      </c>
      <c r="J724" s="22"/>
      <c r="K724" s="22"/>
      <c r="L724" s="12">
        <f t="shared" si="439"/>
        <v>0.33999999999999997</v>
      </c>
      <c r="M724" s="12">
        <f t="shared" si="388"/>
        <v>17.68</v>
      </c>
      <c r="N724" s="12">
        <f t="shared" si="308"/>
        <v>0</v>
      </c>
      <c r="O724" s="12">
        <f t="shared" si="309"/>
        <v>0</v>
      </c>
      <c r="P724" s="12">
        <f t="shared" si="310"/>
        <v>0</v>
      </c>
      <c r="Q724" s="12">
        <f t="shared" si="311"/>
        <v>0</v>
      </c>
      <c r="R724" s="12">
        <f t="shared" si="312"/>
        <v>0</v>
      </c>
    </row>
    <row r="725" spans="1:19" x14ac:dyDescent="0.25">
      <c r="A725" s="26"/>
      <c r="B725" s="25" t="s">
        <v>208</v>
      </c>
      <c r="C725" s="15">
        <v>8</v>
      </c>
      <c r="D725" s="16">
        <v>200</v>
      </c>
      <c r="E725" s="15">
        <v>2</v>
      </c>
      <c r="F725" s="11">
        <v>1</v>
      </c>
      <c r="G725" s="11">
        <f t="shared" si="440"/>
        <v>13</v>
      </c>
      <c r="H725" s="12"/>
      <c r="I725" s="12">
        <f>2*(0.18+0.751)+24*C725/1000</f>
        <v>2.0540000000000003</v>
      </c>
      <c r="J725" s="22"/>
      <c r="K725" s="22"/>
      <c r="L725" s="12">
        <f t="shared" si="439"/>
        <v>2.0540000000000003</v>
      </c>
      <c r="M725" s="12">
        <f t="shared" si="388"/>
        <v>53.4</v>
      </c>
      <c r="N725" s="12">
        <f t="shared" si="308"/>
        <v>0</v>
      </c>
      <c r="O725" s="12">
        <f t="shared" si="309"/>
        <v>0</v>
      </c>
      <c r="P725" s="12">
        <f t="shared" si="310"/>
        <v>0</v>
      </c>
      <c r="Q725" s="12">
        <f t="shared" si="311"/>
        <v>0</v>
      </c>
      <c r="R725" s="12">
        <f t="shared" si="312"/>
        <v>0</v>
      </c>
    </row>
    <row r="726" spans="1:19" x14ac:dyDescent="0.25">
      <c r="A726" s="26"/>
      <c r="B726" s="25" t="s">
        <v>177</v>
      </c>
      <c r="C726" s="15">
        <v>8</v>
      </c>
      <c r="D726" s="16">
        <v>400</v>
      </c>
      <c r="E726" s="15">
        <v>2</v>
      </c>
      <c r="F726" s="11">
        <v>1</v>
      </c>
      <c r="G726" s="11">
        <f t="shared" si="440"/>
        <v>7</v>
      </c>
      <c r="H726" s="12"/>
      <c r="I726" s="12">
        <f>0.18+(20*C726/1000)</f>
        <v>0.33999999999999997</v>
      </c>
      <c r="J726" s="22"/>
      <c r="K726" s="22"/>
      <c r="L726" s="12">
        <f t="shared" si="439"/>
        <v>0.33999999999999997</v>
      </c>
      <c r="M726" s="12">
        <f t="shared" si="388"/>
        <v>4.76</v>
      </c>
      <c r="N726" s="12">
        <f t="shared" si="308"/>
        <v>0</v>
      </c>
      <c r="O726" s="12">
        <f t="shared" si="309"/>
        <v>0</v>
      </c>
      <c r="P726" s="12">
        <f t="shared" si="310"/>
        <v>0</v>
      </c>
      <c r="Q726" s="12">
        <f t="shared" si="311"/>
        <v>0</v>
      </c>
      <c r="R726" s="12">
        <f t="shared" si="312"/>
        <v>0</v>
      </c>
    </row>
    <row r="727" spans="1:19" x14ac:dyDescent="0.25">
      <c r="A727" s="26"/>
      <c r="B727" s="45" t="s">
        <v>248</v>
      </c>
      <c r="C727" s="15">
        <v>16</v>
      </c>
      <c r="D727" s="16"/>
      <c r="E727" s="15">
        <v>2</v>
      </c>
      <c r="F727" s="11">
        <v>1</v>
      </c>
      <c r="G727" s="11">
        <v>8</v>
      </c>
      <c r="H727" s="12"/>
      <c r="I727" s="12">
        <f t="shared" ref="I727:I729" si="441">106.2-103.25</f>
        <v>2.9500000000000028</v>
      </c>
      <c r="J727" s="22"/>
      <c r="K727" s="22">
        <f t="shared" ref="K727:K729" si="442">0.5*40*C727/1000</f>
        <v>0.32</v>
      </c>
      <c r="L727" s="12">
        <f t="shared" si="439"/>
        <v>3.2700000000000027</v>
      </c>
      <c r="M727" s="12">
        <f t="shared" si="388"/>
        <v>0</v>
      </c>
      <c r="N727" s="12">
        <f t="shared" si="308"/>
        <v>0</v>
      </c>
      <c r="O727" s="12">
        <f t="shared" si="309"/>
        <v>0</v>
      </c>
      <c r="P727" s="12">
        <f t="shared" si="310"/>
        <v>52.32</v>
      </c>
      <c r="Q727" s="12">
        <f t="shared" si="311"/>
        <v>0</v>
      </c>
      <c r="R727" s="12">
        <f t="shared" si="312"/>
        <v>0</v>
      </c>
    </row>
    <row r="728" spans="1:19" x14ac:dyDescent="0.25">
      <c r="A728" s="26"/>
      <c r="B728" s="45"/>
      <c r="C728" s="15">
        <v>12</v>
      </c>
      <c r="D728" s="16"/>
      <c r="E728" s="15">
        <v>2</v>
      </c>
      <c r="F728" s="11">
        <v>1</v>
      </c>
      <c r="G728" s="11">
        <v>8</v>
      </c>
      <c r="H728" s="12"/>
      <c r="I728" s="12">
        <f t="shared" si="441"/>
        <v>2.9500000000000028</v>
      </c>
      <c r="J728" s="22"/>
      <c r="K728" s="22">
        <f t="shared" si="442"/>
        <v>0.24</v>
      </c>
      <c r="L728" s="12">
        <f t="shared" si="439"/>
        <v>3.1900000000000031</v>
      </c>
      <c r="M728" s="12">
        <f t="shared" si="388"/>
        <v>0</v>
      </c>
      <c r="N728" s="12">
        <f t="shared" si="308"/>
        <v>0</v>
      </c>
      <c r="O728" s="12">
        <f t="shared" si="309"/>
        <v>51.04</v>
      </c>
      <c r="P728" s="12">
        <f t="shared" si="310"/>
        <v>0</v>
      </c>
      <c r="Q728" s="12">
        <f t="shared" si="311"/>
        <v>0</v>
      </c>
      <c r="R728" s="12">
        <f t="shared" si="312"/>
        <v>0</v>
      </c>
    </row>
    <row r="729" spans="1:19" x14ac:dyDescent="0.25">
      <c r="A729" s="26"/>
      <c r="B729" s="45"/>
      <c r="C729" s="15">
        <v>10</v>
      </c>
      <c r="D729" s="16"/>
      <c r="E729" s="15">
        <v>2</v>
      </c>
      <c r="F729" s="11">
        <v>1</v>
      </c>
      <c r="G729" s="11">
        <v>26</v>
      </c>
      <c r="H729" s="12"/>
      <c r="I729" s="12">
        <f t="shared" si="441"/>
        <v>2.9500000000000028</v>
      </c>
      <c r="J729" s="22"/>
      <c r="K729" s="22">
        <f t="shared" si="442"/>
        <v>0.2</v>
      </c>
      <c r="L729" s="12">
        <f t="shared" si="439"/>
        <v>3.150000000000003</v>
      </c>
      <c r="M729" s="12">
        <f t="shared" si="388"/>
        <v>0</v>
      </c>
      <c r="N729" s="12">
        <f t="shared" si="308"/>
        <v>163.80000000000001</v>
      </c>
      <c r="O729" s="12">
        <f t="shared" si="309"/>
        <v>0</v>
      </c>
      <c r="P729" s="12">
        <f t="shared" si="310"/>
        <v>0</v>
      </c>
      <c r="Q729" s="12">
        <f t="shared" si="311"/>
        <v>0</v>
      </c>
      <c r="R729" s="12">
        <f t="shared" si="312"/>
        <v>0</v>
      </c>
    </row>
    <row r="730" spans="1:19" x14ac:dyDescent="0.25">
      <c r="A730" s="26"/>
      <c r="B730" s="25" t="s">
        <v>172</v>
      </c>
      <c r="C730" s="15"/>
      <c r="D730" s="16"/>
      <c r="E730" s="15"/>
      <c r="F730" s="11"/>
      <c r="G730" s="11"/>
      <c r="H730" s="12"/>
      <c r="I730" s="12"/>
      <c r="J730" s="22"/>
      <c r="K730" s="22"/>
      <c r="L730" s="12">
        <f t="shared" si="439"/>
        <v>0</v>
      </c>
      <c r="M730" s="12">
        <f t="shared" si="388"/>
        <v>0</v>
      </c>
      <c r="N730" s="12">
        <f t="shared" si="308"/>
        <v>0</v>
      </c>
      <c r="O730" s="12">
        <f t="shared" si="309"/>
        <v>0</v>
      </c>
      <c r="P730" s="12">
        <f t="shared" si="310"/>
        <v>0</v>
      </c>
      <c r="Q730" s="12">
        <f t="shared" si="311"/>
        <v>0</v>
      </c>
      <c r="R730" s="12">
        <f t="shared" si="312"/>
        <v>0</v>
      </c>
    </row>
    <row r="731" spans="1:19" x14ac:dyDescent="0.25">
      <c r="A731" s="26"/>
      <c r="B731" s="25" t="s">
        <v>289</v>
      </c>
      <c r="C731" s="15">
        <v>8</v>
      </c>
      <c r="D731" s="16">
        <v>100</v>
      </c>
      <c r="E731" s="15">
        <v>2</v>
      </c>
      <c r="F731" s="11">
        <v>2</v>
      </c>
      <c r="G731" s="11">
        <f t="shared" ref="G731:G734" si="443">+ROUND(2450/D731+1,0)</f>
        <v>26</v>
      </c>
      <c r="H731" s="12"/>
      <c r="I731" s="12">
        <f>2*(0.14+0.383)+24*C731/1000</f>
        <v>1.238</v>
      </c>
      <c r="J731" s="22"/>
      <c r="K731" s="22"/>
      <c r="L731" s="12">
        <f t="shared" si="439"/>
        <v>1.238</v>
      </c>
      <c r="M731" s="12">
        <f t="shared" si="388"/>
        <v>128.75</v>
      </c>
      <c r="N731" s="12">
        <f t="shared" si="308"/>
        <v>0</v>
      </c>
      <c r="O731" s="12">
        <f t="shared" si="309"/>
        <v>0</v>
      </c>
      <c r="P731" s="12">
        <f t="shared" si="310"/>
        <v>0</v>
      </c>
      <c r="Q731" s="12">
        <f t="shared" si="311"/>
        <v>0</v>
      </c>
      <c r="R731" s="12">
        <f t="shared" si="312"/>
        <v>0</v>
      </c>
    </row>
    <row r="732" spans="1:19" x14ac:dyDescent="0.25">
      <c r="A732" s="26"/>
      <c r="B732" s="25" t="s">
        <v>287</v>
      </c>
      <c r="C732" s="15">
        <v>8</v>
      </c>
      <c r="D732" s="16">
        <v>100</v>
      </c>
      <c r="E732" s="15">
        <v>2</v>
      </c>
      <c r="F732" s="11">
        <v>2</v>
      </c>
      <c r="G732" s="11">
        <f t="shared" si="443"/>
        <v>26</v>
      </c>
      <c r="H732" s="12"/>
      <c r="I732" s="12">
        <f>2*(0.14+0.133)+24*C732/1000</f>
        <v>0.73799999999999999</v>
      </c>
      <c r="J732" s="22"/>
      <c r="K732" s="22"/>
      <c r="L732" s="12">
        <f t="shared" si="439"/>
        <v>0.73799999999999999</v>
      </c>
      <c r="M732" s="12">
        <f t="shared" si="388"/>
        <v>76.75</v>
      </c>
      <c r="N732" s="12">
        <f t="shared" si="308"/>
        <v>0</v>
      </c>
      <c r="O732" s="12">
        <f t="shared" si="309"/>
        <v>0</v>
      </c>
      <c r="P732" s="12">
        <f t="shared" si="310"/>
        <v>0</v>
      </c>
      <c r="Q732" s="12">
        <f t="shared" si="311"/>
        <v>0</v>
      </c>
      <c r="R732" s="12">
        <f t="shared" si="312"/>
        <v>0</v>
      </c>
    </row>
    <row r="733" spans="1:19" x14ac:dyDescent="0.25">
      <c r="A733" s="26"/>
      <c r="B733" s="25" t="s">
        <v>290</v>
      </c>
      <c r="C733" s="15">
        <v>8</v>
      </c>
      <c r="D733" s="16">
        <v>200</v>
      </c>
      <c r="E733" s="15">
        <v>2</v>
      </c>
      <c r="F733" s="11">
        <v>1</v>
      </c>
      <c r="G733" s="11">
        <f t="shared" si="443"/>
        <v>13</v>
      </c>
      <c r="H733" s="12"/>
      <c r="I733" s="12">
        <f>2*(0.14+2.661)+24*C733/1000</f>
        <v>5.7940000000000005</v>
      </c>
      <c r="J733" s="22"/>
      <c r="K733" s="22"/>
      <c r="L733" s="12">
        <f t="shared" ref="L733:L734" si="444">SUM(H733:J733)+K733</f>
        <v>5.7940000000000005</v>
      </c>
      <c r="M733" s="12">
        <f t="shared" si="388"/>
        <v>150.63999999999999</v>
      </c>
      <c r="N733" s="12">
        <f t="shared" si="308"/>
        <v>0</v>
      </c>
      <c r="O733" s="12">
        <f t="shared" si="309"/>
        <v>0</v>
      </c>
      <c r="P733" s="12">
        <f t="shared" si="310"/>
        <v>0</v>
      </c>
      <c r="Q733" s="12">
        <f t="shared" si="311"/>
        <v>0</v>
      </c>
      <c r="R733" s="12">
        <f t="shared" si="312"/>
        <v>0</v>
      </c>
    </row>
    <row r="734" spans="1:19" x14ac:dyDescent="0.25">
      <c r="A734" s="26"/>
      <c r="B734" s="25" t="s">
        <v>177</v>
      </c>
      <c r="C734" s="15">
        <v>8</v>
      </c>
      <c r="D734" s="16">
        <v>400</v>
      </c>
      <c r="E734" s="15">
        <v>2</v>
      </c>
      <c r="F734" s="11">
        <v>6</v>
      </c>
      <c r="G734" s="11">
        <f t="shared" si="443"/>
        <v>7</v>
      </c>
      <c r="H734" s="12"/>
      <c r="I734" s="12">
        <f>0.14+(20*C734/1000)</f>
        <v>0.30000000000000004</v>
      </c>
      <c r="J734" s="22"/>
      <c r="K734" s="22"/>
      <c r="L734" s="12">
        <f t="shared" si="444"/>
        <v>0.30000000000000004</v>
      </c>
      <c r="M734" s="12">
        <f t="shared" si="388"/>
        <v>25.2</v>
      </c>
      <c r="N734" s="12">
        <f t="shared" si="308"/>
        <v>0</v>
      </c>
      <c r="O734" s="12">
        <f t="shared" si="309"/>
        <v>0</v>
      </c>
      <c r="P734" s="12">
        <f t="shared" si="310"/>
        <v>0</v>
      </c>
      <c r="Q734" s="12">
        <f t="shared" si="311"/>
        <v>0</v>
      </c>
      <c r="R734" s="12">
        <f t="shared" si="312"/>
        <v>0</v>
      </c>
    </row>
    <row r="735" spans="1:19" x14ac:dyDescent="0.25">
      <c r="A735" s="26"/>
      <c r="B735" s="25"/>
      <c r="C735" s="15"/>
      <c r="D735" s="16"/>
      <c r="E735" s="15"/>
      <c r="F735" s="11"/>
      <c r="G735" s="11"/>
      <c r="H735" s="12"/>
      <c r="I735" s="12"/>
      <c r="J735" s="22"/>
      <c r="K735" s="22"/>
      <c r="L735" s="12">
        <f t="shared" ref="L735" si="445">SUM(H735:J735)+K735</f>
        <v>0</v>
      </c>
      <c r="M735" s="12">
        <f t="shared" ref="M735" si="446">+ROUND(IF(C735=8,PRODUCT(E735,F735,G735,L735),0),2)</f>
        <v>0</v>
      </c>
      <c r="N735" s="12">
        <f t="shared" si="308"/>
        <v>0</v>
      </c>
      <c r="O735" s="12">
        <f t="shared" si="309"/>
        <v>0</v>
      </c>
      <c r="P735" s="12">
        <f t="shared" si="310"/>
        <v>0</v>
      </c>
      <c r="Q735" s="12">
        <f t="shared" si="311"/>
        <v>0</v>
      </c>
      <c r="R735" s="12">
        <f t="shared" si="312"/>
        <v>0</v>
      </c>
    </row>
    <row r="736" spans="1:19" x14ac:dyDescent="0.25">
      <c r="A736" s="32"/>
      <c r="B736" s="24" t="s">
        <v>245</v>
      </c>
      <c r="C736" s="33"/>
      <c r="D736" s="34"/>
      <c r="E736" s="33"/>
      <c r="F736" s="35"/>
      <c r="G736" s="35"/>
      <c r="H736" s="36"/>
      <c r="I736" s="36"/>
      <c r="J736" s="36"/>
      <c r="K736" s="36"/>
      <c r="L736" s="36"/>
      <c r="M736" s="37">
        <f>SUM(M551:M735)*0.395</f>
        <v>4037.5675499999998</v>
      </c>
      <c r="N736" s="37">
        <f>SUM(N551:N735)*0.617</f>
        <v>5609.7639999999974</v>
      </c>
      <c r="O736" s="37">
        <f>SUM(O551:O735)*0.889</f>
        <v>3686.6829999999991</v>
      </c>
      <c r="P736" s="37">
        <f>SUM(P551:P735)*1.58</f>
        <v>5021.9352000000008</v>
      </c>
      <c r="Q736" s="37">
        <f>SUM(Q551:Q735)*2.46</f>
        <v>857.06399999999996</v>
      </c>
      <c r="R736" s="37">
        <f>SUM(R551:R735)*3.85</f>
        <v>0</v>
      </c>
      <c r="S736" s="50">
        <f>SUM(M736:R736)</f>
        <v>19213.013749999995</v>
      </c>
    </row>
    <row r="737" spans="1:18" x14ac:dyDescent="0.25">
      <c r="A737" s="26"/>
      <c r="B737" s="45" t="s">
        <v>728</v>
      </c>
      <c r="C737" s="15"/>
      <c r="D737" s="16"/>
      <c r="E737" s="15"/>
      <c r="F737" s="11"/>
      <c r="G737" s="11"/>
      <c r="H737" s="12"/>
      <c r="I737" s="12"/>
      <c r="J737" s="22"/>
      <c r="K737" s="47"/>
      <c r="L737" s="12"/>
      <c r="M737" s="12"/>
      <c r="N737" s="12"/>
      <c r="O737" s="12"/>
      <c r="P737" s="12"/>
      <c r="Q737" s="12"/>
      <c r="R737" s="12"/>
    </row>
    <row r="738" spans="1:18" x14ac:dyDescent="0.25">
      <c r="A738" s="26"/>
      <c r="B738" s="45" t="s">
        <v>162</v>
      </c>
      <c r="C738" s="15">
        <v>16</v>
      </c>
      <c r="D738" s="16"/>
      <c r="E738" s="15">
        <v>32</v>
      </c>
      <c r="F738" s="11">
        <v>1</v>
      </c>
      <c r="G738" s="11">
        <v>4</v>
      </c>
      <c r="H738" s="12"/>
      <c r="I738" s="12">
        <f>106.2-103.25</f>
        <v>2.9500000000000028</v>
      </c>
      <c r="J738" s="22"/>
      <c r="K738" s="22">
        <f>0.5*40*C738/1000</f>
        <v>0.32</v>
      </c>
      <c r="L738" s="12">
        <f>SUM(H738:J738)+K738</f>
        <v>3.2700000000000027</v>
      </c>
      <c r="M738" s="12">
        <f t="shared" ref="M738:M838" si="447">+ROUND(IF(C738=8,PRODUCT(E738,F738,G738,L738),0),2)</f>
        <v>0</v>
      </c>
      <c r="N738" s="12">
        <f t="shared" ref="N738:N925" si="448">+ROUND(IF(C738=10,PRODUCT(E738,F738,G738,L738),0),2)</f>
        <v>0</v>
      </c>
      <c r="O738" s="12">
        <f t="shared" ref="O738:O925" si="449">+ROUND(IF(C738=12,PRODUCT(E738,F738,G738,L738),0),2)</f>
        <v>0</v>
      </c>
      <c r="P738" s="12">
        <f t="shared" ref="P738:P925" si="450">+ROUND(IF(C738=16,PRODUCT(E738,F738,G738,L738),0),2)</f>
        <v>418.56</v>
      </c>
      <c r="Q738" s="12">
        <f t="shared" ref="Q738:Q925" si="451">+ROUND(IF(C738=20,PRODUCT(E738,F738,G738,L738),0),2)</f>
        <v>0</v>
      </c>
      <c r="R738" s="12">
        <f t="shared" ref="R738:R925" si="452">+ROUND(IF(C738=25,PRODUCT(E738,F738,G738,L738),0),2)</f>
        <v>0</v>
      </c>
    </row>
    <row r="739" spans="1:18" x14ac:dyDescent="0.25">
      <c r="A739" s="26"/>
      <c r="B739" s="25"/>
      <c r="C739" s="15">
        <v>12</v>
      </c>
      <c r="D739" s="16"/>
      <c r="E739" s="15">
        <f>+E738</f>
        <v>32</v>
      </c>
      <c r="F739" s="11">
        <v>1</v>
      </c>
      <c r="G739" s="11">
        <v>10</v>
      </c>
      <c r="H739" s="12"/>
      <c r="I739" s="12">
        <f>106.2-103.25</f>
        <v>2.9500000000000028</v>
      </c>
      <c r="J739" s="22"/>
      <c r="K739" s="22">
        <f>0.5*40*C739/1000</f>
        <v>0.24</v>
      </c>
      <c r="L739" s="12">
        <f t="shared" ref="L739:L766" si="453">SUM(H739:J739)+K739</f>
        <v>3.1900000000000031</v>
      </c>
      <c r="M739" s="12">
        <f t="shared" si="447"/>
        <v>0</v>
      </c>
      <c r="N739" s="12">
        <f t="shared" si="448"/>
        <v>0</v>
      </c>
      <c r="O739" s="12">
        <f t="shared" si="449"/>
        <v>1020.8</v>
      </c>
      <c r="P739" s="12">
        <f t="shared" si="450"/>
        <v>0</v>
      </c>
      <c r="Q739" s="12">
        <f t="shared" si="451"/>
        <v>0</v>
      </c>
      <c r="R739" s="12">
        <f t="shared" si="452"/>
        <v>0</v>
      </c>
    </row>
    <row r="740" spans="1:18" x14ac:dyDescent="0.25">
      <c r="A740" s="26"/>
      <c r="B740" s="25" t="s">
        <v>160</v>
      </c>
      <c r="C740" s="15">
        <v>10</v>
      </c>
      <c r="D740" s="16">
        <v>75</v>
      </c>
      <c r="E740" s="15">
        <f>+E739</f>
        <v>32</v>
      </c>
      <c r="F740" s="11">
        <v>2</v>
      </c>
      <c r="G740" s="11">
        <f>+ROUND(600/D740,0)</f>
        <v>8</v>
      </c>
      <c r="H740" s="12"/>
      <c r="I740" s="12">
        <f>2*(0.22+0.52)+24*0.01</f>
        <v>1.72</v>
      </c>
      <c r="J740" s="22"/>
      <c r="K740" s="22"/>
      <c r="L740" s="12">
        <f t="shared" si="453"/>
        <v>1.72</v>
      </c>
      <c r="M740" s="12">
        <f t="shared" si="447"/>
        <v>0</v>
      </c>
      <c r="N740" s="12">
        <f t="shared" si="448"/>
        <v>880.64</v>
      </c>
      <c r="O740" s="12">
        <f t="shared" si="449"/>
        <v>0</v>
      </c>
      <c r="P740" s="12">
        <f t="shared" si="450"/>
        <v>0</v>
      </c>
      <c r="Q740" s="12">
        <f t="shared" si="451"/>
        <v>0</v>
      </c>
      <c r="R740" s="12">
        <f t="shared" si="452"/>
        <v>0</v>
      </c>
    </row>
    <row r="741" spans="1:18" x14ac:dyDescent="0.25">
      <c r="A741" s="26"/>
      <c r="B741" s="25"/>
      <c r="C741" s="15">
        <v>10</v>
      </c>
      <c r="D741" s="16">
        <v>75</v>
      </c>
      <c r="E741" s="15">
        <f t="shared" ref="E741:E745" si="454">+E740</f>
        <v>32</v>
      </c>
      <c r="F741" s="11">
        <v>2</v>
      </c>
      <c r="G741" s="11">
        <f t="shared" ref="G741:G742" si="455">+ROUND(600/D741,0)</f>
        <v>8</v>
      </c>
      <c r="H741" s="12"/>
      <c r="I741" s="12">
        <f>2*(0.22+0.115)+24*0.01</f>
        <v>0.91</v>
      </c>
      <c r="J741" s="22"/>
      <c r="K741" s="22"/>
      <c r="L741" s="12">
        <f t="shared" si="453"/>
        <v>0.91</v>
      </c>
      <c r="M741" s="12">
        <f t="shared" si="447"/>
        <v>0</v>
      </c>
      <c r="N741" s="12">
        <f t="shared" si="448"/>
        <v>465.92</v>
      </c>
      <c r="O741" s="12">
        <f t="shared" si="449"/>
        <v>0</v>
      </c>
      <c r="P741" s="12">
        <f t="shared" si="450"/>
        <v>0</v>
      </c>
      <c r="Q741" s="12">
        <f t="shared" si="451"/>
        <v>0</v>
      </c>
      <c r="R741" s="12">
        <f t="shared" si="452"/>
        <v>0</v>
      </c>
    </row>
    <row r="742" spans="1:18" x14ac:dyDescent="0.25">
      <c r="A742" s="26"/>
      <c r="B742" s="25"/>
      <c r="C742" s="15">
        <v>10</v>
      </c>
      <c r="D742" s="16">
        <v>75</v>
      </c>
      <c r="E742" s="15">
        <f t="shared" si="454"/>
        <v>32</v>
      </c>
      <c r="F742" s="11">
        <f>2*2</f>
        <v>4</v>
      </c>
      <c r="G742" s="11">
        <f t="shared" si="455"/>
        <v>8</v>
      </c>
      <c r="H742" s="12"/>
      <c r="I742" s="12">
        <f>+(0.16+0.16+0.22)+0.24*0.01</f>
        <v>0.54239999999999999</v>
      </c>
      <c r="J742" s="22"/>
      <c r="K742" s="22"/>
      <c r="L742" s="12">
        <f t="shared" si="453"/>
        <v>0.54239999999999999</v>
      </c>
      <c r="M742" s="12">
        <f t="shared" si="447"/>
        <v>0</v>
      </c>
      <c r="N742" s="12">
        <f t="shared" si="448"/>
        <v>555.41999999999996</v>
      </c>
      <c r="O742" s="12">
        <f t="shared" si="449"/>
        <v>0</v>
      </c>
      <c r="P742" s="12">
        <f t="shared" si="450"/>
        <v>0</v>
      </c>
      <c r="Q742" s="12">
        <f t="shared" si="451"/>
        <v>0</v>
      </c>
      <c r="R742" s="12">
        <f t="shared" si="452"/>
        <v>0</v>
      </c>
    </row>
    <row r="743" spans="1:18" x14ac:dyDescent="0.25">
      <c r="A743" s="26"/>
      <c r="B743" s="25" t="s">
        <v>161</v>
      </c>
      <c r="C743" s="15">
        <v>8</v>
      </c>
      <c r="D743" s="16">
        <v>150</v>
      </c>
      <c r="E743" s="15">
        <f t="shared" si="454"/>
        <v>32</v>
      </c>
      <c r="F743" s="11">
        <v>1</v>
      </c>
      <c r="G743" s="11">
        <f>+ROUND(1250/D743+1,0)</f>
        <v>9</v>
      </c>
      <c r="H743" s="12"/>
      <c r="I743" s="12">
        <f>2*(0.22+0.52)+24*0.008</f>
        <v>1.6719999999999999</v>
      </c>
      <c r="J743" s="22"/>
      <c r="K743" s="22"/>
      <c r="L743" s="12">
        <f t="shared" si="453"/>
        <v>1.6719999999999999</v>
      </c>
      <c r="M743" s="12">
        <f t="shared" si="447"/>
        <v>481.54</v>
      </c>
      <c r="N743" s="12">
        <f t="shared" si="448"/>
        <v>0</v>
      </c>
      <c r="O743" s="12">
        <f t="shared" si="449"/>
        <v>0</v>
      </c>
      <c r="P743" s="12">
        <f t="shared" si="450"/>
        <v>0</v>
      </c>
      <c r="Q743" s="12">
        <f t="shared" si="451"/>
        <v>0</v>
      </c>
      <c r="R743" s="12">
        <f t="shared" si="452"/>
        <v>0</v>
      </c>
    </row>
    <row r="744" spans="1:18" x14ac:dyDescent="0.25">
      <c r="A744" s="26"/>
      <c r="B744" s="25"/>
      <c r="C744" s="15">
        <v>8</v>
      </c>
      <c r="D744" s="16">
        <v>150</v>
      </c>
      <c r="E744" s="15">
        <f t="shared" si="454"/>
        <v>32</v>
      </c>
      <c r="F744" s="11">
        <v>1</v>
      </c>
      <c r="G744" s="11">
        <f t="shared" ref="G744:G745" si="456">+ROUND(1250/D744+1,0)</f>
        <v>9</v>
      </c>
      <c r="H744" s="12"/>
      <c r="I744" s="12">
        <f>2*(0.22+0.115)+24*0.008</f>
        <v>0.8620000000000001</v>
      </c>
      <c r="J744" s="22"/>
      <c r="K744" s="22"/>
      <c r="L744" s="12">
        <f t="shared" si="453"/>
        <v>0.8620000000000001</v>
      </c>
      <c r="M744" s="12">
        <f t="shared" si="447"/>
        <v>248.26</v>
      </c>
      <c r="N744" s="12">
        <f t="shared" si="448"/>
        <v>0</v>
      </c>
      <c r="O744" s="12">
        <f t="shared" si="449"/>
        <v>0</v>
      </c>
      <c r="P744" s="12">
        <f t="shared" si="450"/>
        <v>0</v>
      </c>
      <c r="Q744" s="12">
        <f t="shared" si="451"/>
        <v>0</v>
      </c>
      <c r="R744" s="12">
        <f t="shared" si="452"/>
        <v>0</v>
      </c>
    </row>
    <row r="745" spans="1:18" x14ac:dyDescent="0.25">
      <c r="A745" s="26"/>
      <c r="B745" s="25"/>
      <c r="C745" s="15">
        <v>8</v>
      </c>
      <c r="D745" s="16">
        <v>150</v>
      </c>
      <c r="E745" s="15">
        <f t="shared" si="454"/>
        <v>32</v>
      </c>
      <c r="F745" s="11">
        <v>2</v>
      </c>
      <c r="G745" s="11">
        <f t="shared" si="456"/>
        <v>9</v>
      </c>
      <c r="H745" s="12"/>
      <c r="I745" s="12">
        <f>+(0.16+0.16+0.22)+0.2*0.008</f>
        <v>0.54160000000000008</v>
      </c>
      <c r="J745" s="22"/>
      <c r="K745" s="22"/>
      <c r="L745" s="12">
        <f t="shared" si="453"/>
        <v>0.54160000000000008</v>
      </c>
      <c r="M745" s="12">
        <f t="shared" si="447"/>
        <v>311.95999999999998</v>
      </c>
      <c r="N745" s="12">
        <f t="shared" si="448"/>
        <v>0</v>
      </c>
      <c r="O745" s="12">
        <f t="shared" si="449"/>
        <v>0</v>
      </c>
      <c r="P745" s="12">
        <f t="shared" si="450"/>
        <v>0</v>
      </c>
      <c r="Q745" s="12">
        <f t="shared" si="451"/>
        <v>0</v>
      </c>
      <c r="R745" s="12">
        <f t="shared" si="452"/>
        <v>0</v>
      </c>
    </row>
    <row r="746" spans="1:18" x14ac:dyDescent="0.25">
      <c r="A746" s="26"/>
      <c r="B746" s="45" t="s">
        <v>163</v>
      </c>
      <c r="C746" s="15">
        <v>16</v>
      </c>
      <c r="D746" s="16"/>
      <c r="E746" s="15">
        <v>22</v>
      </c>
      <c r="F746" s="11">
        <v>1</v>
      </c>
      <c r="G746" s="11">
        <v>6</v>
      </c>
      <c r="H746" s="12"/>
      <c r="I746" s="12">
        <f t="shared" ref="I746:I747" si="457">106.2-103.25</f>
        <v>2.9500000000000028</v>
      </c>
      <c r="J746" s="22"/>
      <c r="K746" s="22">
        <f>0.5*40*C746/1000</f>
        <v>0.32</v>
      </c>
      <c r="L746" s="12">
        <f t="shared" si="453"/>
        <v>3.2700000000000027</v>
      </c>
      <c r="M746" s="12">
        <f t="shared" si="447"/>
        <v>0</v>
      </c>
      <c r="N746" s="12">
        <f t="shared" si="448"/>
        <v>0</v>
      </c>
      <c r="O746" s="12">
        <f t="shared" si="449"/>
        <v>0</v>
      </c>
      <c r="P746" s="12">
        <f t="shared" si="450"/>
        <v>431.64</v>
      </c>
      <c r="Q746" s="12">
        <f t="shared" si="451"/>
        <v>0</v>
      </c>
      <c r="R746" s="12">
        <f t="shared" si="452"/>
        <v>0</v>
      </c>
    </row>
    <row r="747" spans="1:18" x14ac:dyDescent="0.25">
      <c r="A747" s="26"/>
      <c r="B747" s="45"/>
      <c r="C747" s="15">
        <v>12</v>
      </c>
      <c r="D747" s="16"/>
      <c r="E747" s="15">
        <v>22</v>
      </c>
      <c r="F747" s="11">
        <v>1</v>
      </c>
      <c r="G747" s="11">
        <v>8</v>
      </c>
      <c r="H747" s="12"/>
      <c r="I747" s="12">
        <f t="shared" si="457"/>
        <v>2.9500000000000028</v>
      </c>
      <c r="J747" s="22"/>
      <c r="K747" s="22">
        <f>0.5*40*C747/1000</f>
        <v>0.24</v>
      </c>
      <c r="L747" s="12">
        <f t="shared" si="453"/>
        <v>3.1900000000000031</v>
      </c>
      <c r="M747" s="12">
        <f t="shared" si="447"/>
        <v>0</v>
      </c>
      <c r="N747" s="12">
        <f t="shared" si="448"/>
        <v>0</v>
      </c>
      <c r="O747" s="12">
        <f t="shared" si="449"/>
        <v>561.44000000000005</v>
      </c>
      <c r="P747" s="12">
        <f t="shared" si="450"/>
        <v>0</v>
      </c>
      <c r="Q747" s="12">
        <f t="shared" si="451"/>
        <v>0</v>
      </c>
      <c r="R747" s="12">
        <f t="shared" si="452"/>
        <v>0</v>
      </c>
    </row>
    <row r="748" spans="1:18" x14ac:dyDescent="0.25">
      <c r="A748" s="26"/>
      <c r="B748" s="25" t="s">
        <v>160</v>
      </c>
      <c r="C748" s="15">
        <v>10</v>
      </c>
      <c r="D748" s="16">
        <v>75</v>
      </c>
      <c r="E748" s="15">
        <v>22</v>
      </c>
      <c r="F748" s="11">
        <v>2</v>
      </c>
      <c r="G748" s="11">
        <f>+ROUND(600/D748,0)</f>
        <v>8</v>
      </c>
      <c r="H748" s="12"/>
      <c r="I748" s="12">
        <f>2*(0.22+0.52)+24*0.01</f>
        <v>1.72</v>
      </c>
      <c r="J748" s="22"/>
      <c r="K748" s="22"/>
      <c r="L748" s="12">
        <f t="shared" si="453"/>
        <v>1.72</v>
      </c>
      <c r="M748" s="12">
        <f t="shared" si="447"/>
        <v>0</v>
      </c>
      <c r="N748" s="12">
        <f t="shared" si="448"/>
        <v>605.44000000000005</v>
      </c>
      <c r="O748" s="12">
        <f t="shared" si="449"/>
        <v>0</v>
      </c>
      <c r="P748" s="12">
        <f t="shared" si="450"/>
        <v>0</v>
      </c>
      <c r="Q748" s="12">
        <f t="shared" si="451"/>
        <v>0</v>
      </c>
      <c r="R748" s="12">
        <f t="shared" si="452"/>
        <v>0</v>
      </c>
    </row>
    <row r="749" spans="1:18" x14ac:dyDescent="0.25">
      <c r="A749" s="26"/>
      <c r="B749" s="25"/>
      <c r="C749" s="15">
        <v>10</v>
      </c>
      <c r="D749" s="16">
        <v>75</v>
      </c>
      <c r="E749" s="15">
        <v>22</v>
      </c>
      <c r="F749" s="11">
        <v>2</v>
      </c>
      <c r="G749" s="11">
        <f t="shared" ref="G749:G750" si="458">+ROUND(600/D749,0)</f>
        <v>8</v>
      </c>
      <c r="H749" s="12"/>
      <c r="I749" s="12">
        <f>2*(0.22+0.115)+24*0.01</f>
        <v>0.91</v>
      </c>
      <c r="J749" s="22"/>
      <c r="K749" s="22"/>
      <c r="L749" s="12">
        <f t="shared" si="453"/>
        <v>0.91</v>
      </c>
      <c r="M749" s="12">
        <f t="shared" si="447"/>
        <v>0</v>
      </c>
      <c r="N749" s="12">
        <f t="shared" si="448"/>
        <v>320.32</v>
      </c>
      <c r="O749" s="12">
        <f t="shared" si="449"/>
        <v>0</v>
      </c>
      <c r="P749" s="12">
        <f t="shared" si="450"/>
        <v>0</v>
      </c>
      <c r="Q749" s="12">
        <f t="shared" si="451"/>
        <v>0</v>
      </c>
      <c r="R749" s="12">
        <f t="shared" si="452"/>
        <v>0</v>
      </c>
    </row>
    <row r="750" spans="1:18" x14ac:dyDescent="0.25">
      <c r="A750" s="26"/>
      <c r="B750" s="25"/>
      <c r="C750" s="15">
        <v>10</v>
      </c>
      <c r="D750" s="16">
        <v>75</v>
      </c>
      <c r="E750" s="15">
        <v>22</v>
      </c>
      <c r="F750" s="11">
        <f>2*2</f>
        <v>4</v>
      </c>
      <c r="G750" s="11">
        <f t="shared" si="458"/>
        <v>8</v>
      </c>
      <c r="H750" s="12"/>
      <c r="I750" s="12">
        <f>+(0.16+0.16+0.22)+0.24*0.01</f>
        <v>0.54239999999999999</v>
      </c>
      <c r="J750" s="22"/>
      <c r="K750" s="22"/>
      <c r="L750" s="12">
        <f t="shared" si="453"/>
        <v>0.54239999999999999</v>
      </c>
      <c r="M750" s="12">
        <f t="shared" si="447"/>
        <v>0</v>
      </c>
      <c r="N750" s="12">
        <f t="shared" si="448"/>
        <v>381.85</v>
      </c>
      <c r="O750" s="12">
        <f t="shared" si="449"/>
        <v>0</v>
      </c>
      <c r="P750" s="12">
        <f t="shared" si="450"/>
        <v>0</v>
      </c>
      <c r="Q750" s="12">
        <f t="shared" si="451"/>
        <v>0</v>
      </c>
      <c r="R750" s="12">
        <f t="shared" si="452"/>
        <v>0</v>
      </c>
    </row>
    <row r="751" spans="1:18" x14ac:dyDescent="0.25">
      <c r="A751" s="26"/>
      <c r="B751" s="25" t="s">
        <v>161</v>
      </c>
      <c r="C751" s="15">
        <v>8</v>
      </c>
      <c r="D751" s="16">
        <v>150</v>
      </c>
      <c r="E751" s="15">
        <v>22</v>
      </c>
      <c r="F751" s="11">
        <v>1</v>
      </c>
      <c r="G751" s="11">
        <f t="shared" ref="G751:G753" si="459">+ROUND(1250/D751+1,0)</f>
        <v>9</v>
      </c>
      <c r="H751" s="12"/>
      <c r="I751" s="12">
        <f>2*(0.22+0.52)+24*0.008</f>
        <v>1.6719999999999999</v>
      </c>
      <c r="J751" s="22"/>
      <c r="K751" s="22"/>
      <c r="L751" s="12">
        <f t="shared" si="453"/>
        <v>1.6719999999999999</v>
      </c>
      <c r="M751" s="12">
        <f t="shared" si="447"/>
        <v>331.06</v>
      </c>
      <c r="N751" s="12">
        <f t="shared" si="448"/>
        <v>0</v>
      </c>
      <c r="O751" s="12">
        <f t="shared" si="449"/>
        <v>0</v>
      </c>
      <c r="P751" s="12">
        <f t="shared" si="450"/>
        <v>0</v>
      </c>
      <c r="Q751" s="12">
        <f t="shared" si="451"/>
        <v>0</v>
      </c>
      <c r="R751" s="12">
        <f t="shared" si="452"/>
        <v>0</v>
      </c>
    </row>
    <row r="752" spans="1:18" x14ac:dyDescent="0.25">
      <c r="A752" s="26"/>
      <c r="B752" s="25"/>
      <c r="C752" s="15">
        <v>8</v>
      </c>
      <c r="D752" s="16">
        <v>150</v>
      </c>
      <c r="E752" s="15">
        <v>22</v>
      </c>
      <c r="F752" s="11">
        <v>1</v>
      </c>
      <c r="G752" s="11">
        <f t="shared" si="459"/>
        <v>9</v>
      </c>
      <c r="H752" s="12"/>
      <c r="I752" s="12">
        <f>2*(0.22+0.115)+24*0.008</f>
        <v>0.8620000000000001</v>
      </c>
      <c r="J752" s="22"/>
      <c r="K752" s="22"/>
      <c r="L752" s="12">
        <f t="shared" si="453"/>
        <v>0.8620000000000001</v>
      </c>
      <c r="M752" s="12">
        <f t="shared" si="447"/>
        <v>170.68</v>
      </c>
      <c r="N752" s="12">
        <f t="shared" si="448"/>
        <v>0</v>
      </c>
      <c r="O752" s="12">
        <f t="shared" si="449"/>
        <v>0</v>
      </c>
      <c r="P752" s="12">
        <f t="shared" si="450"/>
        <v>0</v>
      </c>
      <c r="Q752" s="12">
        <f t="shared" si="451"/>
        <v>0</v>
      </c>
      <c r="R752" s="12">
        <f t="shared" si="452"/>
        <v>0</v>
      </c>
    </row>
    <row r="753" spans="1:18" x14ac:dyDescent="0.25">
      <c r="A753" s="26"/>
      <c r="B753" s="25"/>
      <c r="C753" s="15">
        <v>8</v>
      </c>
      <c r="D753" s="16">
        <v>150</v>
      </c>
      <c r="E753" s="15">
        <v>22</v>
      </c>
      <c r="F753" s="11">
        <v>2</v>
      </c>
      <c r="G753" s="11">
        <f t="shared" si="459"/>
        <v>9</v>
      </c>
      <c r="H753" s="12"/>
      <c r="I753" s="12">
        <f>+(0.16+0.16+0.22)+0.2*0.008</f>
        <v>0.54160000000000008</v>
      </c>
      <c r="J753" s="22"/>
      <c r="K753" s="22"/>
      <c r="L753" s="12">
        <f t="shared" si="453"/>
        <v>0.54160000000000008</v>
      </c>
      <c r="M753" s="12">
        <f t="shared" si="447"/>
        <v>214.47</v>
      </c>
      <c r="N753" s="12">
        <f t="shared" si="448"/>
        <v>0</v>
      </c>
      <c r="O753" s="12">
        <f t="shared" si="449"/>
        <v>0</v>
      </c>
      <c r="P753" s="12">
        <f t="shared" si="450"/>
        <v>0</v>
      </c>
      <c r="Q753" s="12">
        <f t="shared" si="451"/>
        <v>0</v>
      </c>
      <c r="R753" s="12">
        <f t="shared" si="452"/>
        <v>0</v>
      </c>
    </row>
    <row r="754" spans="1:18" x14ac:dyDescent="0.25">
      <c r="A754" s="26"/>
      <c r="B754" s="45" t="s">
        <v>164</v>
      </c>
      <c r="C754" s="15">
        <v>16</v>
      </c>
      <c r="D754" s="16"/>
      <c r="E754" s="15">
        <v>4</v>
      </c>
      <c r="F754" s="11">
        <v>1</v>
      </c>
      <c r="G754" s="11">
        <v>10</v>
      </c>
      <c r="H754" s="12"/>
      <c r="I754" s="12">
        <f t="shared" ref="I754:I755" si="460">106.2-103.25</f>
        <v>2.9500000000000028</v>
      </c>
      <c r="J754" s="22"/>
      <c r="K754" s="22">
        <f>0.5*40*C754/1000</f>
        <v>0.32</v>
      </c>
      <c r="L754" s="12">
        <f t="shared" si="453"/>
        <v>3.2700000000000027</v>
      </c>
      <c r="M754" s="12">
        <f t="shared" si="447"/>
        <v>0</v>
      </c>
      <c r="N754" s="12">
        <f t="shared" si="448"/>
        <v>0</v>
      </c>
      <c r="O754" s="12">
        <f t="shared" si="449"/>
        <v>0</v>
      </c>
      <c r="P754" s="12">
        <f t="shared" si="450"/>
        <v>130.80000000000001</v>
      </c>
      <c r="Q754" s="12">
        <f t="shared" si="451"/>
        <v>0</v>
      </c>
      <c r="R754" s="12">
        <f t="shared" si="452"/>
        <v>0</v>
      </c>
    </row>
    <row r="755" spans="1:18" x14ac:dyDescent="0.25">
      <c r="A755" s="26"/>
      <c r="B755" s="25"/>
      <c r="C755" s="15">
        <v>20</v>
      </c>
      <c r="D755" s="16"/>
      <c r="E755" s="15">
        <f>+E754</f>
        <v>4</v>
      </c>
      <c r="F755" s="11">
        <v>1</v>
      </c>
      <c r="G755" s="11">
        <v>4</v>
      </c>
      <c r="H755" s="12"/>
      <c r="I755" s="12">
        <f t="shared" si="460"/>
        <v>2.9500000000000028</v>
      </c>
      <c r="J755" s="22"/>
      <c r="K755" s="22">
        <f>0.5*40*C755/1000</f>
        <v>0.4</v>
      </c>
      <c r="L755" s="12">
        <f t="shared" si="453"/>
        <v>3.3500000000000028</v>
      </c>
      <c r="M755" s="12">
        <f t="shared" si="447"/>
        <v>0</v>
      </c>
      <c r="N755" s="12">
        <f t="shared" si="448"/>
        <v>0</v>
      </c>
      <c r="O755" s="12">
        <f t="shared" si="449"/>
        <v>0</v>
      </c>
      <c r="P755" s="12">
        <f t="shared" si="450"/>
        <v>0</v>
      </c>
      <c r="Q755" s="12">
        <f t="shared" si="451"/>
        <v>53.6</v>
      </c>
      <c r="R755" s="12">
        <f t="shared" si="452"/>
        <v>0</v>
      </c>
    </row>
    <row r="756" spans="1:18" x14ac:dyDescent="0.25">
      <c r="A756" s="26"/>
      <c r="B756" s="25" t="s">
        <v>160</v>
      </c>
      <c r="C756" s="15">
        <v>10</v>
      </c>
      <c r="D756" s="16">
        <v>75</v>
      </c>
      <c r="E756" s="15">
        <f>+E755</f>
        <v>4</v>
      </c>
      <c r="F756" s="11">
        <v>2</v>
      </c>
      <c r="G756" s="11">
        <f>+ROUND(600/D756,0)</f>
        <v>8</v>
      </c>
      <c r="H756" s="12"/>
      <c r="I756" s="12">
        <f>2*(0.22+0.52)+24*0.01</f>
        <v>1.72</v>
      </c>
      <c r="J756" s="22"/>
      <c r="K756" s="22"/>
      <c r="L756" s="12">
        <f t="shared" si="453"/>
        <v>1.72</v>
      </c>
      <c r="M756" s="12">
        <f t="shared" si="447"/>
        <v>0</v>
      </c>
      <c r="N756" s="12">
        <f t="shared" si="448"/>
        <v>110.08</v>
      </c>
      <c r="O756" s="12">
        <f t="shared" si="449"/>
        <v>0</v>
      </c>
      <c r="P756" s="12">
        <f t="shared" si="450"/>
        <v>0</v>
      </c>
      <c r="Q756" s="12">
        <f t="shared" si="451"/>
        <v>0</v>
      </c>
      <c r="R756" s="12">
        <f t="shared" si="452"/>
        <v>0</v>
      </c>
    </row>
    <row r="757" spans="1:18" x14ac:dyDescent="0.25">
      <c r="A757" s="26"/>
      <c r="B757" s="25"/>
      <c r="C757" s="15">
        <v>10</v>
      </c>
      <c r="D757" s="16">
        <v>75</v>
      </c>
      <c r="E757" s="15">
        <f t="shared" ref="E757:E761" si="461">+E756</f>
        <v>4</v>
      </c>
      <c r="F757" s="11">
        <v>2</v>
      </c>
      <c r="G757" s="11">
        <f t="shared" ref="G757:G758" si="462">+ROUND(600/D757,0)</f>
        <v>8</v>
      </c>
      <c r="H757" s="12"/>
      <c r="I757" s="12">
        <f>2*(0.22+0.115)+24*0.01</f>
        <v>0.91</v>
      </c>
      <c r="J757" s="22"/>
      <c r="K757" s="22"/>
      <c r="L757" s="12">
        <f t="shared" si="453"/>
        <v>0.91</v>
      </c>
      <c r="M757" s="12">
        <f t="shared" si="447"/>
        <v>0</v>
      </c>
      <c r="N757" s="12">
        <f t="shared" si="448"/>
        <v>58.24</v>
      </c>
      <c r="O757" s="12">
        <f t="shared" si="449"/>
        <v>0</v>
      </c>
      <c r="P757" s="12">
        <f t="shared" si="450"/>
        <v>0</v>
      </c>
      <c r="Q757" s="12">
        <f t="shared" si="451"/>
        <v>0</v>
      </c>
      <c r="R757" s="12">
        <f t="shared" si="452"/>
        <v>0</v>
      </c>
    </row>
    <row r="758" spans="1:18" x14ac:dyDescent="0.25">
      <c r="A758" s="26"/>
      <c r="B758" s="25"/>
      <c r="C758" s="15">
        <v>10</v>
      </c>
      <c r="D758" s="16">
        <v>75</v>
      </c>
      <c r="E758" s="15">
        <f t="shared" si="461"/>
        <v>4</v>
      </c>
      <c r="F758" s="11">
        <f>2*2</f>
        <v>4</v>
      </c>
      <c r="G758" s="11">
        <f t="shared" si="462"/>
        <v>8</v>
      </c>
      <c r="H758" s="12"/>
      <c r="I758" s="12">
        <f>+(0.16+0.16+0.22)+0.24*0.01</f>
        <v>0.54239999999999999</v>
      </c>
      <c r="J758" s="22"/>
      <c r="K758" s="22"/>
      <c r="L758" s="12">
        <f t="shared" si="453"/>
        <v>0.54239999999999999</v>
      </c>
      <c r="M758" s="12">
        <f t="shared" si="447"/>
        <v>0</v>
      </c>
      <c r="N758" s="12">
        <f t="shared" si="448"/>
        <v>69.430000000000007</v>
      </c>
      <c r="O758" s="12">
        <f t="shared" si="449"/>
        <v>0</v>
      </c>
      <c r="P758" s="12">
        <f t="shared" si="450"/>
        <v>0</v>
      </c>
      <c r="Q758" s="12">
        <f t="shared" si="451"/>
        <v>0</v>
      </c>
      <c r="R758" s="12">
        <f t="shared" si="452"/>
        <v>0</v>
      </c>
    </row>
    <row r="759" spans="1:18" x14ac:dyDescent="0.25">
      <c r="A759" s="26"/>
      <c r="B759" s="25" t="s">
        <v>161</v>
      </c>
      <c r="C759" s="15">
        <v>8</v>
      </c>
      <c r="D759" s="16">
        <v>150</v>
      </c>
      <c r="E759" s="15">
        <f t="shared" si="461"/>
        <v>4</v>
      </c>
      <c r="F759" s="11">
        <v>1</v>
      </c>
      <c r="G759" s="11">
        <f t="shared" ref="G759:G761" si="463">+ROUND(1250/D759+1,0)</f>
        <v>9</v>
      </c>
      <c r="H759" s="12"/>
      <c r="I759" s="12">
        <f>2*(0.22+0.52)+24*0.008</f>
        <v>1.6719999999999999</v>
      </c>
      <c r="J759" s="22"/>
      <c r="K759" s="22"/>
      <c r="L759" s="12">
        <f t="shared" si="453"/>
        <v>1.6719999999999999</v>
      </c>
      <c r="M759" s="12">
        <f t="shared" si="447"/>
        <v>60.19</v>
      </c>
      <c r="N759" s="12">
        <f t="shared" si="448"/>
        <v>0</v>
      </c>
      <c r="O759" s="12">
        <f t="shared" si="449"/>
        <v>0</v>
      </c>
      <c r="P759" s="12">
        <f t="shared" si="450"/>
        <v>0</v>
      </c>
      <c r="Q759" s="12">
        <f t="shared" si="451"/>
        <v>0</v>
      </c>
      <c r="R759" s="12">
        <f t="shared" si="452"/>
        <v>0</v>
      </c>
    </row>
    <row r="760" spans="1:18" x14ac:dyDescent="0.25">
      <c r="A760" s="26"/>
      <c r="B760" s="25"/>
      <c r="C760" s="15">
        <v>8</v>
      </c>
      <c r="D760" s="16">
        <v>150</v>
      </c>
      <c r="E760" s="15">
        <f t="shared" si="461"/>
        <v>4</v>
      </c>
      <c r="F760" s="11">
        <v>1</v>
      </c>
      <c r="G760" s="11">
        <f t="shared" si="463"/>
        <v>9</v>
      </c>
      <c r="H760" s="12"/>
      <c r="I760" s="12">
        <f>2*(0.22+0.115)+24*0.008</f>
        <v>0.8620000000000001</v>
      </c>
      <c r="J760" s="22"/>
      <c r="K760" s="22"/>
      <c r="L760" s="12">
        <f t="shared" si="453"/>
        <v>0.8620000000000001</v>
      </c>
      <c r="M760" s="12">
        <f t="shared" si="447"/>
        <v>31.03</v>
      </c>
      <c r="N760" s="12">
        <f t="shared" si="448"/>
        <v>0</v>
      </c>
      <c r="O760" s="12">
        <f t="shared" si="449"/>
        <v>0</v>
      </c>
      <c r="P760" s="12">
        <f t="shared" si="450"/>
        <v>0</v>
      </c>
      <c r="Q760" s="12">
        <f t="shared" si="451"/>
        <v>0</v>
      </c>
      <c r="R760" s="12">
        <f t="shared" si="452"/>
        <v>0</v>
      </c>
    </row>
    <row r="761" spans="1:18" x14ac:dyDescent="0.25">
      <c r="A761" s="26"/>
      <c r="B761" s="25"/>
      <c r="C761" s="15">
        <v>8</v>
      </c>
      <c r="D761" s="16">
        <v>150</v>
      </c>
      <c r="E761" s="15">
        <f t="shared" si="461"/>
        <v>4</v>
      </c>
      <c r="F761" s="11">
        <v>2</v>
      </c>
      <c r="G761" s="11">
        <f t="shared" si="463"/>
        <v>9</v>
      </c>
      <c r="H761" s="12"/>
      <c r="I761" s="12">
        <f>+(0.16+0.16+0.22)+0.2*0.008</f>
        <v>0.54160000000000008</v>
      </c>
      <c r="J761" s="22"/>
      <c r="K761" s="22"/>
      <c r="L761" s="12">
        <f t="shared" si="453"/>
        <v>0.54160000000000008</v>
      </c>
      <c r="M761" s="12">
        <f t="shared" si="447"/>
        <v>39</v>
      </c>
      <c r="N761" s="12">
        <f t="shared" si="448"/>
        <v>0</v>
      </c>
      <c r="O761" s="12">
        <f t="shared" si="449"/>
        <v>0</v>
      </c>
      <c r="P761" s="12">
        <f t="shared" si="450"/>
        <v>0</v>
      </c>
      <c r="Q761" s="12">
        <f t="shared" si="451"/>
        <v>0</v>
      </c>
      <c r="R761" s="12">
        <f t="shared" si="452"/>
        <v>0</v>
      </c>
    </row>
    <row r="762" spans="1:18" x14ac:dyDescent="0.25">
      <c r="A762" s="26"/>
      <c r="B762" s="45" t="s">
        <v>165</v>
      </c>
      <c r="C762" s="15">
        <v>16</v>
      </c>
      <c r="D762" s="16"/>
      <c r="E762" s="15">
        <v>16</v>
      </c>
      <c r="F762" s="11">
        <v>1</v>
      </c>
      <c r="G762" s="11">
        <v>10</v>
      </c>
      <c r="H762" s="12"/>
      <c r="I762" s="12">
        <f>106.2-103.25</f>
        <v>2.9500000000000028</v>
      </c>
      <c r="J762" s="22"/>
      <c r="K762" s="22">
        <f>0.5*40*C762/1000</f>
        <v>0.32</v>
      </c>
      <c r="L762" s="12">
        <f t="shared" si="453"/>
        <v>3.2700000000000027</v>
      </c>
      <c r="M762" s="12">
        <f t="shared" si="447"/>
        <v>0</v>
      </c>
      <c r="N762" s="12">
        <f t="shared" si="448"/>
        <v>0</v>
      </c>
      <c r="O762" s="12">
        <f t="shared" si="449"/>
        <v>0</v>
      </c>
      <c r="P762" s="12">
        <f t="shared" si="450"/>
        <v>523.20000000000005</v>
      </c>
      <c r="Q762" s="12">
        <f t="shared" si="451"/>
        <v>0</v>
      </c>
      <c r="R762" s="12">
        <f t="shared" si="452"/>
        <v>0</v>
      </c>
    </row>
    <row r="763" spans="1:18" x14ac:dyDescent="0.25">
      <c r="A763" s="26"/>
      <c r="B763" s="45"/>
      <c r="C763" s="15">
        <v>12</v>
      </c>
      <c r="D763" s="16"/>
      <c r="E763" s="15">
        <v>16</v>
      </c>
      <c r="F763" s="11">
        <v>1</v>
      </c>
      <c r="G763" s="11">
        <v>6</v>
      </c>
      <c r="H763" s="12"/>
      <c r="I763" s="12">
        <f>106.2-103.25</f>
        <v>2.9500000000000028</v>
      </c>
      <c r="J763" s="22"/>
      <c r="K763" s="22">
        <f>0.5*40*C763/1000</f>
        <v>0.24</v>
      </c>
      <c r="L763" s="12">
        <f t="shared" si="453"/>
        <v>3.1900000000000031</v>
      </c>
      <c r="M763" s="12">
        <f t="shared" si="447"/>
        <v>0</v>
      </c>
      <c r="N763" s="12">
        <f t="shared" si="448"/>
        <v>0</v>
      </c>
      <c r="O763" s="12">
        <f t="shared" si="449"/>
        <v>306.24</v>
      </c>
      <c r="P763" s="12">
        <f t="shared" si="450"/>
        <v>0</v>
      </c>
      <c r="Q763" s="12">
        <f t="shared" si="451"/>
        <v>0</v>
      </c>
      <c r="R763" s="12">
        <f t="shared" si="452"/>
        <v>0</v>
      </c>
    </row>
    <row r="764" spans="1:18" x14ac:dyDescent="0.25">
      <c r="A764" s="26"/>
      <c r="B764" s="25" t="s">
        <v>160</v>
      </c>
      <c r="C764" s="15">
        <v>10</v>
      </c>
      <c r="D764" s="16">
        <v>75</v>
      </c>
      <c r="E764" s="15">
        <f>+E762</f>
        <v>16</v>
      </c>
      <c r="F764" s="11">
        <v>2</v>
      </c>
      <c r="G764" s="11">
        <f>+ROUND(750/D764,0)</f>
        <v>10</v>
      </c>
      <c r="H764" s="12"/>
      <c r="I764" s="12">
        <f>2*(0.22+0.67)+24*0.01</f>
        <v>2.02</v>
      </c>
      <c r="J764" s="22"/>
      <c r="K764" s="22"/>
      <c r="L764" s="12">
        <f t="shared" si="453"/>
        <v>2.02</v>
      </c>
      <c r="M764" s="12">
        <f t="shared" si="447"/>
        <v>0</v>
      </c>
      <c r="N764" s="12">
        <f t="shared" si="448"/>
        <v>646.4</v>
      </c>
      <c r="O764" s="12">
        <f t="shared" si="449"/>
        <v>0</v>
      </c>
      <c r="P764" s="12">
        <f t="shared" si="450"/>
        <v>0</v>
      </c>
      <c r="Q764" s="12">
        <f t="shared" si="451"/>
        <v>0</v>
      </c>
      <c r="R764" s="12">
        <f t="shared" si="452"/>
        <v>0</v>
      </c>
    </row>
    <row r="765" spans="1:18" x14ac:dyDescent="0.25">
      <c r="A765" s="26"/>
      <c r="B765" s="25"/>
      <c r="C765" s="15">
        <v>10</v>
      </c>
      <c r="D765" s="16">
        <v>75</v>
      </c>
      <c r="E765" s="15">
        <f t="shared" ref="E765:E771" si="464">+E764</f>
        <v>16</v>
      </c>
      <c r="F765" s="11">
        <v>2</v>
      </c>
      <c r="G765" s="11">
        <f t="shared" ref="G765:G767" si="465">+ROUND(750/D765,0)</f>
        <v>10</v>
      </c>
      <c r="H765" s="12"/>
      <c r="I765" s="12">
        <f>2*(0.22+0.132)+24*0.01</f>
        <v>0.94399999999999995</v>
      </c>
      <c r="J765" s="22"/>
      <c r="K765" s="22"/>
      <c r="L765" s="12">
        <f t="shared" si="453"/>
        <v>0.94399999999999995</v>
      </c>
      <c r="M765" s="12">
        <f t="shared" si="447"/>
        <v>0</v>
      </c>
      <c r="N765" s="12">
        <f t="shared" si="448"/>
        <v>302.08</v>
      </c>
      <c r="O765" s="12">
        <f t="shared" si="449"/>
        <v>0</v>
      </c>
      <c r="P765" s="12">
        <f t="shared" si="450"/>
        <v>0</v>
      </c>
      <c r="Q765" s="12">
        <f t="shared" si="451"/>
        <v>0</v>
      </c>
      <c r="R765" s="12">
        <f t="shared" si="452"/>
        <v>0</v>
      </c>
    </row>
    <row r="766" spans="1:18" x14ac:dyDescent="0.25">
      <c r="A766" s="26"/>
      <c r="B766" s="25"/>
      <c r="C766" s="15">
        <v>10</v>
      </c>
      <c r="D766" s="16">
        <v>75</v>
      </c>
      <c r="E766" s="15">
        <f t="shared" si="464"/>
        <v>16</v>
      </c>
      <c r="F766" s="11">
        <f>2*2</f>
        <v>4</v>
      </c>
      <c r="G766" s="11">
        <f t="shared" si="465"/>
        <v>10</v>
      </c>
      <c r="H766" s="12"/>
      <c r="I766" s="12">
        <f>+(0.165+0.165+0.22)+0.2*0.01</f>
        <v>0.55200000000000005</v>
      </c>
      <c r="J766" s="22"/>
      <c r="K766" s="22"/>
      <c r="L766" s="12">
        <f t="shared" si="453"/>
        <v>0.55200000000000005</v>
      </c>
      <c r="M766" s="12">
        <f t="shared" si="447"/>
        <v>0</v>
      </c>
      <c r="N766" s="12">
        <f t="shared" si="448"/>
        <v>353.28</v>
      </c>
      <c r="O766" s="12">
        <f t="shared" si="449"/>
        <v>0</v>
      </c>
      <c r="P766" s="12">
        <f t="shared" si="450"/>
        <v>0</v>
      </c>
      <c r="Q766" s="12">
        <f t="shared" si="451"/>
        <v>0</v>
      </c>
      <c r="R766" s="12">
        <f t="shared" si="452"/>
        <v>0</v>
      </c>
    </row>
    <row r="767" spans="1:18" x14ac:dyDescent="0.25">
      <c r="A767" s="26"/>
      <c r="B767" s="25"/>
      <c r="C767" s="15">
        <v>10</v>
      </c>
      <c r="D767" s="16">
        <v>75</v>
      </c>
      <c r="E767" s="15">
        <f t="shared" si="464"/>
        <v>16</v>
      </c>
      <c r="F767" s="11">
        <v>2</v>
      </c>
      <c r="G767" s="11">
        <f t="shared" si="465"/>
        <v>10</v>
      </c>
      <c r="H767" s="12"/>
      <c r="I767" s="12">
        <f>0.22+2*10*0.01</f>
        <v>0.42000000000000004</v>
      </c>
      <c r="J767" s="22"/>
      <c r="K767" s="22"/>
      <c r="L767" s="12">
        <f t="shared" ref="L767:L831" si="466">SUM(H767:J767)+K767</f>
        <v>0.42000000000000004</v>
      </c>
      <c r="M767" s="12">
        <f t="shared" si="447"/>
        <v>0</v>
      </c>
      <c r="N767" s="12">
        <f t="shared" si="448"/>
        <v>134.4</v>
      </c>
      <c r="O767" s="12">
        <f t="shared" si="449"/>
        <v>0</v>
      </c>
      <c r="P767" s="12">
        <f t="shared" si="450"/>
        <v>0</v>
      </c>
      <c r="Q767" s="12">
        <f t="shared" si="451"/>
        <v>0</v>
      </c>
      <c r="R767" s="12">
        <f t="shared" si="452"/>
        <v>0</v>
      </c>
    </row>
    <row r="768" spans="1:18" x14ac:dyDescent="0.25">
      <c r="A768" s="26"/>
      <c r="B768" s="25" t="s">
        <v>161</v>
      </c>
      <c r="C768" s="15">
        <v>8</v>
      </c>
      <c r="D768" s="16">
        <v>150</v>
      </c>
      <c r="E768" s="15">
        <f t="shared" si="464"/>
        <v>16</v>
      </c>
      <c r="F768" s="11">
        <v>1</v>
      </c>
      <c r="G768" s="11">
        <f>+ROUND(950/D768+1,0)</f>
        <v>7</v>
      </c>
      <c r="H768" s="12"/>
      <c r="I768" s="12">
        <f>2*(0.22+0.67)+24*0.008</f>
        <v>1.972</v>
      </c>
      <c r="J768" s="22"/>
      <c r="K768" s="22"/>
      <c r="L768" s="12">
        <f t="shared" si="466"/>
        <v>1.972</v>
      </c>
      <c r="M768" s="12">
        <f t="shared" si="447"/>
        <v>220.86</v>
      </c>
      <c r="N768" s="12">
        <f t="shared" si="448"/>
        <v>0</v>
      </c>
      <c r="O768" s="12">
        <f t="shared" si="449"/>
        <v>0</v>
      </c>
      <c r="P768" s="12">
        <f t="shared" si="450"/>
        <v>0</v>
      </c>
      <c r="Q768" s="12">
        <f t="shared" si="451"/>
        <v>0</v>
      </c>
      <c r="R768" s="12">
        <f t="shared" si="452"/>
        <v>0</v>
      </c>
    </row>
    <row r="769" spans="1:18" x14ac:dyDescent="0.25">
      <c r="A769" s="26"/>
      <c r="B769" s="25"/>
      <c r="C769" s="15">
        <v>8</v>
      </c>
      <c r="D769" s="16">
        <v>150</v>
      </c>
      <c r="E769" s="15">
        <f t="shared" si="464"/>
        <v>16</v>
      </c>
      <c r="F769" s="11">
        <v>1</v>
      </c>
      <c r="G769" s="11">
        <f t="shared" ref="G769:G771" si="467">+ROUND(950/D769+1,0)</f>
        <v>7</v>
      </c>
      <c r="H769" s="12"/>
      <c r="I769" s="12">
        <f>2*(0.22+0.132)+24*0.008</f>
        <v>0.89599999999999991</v>
      </c>
      <c r="J769" s="22"/>
      <c r="K769" s="22"/>
      <c r="L769" s="12">
        <f t="shared" si="466"/>
        <v>0.89599999999999991</v>
      </c>
      <c r="M769" s="12">
        <f t="shared" si="447"/>
        <v>100.35</v>
      </c>
      <c r="N769" s="12">
        <f t="shared" si="448"/>
        <v>0</v>
      </c>
      <c r="O769" s="12">
        <f t="shared" si="449"/>
        <v>0</v>
      </c>
      <c r="P769" s="12">
        <f t="shared" si="450"/>
        <v>0</v>
      </c>
      <c r="Q769" s="12">
        <f t="shared" si="451"/>
        <v>0</v>
      </c>
      <c r="R769" s="12">
        <f t="shared" si="452"/>
        <v>0</v>
      </c>
    </row>
    <row r="770" spans="1:18" x14ac:dyDescent="0.25">
      <c r="A770" s="26"/>
      <c r="B770" s="25"/>
      <c r="C770" s="15">
        <v>8</v>
      </c>
      <c r="D770" s="16">
        <v>150</v>
      </c>
      <c r="E770" s="15">
        <f t="shared" si="464"/>
        <v>16</v>
      </c>
      <c r="F770" s="11">
        <v>2</v>
      </c>
      <c r="G770" s="11">
        <f t="shared" si="467"/>
        <v>7</v>
      </c>
      <c r="H770" s="12"/>
      <c r="I770" s="12">
        <f>+(0.165+0.165+0.22)+0.2*0.008</f>
        <v>0.55160000000000009</v>
      </c>
      <c r="J770" s="22"/>
      <c r="K770" s="22"/>
      <c r="L770" s="12">
        <f t="shared" si="466"/>
        <v>0.55160000000000009</v>
      </c>
      <c r="M770" s="12">
        <f t="shared" si="447"/>
        <v>123.56</v>
      </c>
      <c r="N770" s="12">
        <f t="shared" si="448"/>
        <v>0</v>
      </c>
      <c r="O770" s="12">
        <f t="shared" si="449"/>
        <v>0</v>
      </c>
      <c r="P770" s="12">
        <f t="shared" si="450"/>
        <v>0</v>
      </c>
      <c r="Q770" s="12">
        <f t="shared" si="451"/>
        <v>0</v>
      </c>
      <c r="R770" s="12">
        <f t="shared" si="452"/>
        <v>0</v>
      </c>
    </row>
    <row r="771" spans="1:18" x14ac:dyDescent="0.25">
      <c r="A771" s="26"/>
      <c r="B771" s="25"/>
      <c r="C771" s="15">
        <v>8</v>
      </c>
      <c r="D771" s="16">
        <v>150</v>
      </c>
      <c r="E771" s="15">
        <f t="shared" si="464"/>
        <v>16</v>
      </c>
      <c r="F771" s="11">
        <v>1</v>
      </c>
      <c r="G771" s="11">
        <f t="shared" si="467"/>
        <v>7</v>
      </c>
      <c r="H771" s="12"/>
      <c r="I771" s="12">
        <f>0.22+2*10*0.008</f>
        <v>0.38</v>
      </c>
      <c r="J771" s="22"/>
      <c r="K771" s="22"/>
      <c r="L771" s="12">
        <f t="shared" si="466"/>
        <v>0.38</v>
      </c>
      <c r="M771" s="12">
        <f t="shared" si="447"/>
        <v>42.56</v>
      </c>
      <c r="N771" s="12">
        <f t="shared" si="448"/>
        <v>0</v>
      </c>
      <c r="O771" s="12">
        <f t="shared" si="449"/>
        <v>0</v>
      </c>
      <c r="P771" s="12">
        <f t="shared" si="450"/>
        <v>0</v>
      </c>
      <c r="Q771" s="12">
        <f t="shared" si="451"/>
        <v>0</v>
      </c>
      <c r="R771" s="12">
        <f t="shared" si="452"/>
        <v>0</v>
      </c>
    </row>
    <row r="772" spans="1:18" x14ac:dyDescent="0.25">
      <c r="A772" s="26"/>
      <c r="B772" s="45" t="s">
        <v>166</v>
      </c>
      <c r="C772" s="15">
        <v>16</v>
      </c>
      <c r="D772" s="16"/>
      <c r="E772" s="15">
        <v>14</v>
      </c>
      <c r="F772" s="11">
        <v>1</v>
      </c>
      <c r="G772" s="11">
        <v>4</v>
      </c>
      <c r="H772" s="12"/>
      <c r="I772" s="12">
        <f t="shared" ref="I772:I773" si="468">106.2-103.25</f>
        <v>2.9500000000000028</v>
      </c>
      <c r="J772" s="22"/>
      <c r="K772" s="22">
        <f t="shared" ref="K772:K773" si="469">0.5*40*C772/1000</f>
        <v>0.32</v>
      </c>
      <c r="L772" s="12">
        <f t="shared" si="466"/>
        <v>3.2700000000000027</v>
      </c>
      <c r="M772" s="12">
        <f t="shared" si="447"/>
        <v>0</v>
      </c>
      <c r="N772" s="12">
        <f t="shared" si="448"/>
        <v>0</v>
      </c>
      <c r="O772" s="12">
        <f t="shared" si="449"/>
        <v>0</v>
      </c>
      <c r="P772" s="12">
        <f t="shared" si="450"/>
        <v>183.12</v>
      </c>
      <c r="Q772" s="12">
        <f t="shared" si="451"/>
        <v>0</v>
      </c>
      <c r="R772" s="12">
        <f t="shared" si="452"/>
        <v>0</v>
      </c>
    </row>
    <row r="773" spans="1:18" x14ac:dyDescent="0.25">
      <c r="A773" s="26"/>
      <c r="B773" s="25"/>
      <c r="C773" s="15">
        <v>12</v>
      </c>
      <c r="D773" s="16"/>
      <c r="E773" s="15">
        <f>+E772</f>
        <v>14</v>
      </c>
      <c r="F773" s="11">
        <v>1</v>
      </c>
      <c r="G773" s="11">
        <v>12</v>
      </c>
      <c r="H773" s="12"/>
      <c r="I773" s="12">
        <f t="shared" si="468"/>
        <v>2.9500000000000028</v>
      </c>
      <c r="J773" s="22"/>
      <c r="K773" s="22">
        <f t="shared" si="469"/>
        <v>0.24</v>
      </c>
      <c r="L773" s="12">
        <f t="shared" si="466"/>
        <v>3.1900000000000031</v>
      </c>
      <c r="M773" s="12">
        <f t="shared" si="447"/>
        <v>0</v>
      </c>
      <c r="N773" s="12">
        <f t="shared" si="448"/>
        <v>0</v>
      </c>
      <c r="O773" s="12">
        <f t="shared" si="449"/>
        <v>535.91999999999996</v>
      </c>
      <c r="P773" s="12">
        <f t="shared" si="450"/>
        <v>0</v>
      </c>
      <c r="Q773" s="12">
        <f t="shared" si="451"/>
        <v>0</v>
      </c>
      <c r="R773" s="12">
        <f t="shared" si="452"/>
        <v>0</v>
      </c>
    </row>
    <row r="774" spans="1:18" x14ac:dyDescent="0.25">
      <c r="A774" s="26"/>
      <c r="B774" s="25" t="s">
        <v>160</v>
      </c>
      <c r="C774" s="15">
        <v>10</v>
      </c>
      <c r="D774" s="16">
        <v>75</v>
      </c>
      <c r="E774" s="15">
        <f t="shared" ref="E774:E781" si="470">+E773</f>
        <v>14</v>
      </c>
      <c r="F774" s="11">
        <v>2</v>
      </c>
      <c r="G774" s="11">
        <f>+ROUND(750/D774,0)</f>
        <v>10</v>
      </c>
      <c r="H774" s="12"/>
      <c r="I774" s="12">
        <f>2*(0.22+0.67)+24*0.01</f>
        <v>2.02</v>
      </c>
      <c r="J774" s="22"/>
      <c r="K774" s="22"/>
      <c r="L774" s="12">
        <f t="shared" si="466"/>
        <v>2.02</v>
      </c>
      <c r="M774" s="12">
        <f t="shared" si="447"/>
        <v>0</v>
      </c>
      <c r="N774" s="12">
        <f t="shared" si="448"/>
        <v>565.6</v>
      </c>
      <c r="O774" s="12">
        <f t="shared" si="449"/>
        <v>0</v>
      </c>
      <c r="P774" s="12">
        <f t="shared" si="450"/>
        <v>0</v>
      </c>
      <c r="Q774" s="12">
        <f t="shared" si="451"/>
        <v>0</v>
      </c>
      <c r="R774" s="12">
        <f t="shared" si="452"/>
        <v>0</v>
      </c>
    </row>
    <row r="775" spans="1:18" x14ac:dyDescent="0.25">
      <c r="A775" s="26"/>
      <c r="B775" s="25"/>
      <c r="C775" s="15">
        <v>10</v>
      </c>
      <c r="D775" s="16">
        <v>75</v>
      </c>
      <c r="E775" s="15">
        <f t="shared" si="470"/>
        <v>14</v>
      </c>
      <c r="F775" s="11">
        <v>2</v>
      </c>
      <c r="G775" s="11">
        <f t="shared" ref="G775:G777" si="471">+ROUND(750/D775,0)</f>
        <v>10</v>
      </c>
      <c r="H775" s="12"/>
      <c r="I775" s="12">
        <f>2*(0.22+0.132)+24*0.01</f>
        <v>0.94399999999999995</v>
      </c>
      <c r="J775" s="22"/>
      <c r="K775" s="22"/>
      <c r="L775" s="12">
        <f t="shared" si="466"/>
        <v>0.94399999999999995</v>
      </c>
      <c r="M775" s="12">
        <f t="shared" si="447"/>
        <v>0</v>
      </c>
      <c r="N775" s="12">
        <f t="shared" si="448"/>
        <v>264.32</v>
      </c>
      <c r="O775" s="12">
        <f t="shared" si="449"/>
        <v>0</v>
      </c>
      <c r="P775" s="12">
        <f t="shared" si="450"/>
        <v>0</v>
      </c>
      <c r="Q775" s="12">
        <f t="shared" si="451"/>
        <v>0</v>
      </c>
      <c r="R775" s="12">
        <f t="shared" si="452"/>
        <v>0</v>
      </c>
    </row>
    <row r="776" spans="1:18" x14ac:dyDescent="0.25">
      <c r="A776" s="26"/>
      <c r="B776" s="25"/>
      <c r="C776" s="15">
        <v>10</v>
      </c>
      <c r="D776" s="16">
        <v>75</v>
      </c>
      <c r="E776" s="15">
        <f t="shared" si="470"/>
        <v>14</v>
      </c>
      <c r="F776" s="11">
        <f>2*2</f>
        <v>4</v>
      </c>
      <c r="G776" s="11">
        <f t="shared" si="471"/>
        <v>10</v>
      </c>
      <c r="H776" s="12"/>
      <c r="I776" s="12">
        <f>+(0.165+0.165+0.22)+0.2*0.01</f>
        <v>0.55200000000000005</v>
      </c>
      <c r="J776" s="22"/>
      <c r="K776" s="22"/>
      <c r="L776" s="12">
        <f t="shared" si="466"/>
        <v>0.55200000000000005</v>
      </c>
      <c r="M776" s="12">
        <f t="shared" si="447"/>
        <v>0</v>
      </c>
      <c r="N776" s="12">
        <f t="shared" si="448"/>
        <v>309.12</v>
      </c>
      <c r="O776" s="12">
        <f t="shared" si="449"/>
        <v>0</v>
      </c>
      <c r="P776" s="12">
        <f t="shared" si="450"/>
        <v>0</v>
      </c>
      <c r="Q776" s="12">
        <f t="shared" si="451"/>
        <v>0</v>
      </c>
      <c r="R776" s="12">
        <f t="shared" si="452"/>
        <v>0</v>
      </c>
    </row>
    <row r="777" spans="1:18" x14ac:dyDescent="0.25">
      <c r="A777" s="26"/>
      <c r="B777" s="25"/>
      <c r="C777" s="15">
        <v>10</v>
      </c>
      <c r="D777" s="16">
        <v>75</v>
      </c>
      <c r="E777" s="15">
        <f t="shared" si="470"/>
        <v>14</v>
      </c>
      <c r="F777" s="11">
        <v>2</v>
      </c>
      <c r="G777" s="11">
        <f t="shared" si="471"/>
        <v>10</v>
      </c>
      <c r="H777" s="12"/>
      <c r="I777" s="12">
        <f>0.22+2*10*0.01</f>
        <v>0.42000000000000004</v>
      </c>
      <c r="J777" s="22"/>
      <c r="K777" s="22"/>
      <c r="L777" s="12">
        <f t="shared" si="466"/>
        <v>0.42000000000000004</v>
      </c>
      <c r="M777" s="12">
        <f t="shared" si="447"/>
        <v>0</v>
      </c>
      <c r="N777" s="12">
        <f t="shared" si="448"/>
        <v>117.6</v>
      </c>
      <c r="O777" s="12">
        <f t="shared" si="449"/>
        <v>0</v>
      </c>
      <c r="P777" s="12">
        <f t="shared" si="450"/>
        <v>0</v>
      </c>
      <c r="Q777" s="12">
        <f t="shared" si="451"/>
        <v>0</v>
      </c>
      <c r="R777" s="12">
        <f t="shared" si="452"/>
        <v>0</v>
      </c>
    </row>
    <row r="778" spans="1:18" x14ac:dyDescent="0.25">
      <c r="A778" s="26"/>
      <c r="B778" s="25" t="s">
        <v>161</v>
      </c>
      <c r="C778" s="15">
        <v>8</v>
      </c>
      <c r="D778" s="16">
        <v>150</v>
      </c>
      <c r="E778" s="15">
        <f t="shared" si="470"/>
        <v>14</v>
      </c>
      <c r="F778" s="11">
        <v>1</v>
      </c>
      <c r="G778" s="11">
        <f t="shared" ref="G778:G781" si="472">+ROUND(950/D778+1,0)</f>
        <v>7</v>
      </c>
      <c r="H778" s="12"/>
      <c r="I778" s="12">
        <f>2*(0.22+0.67)+24*0.008</f>
        <v>1.972</v>
      </c>
      <c r="J778" s="22"/>
      <c r="K778" s="22"/>
      <c r="L778" s="12">
        <f t="shared" si="466"/>
        <v>1.972</v>
      </c>
      <c r="M778" s="12">
        <f t="shared" si="447"/>
        <v>193.26</v>
      </c>
      <c r="N778" s="12">
        <f t="shared" si="448"/>
        <v>0</v>
      </c>
      <c r="O778" s="12">
        <f t="shared" si="449"/>
        <v>0</v>
      </c>
      <c r="P778" s="12">
        <f t="shared" si="450"/>
        <v>0</v>
      </c>
      <c r="Q778" s="12">
        <f t="shared" si="451"/>
        <v>0</v>
      </c>
      <c r="R778" s="12">
        <f t="shared" si="452"/>
        <v>0</v>
      </c>
    </row>
    <row r="779" spans="1:18" x14ac:dyDescent="0.25">
      <c r="A779" s="26"/>
      <c r="B779" s="25"/>
      <c r="C779" s="15">
        <v>8</v>
      </c>
      <c r="D779" s="16">
        <v>150</v>
      </c>
      <c r="E779" s="15">
        <f t="shared" si="470"/>
        <v>14</v>
      </c>
      <c r="F779" s="11">
        <v>1</v>
      </c>
      <c r="G779" s="11">
        <f t="shared" si="472"/>
        <v>7</v>
      </c>
      <c r="H779" s="12"/>
      <c r="I779" s="12">
        <f>2*(0.22+0.132)+24*0.008</f>
        <v>0.89599999999999991</v>
      </c>
      <c r="J779" s="22"/>
      <c r="K779" s="22"/>
      <c r="L779" s="12">
        <f t="shared" si="466"/>
        <v>0.89599999999999991</v>
      </c>
      <c r="M779" s="12">
        <f t="shared" si="447"/>
        <v>87.81</v>
      </c>
      <c r="N779" s="12">
        <f t="shared" si="448"/>
        <v>0</v>
      </c>
      <c r="O779" s="12">
        <f t="shared" si="449"/>
        <v>0</v>
      </c>
      <c r="P779" s="12">
        <f t="shared" si="450"/>
        <v>0</v>
      </c>
      <c r="Q779" s="12">
        <f t="shared" si="451"/>
        <v>0</v>
      </c>
      <c r="R779" s="12">
        <f t="shared" si="452"/>
        <v>0</v>
      </c>
    </row>
    <row r="780" spans="1:18" x14ac:dyDescent="0.25">
      <c r="A780" s="26"/>
      <c r="B780" s="25"/>
      <c r="C780" s="15">
        <v>8</v>
      </c>
      <c r="D780" s="16">
        <v>150</v>
      </c>
      <c r="E780" s="15">
        <f t="shared" si="470"/>
        <v>14</v>
      </c>
      <c r="F780" s="11">
        <v>2</v>
      </c>
      <c r="G780" s="11">
        <f t="shared" si="472"/>
        <v>7</v>
      </c>
      <c r="H780" s="12"/>
      <c r="I780" s="12">
        <f>+(0.165+0.165+0.22)+0.2*0.008</f>
        <v>0.55160000000000009</v>
      </c>
      <c r="J780" s="22"/>
      <c r="K780" s="22"/>
      <c r="L780" s="12">
        <f t="shared" si="466"/>
        <v>0.55160000000000009</v>
      </c>
      <c r="M780" s="12">
        <f t="shared" si="447"/>
        <v>108.11</v>
      </c>
      <c r="N780" s="12">
        <f t="shared" si="448"/>
        <v>0</v>
      </c>
      <c r="O780" s="12">
        <f t="shared" si="449"/>
        <v>0</v>
      </c>
      <c r="P780" s="12">
        <f t="shared" si="450"/>
        <v>0</v>
      </c>
      <c r="Q780" s="12">
        <f t="shared" si="451"/>
        <v>0</v>
      </c>
      <c r="R780" s="12">
        <f t="shared" si="452"/>
        <v>0</v>
      </c>
    </row>
    <row r="781" spans="1:18" x14ac:dyDescent="0.25">
      <c r="A781" s="26"/>
      <c r="B781" s="25"/>
      <c r="C781" s="15">
        <v>8</v>
      </c>
      <c r="D781" s="16">
        <v>150</v>
      </c>
      <c r="E781" s="15">
        <f t="shared" si="470"/>
        <v>14</v>
      </c>
      <c r="F781" s="11">
        <v>1</v>
      </c>
      <c r="G781" s="11">
        <f t="shared" si="472"/>
        <v>7</v>
      </c>
      <c r="H781" s="12"/>
      <c r="I781" s="12">
        <f>0.22+2*10*0.008</f>
        <v>0.38</v>
      </c>
      <c r="J781" s="22"/>
      <c r="K781" s="22"/>
      <c r="L781" s="12">
        <f t="shared" si="466"/>
        <v>0.38</v>
      </c>
      <c r="M781" s="12">
        <f t="shared" si="447"/>
        <v>37.24</v>
      </c>
      <c r="N781" s="12">
        <f t="shared" si="448"/>
        <v>0</v>
      </c>
      <c r="O781" s="12">
        <f t="shared" si="449"/>
        <v>0</v>
      </c>
      <c r="P781" s="12">
        <f t="shared" si="450"/>
        <v>0</v>
      </c>
      <c r="Q781" s="12">
        <f t="shared" si="451"/>
        <v>0</v>
      </c>
      <c r="R781" s="12">
        <f t="shared" si="452"/>
        <v>0</v>
      </c>
    </row>
    <row r="782" spans="1:18" x14ac:dyDescent="0.25">
      <c r="A782" s="26"/>
      <c r="B782" s="45" t="s">
        <v>167</v>
      </c>
      <c r="C782" s="15">
        <v>16</v>
      </c>
      <c r="D782" s="16"/>
      <c r="E782" s="15">
        <v>14</v>
      </c>
      <c r="F782" s="11">
        <v>1</v>
      </c>
      <c r="G782" s="11">
        <v>4</v>
      </c>
      <c r="H782" s="12"/>
      <c r="I782" s="12">
        <f t="shared" ref="I782:I783" si="473">106.2-103.25</f>
        <v>2.9500000000000028</v>
      </c>
      <c r="J782" s="22"/>
      <c r="K782" s="22">
        <f t="shared" ref="K782:K783" si="474">0.5*40*C782/1000</f>
        <v>0.32</v>
      </c>
      <c r="L782" s="12">
        <f t="shared" si="466"/>
        <v>3.2700000000000027</v>
      </c>
      <c r="M782" s="12">
        <f t="shared" si="447"/>
        <v>0</v>
      </c>
      <c r="N782" s="12">
        <f t="shared" si="448"/>
        <v>0</v>
      </c>
      <c r="O782" s="12">
        <f t="shared" si="449"/>
        <v>0</v>
      </c>
      <c r="P782" s="12">
        <f t="shared" si="450"/>
        <v>183.12</v>
      </c>
      <c r="Q782" s="12">
        <f t="shared" si="451"/>
        <v>0</v>
      </c>
      <c r="R782" s="12">
        <f t="shared" si="452"/>
        <v>0</v>
      </c>
    </row>
    <row r="783" spans="1:18" x14ac:dyDescent="0.25">
      <c r="A783" s="26"/>
      <c r="B783" s="25"/>
      <c r="C783" s="15">
        <v>12</v>
      </c>
      <c r="D783" s="16"/>
      <c r="E783" s="15">
        <f>+E782</f>
        <v>14</v>
      </c>
      <c r="F783" s="11">
        <v>1</v>
      </c>
      <c r="G783" s="11">
        <v>12</v>
      </c>
      <c r="H783" s="12"/>
      <c r="I783" s="12">
        <f t="shared" si="473"/>
        <v>2.9500000000000028</v>
      </c>
      <c r="J783" s="22"/>
      <c r="K783" s="22">
        <f t="shared" si="474"/>
        <v>0.24</v>
      </c>
      <c r="L783" s="12">
        <f t="shared" si="466"/>
        <v>3.1900000000000031</v>
      </c>
      <c r="M783" s="12">
        <f t="shared" si="447"/>
        <v>0</v>
      </c>
      <c r="N783" s="12">
        <f t="shared" si="448"/>
        <v>0</v>
      </c>
      <c r="O783" s="12">
        <f t="shared" si="449"/>
        <v>535.91999999999996</v>
      </c>
      <c r="P783" s="12">
        <f t="shared" si="450"/>
        <v>0</v>
      </c>
      <c r="Q783" s="12">
        <f t="shared" si="451"/>
        <v>0</v>
      </c>
      <c r="R783" s="12">
        <f t="shared" si="452"/>
        <v>0</v>
      </c>
    </row>
    <row r="784" spans="1:18" x14ac:dyDescent="0.25">
      <c r="A784" s="26"/>
      <c r="B784" s="25" t="s">
        <v>160</v>
      </c>
      <c r="C784" s="15">
        <v>10</v>
      </c>
      <c r="D784" s="16">
        <v>75</v>
      </c>
      <c r="E784" s="15">
        <f t="shared" ref="E784:E791" si="475">+E783</f>
        <v>14</v>
      </c>
      <c r="F784" s="11">
        <v>2</v>
      </c>
      <c r="G784" s="11">
        <f>+ROUND(715/D784,0)</f>
        <v>10</v>
      </c>
      <c r="H784" s="12"/>
      <c r="I784" s="12">
        <f>2*(0.22+0.635)+24*0.01</f>
        <v>1.95</v>
      </c>
      <c r="J784" s="22"/>
      <c r="K784" s="22"/>
      <c r="L784" s="12">
        <f t="shared" si="466"/>
        <v>1.95</v>
      </c>
      <c r="M784" s="12">
        <f t="shared" si="447"/>
        <v>0</v>
      </c>
      <c r="N784" s="12">
        <f t="shared" si="448"/>
        <v>546</v>
      </c>
      <c r="O784" s="12">
        <f t="shared" si="449"/>
        <v>0</v>
      </c>
      <c r="P784" s="12">
        <f t="shared" si="450"/>
        <v>0</v>
      </c>
      <c r="Q784" s="12">
        <f t="shared" si="451"/>
        <v>0</v>
      </c>
      <c r="R784" s="12">
        <f t="shared" si="452"/>
        <v>0</v>
      </c>
    </row>
    <row r="785" spans="1:18" x14ac:dyDescent="0.25">
      <c r="A785" s="26"/>
      <c r="B785" s="25"/>
      <c r="C785" s="15">
        <v>10</v>
      </c>
      <c r="D785" s="16">
        <v>75</v>
      </c>
      <c r="E785" s="15">
        <f t="shared" si="475"/>
        <v>14</v>
      </c>
      <c r="F785" s="11">
        <v>2</v>
      </c>
      <c r="G785" s="11">
        <f t="shared" ref="G785:G787" si="476">+ROUND(715/D785,0)</f>
        <v>10</v>
      </c>
      <c r="H785" s="12"/>
      <c r="I785" s="12">
        <f>2*(0.22+0.132)+24*0.01</f>
        <v>0.94399999999999995</v>
      </c>
      <c r="J785" s="22"/>
      <c r="K785" s="22"/>
      <c r="L785" s="12">
        <f t="shared" si="466"/>
        <v>0.94399999999999995</v>
      </c>
      <c r="M785" s="12">
        <f t="shared" si="447"/>
        <v>0</v>
      </c>
      <c r="N785" s="12">
        <f t="shared" si="448"/>
        <v>264.32</v>
      </c>
      <c r="O785" s="12">
        <f t="shared" si="449"/>
        <v>0</v>
      </c>
      <c r="P785" s="12">
        <f t="shared" si="450"/>
        <v>0</v>
      </c>
      <c r="Q785" s="12">
        <f t="shared" si="451"/>
        <v>0</v>
      </c>
      <c r="R785" s="12">
        <f t="shared" si="452"/>
        <v>0</v>
      </c>
    </row>
    <row r="786" spans="1:18" x14ac:dyDescent="0.25">
      <c r="A786" s="26"/>
      <c r="B786" s="25"/>
      <c r="C786" s="15">
        <v>10</v>
      </c>
      <c r="D786" s="16">
        <v>75</v>
      </c>
      <c r="E786" s="15">
        <f t="shared" si="475"/>
        <v>14</v>
      </c>
      <c r="F786" s="11">
        <f>2*2</f>
        <v>4</v>
      </c>
      <c r="G786" s="11">
        <f t="shared" si="476"/>
        <v>10</v>
      </c>
      <c r="H786" s="12"/>
      <c r="I786" s="12">
        <f>+(0.165+0.165+0.22)+0.2*0.01</f>
        <v>0.55200000000000005</v>
      </c>
      <c r="J786" s="22"/>
      <c r="K786" s="22"/>
      <c r="L786" s="12">
        <f t="shared" si="466"/>
        <v>0.55200000000000005</v>
      </c>
      <c r="M786" s="12">
        <f t="shared" si="447"/>
        <v>0</v>
      </c>
      <c r="N786" s="12">
        <f t="shared" si="448"/>
        <v>309.12</v>
      </c>
      <c r="O786" s="12">
        <f t="shared" si="449"/>
        <v>0</v>
      </c>
      <c r="P786" s="12">
        <f t="shared" si="450"/>
        <v>0</v>
      </c>
      <c r="Q786" s="12">
        <f t="shared" si="451"/>
        <v>0</v>
      </c>
      <c r="R786" s="12">
        <f t="shared" si="452"/>
        <v>0</v>
      </c>
    </row>
    <row r="787" spans="1:18" x14ac:dyDescent="0.25">
      <c r="A787" s="26"/>
      <c r="B787" s="25"/>
      <c r="C787" s="15">
        <v>10</v>
      </c>
      <c r="D787" s="16">
        <v>75</v>
      </c>
      <c r="E787" s="15">
        <f t="shared" si="475"/>
        <v>14</v>
      </c>
      <c r="F787" s="11">
        <v>2</v>
      </c>
      <c r="G787" s="11">
        <f t="shared" si="476"/>
        <v>10</v>
      </c>
      <c r="H787" s="12"/>
      <c r="I787" s="12">
        <f>0.22+2*10*0.01</f>
        <v>0.42000000000000004</v>
      </c>
      <c r="J787" s="22"/>
      <c r="K787" s="22"/>
      <c r="L787" s="12">
        <f t="shared" si="466"/>
        <v>0.42000000000000004</v>
      </c>
      <c r="M787" s="12">
        <f t="shared" si="447"/>
        <v>0</v>
      </c>
      <c r="N787" s="12">
        <f t="shared" si="448"/>
        <v>117.6</v>
      </c>
      <c r="O787" s="12">
        <f t="shared" si="449"/>
        <v>0</v>
      </c>
      <c r="P787" s="12">
        <f t="shared" si="450"/>
        <v>0</v>
      </c>
      <c r="Q787" s="12">
        <f t="shared" si="451"/>
        <v>0</v>
      </c>
      <c r="R787" s="12">
        <f t="shared" si="452"/>
        <v>0</v>
      </c>
    </row>
    <row r="788" spans="1:18" x14ac:dyDescent="0.25">
      <c r="A788" s="26"/>
      <c r="B788" s="25" t="s">
        <v>161</v>
      </c>
      <c r="C788" s="15">
        <v>8</v>
      </c>
      <c r="D788" s="16">
        <v>150</v>
      </c>
      <c r="E788" s="15">
        <f t="shared" si="475"/>
        <v>14</v>
      </c>
      <c r="F788" s="11">
        <v>1</v>
      </c>
      <c r="G788" s="11">
        <f>+ROUND(1020/D788+1,0)</f>
        <v>8</v>
      </c>
      <c r="H788" s="12"/>
      <c r="I788" s="12">
        <f>2*(0.22+0.635)+24*0.008</f>
        <v>1.9019999999999999</v>
      </c>
      <c r="J788" s="22"/>
      <c r="K788" s="22"/>
      <c r="L788" s="12">
        <f t="shared" si="466"/>
        <v>1.9019999999999999</v>
      </c>
      <c r="M788" s="12">
        <f t="shared" si="447"/>
        <v>213.02</v>
      </c>
      <c r="N788" s="12">
        <f t="shared" si="448"/>
        <v>0</v>
      </c>
      <c r="O788" s="12">
        <f t="shared" si="449"/>
        <v>0</v>
      </c>
      <c r="P788" s="12">
        <f t="shared" si="450"/>
        <v>0</v>
      </c>
      <c r="Q788" s="12">
        <f t="shared" si="451"/>
        <v>0</v>
      </c>
      <c r="R788" s="12">
        <f t="shared" si="452"/>
        <v>0</v>
      </c>
    </row>
    <row r="789" spans="1:18" x14ac:dyDescent="0.25">
      <c r="A789" s="26"/>
      <c r="B789" s="25"/>
      <c r="C789" s="15">
        <v>8</v>
      </c>
      <c r="D789" s="16">
        <v>150</v>
      </c>
      <c r="E789" s="15">
        <f t="shared" si="475"/>
        <v>14</v>
      </c>
      <c r="F789" s="11">
        <v>1</v>
      </c>
      <c r="G789" s="11">
        <f>+ROUND(1020/D789+1,0)</f>
        <v>8</v>
      </c>
      <c r="H789" s="12"/>
      <c r="I789" s="12">
        <f>2*(0.22+0.132)+24*0.008</f>
        <v>0.89599999999999991</v>
      </c>
      <c r="J789" s="22"/>
      <c r="K789" s="22"/>
      <c r="L789" s="12">
        <f t="shared" si="466"/>
        <v>0.89599999999999991</v>
      </c>
      <c r="M789" s="12">
        <f t="shared" si="447"/>
        <v>100.35</v>
      </c>
      <c r="N789" s="12">
        <f t="shared" si="448"/>
        <v>0</v>
      </c>
      <c r="O789" s="12">
        <f t="shared" si="449"/>
        <v>0</v>
      </c>
      <c r="P789" s="12">
        <f t="shared" si="450"/>
        <v>0</v>
      </c>
      <c r="Q789" s="12">
        <f t="shared" si="451"/>
        <v>0</v>
      </c>
      <c r="R789" s="12">
        <f t="shared" si="452"/>
        <v>0</v>
      </c>
    </row>
    <row r="790" spans="1:18" x14ac:dyDescent="0.25">
      <c r="A790" s="26"/>
      <c r="B790" s="25"/>
      <c r="C790" s="15">
        <v>8</v>
      </c>
      <c r="D790" s="16">
        <v>150</v>
      </c>
      <c r="E790" s="15">
        <f t="shared" si="475"/>
        <v>14</v>
      </c>
      <c r="F790" s="11">
        <v>2</v>
      </c>
      <c r="G790" s="11">
        <f t="shared" ref="G790:G791" si="477">+ROUND(1020/D790+1,0)</f>
        <v>8</v>
      </c>
      <c r="H790" s="12"/>
      <c r="I790" s="12">
        <f>+(0.165+0.165+0.22)+0.2*0.008</f>
        <v>0.55160000000000009</v>
      </c>
      <c r="J790" s="22"/>
      <c r="K790" s="22"/>
      <c r="L790" s="12">
        <f t="shared" si="466"/>
        <v>0.55160000000000009</v>
      </c>
      <c r="M790" s="12">
        <f t="shared" si="447"/>
        <v>123.56</v>
      </c>
      <c r="N790" s="12">
        <f t="shared" si="448"/>
        <v>0</v>
      </c>
      <c r="O790" s="12">
        <f t="shared" si="449"/>
        <v>0</v>
      </c>
      <c r="P790" s="12">
        <f t="shared" si="450"/>
        <v>0</v>
      </c>
      <c r="Q790" s="12">
        <f t="shared" si="451"/>
        <v>0</v>
      </c>
      <c r="R790" s="12">
        <f t="shared" si="452"/>
        <v>0</v>
      </c>
    </row>
    <row r="791" spans="1:18" x14ac:dyDescent="0.25">
      <c r="A791" s="26"/>
      <c r="B791" s="25"/>
      <c r="C791" s="15">
        <v>8</v>
      </c>
      <c r="D791" s="16">
        <v>150</v>
      </c>
      <c r="E791" s="15">
        <f t="shared" si="475"/>
        <v>14</v>
      </c>
      <c r="F791" s="11">
        <v>1</v>
      </c>
      <c r="G791" s="11">
        <f t="shared" si="477"/>
        <v>8</v>
      </c>
      <c r="H791" s="12"/>
      <c r="I791" s="12">
        <f>0.22+2*10*0.008</f>
        <v>0.38</v>
      </c>
      <c r="J791" s="22"/>
      <c r="K791" s="22"/>
      <c r="L791" s="12">
        <f t="shared" si="466"/>
        <v>0.38</v>
      </c>
      <c r="M791" s="12">
        <f t="shared" si="447"/>
        <v>42.56</v>
      </c>
      <c r="N791" s="12">
        <f t="shared" si="448"/>
        <v>0</v>
      </c>
      <c r="O791" s="12">
        <f t="shared" si="449"/>
        <v>0</v>
      </c>
      <c r="P791" s="12">
        <f t="shared" si="450"/>
        <v>0</v>
      </c>
      <c r="Q791" s="12">
        <f t="shared" si="451"/>
        <v>0</v>
      </c>
      <c r="R791" s="12">
        <f t="shared" si="452"/>
        <v>0</v>
      </c>
    </row>
    <row r="792" spans="1:18" x14ac:dyDescent="0.25">
      <c r="A792" s="26"/>
      <c r="B792" s="45" t="s">
        <v>168</v>
      </c>
      <c r="C792" s="15">
        <v>16</v>
      </c>
      <c r="D792" s="16"/>
      <c r="E792" s="15">
        <v>4</v>
      </c>
      <c r="F792" s="11">
        <v>1</v>
      </c>
      <c r="G792" s="11">
        <v>4</v>
      </c>
      <c r="H792" s="12"/>
      <c r="I792" s="12">
        <f t="shared" ref="I792:I793" si="478">106.2-103.25</f>
        <v>2.9500000000000028</v>
      </c>
      <c r="J792" s="22"/>
      <c r="K792" s="22">
        <f t="shared" ref="K792:K793" si="479">0.5*40*C792/1000</f>
        <v>0.32</v>
      </c>
      <c r="L792" s="12">
        <f t="shared" si="466"/>
        <v>3.2700000000000027</v>
      </c>
      <c r="M792" s="12">
        <f t="shared" si="447"/>
        <v>0</v>
      </c>
      <c r="N792" s="12">
        <f t="shared" si="448"/>
        <v>0</v>
      </c>
      <c r="O792" s="12">
        <f t="shared" si="449"/>
        <v>0</v>
      </c>
      <c r="P792" s="12">
        <f t="shared" si="450"/>
        <v>52.32</v>
      </c>
      <c r="Q792" s="12">
        <f t="shared" si="451"/>
        <v>0</v>
      </c>
      <c r="R792" s="12">
        <f t="shared" si="452"/>
        <v>0</v>
      </c>
    </row>
    <row r="793" spans="1:18" x14ac:dyDescent="0.25">
      <c r="A793" s="26"/>
      <c r="B793" s="25"/>
      <c r="C793" s="15">
        <v>12</v>
      </c>
      <c r="D793" s="16"/>
      <c r="E793" s="15">
        <f>+E792</f>
        <v>4</v>
      </c>
      <c r="F793" s="11">
        <v>1</v>
      </c>
      <c r="G793" s="11">
        <v>14</v>
      </c>
      <c r="H793" s="12"/>
      <c r="I793" s="12">
        <f t="shared" si="478"/>
        <v>2.9500000000000028</v>
      </c>
      <c r="J793" s="22"/>
      <c r="K793" s="22">
        <f t="shared" si="479"/>
        <v>0.24</v>
      </c>
      <c r="L793" s="12">
        <f t="shared" si="466"/>
        <v>3.1900000000000031</v>
      </c>
      <c r="M793" s="12">
        <f t="shared" si="447"/>
        <v>0</v>
      </c>
      <c r="N793" s="12">
        <f t="shared" si="448"/>
        <v>0</v>
      </c>
      <c r="O793" s="12">
        <f t="shared" si="449"/>
        <v>178.64</v>
      </c>
      <c r="P793" s="12">
        <f t="shared" si="450"/>
        <v>0</v>
      </c>
      <c r="Q793" s="12">
        <f t="shared" si="451"/>
        <v>0</v>
      </c>
      <c r="R793" s="12">
        <f t="shared" si="452"/>
        <v>0</v>
      </c>
    </row>
    <row r="794" spans="1:18" x14ac:dyDescent="0.25">
      <c r="A794" s="26"/>
      <c r="B794" s="25" t="s">
        <v>160</v>
      </c>
      <c r="C794" s="15">
        <v>10</v>
      </c>
      <c r="D794" s="16">
        <v>75</v>
      </c>
      <c r="E794" s="15">
        <f t="shared" ref="E794:E799" si="480">+E793</f>
        <v>4</v>
      </c>
      <c r="F794" s="11">
        <v>2</v>
      </c>
      <c r="G794" s="11">
        <f>+ROUND(800/D794,0)</f>
        <v>11</v>
      </c>
      <c r="H794" s="12"/>
      <c r="I794" s="12">
        <f>2*(0.22+0.72)+24*0.01</f>
        <v>2.12</v>
      </c>
      <c r="J794" s="22"/>
      <c r="K794" s="22"/>
      <c r="L794" s="12">
        <f t="shared" si="466"/>
        <v>2.12</v>
      </c>
      <c r="M794" s="12">
        <f t="shared" si="447"/>
        <v>0</v>
      </c>
      <c r="N794" s="12">
        <f t="shared" si="448"/>
        <v>186.56</v>
      </c>
      <c r="O794" s="12">
        <f t="shared" si="449"/>
        <v>0</v>
      </c>
      <c r="P794" s="12">
        <f t="shared" si="450"/>
        <v>0</v>
      </c>
      <c r="Q794" s="12">
        <f t="shared" si="451"/>
        <v>0</v>
      </c>
      <c r="R794" s="12">
        <f t="shared" si="452"/>
        <v>0</v>
      </c>
    </row>
    <row r="795" spans="1:18" x14ac:dyDescent="0.25">
      <c r="A795" s="26"/>
      <c r="B795" s="25"/>
      <c r="C795" s="15">
        <v>10</v>
      </c>
      <c r="D795" s="16">
        <v>75</v>
      </c>
      <c r="E795" s="15">
        <f t="shared" si="480"/>
        <v>4</v>
      </c>
      <c r="F795" s="11">
        <f>2*2</f>
        <v>4</v>
      </c>
      <c r="G795" s="11">
        <f t="shared" ref="G795:G796" si="481">+ROUND(800/D795,0)</f>
        <v>11</v>
      </c>
      <c r="H795" s="12"/>
      <c r="I795" s="12">
        <f>2*(0.22+0.115)+24*0.01</f>
        <v>0.91</v>
      </c>
      <c r="J795" s="22"/>
      <c r="K795" s="22"/>
      <c r="L795" s="12">
        <f t="shared" si="466"/>
        <v>0.91</v>
      </c>
      <c r="M795" s="12">
        <f t="shared" si="447"/>
        <v>0</v>
      </c>
      <c r="N795" s="12">
        <f t="shared" si="448"/>
        <v>160.16</v>
      </c>
      <c r="O795" s="12">
        <f t="shared" si="449"/>
        <v>0</v>
      </c>
      <c r="P795" s="12">
        <f t="shared" si="450"/>
        <v>0</v>
      </c>
      <c r="Q795" s="12">
        <f t="shared" si="451"/>
        <v>0</v>
      </c>
      <c r="R795" s="12">
        <f t="shared" si="452"/>
        <v>0</v>
      </c>
    </row>
    <row r="796" spans="1:18" x14ac:dyDescent="0.25">
      <c r="A796" s="26"/>
      <c r="B796" s="25"/>
      <c r="C796" s="15">
        <v>10</v>
      </c>
      <c r="D796" s="16">
        <v>75</v>
      </c>
      <c r="E796" s="15">
        <f t="shared" si="480"/>
        <v>4</v>
      </c>
      <c r="F796" s="11">
        <f>2*2</f>
        <v>4</v>
      </c>
      <c r="G796" s="11">
        <f t="shared" si="481"/>
        <v>11</v>
      </c>
      <c r="H796" s="12"/>
      <c r="I796" s="12">
        <f>+(0.165+0.165+0.22)+0.2*0.01</f>
        <v>0.55200000000000005</v>
      </c>
      <c r="J796" s="22"/>
      <c r="K796" s="22"/>
      <c r="L796" s="12">
        <f t="shared" si="466"/>
        <v>0.55200000000000005</v>
      </c>
      <c r="M796" s="12">
        <f t="shared" si="447"/>
        <v>0</v>
      </c>
      <c r="N796" s="12">
        <f t="shared" si="448"/>
        <v>97.15</v>
      </c>
      <c r="O796" s="12">
        <f t="shared" si="449"/>
        <v>0</v>
      </c>
      <c r="P796" s="12">
        <f t="shared" si="450"/>
        <v>0</v>
      </c>
      <c r="Q796" s="12">
        <f t="shared" si="451"/>
        <v>0</v>
      </c>
      <c r="R796" s="12">
        <f t="shared" si="452"/>
        <v>0</v>
      </c>
    </row>
    <row r="797" spans="1:18" x14ac:dyDescent="0.25">
      <c r="A797" s="26"/>
      <c r="B797" s="25" t="s">
        <v>161</v>
      </c>
      <c r="C797" s="15">
        <v>8</v>
      </c>
      <c r="D797" s="16">
        <v>150</v>
      </c>
      <c r="E797" s="15">
        <f t="shared" si="480"/>
        <v>4</v>
      </c>
      <c r="F797" s="11">
        <v>1</v>
      </c>
      <c r="G797" s="11">
        <f>+ROUND(800/D797+1,0)</f>
        <v>6</v>
      </c>
      <c r="H797" s="12"/>
      <c r="I797" s="12">
        <f>2*(0.22+0.72)+24*0.008</f>
        <v>2.0720000000000001</v>
      </c>
      <c r="J797" s="22"/>
      <c r="K797" s="22"/>
      <c r="L797" s="12">
        <f t="shared" si="466"/>
        <v>2.0720000000000001</v>
      </c>
      <c r="M797" s="12">
        <f t="shared" si="447"/>
        <v>49.73</v>
      </c>
      <c r="N797" s="12">
        <f t="shared" si="448"/>
        <v>0</v>
      </c>
      <c r="O797" s="12">
        <f t="shared" si="449"/>
        <v>0</v>
      </c>
      <c r="P797" s="12">
        <f t="shared" si="450"/>
        <v>0</v>
      </c>
      <c r="Q797" s="12">
        <f t="shared" si="451"/>
        <v>0</v>
      </c>
      <c r="R797" s="12">
        <f t="shared" si="452"/>
        <v>0</v>
      </c>
    </row>
    <row r="798" spans="1:18" x14ac:dyDescent="0.25">
      <c r="A798" s="26"/>
      <c r="B798" s="25"/>
      <c r="C798" s="15">
        <v>8</v>
      </c>
      <c r="D798" s="16">
        <v>150</v>
      </c>
      <c r="E798" s="15">
        <f t="shared" si="480"/>
        <v>4</v>
      </c>
      <c r="F798" s="11">
        <v>2</v>
      </c>
      <c r="G798" s="11">
        <f t="shared" ref="G798:G799" si="482">+ROUND(800/D798+1,0)</f>
        <v>6</v>
      </c>
      <c r="H798" s="12"/>
      <c r="I798" s="12">
        <f>2*(0.22+0.115)+24*0.008</f>
        <v>0.8620000000000001</v>
      </c>
      <c r="J798" s="22"/>
      <c r="K798" s="22"/>
      <c r="L798" s="12">
        <f t="shared" si="466"/>
        <v>0.8620000000000001</v>
      </c>
      <c r="M798" s="12">
        <f t="shared" si="447"/>
        <v>41.38</v>
      </c>
      <c r="N798" s="12">
        <f t="shared" si="448"/>
        <v>0</v>
      </c>
      <c r="O798" s="12">
        <f t="shared" si="449"/>
        <v>0</v>
      </c>
      <c r="P798" s="12">
        <f t="shared" si="450"/>
        <v>0</v>
      </c>
      <c r="Q798" s="12">
        <f t="shared" si="451"/>
        <v>0</v>
      </c>
      <c r="R798" s="12">
        <f t="shared" si="452"/>
        <v>0</v>
      </c>
    </row>
    <row r="799" spans="1:18" x14ac:dyDescent="0.25">
      <c r="A799" s="26"/>
      <c r="B799" s="25"/>
      <c r="C799" s="15">
        <v>8</v>
      </c>
      <c r="D799" s="16">
        <v>150</v>
      </c>
      <c r="E799" s="15">
        <f t="shared" si="480"/>
        <v>4</v>
      </c>
      <c r="F799" s="11">
        <v>2</v>
      </c>
      <c r="G799" s="11">
        <f t="shared" si="482"/>
        <v>6</v>
      </c>
      <c r="H799" s="12"/>
      <c r="I799" s="12">
        <f>+(0.165+0.165+0.22)+0.2*0.008</f>
        <v>0.55160000000000009</v>
      </c>
      <c r="J799" s="22"/>
      <c r="K799" s="22"/>
      <c r="L799" s="12">
        <f t="shared" si="466"/>
        <v>0.55160000000000009</v>
      </c>
      <c r="M799" s="12">
        <f t="shared" si="447"/>
        <v>26.48</v>
      </c>
      <c r="N799" s="12">
        <f t="shared" si="448"/>
        <v>0</v>
      </c>
      <c r="O799" s="12">
        <f t="shared" si="449"/>
        <v>0</v>
      </c>
      <c r="P799" s="12">
        <f t="shared" si="450"/>
        <v>0</v>
      </c>
      <c r="Q799" s="12">
        <f t="shared" si="451"/>
        <v>0</v>
      </c>
      <c r="R799" s="12">
        <f t="shared" si="452"/>
        <v>0</v>
      </c>
    </row>
    <row r="800" spans="1:18" x14ac:dyDescent="0.25">
      <c r="A800" s="26"/>
      <c r="B800" s="45" t="s">
        <v>169</v>
      </c>
      <c r="C800" s="15">
        <v>16</v>
      </c>
      <c r="D800" s="16"/>
      <c r="E800" s="15">
        <v>4</v>
      </c>
      <c r="F800" s="11">
        <v>1</v>
      </c>
      <c r="G800" s="11">
        <v>10</v>
      </c>
      <c r="H800" s="12"/>
      <c r="I800" s="12">
        <f t="shared" ref="I800:I801" si="483">106.2-103.25</f>
        <v>2.9500000000000028</v>
      </c>
      <c r="J800" s="22"/>
      <c r="K800" s="22">
        <f>0.5*40*C800/1000</f>
        <v>0.32</v>
      </c>
      <c r="L800" s="12">
        <f t="shared" si="466"/>
        <v>3.2700000000000027</v>
      </c>
      <c r="M800" s="12">
        <f t="shared" si="447"/>
        <v>0</v>
      </c>
      <c r="N800" s="12">
        <f t="shared" si="448"/>
        <v>0</v>
      </c>
      <c r="O800" s="12">
        <f t="shared" si="449"/>
        <v>0</v>
      </c>
      <c r="P800" s="12">
        <f t="shared" si="450"/>
        <v>130.80000000000001</v>
      </c>
      <c r="Q800" s="12">
        <f t="shared" si="451"/>
        <v>0</v>
      </c>
      <c r="R800" s="12">
        <f t="shared" si="452"/>
        <v>0</v>
      </c>
    </row>
    <row r="801" spans="1:18" x14ac:dyDescent="0.25">
      <c r="A801" s="26"/>
      <c r="B801" s="45"/>
      <c r="C801" s="15">
        <v>12</v>
      </c>
      <c r="D801" s="16"/>
      <c r="E801" s="15">
        <v>4</v>
      </c>
      <c r="F801" s="11">
        <v>1</v>
      </c>
      <c r="G801" s="11">
        <v>4</v>
      </c>
      <c r="H801" s="12"/>
      <c r="I801" s="12">
        <f t="shared" si="483"/>
        <v>2.9500000000000028</v>
      </c>
      <c r="J801" s="22"/>
      <c r="K801" s="22">
        <f>0.5*40*C801/1000</f>
        <v>0.24</v>
      </c>
      <c r="L801" s="12">
        <f t="shared" ref="L801" si="484">SUM(H801:J801)+K801</f>
        <v>3.1900000000000031</v>
      </c>
      <c r="M801" s="12">
        <f t="shared" ref="M801" si="485">+ROUND(IF(C801=8,PRODUCT(E801,F801,G801,L801),0),2)</f>
        <v>0</v>
      </c>
      <c r="N801" s="12">
        <f t="shared" ref="N801" si="486">+ROUND(IF(C801=10,PRODUCT(E801,F801,G801,L801),0),2)</f>
        <v>0</v>
      </c>
      <c r="O801" s="12">
        <f t="shared" ref="O801" si="487">+ROUND(IF(C801=12,PRODUCT(E801,F801,G801,L801),0),2)</f>
        <v>51.04</v>
      </c>
      <c r="P801" s="12">
        <f t="shared" ref="P801" si="488">+ROUND(IF(C801=16,PRODUCT(E801,F801,G801,L801),0),2)</f>
        <v>0</v>
      </c>
      <c r="Q801" s="12">
        <f t="shared" ref="Q801" si="489">+ROUND(IF(C801=20,PRODUCT(E801,F801,G801,L801),0),2)</f>
        <v>0</v>
      </c>
      <c r="R801" s="12">
        <f t="shared" ref="R801" si="490">+ROUND(IF(C801=25,PRODUCT(E801,F801,G801,L801),0),2)</f>
        <v>0</v>
      </c>
    </row>
    <row r="802" spans="1:18" x14ac:dyDescent="0.25">
      <c r="A802" s="26"/>
      <c r="B802" s="25" t="s">
        <v>160</v>
      </c>
      <c r="C802" s="15">
        <v>10</v>
      </c>
      <c r="D802" s="16">
        <v>75</v>
      </c>
      <c r="E802" s="15">
        <f>+E800</f>
        <v>4</v>
      </c>
      <c r="F802" s="11">
        <v>2</v>
      </c>
      <c r="G802" s="11">
        <f>+ROUND(600/D802,0)</f>
        <v>8</v>
      </c>
      <c r="H802" s="12"/>
      <c r="I802" s="12">
        <f>2*(0.22+0.52)+24*0.01</f>
        <v>1.72</v>
      </c>
      <c r="J802" s="22"/>
      <c r="K802" s="22"/>
      <c r="L802" s="12">
        <f t="shared" si="466"/>
        <v>1.72</v>
      </c>
      <c r="M802" s="12">
        <f t="shared" si="447"/>
        <v>0</v>
      </c>
      <c r="N802" s="12">
        <f t="shared" si="448"/>
        <v>110.08</v>
      </c>
      <c r="O802" s="12">
        <f t="shared" si="449"/>
        <v>0</v>
      </c>
      <c r="P802" s="12">
        <f t="shared" si="450"/>
        <v>0</v>
      </c>
      <c r="Q802" s="12">
        <f t="shared" si="451"/>
        <v>0</v>
      </c>
      <c r="R802" s="12">
        <f t="shared" si="452"/>
        <v>0</v>
      </c>
    </row>
    <row r="803" spans="1:18" x14ac:dyDescent="0.25">
      <c r="A803" s="26"/>
      <c r="B803" s="25"/>
      <c r="C803" s="15">
        <v>10</v>
      </c>
      <c r="D803" s="16">
        <v>75</v>
      </c>
      <c r="E803" s="15">
        <f t="shared" ref="E803:E807" si="491">+E802</f>
        <v>4</v>
      </c>
      <c r="F803" s="11">
        <v>2</v>
      </c>
      <c r="G803" s="11">
        <f t="shared" ref="G803:G804" si="492">+ROUND(600/D803,0)</f>
        <v>8</v>
      </c>
      <c r="H803" s="12"/>
      <c r="I803" s="12">
        <f>2*(0.22+0.115)+24*0.01</f>
        <v>0.91</v>
      </c>
      <c r="J803" s="22"/>
      <c r="K803" s="22"/>
      <c r="L803" s="12">
        <f t="shared" si="466"/>
        <v>0.91</v>
      </c>
      <c r="M803" s="12">
        <f t="shared" si="447"/>
        <v>0</v>
      </c>
      <c r="N803" s="12">
        <f t="shared" si="448"/>
        <v>58.24</v>
      </c>
      <c r="O803" s="12">
        <f t="shared" si="449"/>
        <v>0</v>
      </c>
      <c r="P803" s="12">
        <f t="shared" si="450"/>
        <v>0</v>
      </c>
      <c r="Q803" s="12">
        <f t="shared" si="451"/>
        <v>0</v>
      </c>
      <c r="R803" s="12">
        <f t="shared" si="452"/>
        <v>0</v>
      </c>
    </row>
    <row r="804" spans="1:18" x14ac:dyDescent="0.25">
      <c r="A804" s="26"/>
      <c r="B804" s="25"/>
      <c r="C804" s="15">
        <v>10</v>
      </c>
      <c r="D804" s="16">
        <v>75</v>
      </c>
      <c r="E804" s="15">
        <f t="shared" si="491"/>
        <v>4</v>
      </c>
      <c r="F804" s="11">
        <f>2*2</f>
        <v>4</v>
      </c>
      <c r="G804" s="11">
        <f t="shared" si="492"/>
        <v>8</v>
      </c>
      <c r="H804" s="12"/>
      <c r="I804" s="12">
        <f>+(0.16+0.16+0.22)+0.24*0.01</f>
        <v>0.54239999999999999</v>
      </c>
      <c r="J804" s="22"/>
      <c r="K804" s="22"/>
      <c r="L804" s="12">
        <f t="shared" si="466"/>
        <v>0.54239999999999999</v>
      </c>
      <c r="M804" s="12">
        <f t="shared" si="447"/>
        <v>0</v>
      </c>
      <c r="N804" s="12">
        <f t="shared" si="448"/>
        <v>69.430000000000007</v>
      </c>
      <c r="O804" s="12">
        <f t="shared" si="449"/>
        <v>0</v>
      </c>
      <c r="P804" s="12">
        <f t="shared" si="450"/>
        <v>0</v>
      </c>
      <c r="Q804" s="12">
        <f t="shared" si="451"/>
        <v>0</v>
      </c>
      <c r="R804" s="12">
        <f t="shared" si="452"/>
        <v>0</v>
      </c>
    </row>
    <row r="805" spans="1:18" x14ac:dyDescent="0.25">
      <c r="A805" s="26"/>
      <c r="B805" s="25" t="s">
        <v>161</v>
      </c>
      <c r="C805" s="15">
        <v>8</v>
      </c>
      <c r="D805" s="16">
        <v>150</v>
      </c>
      <c r="E805" s="15">
        <f t="shared" si="491"/>
        <v>4</v>
      </c>
      <c r="F805" s="11">
        <v>1</v>
      </c>
      <c r="G805" s="11">
        <f>+ROUND(1250/D805+1,0)</f>
        <v>9</v>
      </c>
      <c r="H805" s="12"/>
      <c r="I805" s="12">
        <f>2*(0.22+0.52)+24*0.008</f>
        <v>1.6719999999999999</v>
      </c>
      <c r="J805" s="22"/>
      <c r="K805" s="22"/>
      <c r="L805" s="12">
        <f t="shared" si="466"/>
        <v>1.6719999999999999</v>
      </c>
      <c r="M805" s="12">
        <f t="shared" si="447"/>
        <v>60.19</v>
      </c>
      <c r="N805" s="12">
        <f t="shared" si="448"/>
        <v>0</v>
      </c>
      <c r="O805" s="12">
        <f t="shared" si="449"/>
        <v>0</v>
      </c>
      <c r="P805" s="12">
        <f t="shared" si="450"/>
        <v>0</v>
      </c>
      <c r="Q805" s="12">
        <f t="shared" si="451"/>
        <v>0</v>
      </c>
      <c r="R805" s="12">
        <f t="shared" si="452"/>
        <v>0</v>
      </c>
    </row>
    <row r="806" spans="1:18" x14ac:dyDescent="0.25">
      <c r="A806" s="26"/>
      <c r="B806" s="25"/>
      <c r="C806" s="15">
        <v>8</v>
      </c>
      <c r="D806" s="16">
        <v>150</v>
      </c>
      <c r="E806" s="15">
        <f t="shared" si="491"/>
        <v>4</v>
      </c>
      <c r="F806" s="11">
        <v>1</v>
      </c>
      <c r="G806" s="11">
        <f t="shared" ref="G806:G807" si="493">+ROUND(1250/D806+1,0)</f>
        <v>9</v>
      </c>
      <c r="H806" s="12"/>
      <c r="I806" s="12">
        <f>2*(0.22+0.115)+24*0.008</f>
        <v>0.8620000000000001</v>
      </c>
      <c r="J806" s="22"/>
      <c r="K806" s="22"/>
      <c r="L806" s="12">
        <f t="shared" si="466"/>
        <v>0.8620000000000001</v>
      </c>
      <c r="M806" s="12">
        <f t="shared" si="447"/>
        <v>31.03</v>
      </c>
      <c r="N806" s="12">
        <f t="shared" si="448"/>
        <v>0</v>
      </c>
      <c r="O806" s="12">
        <f t="shared" si="449"/>
        <v>0</v>
      </c>
      <c r="P806" s="12">
        <f t="shared" si="450"/>
        <v>0</v>
      </c>
      <c r="Q806" s="12">
        <f t="shared" si="451"/>
        <v>0</v>
      </c>
      <c r="R806" s="12">
        <f t="shared" si="452"/>
        <v>0</v>
      </c>
    </row>
    <row r="807" spans="1:18" x14ac:dyDescent="0.25">
      <c r="A807" s="26"/>
      <c r="B807" s="25"/>
      <c r="C807" s="15">
        <v>8</v>
      </c>
      <c r="D807" s="16">
        <v>150</v>
      </c>
      <c r="E807" s="15">
        <f t="shared" si="491"/>
        <v>4</v>
      </c>
      <c r="F807" s="11">
        <v>2</v>
      </c>
      <c r="G807" s="11">
        <f t="shared" si="493"/>
        <v>9</v>
      </c>
      <c r="H807" s="12"/>
      <c r="I807" s="12">
        <f>+(0.16+0.16+0.22)+0.2*0.008</f>
        <v>0.54160000000000008</v>
      </c>
      <c r="J807" s="22"/>
      <c r="K807" s="22"/>
      <c r="L807" s="12">
        <f t="shared" si="466"/>
        <v>0.54160000000000008</v>
      </c>
      <c r="M807" s="12">
        <f t="shared" si="447"/>
        <v>39</v>
      </c>
      <c r="N807" s="12">
        <f t="shared" si="448"/>
        <v>0</v>
      </c>
      <c r="O807" s="12">
        <f t="shared" si="449"/>
        <v>0</v>
      </c>
      <c r="P807" s="12">
        <f t="shared" si="450"/>
        <v>0</v>
      </c>
      <c r="Q807" s="12">
        <f t="shared" si="451"/>
        <v>0</v>
      </c>
      <c r="R807" s="12">
        <f t="shared" si="452"/>
        <v>0</v>
      </c>
    </row>
    <row r="808" spans="1:18" x14ac:dyDescent="0.25">
      <c r="A808" s="26"/>
      <c r="B808" s="45" t="s">
        <v>429</v>
      </c>
      <c r="C808" s="15"/>
      <c r="D808" s="16"/>
      <c r="E808" s="15"/>
      <c r="F808" s="11"/>
      <c r="G808" s="11"/>
      <c r="H808" s="12"/>
      <c r="I808" s="12"/>
      <c r="J808" s="22"/>
      <c r="K808" s="22"/>
      <c r="L808" s="12">
        <f t="shared" si="466"/>
        <v>0</v>
      </c>
      <c r="M808" s="12">
        <f t="shared" si="447"/>
        <v>0</v>
      </c>
      <c r="N808" s="12">
        <f t="shared" si="448"/>
        <v>0</v>
      </c>
      <c r="O808" s="12">
        <f t="shared" si="449"/>
        <v>0</v>
      </c>
      <c r="P808" s="12">
        <f t="shared" si="450"/>
        <v>0</v>
      </c>
      <c r="Q808" s="12">
        <f t="shared" si="451"/>
        <v>0</v>
      </c>
      <c r="R808" s="12">
        <f t="shared" si="452"/>
        <v>0</v>
      </c>
    </row>
    <row r="809" spans="1:18" x14ac:dyDescent="0.25">
      <c r="A809" s="26"/>
      <c r="B809" s="45" t="s">
        <v>171</v>
      </c>
      <c r="C809" s="15">
        <v>16</v>
      </c>
      <c r="D809" s="16"/>
      <c r="E809" s="15">
        <v>2</v>
      </c>
      <c r="F809" s="11">
        <v>1</v>
      </c>
      <c r="G809" s="11">
        <v>8</v>
      </c>
      <c r="H809" s="12"/>
      <c r="I809" s="12">
        <f t="shared" ref="I809:I811" si="494">106.2-103.25</f>
        <v>2.9500000000000028</v>
      </c>
      <c r="J809" s="22"/>
      <c r="K809" s="22">
        <f t="shared" ref="K809:K811" si="495">0.5*40*C809/1000</f>
        <v>0.32</v>
      </c>
      <c r="L809" s="12">
        <f t="shared" si="466"/>
        <v>3.2700000000000027</v>
      </c>
      <c r="M809" s="12">
        <f t="shared" si="447"/>
        <v>0</v>
      </c>
      <c r="N809" s="12">
        <f t="shared" si="448"/>
        <v>0</v>
      </c>
      <c r="O809" s="12">
        <f t="shared" si="449"/>
        <v>0</v>
      </c>
      <c r="P809" s="12">
        <f t="shared" si="450"/>
        <v>52.32</v>
      </c>
      <c r="Q809" s="12">
        <f t="shared" si="451"/>
        <v>0</v>
      </c>
      <c r="R809" s="12">
        <f t="shared" si="452"/>
        <v>0</v>
      </c>
    </row>
    <row r="810" spans="1:18" x14ac:dyDescent="0.25">
      <c r="A810" s="26"/>
      <c r="B810" s="25"/>
      <c r="C810" s="15">
        <v>12</v>
      </c>
      <c r="D810" s="16"/>
      <c r="E810" s="15">
        <v>2</v>
      </c>
      <c r="F810" s="11">
        <v>1</v>
      </c>
      <c r="G810" s="11">
        <v>16</v>
      </c>
      <c r="H810" s="12"/>
      <c r="I810" s="12">
        <f t="shared" si="494"/>
        <v>2.9500000000000028</v>
      </c>
      <c r="J810" s="22"/>
      <c r="K810" s="22">
        <f t="shared" si="495"/>
        <v>0.24</v>
      </c>
      <c r="L810" s="12">
        <f t="shared" si="466"/>
        <v>3.1900000000000031</v>
      </c>
      <c r="M810" s="12">
        <f t="shared" si="447"/>
        <v>0</v>
      </c>
      <c r="N810" s="12">
        <f t="shared" si="448"/>
        <v>0</v>
      </c>
      <c r="O810" s="12">
        <f t="shared" si="449"/>
        <v>102.08</v>
      </c>
      <c r="P810" s="12">
        <f t="shared" si="450"/>
        <v>0</v>
      </c>
      <c r="Q810" s="12">
        <f t="shared" si="451"/>
        <v>0</v>
      </c>
      <c r="R810" s="12">
        <f t="shared" si="452"/>
        <v>0</v>
      </c>
    </row>
    <row r="811" spans="1:18" x14ac:dyDescent="0.25">
      <c r="A811" s="26"/>
      <c r="B811" s="25"/>
      <c r="C811" s="15">
        <v>10</v>
      </c>
      <c r="D811" s="16"/>
      <c r="E811" s="15">
        <v>2</v>
      </c>
      <c r="F811" s="11">
        <v>1</v>
      </c>
      <c r="G811" s="11">
        <v>8</v>
      </c>
      <c r="H811" s="12"/>
      <c r="I811" s="12">
        <f t="shared" si="494"/>
        <v>2.9500000000000028</v>
      </c>
      <c r="J811" s="22"/>
      <c r="K811" s="22">
        <f t="shared" si="495"/>
        <v>0.2</v>
      </c>
      <c r="L811" s="12">
        <f t="shared" si="466"/>
        <v>3.150000000000003</v>
      </c>
      <c r="M811" s="12">
        <f t="shared" si="447"/>
        <v>0</v>
      </c>
      <c r="N811" s="12">
        <f t="shared" si="448"/>
        <v>50.4</v>
      </c>
      <c r="O811" s="12">
        <f t="shared" si="449"/>
        <v>0</v>
      </c>
      <c r="P811" s="12">
        <f t="shared" si="450"/>
        <v>0</v>
      </c>
      <c r="Q811" s="12">
        <f t="shared" si="451"/>
        <v>0</v>
      </c>
      <c r="R811" s="12">
        <f t="shared" si="452"/>
        <v>0</v>
      </c>
    </row>
    <row r="812" spans="1:18" x14ac:dyDescent="0.25">
      <c r="A812" s="26"/>
      <c r="B812" s="25" t="s">
        <v>172</v>
      </c>
      <c r="C812" s="15"/>
      <c r="D812" s="16"/>
      <c r="E812" s="15"/>
      <c r="F812" s="11"/>
      <c r="G812" s="11"/>
      <c r="H812" s="12"/>
      <c r="I812" s="12"/>
      <c r="J812" s="22"/>
      <c r="K812" s="22"/>
      <c r="L812" s="12">
        <f t="shared" si="466"/>
        <v>0</v>
      </c>
      <c r="M812" s="12">
        <f t="shared" si="447"/>
        <v>0</v>
      </c>
      <c r="N812" s="12">
        <f t="shared" si="448"/>
        <v>0</v>
      </c>
      <c r="O812" s="12">
        <f t="shared" si="449"/>
        <v>0</v>
      </c>
      <c r="P812" s="12">
        <f t="shared" si="450"/>
        <v>0</v>
      </c>
      <c r="Q812" s="12">
        <f t="shared" si="451"/>
        <v>0</v>
      </c>
      <c r="R812" s="12">
        <f t="shared" si="452"/>
        <v>0</v>
      </c>
    </row>
    <row r="813" spans="1:18" x14ac:dyDescent="0.25">
      <c r="A813" s="26"/>
      <c r="B813" s="25" t="s">
        <v>188</v>
      </c>
      <c r="C813" s="15">
        <v>8</v>
      </c>
      <c r="D813" s="16">
        <v>100</v>
      </c>
      <c r="E813" s="15">
        <v>2</v>
      </c>
      <c r="F813" s="11">
        <v>1</v>
      </c>
      <c r="G813" s="11">
        <f>+ROUND(2450/D813+1,0)</f>
        <v>26</v>
      </c>
      <c r="H813" s="12"/>
      <c r="I813" s="12">
        <f>2*(0.18+0.6)+24*C813/1000</f>
        <v>1.752</v>
      </c>
      <c r="J813" s="22"/>
      <c r="K813" s="22"/>
      <c r="L813" s="12">
        <f t="shared" si="466"/>
        <v>1.752</v>
      </c>
      <c r="M813" s="12">
        <f t="shared" si="447"/>
        <v>91.1</v>
      </c>
      <c r="N813" s="12">
        <f t="shared" si="448"/>
        <v>0</v>
      </c>
      <c r="O813" s="12">
        <f t="shared" si="449"/>
        <v>0</v>
      </c>
      <c r="P813" s="12">
        <f t="shared" si="450"/>
        <v>0</v>
      </c>
      <c r="Q813" s="12">
        <f t="shared" si="451"/>
        <v>0</v>
      </c>
      <c r="R813" s="12">
        <f t="shared" si="452"/>
        <v>0</v>
      </c>
    </row>
    <row r="814" spans="1:18" x14ac:dyDescent="0.25">
      <c r="A814" s="26"/>
      <c r="B814" s="25" t="s">
        <v>174</v>
      </c>
      <c r="C814" s="15">
        <v>8</v>
      </c>
      <c r="D814" s="16">
        <v>100</v>
      </c>
      <c r="E814" s="15">
        <v>2</v>
      </c>
      <c r="F814" s="11">
        <v>1</v>
      </c>
      <c r="G814" s="11">
        <f t="shared" ref="G814:G820" si="496">+ROUND(2450/D814+1,0)</f>
        <v>26</v>
      </c>
      <c r="H814" s="12"/>
      <c r="I814" s="12">
        <f>2*(0.18+0.248)+24*C814/1000</f>
        <v>1.048</v>
      </c>
      <c r="J814" s="22"/>
      <c r="K814" s="22"/>
      <c r="L814" s="12">
        <f t="shared" si="466"/>
        <v>1.048</v>
      </c>
      <c r="M814" s="12">
        <f t="shared" si="447"/>
        <v>54.5</v>
      </c>
      <c r="N814" s="12">
        <f t="shared" si="448"/>
        <v>0</v>
      </c>
      <c r="O814" s="12">
        <f t="shared" si="449"/>
        <v>0</v>
      </c>
      <c r="P814" s="12">
        <f t="shared" si="450"/>
        <v>0</v>
      </c>
      <c r="Q814" s="12">
        <f t="shared" si="451"/>
        <v>0</v>
      </c>
      <c r="R814" s="12">
        <f t="shared" si="452"/>
        <v>0</v>
      </c>
    </row>
    <row r="815" spans="1:18" x14ac:dyDescent="0.25">
      <c r="A815" s="26"/>
      <c r="B815" s="25" t="s">
        <v>173</v>
      </c>
      <c r="C815" s="15">
        <v>8</v>
      </c>
      <c r="D815" s="16">
        <v>100</v>
      </c>
      <c r="E815" s="15">
        <v>2</v>
      </c>
      <c r="F815" s="11">
        <v>1</v>
      </c>
      <c r="G815" s="11">
        <f t="shared" si="496"/>
        <v>26</v>
      </c>
      <c r="H815" s="12"/>
      <c r="I815" s="12">
        <f>0.18+(20*C815/1000)</f>
        <v>0.33999999999999997</v>
      </c>
      <c r="J815" s="22"/>
      <c r="K815" s="22"/>
      <c r="L815" s="12">
        <f t="shared" si="466"/>
        <v>0.33999999999999997</v>
      </c>
      <c r="M815" s="12">
        <f t="shared" si="447"/>
        <v>17.68</v>
      </c>
      <c r="N815" s="12">
        <f t="shared" si="448"/>
        <v>0</v>
      </c>
      <c r="O815" s="12">
        <f t="shared" si="449"/>
        <v>0</v>
      </c>
      <c r="P815" s="12">
        <f t="shared" si="450"/>
        <v>0</v>
      </c>
      <c r="Q815" s="12">
        <f t="shared" si="451"/>
        <v>0</v>
      </c>
      <c r="R815" s="12">
        <f t="shared" si="452"/>
        <v>0</v>
      </c>
    </row>
    <row r="816" spans="1:18" x14ac:dyDescent="0.25">
      <c r="A816" s="26"/>
      <c r="B816" s="25" t="s">
        <v>189</v>
      </c>
      <c r="C816" s="15">
        <v>8</v>
      </c>
      <c r="D816" s="16">
        <v>100</v>
      </c>
      <c r="E816" s="15">
        <v>2</v>
      </c>
      <c r="F816" s="11">
        <v>2</v>
      </c>
      <c r="G816" s="11">
        <f t="shared" si="496"/>
        <v>26</v>
      </c>
      <c r="H816" s="12"/>
      <c r="I816" s="12">
        <f>2*(0.18+0.385)+24*C816/1000</f>
        <v>1.3219999999999998</v>
      </c>
      <c r="J816" s="22"/>
      <c r="K816" s="22"/>
      <c r="L816" s="12">
        <f t="shared" si="466"/>
        <v>1.3219999999999998</v>
      </c>
      <c r="M816" s="12">
        <f t="shared" si="447"/>
        <v>137.49</v>
      </c>
      <c r="N816" s="12">
        <f t="shared" si="448"/>
        <v>0</v>
      </c>
      <c r="O816" s="12">
        <f t="shared" si="449"/>
        <v>0</v>
      </c>
      <c r="P816" s="12">
        <f t="shared" si="450"/>
        <v>0</v>
      </c>
      <c r="Q816" s="12">
        <f t="shared" si="451"/>
        <v>0</v>
      </c>
      <c r="R816" s="12">
        <f t="shared" si="452"/>
        <v>0</v>
      </c>
    </row>
    <row r="817" spans="1:18" x14ac:dyDescent="0.25">
      <c r="A817" s="26"/>
      <c r="B817" s="25" t="s">
        <v>175</v>
      </c>
      <c r="C817" s="15">
        <v>8</v>
      </c>
      <c r="D817" s="16">
        <v>100</v>
      </c>
      <c r="E817" s="15">
        <v>2</v>
      </c>
      <c r="F817" s="11">
        <v>1</v>
      </c>
      <c r="G817" s="11">
        <f t="shared" si="496"/>
        <v>26</v>
      </c>
      <c r="H817" s="12"/>
      <c r="I817" s="12">
        <f>2*(0.18+0.268)+24*C817/1000</f>
        <v>1.0880000000000001</v>
      </c>
      <c r="J817" s="22"/>
      <c r="K817" s="22"/>
      <c r="L817" s="12">
        <f t="shared" si="466"/>
        <v>1.0880000000000001</v>
      </c>
      <c r="M817" s="12">
        <f t="shared" si="447"/>
        <v>56.58</v>
      </c>
      <c r="N817" s="12">
        <f t="shared" si="448"/>
        <v>0</v>
      </c>
      <c r="O817" s="12">
        <f t="shared" si="449"/>
        <v>0</v>
      </c>
      <c r="P817" s="12">
        <f t="shared" si="450"/>
        <v>0</v>
      </c>
      <c r="Q817" s="12">
        <f t="shared" si="451"/>
        <v>0</v>
      </c>
      <c r="R817" s="12">
        <f t="shared" si="452"/>
        <v>0</v>
      </c>
    </row>
    <row r="818" spans="1:18" x14ac:dyDescent="0.25">
      <c r="A818" s="26"/>
      <c r="B818" s="25" t="s">
        <v>173</v>
      </c>
      <c r="C818" s="15">
        <v>8</v>
      </c>
      <c r="D818" s="16">
        <v>100</v>
      </c>
      <c r="E818" s="15">
        <v>2</v>
      </c>
      <c r="F818" s="11">
        <v>1</v>
      </c>
      <c r="G818" s="11">
        <f t="shared" si="496"/>
        <v>26</v>
      </c>
      <c r="H818" s="12"/>
      <c r="I818" s="12">
        <f>0.18+(20*C818/1000)</f>
        <v>0.33999999999999997</v>
      </c>
      <c r="J818" s="22"/>
      <c r="K818" s="22"/>
      <c r="L818" s="12">
        <f t="shared" si="466"/>
        <v>0.33999999999999997</v>
      </c>
      <c r="M818" s="12">
        <f t="shared" si="447"/>
        <v>17.68</v>
      </c>
      <c r="N818" s="12">
        <f t="shared" si="448"/>
        <v>0</v>
      </c>
      <c r="O818" s="12">
        <f t="shared" si="449"/>
        <v>0</v>
      </c>
      <c r="P818" s="12">
        <f t="shared" si="450"/>
        <v>0</v>
      </c>
      <c r="Q818" s="12">
        <f t="shared" si="451"/>
        <v>0</v>
      </c>
      <c r="R818" s="12">
        <f t="shared" si="452"/>
        <v>0</v>
      </c>
    </row>
    <row r="819" spans="1:18" x14ac:dyDescent="0.25">
      <c r="A819" s="26"/>
      <c r="B819" s="25" t="s">
        <v>176</v>
      </c>
      <c r="C819" s="15">
        <v>8</v>
      </c>
      <c r="D819" s="16">
        <v>200</v>
      </c>
      <c r="E819" s="15">
        <v>2</v>
      </c>
      <c r="F819" s="11">
        <v>1</v>
      </c>
      <c r="G819" s="11">
        <f t="shared" si="496"/>
        <v>13</v>
      </c>
      <c r="H819" s="12"/>
      <c r="I819" s="12">
        <f>2*(0.18+0.866)+24*C819/1000</f>
        <v>2.2840000000000003</v>
      </c>
      <c r="J819" s="22"/>
      <c r="K819" s="22"/>
      <c r="L819" s="12">
        <f t="shared" si="466"/>
        <v>2.2840000000000003</v>
      </c>
      <c r="M819" s="12">
        <f t="shared" si="447"/>
        <v>59.38</v>
      </c>
      <c r="N819" s="12">
        <f t="shared" si="448"/>
        <v>0</v>
      </c>
      <c r="O819" s="12">
        <f t="shared" si="449"/>
        <v>0</v>
      </c>
      <c r="P819" s="12">
        <f t="shared" si="450"/>
        <v>0</v>
      </c>
      <c r="Q819" s="12">
        <f t="shared" si="451"/>
        <v>0</v>
      </c>
      <c r="R819" s="12">
        <f t="shared" si="452"/>
        <v>0</v>
      </c>
    </row>
    <row r="820" spans="1:18" x14ac:dyDescent="0.25">
      <c r="A820" s="26"/>
      <c r="B820" s="25" t="s">
        <v>177</v>
      </c>
      <c r="C820" s="15">
        <v>8</v>
      </c>
      <c r="D820" s="16">
        <v>400</v>
      </c>
      <c r="E820" s="15">
        <v>2</v>
      </c>
      <c r="F820" s="11">
        <v>2</v>
      </c>
      <c r="G820" s="11">
        <f t="shared" si="496"/>
        <v>7</v>
      </c>
      <c r="H820" s="12"/>
      <c r="I820" s="12">
        <f>0.18+(20*C820/1000)</f>
        <v>0.33999999999999997</v>
      </c>
      <c r="J820" s="22"/>
      <c r="K820" s="22"/>
      <c r="L820" s="12">
        <f t="shared" si="466"/>
        <v>0.33999999999999997</v>
      </c>
      <c r="M820" s="12">
        <f t="shared" si="447"/>
        <v>9.52</v>
      </c>
      <c r="N820" s="12">
        <f t="shared" si="448"/>
        <v>0</v>
      </c>
      <c r="O820" s="12">
        <f t="shared" si="449"/>
        <v>0</v>
      </c>
      <c r="P820" s="12">
        <f t="shared" si="450"/>
        <v>0</v>
      </c>
      <c r="Q820" s="12">
        <f t="shared" si="451"/>
        <v>0</v>
      </c>
      <c r="R820" s="12">
        <f t="shared" si="452"/>
        <v>0</v>
      </c>
    </row>
    <row r="821" spans="1:18" x14ac:dyDescent="0.25">
      <c r="A821" s="26"/>
      <c r="B821" s="45" t="s">
        <v>178</v>
      </c>
      <c r="C821" s="15">
        <v>16</v>
      </c>
      <c r="D821" s="16"/>
      <c r="E821" s="15">
        <v>2</v>
      </c>
      <c r="F821" s="11">
        <v>1</v>
      </c>
      <c r="G821" s="11">
        <v>8</v>
      </c>
      <c r="H821" s="12"/>
      <c r="I821" s="12">
        <f t="shared" ref="I821:I823" si="497">106.2-103.25</f>
        <v>2.9500000000000028</v>
      </c>
      <c r="J821" s="22"/>
      <c r="K821" s="22">
        <f t="shared" ref="K821:K823" si="498">0.5*40*C821/1000</f>
        <v>0.32</v>
      </c>
      <c r="L821" s="12">
        <f t="shared" si="466"/>
        <v>3.2700000000000027</v>
      </c>
      <c r="M821" s="12">
        <f t="shared" si="447"/>
        <v>0</v>
      </c>
      <c r="N821" s="12">
        <f t="shared" si="448"/>
        <v>0</v>
      </c>
      <c r="O821" s="12">
        <f t="shared" si="449"/>
        <v>0</v>
      </c>
      <c r="P821" s="12">
        <f t="shared" si="450"/>
        <v>52.32</v>
      </c>
      <c r="Q821" s="12">
        <f t="shared" si="451"/>
        <v>0</v>
      </c>
      <c r="R821" s="12">
        <f t="shared" si="452"/>
        <v>0</v>
      </c>
    </row>
    <row r="822" spans="1:18" x14ac:dyDescent="0.25">
      <c r="A822" s="26"/>
      <c r="B822" s="25"/>
      <c r="C822" s="15">
        <v>12</v>
      </c>
      <c r="D822" s="16"/>
      <c r="E822" s="15">
        <v>2</v>
      </c>
      <c r="F822" s="11">
        <v>1</v>
      </c>
      <c r="G822" s="11">
        <v>16</v>
      </c>
      <c r="H822" s="12"/>
      <c r="I822" s="12">
        <f t="shared" si="497"/>
        <v>2.9500000000000028</v>
      </c>
      <c r="J822" s="22"/>
      <c r="K822" s="22">
        <f t="shared" si="498"/>
        <v>0.24</v>
      </c>
      <c r="L822" s="12">
        <f t="shared" si="466"/>
        <v>3.1900000000000031</v>
      </c>
      <c r="M822" s="12">
        <f t="shared" si="447"/>
        <v>0</v>
      </c>
      <c r="N822" s="12">
        <f t="shared" si="448"/>
        <v>0</v>
      </c>
      <c r="O822" s="12">
        <f t="shared" si="449"/>
        <v>102.08</v>
      </c>
      <c r="P822" s="12">
        <f t="shared" si="450"/>
        <v>0</v>
      </c>
      <c r="Q822" s="12">
        <f t="shared" si="451"/>
        <v>0</v>
      </c>
      <c r="R822" s="12">
        <f t="shared" si="452"/>
        <v>0</v>
      </c>
    </row>
    <row r="823" spans="1:18" x14ac:dyDescent="0.25">
      <c r="A823" s="26"/>
      <c r="B823" s="25"/>
      <c r="C823" s="15">
        <v>10</v>
      </c>
      <c r="D823" s="16"/>
      <c r="E823" s="15">
        <v>2</v>
      </c>
      <c r="F823" s="11">
        <v>1</v>
      </c>
      <c r="G823" s="11">
        <v>10</v>
      </c>
      <c r="H823" s="12"/>
      <c r="I823" s="12">
        <f t="shared" si="497"/>
        <v>2.9500000000000028</v>
      </c>
      <c r="J823" s="22"/>
      <c r="K823" s="22">
        <f t="shared" si="498"/>
        <v>0.2</v>
      </c>
      <c r="L823" s="12">
        <f t="shared" si="466"/>
        <v>3.150000000000003</v>
      </c>
      <c r="M823" s="12">
        <f t="shared" si="447"/>
        <v>0</v>
      </c>
      <c r="N823" s="12">
        <f t="shared" si="448"/>
        <v>63</v>
      </c>
      <c r="O823" s="12">
        <f t="shared" si="449"/>
        <v>0</v>
      </c>
      <c r="P823" s="12">
        <f t="shared" si="450"/>
        <v>0</v>
      </c>
      <c r="Q823" s="12">
        <f t="shared" si="451"/>
        <v>0</v>
      </c>
      <c r="R823" s="12">
        <f t="shared" si="452"/>
        <v>0</v>
      </c>
    </row>
    <row r="824" spans="1:18" x14ac:dyDescent="0.25">
      <c r="A824" s="26"/>
      <c r="B824" s="25" t="s">
        <v>172</v>
      </c>
      <c r="C824" s="15"/>
      <c r="D824" s="16"/>
      <c r="E824" s="15"/>
      <c r="F824" s="11"/>
      <c r="G824" s="11"/>
      <c r="H824" s="12"/>
      <c r="I824" s="12"/>
      <c r="J824" s="22"/>
      <c r="K824" s="22"/>
      <c r="L824" s="12">
        <f t="shared" si="466"/>
        <v>0</v>
      </c>
      <c r="M824" s="12">
        <f t="shared" si="447"/>
        <v>0</v>
      </c>
      <c r="N824" s="12">
        <f t="shared" si="448"/>
        <v>0</v>
      </c>
      <c r="O824" s="12">
        <f t="shared" si="449"/>
        <v>0</v>
      </c>
      <c r="P824" s="12">
        <f t="shared" si="450"/>
        <v>0</v>
      </c>
      <c r="Q824" s="12">
        <f t="shared" si="451"/>
        <v>0</v>
      </c>
      <c r="R824" s="12">
        <f t="shared" si="452"/>
        <v>0</v>
      </c>
    </row>
    <row r="825" spans="1:18" x14ac:dyDescent="0.25">
      <c r="A825" s="26"/>
      <c r="B825" s="25" t="s">
        <v>188</v>
      </c>
      <c r="C825" s="15">
        <v>8</v>
      </c>
      <c r="D825" s="16">
        <v>100</v>
      </c>
      <c r="E825" s="15">
        <v>2</v>
      </c>
      <c r="F825" s="11">
        <v>1</v>
      </c>
      <c r="G825" s="11">
        <f t="shared" ref="G825:G832" si="499">+ROUND(2450/D825+1,0)</f>
        <v>26</v>
      </c>
      <c r="H825" s="12"/>
      <c r="I825" s="12">
        <f>2*(0.18+0.6)+24*C825/1000</f>
        <v>1.752</v>
      </c>
      <c r="J825" s="22"/>
      <c r="K825" s="22"/>
      <c r="L825" s="12">
        <f t="shared" si="466"/>
        <v>1.752</v>
      </c>
      <c r="M825" s="12">
        <f t="shared" si="447"/>
        <v>91.1</v>
      </c>
      <c r="N825" s="12">
        <f t="shared" si="448"/>
        <v>0</v>
      </c>
      <c r="O825" s="12">
        <f t="shared" si="449"/>
        <v>0</v>
      </c>
      <c r="P825" s="12">
        <f t="shared" si="450"/>
        <v>0</v>
      </c>
      <c r="Q825" s="12">
        <f t="shared" si="451"/>
        <v>0</v>
      </c>
      <c r="R825" s="12">
        <f t="shared" si="452"/>
        <v>0</v>
      </c>
    </row>
    <row r="826" spans="1:18" x14ac:dyDescent="0.25">
      <c r="A826" s="26"/>
      <c r="B826" s="25" t="s">
        <v>174</v>
      </c>
      <c r="C826" s="15">
        <v>8</v>
      </c>
      <c r="D826" s="16">
        <v>100</v>
      </c>
      <c r="E826" s="15">
        <v>2</v>
      </c>
      <c r="F826" s="11">
        <v>1</v>
      </c>
      <c r="G826" s="11">
        <f t="shared" si="499"/>
        <v>26</v>
      </c>
      <c r="H826" s="12"/>
      <c r="I826" s="12">
        <f>2*(0.18+0.248)+24*C826/1000</f>
        <v>1.048</v>
      </c>
      <c r="J826" s="22"/>
      <c r="K826" s="22"/>
      <c r="L826" s="12">
        <f t="shared" si="466"/>
        <v>1.048</v>
      </c>
      <c r="M826" s="12">
        <f t="shared" si="447"/>
        <v>54.5</v>
      </c>
      <c r="N826" s="12">
        <f t="shared" si="448"/>
        <v>0</v>
      </c>
      <c r="O826" s="12">
        <f t="shared" si="449"/>
        <v>0</v>
      </c>
      <c r="P826" s="12">
        <f t="shared" si="450"/>
        <v>0</v>
      </c>
      <c r="Q826" s="12">
        <f t="shared" si="451"/>
        <v>0</v>
      </c>
      <c r="R826" s="12">
        <f t="shared" si="452"/>
        <v>0</v>
      </c>
    </row>
    <row r="827" spans="1:18" x14ac:dyDescent="0.25">
      <c r="A827" s="26"/>
      <c r="B827" s="25" t="s">
        <v>173</v>
      </c>
      <c r="C827" s="15">
        <v>8</v>
      </c>
      <c r="D827" s="16">
        <v>100</v>
      </c>
      <c r="E827" s="15">
        <v>2</v>
      </c>
      <c r="F827" s="11">
        <v>1</v>
      </c>
      <c r="G827" s="11">
        <f t="shared" si="499"/>
        <v>26</v>
      </c>
      <c r="H827" s="12"/>
      <c r="I827" s="12">
        <f>0.18+(20*C827/1000)</f>
        <v>0.33999999999999997</v>
      </c>
      <c r="J827" s="22"/>
      <c r="K827" s="22"/>
      <c r="L827" s="12">
        <f t="shared" si="466"/>
        <v>0.33999999999999997</v>
      </c>
      <c r="M827" s="12">
        <f t="shared" si="447"/>
        <v>17.68</v>
      </c>
      <c r="N827" s="12">
        <f t="shared" si="448"/>
        <v>0</v>
      </c>
      <c r="O827" s="12">
        <f t="shared" si="449"/>
        <v>0</v>
      </c>
      <c r="P827" s="12">
        <f t="shared" si="450"/>
        <v>0</v>
      </c>
      <c r="Q827" s="12">
        <f t="shared" si="451"/>
        <v>0</v>
      </c>
      <c r="R827" s="12">
        <f t="shared" si="452"/>
        <v>0</v>
      </c>
    </row>
    <row r="828" spans="1:18" x14ac:dyDescent="0.25">
      <c r="A828" s="26"/>
      <c r="B828" s="25" t="s">
        <v>189</v>
      </c>
      <c r="C828" s="15">
        <v>8</v>
      </c>
      <c r="D828" s="16">
        <v>100</v>
      </c>
      <c r="E828" s="15">
        <v>2</v>
      </c>
      <c r="F828" s="11">
        <v>2</v>
      </c>
      <c r="G828" s="11">
        <f t="shared" si="499"/>
        <v>26</v>
      </c>
      <c r="H828" s="12"/>
      <c r="I828" s="12">
        <f>2*(0.18+0.385)+24*C828/1000</f>
        <v>1.3219999999999998</v>
      </c>
      <c r="J828" s="22"/>
      <c r="K828" s="22"/>
      <c r="L828" s="12">
        <f t="shared" si="466"/>
        <v>1.3219999999999998</v>
      </c>
      <c r="M828" s="12">
        <f t="shared" si="447"/>
        <v>137.49</v>
      </c>
      <c r="N828" s="12">
        <f t="shared" si="448"/>
        <v>0</v>
      </c>
      <c r="O828" s="12">
        <f t="shared" si="449"/>
        <v>0</v>
      </c>
      <c r="P828" s="12">
        <f t="shared" si="450"/>
        <v>0</v>
      </c>
      <c r="Q828" s="12">
        <f t="shared" si="451"/>
        <v>0</v>
      </c>
      <c r="R828" s="12">
        <f t="shared" si="452"/>
        <v>0</v>
      </c>
    </row>
    <row r="829" spans="1:18" x14ac:dyDescent="0.25">
      <c r="A829" s="26"/>
      <c r="B829" s="25" t="s">
        <v>175</v>
      </c>
      <c r="C829" s="15">
        <v>8</v>
      </c>
      <c r="D829" s="16">
        <v>100</v>
      </c>
      <c r="E829" s="15">
        <v>2</v>
      </c>
      <c r="F829" s="11">
        <v>1</v>
      </c>
      <c r="G829" s="11">
        <f t="shared" si="499"/>
        <v>26</v>
      </c>
      <c r="H829" s="12"/>
      <c r="I829" s="12">
        <f>2*(0.18+0.268)+24*C829/1000</f>
        <v>1.0880000000000001</v>
      </c>
      <c r="J829" s="22"/>
      <c r="K829" s="22"/>
      <c r="L829" s="12">
        <f t="shared" si="466"/>
        <v>1.0880000000000001</v>
      </c>
      <c r="M829" s="12">
        <f t="shared" si="447"/>
        <v>56.58</v>
      </c>
      <c r="N829" s="12">
        <f t="shared" si="448"/>
        <v>0</v>
      </c>
      <c r="O829" s="12">
        <f t="shared" si="449"/>
        <v>0</v>
      </c>
      <c r="P829" s="12">
        <f t="shared" si="450"/>
        <v>0</v>
      </c>
      <c r="Q829" s="12">
        <f t="shared" si="451"/>
        <v>0</v>
      </c>
      <c r="R829" s="12">
        <f t="shared" si="452"/>
        <v>0</v>
      </c>
    </row>
    <row r="830" spans="1:18" x14ac:dyDescent="0.25">
      <c r="A830" s="26"/>
      <c r="B830" s="25" t="s">
        <v>173</v>
      </c>
      <c r="C830" s="15">
        <v>8</v>
      </c>
      <c r="D830" s="16">
        <v>100</v>
      </c>
      <c r="E830" s="15">
        <v>2</v>
      </c>
      <c r="F830" s="11">
        <v>1</v>
      </c>
      <c r="G830" s="11">
        <f t="shared" si="499"/>
        <v>26</v>
      </c>
      <c r="H830" s="12"/>
      <c r="I830" s="12">
        <f>0.18+(20*C830/1000)</f>
        <v>0.33999999999999997</v>
      </c>
      <c r="J830" s="22"/>
      <c r="K830" s="22"/>
      <c r="L830" s="12">
        <f t="shared" si="466"/>
        <v>0.33999999999999997</v>
      </c>
      <c r="M830" s="12">
        <f t="shared" si="447"/>
        <v>17.68</v>
      </c>
      <c r="N830" s="12">
        <f t="shared" si="448"/>
        <v>0</v>
      </c>
      <c r="O830" s="12">
        <f t="shared" si="449"/>
        <v>0</v>
      </c>
      <c r="P830" s="12">
        <f t="shared" si="450"/>
        <v>0</v>
      </c>
      <c r="Q830" s="12">
        <f t="shared" si="451"/>
        <v>0</v>
      </c>
      <c r="R830" s="12">
        <f t="shared" si="452"/>
        <v>0</v>
      </c>
    </row>
    <row r="831" spans="1:18" x14ac:dyDescent="0.25">
      <c r="A831" s="26"/>
      <c r="B831" s="25" t="s">
        <v>179</v>
      </c>
      <c r="C831" s="15">
        <v>8</v>
      </c>
      <c r="D831" s="16">
        <v>200</v>
      </c>
      <c r="E831" s="15">
        <v>2</v>
      </c>
      <c r="F831" s="11">
        <v>1</v>
      </c>
      <c r="G831" s="11">
        <f t="shared" si="499"/>
        <v>13</v>
      </c>
      <c r="H831" s="12"/>
      <c r="I831" s="12">
        <f>2*(0.18+1.066)+24*C831/1000</f>
        <v>2.6840000000000002</v>
      </c>
      <c r="J831" s="22"/>
      <c r="K831" s="22"/>
      <c r="L831" s="12">
        <f t="shared" si="466"/>
        <v>2.6840000000000002</v>
      </c>
      <c r="M831" s="12">
        <f t="shared" si="447"/>
        <v>69.78</v>
      </c>
      <c r="N831" s="12">
        <f t="shared" si="448"/>
        <v>0</v>
      </c>
      <c r="O831" s="12">
        <f t="shared" si="449"/>
        <v>0</v>
      </c>
      <c r="P831" s="12">
        <f t="shared" si="450"/>
        <v>0</v>
      </c>
      <c r="Q831" s="12">
        <f t="shared" si="451"/>
        <v>0</v>
      </c>
      <c r="R831" s="12">
        <f t="shared" si="452"/>
        <v>0</v>
      </c>
    </row>
    <row r="832" spans="1:18" x14ac:dyDescent="0.25">
      <c r="A832" s="26"/>
      <c r="B832" s="25" t="s">
        <v>177</v>
      </c>
      <c r="C832" s="15">
        <v>8</v>
      </c>
      <c r="D832" s="16">
        <v>400</v>
      </c>
      <c r="E832" s="15">
        <v>2</v>
      </c>
      <c r="F832" s="11">
        <v>2</v>
      </c>
      <c r="G832" s="11">
        <f t="shared" si="499"/>
        <v>7</v>
      </c>
      <c r="H832" s="12"/>
      <c r="I832" s="12">
        <f>0.18+(20*C832/1000)</f>
        <v>0.33999999999999997</v>
      </c>
      <c r="J832" s="22"/>
      <c r="K832" s="22"/>
      <c r="L832" s="12">
        <f t="shared" ref="L832:L837" si="500">SUM(H832:J832)+K832</f>
        <v>0.33999999999999997</v>
      </c>
      <c r="M832" s="12">
        <f t="shared" si="447"/>
        <v>9.52</v>
      </c>
      <c r="N832" s="12">
        <f t="shared" si="448"/>
        <v>0</v>
      </c>
      <c r="O832" s="12">
        <f t="shared" si="449"/>
        <v>0</v>
      </c>
      <c r="P832" s="12">
        <f t="shared" si="450"/>
        <v>0</v>
      </c>
      <c r="Q832" s="12">
        <f t="shared" si="451"/>
        <v>0</v>
      </c>
      <c r="R832" s="12">
        <f t="shared" si="452"/>
        <v>0</v>
      </c>
    </row>
    <row r="833" spans="1:18" x14ac:dyDescent="0.25">
      <c r="A833" s="26"/>
      <c r="B833" s="45" t="s">
        <v>180</v>
      </c>
      <c r="C833" s="15">
        <v>16</v>
      </c>
      <c r="D833" s="16"/>
      <c r="E833" s="15">
        <v>2</v>
      </c>
      <c r="F833" s="11">
        <v>1</v>
      </c>
      <c r="G833" s="11">
        <v>4</v>
      </c>
      <c r="H833" s="12"/>
      <c r="I833" s="12">
        <f t="shared" ref="I833:I834" si="501">106.2-103.25</f>
        <v>2.9500000000000028</v>
      </c>
      <c r="J833" s="22"/>
      <c r="K833" s="22">
        <f t="shared" ref="K833:K834" si="502">0.5*40*C833/1000</f>
        <v>0.32</v>
      </c>
      <c r="L833" s="12">
        <f t="shared" si="500"/>
        <v>3.2700000000000027</v>
      </c>
      <c r="M833" s="12">
        <f t="shared" si="447"/>
        <v>0</v>
      </c>
      <c r="N833" s="12">
        <f t="shared" si="448"/>
        <v>0</v>
      </c>
      <c r="O833" s="12">
        <f t="shared" si="449"/>
        <v>0</v>
      </c>
      <c r="P833" s="12">
        <f t="shared" si="450"/>
        <v>26.16</v>
      </c>
      <c r="Q833" s="12">
        <f t="shared" si="451"/>
        <v>0</v>
      </c>
      <c r="R833" s="12">
        <f t="shared" si="452"/>
        <v>0</v>
      </c>
    </row>
    <row r="834" spans="1:18" x14ac:dyDescent="0.25">
      <c r="A834" s="26"/>
      <c r="B834" s="25"/>
      <c r="C834" s="15">
        <v>12</v>
      </c>
      <c r="D834" s="16"/>
      <c r="E834" s="15">
        <v>2</v>
      </c>
      <c r="F834" s="11">
        <v>1</v>
      </c>
      <c r="G834" s="11">
        <v>16</v>
      </c>
      <c r="H834" s="12"/>
      <c r="I834" s="12">
        <f t="shared" si="501"/>
        <v>2.9500000000000028</v>
      </c>
      <c r="J834" s="22"/>
      <c r="K834" s="22">
        <f t="shared" si="502"/>
        <v>0.24</v>
      </c>
      <c r="L834" s="12">
        <f t="shared" si="500"/>
        <v>3.1900000000000031</v>
      </c>
      <c r="M834" s="12">
        <f t="shared" si="447"/>
        <v>0</v>
      </c>
      <c r="N834" s="12">
        <f t="shared" si="448"/>
        <v>0</v>
      </c>
      <c r="O834" s="12">
        <f t="shared" si="449"/>
        <v>102.08</v>
      </c>
      <c r="P834" s="12">
        <f t="shared" si="450"/>
        <v>0</v>
      </c>
      <c r="Q834" s="12">
        <f t="shared" si="451"/>
        <v>0</v>
      </c>
      <c r="R834" s="12">
        <f t="shared" si="452"/>
        <v>0</v>
      </c>
    </row>
    <row r="835" spans="1:18" x14ac:dyDescent="0.25">
      <c r="A835" s="26"/>
      <c r="B835" s="25" t="s">
        <v>172</v>
      </c>
      <c r="C835" s="15"/>
      <c r="D835" s="16"/>
      <c r="E835" s="15"/>
      <c r="F835" s="11"/>
      <c r="G835" s="11"/>
      <c r="H835" s="12"/>
      <c r="I835" s="12"/>
      <c r="J835" s="22"/>
      <c r="K835" s="22"/>
      <c r="L835" s="12">
        <f t="shared" si="500"/>
        <v>0</v>
      </c>
      <c r="M835" s="12">
        <f t="shared" si="447"/>
        <v>0</v>
      </c>
      <c r="N835" s="12">
        <f t="shared" si="448"/>
        <v>0</v>
      </c>
      <c r="O835" s="12">
        <f t="shared" si="449"/>
        <v>0</v>
      </c>
      <c r="P835" s="12">
        <f t="shared" si="450"/>
        <v>0</v>
      </c>
      <c r="Q835" s="12">
        <f t="shared" si="451"/>
        <v>0</v>
      </c>
      <c r="R835" s="12">
        <f t="shared" si="452"/>
        <v>0</v>
      </c>
    </row>
    <row r="836" spans="1:18" x14ac:dyDescent="0.25">
      <c r="A836" s="26"/>
      <c r="B836" s="25" t="s">
        <v>187</v>
      </c>
      <c r="C836" s="15">
        <v>8</v>
      </c>
      <c r="D836" s="16">
        <v>100</v>
      </c>
      <c r="E836" s="15">
        <v>2</v>
      </c>
      <c r="F836" s="11">
        <v>1</v>
      </c>
      <c r="G836" s="11">
        <f t="shared" ref="G836:G837" si="503">+ROUND(2450/D836+1,0)</f>
        <v>26</v>
      </c>
      <c r="H836" s="12"/>
      <c r="I836" s="12">
        <f>2*(0.18+0.95)+24*C836/1000</f>
        <v>2.452</v>
      </c>
      <c r="J836" s="22"/>
      <c r="K836" s="22"/>
      <c r="L836" s="12">
        <f t="shared" si="500"/>
        <v>2.452</v>
      </c>
      <c r="M836" s="12">
        <f t="shared" si="447"/>
        <v>127.5</v>
      </c>
      <c r="N836" s="12">
        <f t="shared" si="448"/>
        <v>0</v>
      </c>
      <c r="O836" s="12">
        <f t="shared" si="449"/>
        <v>0</v>
      </c>
      <c r="P836" s="12">
        <f t="shared" si="450"/>
        <v>0</v>
      </c>
      <c r="Q836" s="12">
        <f t="shared" si="451"/>
        <v>0</v>
      </c>
      <c r="R836" s="12">
        <f t="shared" si="452"/>
        <v>0</v>
      </c>
    </row>
    <row r="837" spans="1:18" x14ac:dyDescent="0.25">
      <c r="A837" s="26"/>
      <c r="B837" s="25" t="s">
        <v>181</v>
      </c>
      <c r="C837" s="15">
        <v>8</v>
      </c>
      <c r="D837" s="16">
        <v>100</v>
      </c>
      <c r="E837" s="15">
        <v>2</v>
      </c>
      <c r="F837" s="11">
        <v>4</v>
      </c>
      <c r="G837" s="11">
        <f t="shared" si="503"/>
        <v>26</v>
      </c>
      <c r="H837" s="12"/>
      <c r="I837" s="12">
        <f>2*(0.18+0.12)+24*C837/1000</f>
        <v>0.79200000000000004</v>
      </c>
      <c r="J837" s="22"/>
      <c r="K837" s="22"/>
      <c r="L837" s="12">
        <f t="shared" si="500"/>
        <v>0.79200000000000004</v>
      </c>
      <c r="M837" s="12">
        <f t="shared" si="447"/>
        <v>164.74</v>
      </c>
      <c r="N837" s="12">
        <f t="shared" si="448"/>
        <v>0</v>
      </c>
      <c r="O837" s="12">
        <f t="shared" si="449"/>
        <v>0</v>
      </c>
      <c r="P837" s="12">
        <f t="shared" si="450"/>
        <v>0</v>
      </c>
      <c r="Q837" s="12">
        <f t="shared" si="451"/>
        <v>0</v>
      </c>
      <c r="R837" s="12">
        <f t="shared" si="452"/>
        <v>0</v>
      </c>
    </row>
    <row r="838" spans="1:18" x14ac:dyDescent="0.25">
      <c r="A838" s="26"/>
      <c r="B838" s="45" t="s">
        <v>182</v>
      </c>
      <c r="C838" s="15">
        <v>16</v>
      </c>
      <c r="D838" s="16"/>
      <c r="E838" s="15">
        <v>2</v>
      </c>
      <c r="F838" s="11">
        <v>1</v>
      </c>
      <c r="G838" s="11">
        <v>4</v>
      </c>
      <c r="H838" s="12"/>
      <c r="I838" s="12">
        <f t="shared" ref="I838:I839" si="504">106.2-103.25</f>
        <v>2.9500000000000028</v>
      </c>
      <c r="J838" s="22"/>
      <c r="K838" s="22">
        <f t="shared" ref="K838:K839" si="505">0.5*40*C838/1000</f>
        <v>0.32</v>
      </c>
      <c r="L838" s="12">
        <f t="shared" ref="L838" si="506">SUM(H838:J838)+K838</f>
        <v>3.2700000000000027</v>
      </c>
      <c r="M838" s="12">
        <f t="shared" si="447"/>
        <v>0</v>
      </c>
      <c r="N838" s="12">
        <f t="shared" si="448"/>
        <v>0</v>
      </c>
      <c r="O838" s="12">
        <f t="shared" si="449"/>
        <v>0</v>
      </c>
      <c r="P838" s="12">
        <f t="shared" si="450"/>
        <v>26.16</v>
      </c>
      <c r="Q838" s="12">
        <f t="shared" si="451"/>
        <v>0</v>
      </c>
      <c r="R838" s="12">
        <f t="shared" si="452"/>
        <v>0</v>
      </c>
    </row>
    <row r="839" spans="1:18" x14ac:dyDescent="0.25">
      <c r="A839" s="26"/>
      <c r="B839" s="25"/>
      <c r="C839" s="15">
        <v>12</v>
      </c>
      <c r="D839" s="16"/>
      <c r="E839" s="15">
        <v>2</v>
      </c>
      <c r="F839" s="11">
        <v>1</v>
      </c>
      <c r="G839" s="11">
        <v>18</v>
      </c>
      <c r="H839" s="12"/>
      <c r="I839" s="12">
        <f t="shared" si="504"/>
        <v>2.9500000000000028</v>
      </c>
      <c r="J839" s="22"/>
      <c r="K839" s="22">
        <f t="shared" si="505"/>
        <v>0.24</v>
      </c>
      <c r="L839" s="12">
        <f>SUM(H839:J839)+K839</f>
        <v>3.1900000000000031</v>
      </c>
      <c r="M839" s="12">
        <f>+ROUND(IF(C839=8,PRODUCT(E839,F839,G839,L839),0),2)</f>
        <v>0</v>
      </c>
      <c r="N839" s="12">
        <f t="shared" si="448"/>
        <v>0</v>
      </c>
      <c r="O839" s="12">
        <f t="shared" si="449"/>
        <v>114.84</v>
      </c>
      <c r="P839" s="12">
        <f t="shared" si="450"/>
        <v>0</v>
      </c>
      <c r="Q839" s="12">
        <f t="shared" si="451"/>
        <v>0</v>
      </c>
      <c r="R839" s="12">
        <f t="shared" si="452"/>
        <v>0</v>
      </c>
    </row>
    <row r="840" spans="1:18" x14ac:dyDescent="0.25">
      <c r="A840" s="26"/>
      <c r="B840" s="25" t="s">
        <v>172</v>
      </c>
      <c r="C840" s="15"/>
      <c r="D840" s="16"/>
      <c r="E840" s="15"/>
      <c r="F840" s="11"/>
      <c r="G840" s="11"/>
      <c r="H840" s="12"/>
      <c r="I840" s="12"/>
      <c r="J840" s="22"/>
      <c r="K840" s="22"/>
      <c r="L840" s="12">
        <f t="shared" ref="L840:L842" si="507">SUM(H840:J840)+K840</f>
        <v>0</v>
      </c>
      <c r="M840" s="12">
        <f t="shared" ref="M840:M844" si="508">+ROUND(IF(C840=8,PRODUCT(E840,F840,G840,L840),0),2)</f>
        <v>0</v>
      </c>
      <c r="N840" s="12">
        <f t="shared" si="448"/>
        <v>0</v>
      </c>
      <c r="O840" s="12">
        <f t="shared" si="449"/>
        <v>0</v>
      </c>
      <c r="P840" s="12">
        <f t="shared" si="450"/>
        <v>0</v>
      </c>
      <c r="Q840" s="12">
        <f t="shared" si="451"/>
        <v>0</v>
      </c>
      <c r="R840" s="12">
        <f t="shared" si="452"/>
        <v>0</v>
      </c>
    </row>
    <row r="841" spans="1:18" x14ac:dyDescent="0.25">
      <c r="A841" s="26"/>
      <c r="B841" s="25" t="s">
        <v>186</v>
      </c>
      <c r="C841" s="15">
        <v>8</v>
      </c>
      <c r="D841" s="16">
        <v>100</v>
      </c>
      <c r="E841" s="15">
        <v>2</v>
      </c>
      <c r="F841" s="11">
        <v>1</v>
      </c>
      <c r="G841" s="11">
        <f t="shared" ref="G841:G843" si="509">+ROUND(2450/D841+1,0)</f>
        <v>26</v>
      </c>
      <c r="H841" s="12"/>
      <c r="I841" s="12">
        <f>2*(0.18+1.1)+24*C841/1000</f>
        <v>2.7520000000000002</v>
      </c>
      <c r="J841" s="22"/>
      <c r="K841" s="22"/>
      <c r="L841" s="12">
        <f t="shared" si="507"/>
        <v>2.7520000000000002</v>
      </c>
      <c r="M841" s="12">
        <f t="shared" si="508"/>
        <v>143.1</v>
      </c>
      <c r="N841" s="12">
        <f t="shared" si="448"/>
        <v>0</v>
      </c>
      <c r="O841" s="12">
        <f t="shared" si="449"/>
        <v>0</v>
      </c>
      <c r="P841" s="12">
        <f t="shared" si="450"/>
        <v>0</v>
      </c>
      <c r="Q841" s="12">
        <f t="shared" si="451"/>
        <v>0</v>
      </c>
      <c r="R841" s="12">
        <f t="shared" si="452"/>
        <v>0</v>
      </c>
    </row>
    <row r="842" spans="1:18" x14ac:dyDescent="0.25">
      <c r="A842" s="26"/>
      <c r="B842" s="25" t="s">
        <v>183</v>
      </c>
      <c r="C842" s="15">
        <v>8</v>
      </c>
      <c r="D842" s="16">
        <v>100</v>
      </c>
      <c r="E842" s="15">
        <v>2</v>
      </c>
      <c r="F842" s="11">
        <v>4</v>
      </c>
      <c r="G842" s="11">
        <f t="shared" si="509"/>
        <v>26</v>
      </c>
      <c r="H842" s="12"/>
      <c r="I842" s="12">
        <f>2*(0.18+0.125)+24*C842/1000</f>
        <v>0.80200000000000005</v>
      </c>
      <c r="J842" s="22"/>
      <c r="K842" s="22"/>
      <c r="L842" s="12">
        <f t="shared" si="507"/>
        <v>0.80200000000000005</v>
      </c>
      <c r="M842" s="12">
        <f t="shared" si="508"/>
        <v>166.82</v>
      </c>
      <c r="N842" s="12">
        <f t="shared" si="448"/>
        <v>0</v>
      </c>
      <c r="O842" s="12">
        <f t="shared" si="449"/>
        <v>0</v>
      </c>
      <c r="P842" s="12">
        <f t="shared" si="450"/>
        <v>0</v>
      </c>
      <c r="Q842" s="12">
        <f t="shared" si="451"/>
        <v>0</v>
      </c>
      <c r="R842" s="12">
        <f t="shared" si="452"/>
        <v>0</v>
      </c>
    </row>
    <row r="843" spans="1:18" x14ac:dyDescent="0.25">
      <c r="A843" s="26"/>
      <c r="B843" s="25" t="s">
        <v>184</v>
      </c>
      <c r="C843" s="15">
        <v>8</v>
      </c>
      <c r="D843" s="16">
        <v>100</v>
      </c>
      <c r="E843" s="15">
        <v>2</v>
      </c>
      <c r="F843" s="11">
        <v>1</v>
      </c>
      <c r="G843" s="11">
        <f t="shared" si="509"/>
        <v>26</v>
      </c>
      <c r="H843" s="12"/>
      <c r="I843" s="12">
        <f>0.18+(20*C843/1000)</f>
        <v>0.33999999999999997</v>
      </c>
      <c r="J843" s="22"/>
      <c r="K843" s="22"/>
      <c r="L843" s="12">
        <f t="shared" ref="L843:L844" si="510">SUM(H843:J843)+K843</f>
        <v>0.33999999999999997</v>
      </c>
      <c r="M843" s="12">
        <f t="shared" si="508"/>
        <v>17.68</v>
      </c>
      <c r="N843" s="12">
        <f t="shared" si="448"/>
        <v>0</v>
      </c>
      <c r="O843" s="12">
        <f t="shared" si="449"/>
        <v>0</v>
      </c>
      <c r="P843" s="12">
        <f t="shared" si="450"/>
        <v>0</v>
      </c>
      <c r="Q843" s="12">
        <f t="shared" si="451"/>
        <v>0</v>
      </c>
      <c r="R843" s="12">
        <f t="shared" si="452"/>
        <v>0</v>
      </c>
    </row>
    <row r="844" spans="1:18" x14ac:dyDescent="0.25">
      <c r="A844" s="26"/>
      <c r="B844" s="45" t="s">
        <v>226</v>
      </c>
      <c r="C844" s="15">
        <v>16</v>
      </c>
      <c r="D844" s="16"/>
      <c r="E844" s="15">
        <v>4</v>
      </c>
      <c r="F844" s="11">
        <v>1</v>
      </c>
      <c r="G844" s="11">
        <v>8</v>
      </c>
      <c r="H844" s="12"/>
      <c r="I844" s="12">
        <f t="shared" ref="I844:I846" si="511">106.2-103.25</f>
        <v>2.9500000000000028</v>
      </c>
      <c r="J844" s="22"/>
      <c r="K844" s="22">
        <f t="shared" ref="K844:K846" si="512">0.5*40*C844/1000</f>
        <v>0.32</v>
      </c>
      <c r="L844" s="12">
        <f t="shared" si="510"/>
        <v>3.2700000000000027</v>
      </c>
      <c r="M844" s="12">
        <f t="shared" si="508"/>
        <v>0</v>
      </c>
      <c r="N844" s="12">
        <f t="shared" si="448"/>
        <v>0</v>
      </c>
      <c r="O844" s="12">
        <f t="shared" si="449"/>
        <v>0</v>
      </c>
      <c r="P844" s="12">
        <f t="shared" si="450"/>
        <v>104.64</v>
      </c>
      <c r="Q844" s="12">
        <f t="shared" si="451"/>
        <v>0</v>
      </c>
      <c r="R844" s="12">
        <f t="shared" si="452"/>
        <v>0</v>
      </c>
    </row>
    <row r="845" spans="1:18" x14ac:dyDescent="0.25">
      <c r="A845" s="26"/>
      <c r="B845" s="25"/>
      <c r="C845" s="15">
        <v>12</v>
      </c>
      <c r="D845" s="16"/>
      <c r="E845" s="15">
        <f>+E844</f>
        <v>4</v>
      </c>
      <c r="F845" s="11">
        <v>1</v>
      </c>
      <c r="G845" s="11">
        <v>8</v>
      </c>
      <c r="H845" s="12"/>
      <c r="I845" s="12">
        <f t="shared" si="511"/>
        <v>2.9500000000000028</v>
      </c>
      <c r="J845" s="22"/>
      <c r="K845" s="22">
        <f t="shared" si="512"/>
        <v>0.24</v>
      </c>
      <c r="L845" s="12">
        <f>SUM(H845:J845)+K845</f>
        <v>3.1900000000000031</v>
      </c>
      <c r="M845" s="12">
        <f>+ROUND(IF(C845=8,PRODUCT(E845,F845,G845,L845),0),2)</f>
        <v>0</v>
      </c>
      <c r="N845" s="12">
        <f t="shared" si="448"/>
        <v>0</v>
      </c>
      <c r="O845" s="12">
        <f t="shared" si="449"/>
        <v>102.08</v>
      </c>
      <c r="P845" s="12">
        <f t="shared" si="450"/>
        <v>0</v>
      </c>
      <c r="Q845" s="12">
        <f t="shared" si="451"/>
        <v>0</v>
      </c>
      <c r="R845" s="12">
        <f t="shared" si="452"/>
        <v>0</v>
      </c>
    </row>
    <row r="846" spans="1:18" x14ac:dyDescent="0.25">
      <c r="A846" s="26"/>
      <c r="B846" s="25"/>
      <c r="C846" s="15">
        <v>10</v>
      </c>
      <c r="D846" s="16"/>
      <c r="E846" s="15">
        <f>+E845</f>
        <v>4</v>
      </c>
      <c r="F846" s="11">
        <v>1</v>
      </c>
      <c r="G846" s="11">
        <v>8</v>
      </c>
      <c r="H846" s="12"/>
      <c r="I846" s="12">
        <f t="shared" si="511"/>
        <v>2.9500000000000028</v>
      </c>
      <c r="J846" s="22"/>
      <c r="K846" s="22">
        <f t="shared" si="512"/>
        <v>0.2</v>
      </c>
      <c r="L846" s="12">
        <f>SUM(H846:J846)+K846</f>
        <v>3.150000000000003</v>
      </c>
      <c r="M846" s="12">
        <f>+ROUND(IF(C846=8,PRODUCT(E846,F846,G846,L846),0),2)</f>
        <v>0</v>
      </c>
      <c r="N846" s="12">
        <f t="shared" si="448"/>
        <v>100.8</v>
      </c>
      <c r="O846" s="12">
        <f t="shared" si="449"/>
        <v>0</v>
      </c>
      <c r="P846" s="12">
        <f t="shared" si="450"/>
        <v>0</v>
      </c>
      <c r="Q846" s="12">
        <f t="shared" si="451"/>
        <v>0</v>
      </c>
      <c r="R846" s="12">
        <f t="shared" si="452"/>
        <v>0</v>
      </c>
    </row>
    <row r="847" spans="1:18" x14ac:dyDescent="0.25">
      <c r="A847" s="26"/>
      <c r="B847" s="25" t="s">
        <v>172</v>
      </c>
      <c r="C847" s="15"/>
      <c r="D847" s="16"/>
      <c r="E847" s="15"/>
      <c r="F847" s="11"/>
      <c r="G847" s="11"/>
      <c r="H847" s="12"/>
      <c r="I847" s="12"/>
      <c r="J847" s="22"/>
      <c r="K847" s="22"/>
      <c r="L847" s="12">
        <f t="shared" ref="L847:L849" si="513">SUM(H847:J847)+K847</f>
        <v>0</v>
      </c>
      <c r="M847" s="12">
        <f t="shared" ref="M847:M852" si="514">+ROUND(IF(C847=8,PRODUCT(E847,F847,G847,L847),0),2)</f>
        <v>0</v>
      </c>
      <c r="N847" s="12">
        <f t="shared" si="448"/>
        <v>0</v>
      </c>
      <c r="O847" s="12">
        <f t="shared" si="449"/>
        <v>0</v>
      </c>
      <c r="P847" s="12">
        <f t="shared" si="450"/>
        <v>0</v>
      </c>
      <c r="Q847" s="12">
        <f t="shared" si="451"/>
        <v>0</v>
      </c>
      <c r="R847" s="12">
        <f t="shared" si="452"/>
        <v>0</v>
      </c>
    </row>
    <row r="848" spans="1:18" x14ac:dyDescent="0.25">
      <c r="A848" s="26"/>
      <c r="B848" s="25" t="s">
        <v>224</v>
      </c>
      <c r="C848" s="15">
        <v>8</v>
      </c>
      <c r="D848" s="16">
        <v>100</v>
      </c>
      <c r="E848" s="15">
        <v>4</v>
      </c>
      <c r="F848" s="11">
        <v>2</v>
      </c>
      <c r="G848" s="11">
        <f t="shared" ref="G848:G851" si="515">+ROUND(2450/D848+1,0)</f>
        <v>26</v>
      </c>
      <c r="H848" s="12"/>
      <c r="I848" s="12">
        <f>2*(0.18+0.383)+24*C848/1000</f>
        <v>1.3179999999999998</v>
      </c>
      <c r="J848" s="22"/>
      <c r="K848" s="22"/>
      <c r="L848" s="12">
        <f t="shared" si="513"/>
        <v>1.3179999999999998</v>
      </c>
      <c r="M848" s="12">
        <f t="shared" si="514"/>
        <v>274.14</v>
      </c>
      <c r="N848" s="12">
        <f t="shared" si="448"/>
        <v>0</v>
      </c>
      <c r="O848" s="12">
        <f t="shared" si="449"/>
        <v>0</v>
      </c>
      <c r="P848" s="12">
        <f t="shared" si="450"/>
        <v>0</v>
      </c>
      <c r="Q848" s="12">
        <f t="shared" si="451"/>
        <v>0</v>
      </c>
      <c r="R848" s="12">
        <f t="shared" si="452"/>
        <v>0</v>
      </c>
    </row>
    <row r="849" spans="1:18" x14ac:dyDescent="0.25">
      <c r="A849" s="26"/>
      <c r="B849" s="25" t="s">
        <v>181</v>
      </c>
      <c r="C849" s="15">
        <v>8</v>
      </c>
      <c r="D849" s="16">
        <v>100</v>
      </c>
      <c r="E849" s="15">
        <v>4</v>
      </c>
      <c r="F849" s="11">
        <v>2</v>
      </c>
      <c r="G849" s="11">
        <f t="shared" si="515"/>
        <v>26</v>
      </c>
      <c r="H849" s="12"/>
      <c r="I849" s="12">
        <f>2*(0.18+0.12)+24*C849/1000</f>
        <v>0.79200000000000004</v>
      </c>
      <c r="J849" s="22"/>
      <c r="K849" s="22"/>
      <c r="L849" s="12">
        <f t="shared" si="513"/>
        <v>0.79200000000000004</v>
      </c>
      <c r="M849" s="12">
        <f t="shared" si="514"/>
        <v>164.74</v>
      </c>
      <c r="N849" s="12">
        <f t="shared" si="448"/>
        <v>0</v>
      </c>
      <c r="O849" s="12">
        <f t="shared" si="449"/>
        <v>0</v>
      </c>
      <c r="P849" s="12">
        <f t="shared" si="450"/>
        <v>0</v>
      </c>
      <c r="Q849" s="12">
        <f t="shared" si="451"/>
        <v>0</v>
      </c>
      <c r="R849" s="12">
        <f t="shared" si="452"/>
        <v>0</v>
      </c>
    </row>
    <row r="850" spans="1:18" x14ac:dyDescent="0.25">
      <c r="A850" s="26"/>
      <c r="B850" s="25" t="s">
        <v>225</v>
      </c>
      <c r="C850" s="15">
        <v>8</v>
      </c>
      <c r="D850" s="16">
        <v>200</v>
      </c>
      <c r="E850" s="15">
        <v>4</v>
      </c>
      <c r="F850" s="11">
        <v>1</v>
      </c>
      <c r="G850" s="11">
        <f t="shared" si="515"/>
        <v>13</v>
      </c>
      <c r="H850" s="12"/>
      <c r="I850" s="12">
        <f>2*(0.18+0.916)+24*C850/1000</f>
        <v>2.3840000000000003</v>
      </c>
      <c r="J850" s="22"/>
      <c r="K850" s="22"/>
      <c r="L850" s="12">
        <f t="shared" ref="L850" si="516">SUM(H850:J850)+K850</f>
        <v>2.3840000000000003</v>
      </c>
      <c r="M850" s="12">
        <f t="shared" si="514"/>
        <v>123.97</v>
      </c>
      <c r="N850" s="12">
        <f t="shared" si="448"/>
        <v>0</v>
      </c>
      <c r="O850" s="12">
        <f t="shared" si="449"/>
        <v>0</v>
      </c>
      <c r="P850" s="12">
        <f t="shared" si="450"/>
        <v>0</v>
      </c>
      <c r="Q850" s="12">
        <f t="shared" si="451"/>
        <v>0</v>
      </c>
      <c r="R850" s="12">
        <f t="shared" si="452"/>
        <v>0</v>
      </c>
    </row>
    <row r="851" spans="1:18" x14ac:dyDescent="0.25">
      <c r="A851" s="26"/>
      <c r="B851" s="25" t="s">
        <v>177</v>
      </c>
      <c r="C851" s="15">
        <v>8</v>
      </c>
      <c r="D851" s="16">
        <v>400</v>
      </c>
      <c r="E851" s="15">
        <v>4</v>
      </c>
      <c r="F851" s="11">
        <v>2</v>
      </c>
      <c r="G851" s="11">
        <f t="shared" si="515"/>
        <v>7</v>
      </c>
      <c r="H851" s="12"/>
      <c r="I851" s="12">
        <f>0.18+(20*C851/1000)</f>
        <v>0.33999999999999997</v>
      </c>
      <c r="J851" s="22"/>
      <c r="K851" s="22"/>
      <c r="L851" s="12">
        <f t="shared" ref="L851" si="517">SUM(H851:J851)+K851</f>
        <v>0.33999999999999997</v>
      </c>
      <c r="M851" s="12">
        <f t="shared" si="514"/>
        <v>19.04</v>
      </c>
      <c r="N851" s="12">
        <f t="shared" si="448"/>
        <v>0</v>
      </c>
      <c r="O851" s="12">
        <f t="shared" si="449"/>
        <v>0</v>
      </c>
      <c r="P851" s="12">
        <f t="shared" si="450"/>
        <v>0</v>
      </c>
      <c r="Q851" s="12">
        <f t="shared" si="451"/>
        <v>0</v>
      </c>
      <c r="R851" s="12">
        <f t="shared" si="452"/>
        <v>0</v>
      </c>
    </row>
    <row r="852" spans="1:18" x14ac:dyDescent="0.25">
      <c r="A852" s="26"/>
      <c r="B852" s="45" t="s">
        <v>190</v>
      </c>
      <c r="C852" s="15">
        <v>16</v>
      </c>
      <c r="D852" s="16"/>
      <c r="E852" s="15">
        <v>4</v>
      </c>
      <c r="F852" s="11">
        <v>1</v>
      </c>
      <c r="G852" s="11">
        <v>4</v>
      </c>
      <c r="H852" s="12"/>
      <c r="I852" s="12">
        <f t="shared" ref="I852:I854" si="518">106.2-103.25</f>
        <v>2.9500000000000028</v>
      </c>
      <c r="J852" s="22"/>
      <c r="K852" s="22">
        <f t="shared" ref="K852:K853" si="519">0.5*40*C852/1000</f>
        <v>0.32</v>
      </c>
      <c r="L852" s="12">
        <f t="shared" ref="L852" si="520">SUM(H852:J852)+K852</f>
        <v>3.2700000000000027</v>
      </c>
      <c r="M852" s="12">
        <f t="shared" si="514"/>
        <v>0</v>
      </c>
      <c r="N852" s="12">
        <f t="shared" si="448"/>
        <v>0</v>
      </c>
      <c r="O852" s="12">
        <f t="shared" si="449"/>
        <v>0</v>
      </c>
      <c r="P852" s="12">
        <f t="shared" si="450"/>
        <v>52.32</v>
      </c>
      <c r="Q852" s="12">
        <f t="shared" si="451"/>
        <v>0</v>
      </c>
      <c r="R852" s="12">
        <f t="shared" si="452"/>
        <v>0</v>
      </c>
    </row>
    <row r="853" spans="1:18" x14ac:dyDescent="0.25">
      <c r="A853" s="26"/>
      <c r="B853" s="25"/>
      <c r="C853" s="15">
        <v>12</v>
      </c>
      <c r="D853" s="16"/>
      <c r="E853" s="15">
        <f>+E852</f>
        <v>4</v>
      </c>
      <c r="F853" s="11">
        <v>1</v>
      </c>
      <c r="G853" s="11">
        <v>12</v>
      </c>
      <c r="H853" s="12"/>
      <c r="I853" s="12">
        <f t="shared" si="518"/>
        <v>2.9500000000000028</v>
      </c>
      <c r="J853" s="22"/>
      <c r="K853" s="22">
        <f t="shared" si="519"/>
        <v>0.24</v>
      </c>
      <c r="L853" s="12">
        <f>SUM(H853:J853)+K853</f>
        <v>3.1900000000000031</v>
      </c>
      <c r="M853" s="12">
        <f>+ROUND(IF(C853=8,PRODUCT(E853,F853,G853,L853),0),2)</f>
        <v>0</v>
      </c>
      <c r="N853" s="12">
        <f t="shared" si="448"/>
        <v>0</v>
      </c>
      <c r="O853" s="12">
        <f t="shared" si="449"/>
        <v>153.12</v>
      </c>
      <c r="P853" s="12">
        <f t="shared" si="450"/>
        <v>0</v>
      </c>
      <c r="Q853" s="12">
        <f t="shared" si="451"/>
        <v>0</v>
      </c>
      <c r="R853" s="12">
        <f t="shared" si="452"/>
        <v>0</v>
      </c>
    </row>
    <row r="854" spans="1:18" x14ac:dyDescent="0.25">
      <c r="A854" s="26"/>
      <c r="B854" s="25"/>
      <c r="C854" s="15">
        <v>10</v>
      </c>
      <c r="D854" s="16"/>
      <c r="E854" s="15">
        <f>+E853</f>
        <v>4</v>
      </c>
      <c r="F854" s="11">
        <v>1</v>
      </c>
      <c r="G854" s="11">
        <v>8</v>
      </c>
      <c r="H854" s="12"/>
      <c r="I854" s="12">
        <f t="shared" si="518"/>
        <v>2.9500000000000028</v>
      </c>
      <c r="J854" s="22"/>
      <c r="K854" s="22">
        <f t="shared" ref="K854" si="521">0.5*40*C854/1000</f>
        <v>0.2</v>
      </c>
      <c r="L854" s="12">
        <f>SUM(H854:J854)+K854</f>
        <v>3.150000000000003</v>
      </c>
      <c r="M854" s="12">
        <f>+ROUND(IF(C854=8,PRODUCT(E854,F854,G854,L854),0),2)</f>
        <v>0</v>
      </c>
      <c r="N854" s="12">
        <f t="shared" ref="N854" si="522">+ROUND(IF(C854=10,PRODUCT(E854,F854,G854,L854),0),2)</f>
        <v>100.8</v>
      </c>
      <c r="O854" s="12">
        <f t="shared" ref="O854" si="523">+ROUND(IF(C854=12,PRODUCT(E854,F854,G854,L854),0),2)</f>
        <v>0</v>
      </c>
      <c r="P854" s="12">
        <f t="shared" ref="P854" si="524">+ROUND(IF(C854=16,PRODUCT(E854,F854,G854,L854),0),2)</f>
        <v>0</v>
      </c>
      <c r="Q854" s="12">
        <f t="shared" ref="Q854" si="525">+ROUND(IF(C854=20,PRODUCT(E854,F854,G854,L854),0),2)</f>
        <v>0</v>
      </c>
      <c r="R854" s="12">
        <f t="shared" ref="R854" si="526">+ROUND(IF(C854=25,PRODUCT(E854,F854,G854,L854),0),2)</f>
        <v>0</v>
      </c>
    </row>
    <row r="855" spans="1:18" x14ac:dyDescent="0.25">
      <c r="A855" s="26"/>
      <c r="B855" s="25" t="s">
        <v>172</v>
      </c>
      <c r="C855" s="15"/>
      <c r="D855" s="16"/>
      <c r="E855" s="15"/>
      <c r="F855" s="11"/>
      <c r="G855" s="11"/>
      <c r="H855" s="12"/>
      <c r="I855" s="12"/>
      <c r="J855" s="22"/>
      <c r="K855" s="22"/>
      <c r="L855" s="12">
        <f t="shared" ref="L855:L859" si="527">SUM(H855:J855)+K855</f>
        <v>0</v>
      </c>
      <c r="M855" s="12">
        <f t="shared" ref="M855:M924" si="528">+ROUND(IF(C855=8,PRODUCT(E855,F855,G855,L855),0),2)</f>
        <v>0</v>
      </c>
      <c r="N855" s="12">
        <f t="shared" si="448"/>
        <v>0</v>
      </c>
      <c r="O855" s="12">
        <f t="shared" si="449"/>
        <v>0</v>
      </c>
      <c r="P855" s="12">
        <f t="shared" si="450"/>
        <v>0</v>
      </c>
      <c r="Q855" s="12">
        <f t="shared" si="451"/>
        <v>0</v>
      </c>
      <c r="R855" s="12">
        <f t="shared" si="452"/>
        <v>0</v>
      </c>
    </row>
    <row r="856" spans="1:18" x14ac:dyDescent="0.25">
      <c r="A856" s="26"/>
      <c r="B856" s="25" t="s">
        <v>191</v>
      </c>
      <c r="C856" s="15">
        <v>8</v>
      </c>
      <c r="D856" s="16">
        <v>100</v>
      </c>
      <c r="E856" s="15">
        <v>4</v>
      </c>
      <c r="F856" s="11">
        <v>1</v>
      </c>
      <c r="G856" s="11">
        <f t="shared" ref="G856:G857" si="529">+ROUND(2450/D856+1,0)</f>
        <v>26</v>
      </c>
      <c r="H856" s="12"/>
      <c r="I856" s="12">
        <f>2*(0.18+1.135)+24*C856/1000</f>
        <v>2.8220000000000001</v>
      </c>
      <c r="J856" s="22"/>
      <c r="K856" s="22"/>
      <c r="L856" s="12">
        <f t="shared" si="527"/>
        <v>2.8220000000000001</v>
      </c>
      <c r="M856" s="12">
        <f t="shared" si="528"/>
        <v>293.49</v>
      </c>
      <c r="N856" s="12">
        <f t="shared" si="448"/>
        <v>0</v>
      </c>
      <c r="O856" s="12">
        <f t="shared" si="449"/>
        <v>0</v>
      </c>
      <c r="P856" s="12">
        <f t="shared" si="450"/>
        <v>0</v>
      </c>
      <c r="Q856" s="12">
        <f t="shared" si="451"/>
        <v>0</v>
      </c>
      <c r="R856" s="12">
        <f t="shared" si="452"/>
        <v>0</v>
      </c>
    </row>
    <row r="857" spans="1:18" x14ac:dyDescent="0.25">
      <c r="A857" s="26"/>
      <c r="B857" s="25" t="s">
        <v>192</v>
      </c>
      <c r="C857" s="15">
        <v>8</v>
      </c>
      <c r="D857" s="16">
        <v>100</v>
      </c>
      <c r="E857" s="15">
        <v>4</v>
      </c>
      <c r="F857" s="11">
        <v>5</v>
      </c>
      <c r="G857" s="11">
        <f t="shared" si="529"/>
        <v>26</v>
      </c>
      <c r="H857" s="12"/>
      <c r="I857" s="12">
        <f>2*(0.18+0.118)+24*C857/1000</f>
        <v>0.78800000000000003</v>
      </c>
      <c r="J857" s="22"/>
      <c r="K857" s="22"/>
      <c r="L857" s="12">
        <f t="shared" si="527"/>
        <v>0.78800000000000003</v>
      </c>
      <c r="M857" s="12">
        <f t="shared" si="528"/>
        <v>409.76</v>
      </c>
      <c r="N857" s="12">
        <f t="shared" si="448"/>
        <v>0</v>
      </c>
      <c r="O857" s="12">
        <f t="shared" si="449"/>
        <v>0</v>
      </c>
      <c r="P857" s="12">
        <f t="shared" si="450"/>
        <v>0</v>
      </c>
      <c r="Q857" s="12">
        <f t="shared" si="451"/>
        <v>0</v>
      </c>
      <c r="R857" s="12">
        <f t="shared" si="452"/>
        <v>0</v>
      </c>
    </row>
    <row r="858" spans="1:18" x14ac:dyDescent="0.25">
      <c r="A858" s="26"/>
      <c r="B858" s="45" t="s">
        <v>227</v>
      </c>
      <c r="C858" s="15">
        <v>16</v>
      </c>
      <c r="D858" s="16"/>
      <c r="E858" s="15">
        <v>2</v>
      </c>
      <c r="F858" s="11">
        <v>1</v>
      </c>
      <c r="G858" s="11">
        <v>8</v>
      </c>
      <c r="H858" s="12"/>
      <c r="I858" s="12">
        <f t="shared" ref="I858:I860" si="530">106.2-103.25</f>
        <v>2.9500000000000028</v>
      </c>
      <c r="J858" s="22"/>
      <c r="K858" s="22">
        <f>0.5*40*C858/1000</f>
        <v>0.32</v>
      </c>
      <c r="L858" s="12">
        <f t="shared" si="527"/>
        <v>3.2700000000000027</v>
      </c>
      <c r="M858" s="12">
        <f t="shared" si="528"/>
        <v>0</v>
      </c>
      <c r="N858" s="12">
        <f t="shared" si="448"/>
        <v>0</v>
      </c>
      <c r="O858" s="12">
        <f t="shared" si="449"/>
        <v>0</v>
      </c>
      <c r="P858" s="12">
        <f t="shared" si="450"/>
        <v>52.32</v>
      </c>
      <c r="Q858" s="12">
        <f t="shared" si="451"/>
        <v>0</v>
      </c>
      <c r="R858" s="12">
        <f t="shared" si="452"/>
        <v>0</v>
      </c>
    </row>
    <row r="859" spans="1:18" x14ac:dyDescent="0.25">
      <c r="A859" s="26"/>
      <c r="B859" s="45"/>
      <c r="C859" s="15">
        <v>12</v>
      </c>
      <c r="D859" s="16"/>
      <c r="E859" s="15">
        <v>2</v>
      </c>
      <c r="F859" s="11">
        <v>1</v>
      </c>
      <c r="G859" s="11">
        <v>8</v>
      </c>
      <c r="H859" s="12"/>
      <c r="I859" s="12">
        <f t="shared" si="530"/>
        <v>2.9500000000000028</v>
      </c>
      <c r="J859" s="22"/>
      <c r="K859" s="22">
        <f>0.5*40*C859/1000</f>
        <v>0.24</v>
      </c>
      <c r="L859" s="12">
        <f t="shared" si="527"/>
        <v>3.1900000000000031</v>
      </c>
      <c r="M859" s="12">
        <f t="shared" si="528"/>
        <v>0</v>
      </c>
      <c r="N859" s="12">
        <f t="shared" si="448"/>
        <v>0</v>
      </c>
      <c r="O859" s="12">
        <f t="shared" si="449"/>
        <v>51.04</v>
      </c>
      <c r="P859" s="12">
        <f t="shared" si="450"/>
        <v>0</v>
      </c>
      <c r="Q859" s="12">
        <f t="shared" si="451"/>
        <v>0</v>
      </c>
      <c r="R859" s="12">
        <f t="shared" si="452"/>
        <v>0</v>
      </c>
    </row>
    <row r="860" spans="1:18" x14ac:dyDescent="0.25">
      <c r="A860" s="26"/>
      <c r="B860" s="45"/>
      <c r="C860" s="15">
        <v>10</v>
      </c>
      <c r="D860" s="16"/>
      <c r="E860" s="15">
        <v>2</v>
      </c>
      <c r="F860" s="11">
        <v>1</v>
      </c>
      <c r="G860" s="11">
        <v>10</v>
      </c>
      <c r="H860" s="12"/>
      <c r="I860" s="12">
        <f t="shared" si="530"/>
        <v>2.9500000000000028</v>
      </c>
      <c r="J860" s="22"/>
      <c r="K860" s="22">
        <f>0.5*40*C860/1000</f>
        <v>0.2</v>
      </c>
      <c r="L860" s="12">
        <f t="shared" ref="L860:L863" si="531">SUM(H860:J860)+K860</f>
        <v>3.150000000000003</v>
      </c>
      <c r="M860" s="12">
        <f t="shared" si="528"/>
        <v>0</v>
      </c>
      <c r="N860" s="12">
        <f t="shared" si="448"/>
        <v>63</v>
      </c>
      <c r="O860" s="12">
        <f t="shared" si="449"/>
        <v>0</v>
      </c>
      <c r="P860" s="12">
        <f t="shared" si="450"/>
        <v>0</v>
      </c>
      <c r="Q860" s="12">
        <f t="shared" si="451"/>
        <v>0</v>
      </c>
      <c r="R860" s="12">
        <f t="shared" si="452"/>
        <v>0</v>
      </c>
    </row>
    <row r="861" spans="1:18" x14ac:dyDescent="0.25">
      <c r="A861" s="26"/>
      <c r="B861" s="25" t="s">
        <v>172</v>
      </c>
      <c r="C861" s="15"/>
      <c r="D861" s="16"/>
      <c r="E861" s="15"/>
      <c r="F861" s="11"/>
      <c r="G861" s="11"/>
      <c r="H861" s="12"/>
      <c r="I861" s="12"/>
      <c r="J861" s="22"/>
      <c r="K861" s="22"/>
      <c r="L861" s="12">
        <f t="shared" si="531"/>
        <v>0</v>
      </c>
      <c r="M861" s="12">
        <f t="shared" si="528"/>
        <v>0</v>
      </c>
      <c r="N861" s="12">
        <f t="shared" si="448"/>
        <v>0</v>
      </c>
      <c r="O861" s="12">
        <f t="shared" si="449"/>
        <v>0</v>
      </c>
      <c r="P861" s="12">
        <f t="shared" si="450"/>
        <v>0</v>
      </c>
      <c r="Q861" s="12">
        <f t="shared" si="451"/>
        <v>0</v>
      </c>
      <c r="R861" s="12">
        <f t="shared" si="452"/>
        <v>0</v>
      </c>
    </row>
    <row r="862" spans="1:18" x14ac:dyDescent="0.25">
      <c r="A862" s="26"/>
      <c r="B862" s="25" t="s">
        <v>224</v>
      </c>
      <c r="C862" s="15">
        <v>8</v>
      </c>
      <c r="D862" s="16">
        <v>100</v>
      </c>
      <c r="E862" s="15">
        <v>2</v>
      </c>
      <c r="F862" s="11">
        <v>2</v>
      </c>
      <c r="G862" s="11">
        <f t="shared" ref="G862:G865" si="532">+ROUND(2450/D862+1,0)</f>
        <v>26</v>
      </c>
      <c r="H862" s="12"/>
      <c r="I862" s="12">
        <f>2*(0.18+0.383)+24*C862/1000</f>
        <v>1.3179999999999998</v>
      </c>
      <c r="J862" s="22"/>
      <c r="K862" s="22"/>
      <c r="L862" s="12">
        <f t="shared" si="531"/>
        <v>1.3179999999999998</v>
      </c>
      <c r="M862" s="12">
        <f t="shared" si="528"/>
        <v>137.07</v>
      </c>
      <c r="N862" s="12">
        <f t="shared" si="448"/>
        <v>0</v>
      </c>
      <c r="O862" s="12">
        <f t="shared" si="449"/>
        <v>0</v>
      </c>
      <c r="P862" s="12">
        <f t="shared" si="450"/>
        <v>0</v>
      </c>
      <c r="Q862" s="12">
        <f t="shared" si="451"/>
        <v>0</v>
      </c>
      <c r="R862" s="12">
        <f t="shared" si="452"/>
        <v>0</v>
      </c>
    </row>
    <row r="863" spans="1:18" x14ac:dyDescent="0.25">
      <c r="A863" s="26"/>
      <c r="B863" s="25" t="s">
        <v>194</v>
      </c>
      <c r="C863" s="15">
        <v>8</v>
      </c>
      <c r="D863" s="16">
        <v>100</v>
      </c>
      <c r="E863" s="15">
        <v>2</v>
      </c>
      <c r="F863" s="11">
        <v>2</v>
      </c>
      <c r="G863" s="11">
        <f t="shared" si="532"/>
        <v>26</v>
      </c>
      <c r="H863" s="12"/>
      <c r="I863" s="12">
        <f>2*(0.18+0.122)+24*C863/1000</f>
        <v>0.79600000000000004</v>
      </c>
      <c r="J863" s="22"/>
      <c r="K863" s="22"/>
      <c r="L863" s="12">
        <f t="shared" si="531"/>
        <v>0.79600000000000004</v>
      </c>
      <c r="M863" s="12">
        <f t="shared" si="528"/>
        <v>82.78</v>
      </c>
      <c r="N863" s="12">
        <f t="shared" si="448"/>
        <v>0</v>
      </c>
      <c r="O863" s="12">
        <f t="shared" si="449"/>
        <v>0</v>
      </c>
      <c r="P863" s="12">
        <f t="shared" si="450"/>
        <v>0</v>
      </c>
      <c r="Q863" s="12">
        <f t="shared" si="451"/>
        <v>0</v>
      </c>
      <c r="R863" s="12">
        <f t="shared" si="452"/>
        <v>0</v>
      </c>
    </row>
    <row r="864" spans="1:18" x14ac:dyDescent="0.25">
      <c r="A864" s="26"/>
      <c r="B864" s="25" t="s">
        <v>228</v>
      </c>
      <c r="C864" s="15">
        <v>8</v>
      </c>
      <c r="D864" s="16">
        <v>200</v>
      </c>
      <c r="E864" s="15">
        <v>2</v>
      </c>
      <c r="F864" s="11">
        <v>1</v>
      </c>
      <c r="G864" s="11">
        <f t="shared" si="532"/>
        <v>13</v>
      </c>
      <c r="H864" s="12"/>
      <c r="I864" s="12">
        <f>2*(0.18+1.071)+24*C864/1000</f>
        <v>2.694</v>
      </c>
      <c r="J864" s="22"/>
      <c r="K864" s="22"/>
      <c r="L864" s="12">
        <f t="shared" ref="L864" si="533">SUM(H864:J864)+K864</f>
        <v>2.694</v>
      </c>
      <c r="M864" s="12">
        <f t="shared" si="528"/>
        <v>70.040000000000006</v>
      </c>
      <c r="N864" s="12">
        <f t="shared" si="448"/>
        <v>0</v>
      </c>
      <c r="O864" s="12">
        <f t="shared" si="449"/>
        <v>0</v>
      </c>
      <c r="P864" s="12">
        <f t="shared" si="450"/>
        <v>0</v>
      </c>
      <c r="Q864" s="12">
        <f t="shared" si="451"/>
        <v>0</v>
      </c>
      <c r="R864" s="12">
        <f t="shared" si="452"/>
        <v>0</v>
      </c>
    </row>
    <row r="865" spans="1:19" x14ac:dyDescent="0.25">
      <c r="A865" s="26"/>
      <c r="B865" s="25" t="s">
        <v>177</v>
      </c>
      <c r="C865" s="15">
        <v>8</v>
      </c>
      <c r="D865" s="16">
        <v>400</v>
      </c>
      <c r="E865" s="15">
        <v>2</v>
      </c>
      <c r="F865" s="11">
        <v>2</v>
      </c>
      <c r="G865" s="11">
        <f t="shared" si="532"/>
        <v>7</v>
      </c>
      <c r="H865" s="12"/>
      <c r="I865" s="12">
        <f>0.18+(20*C865/1000)</f>
        <v>0.33999999999999997</v>
      </c>
      <c r="J865" s="22"/>
      <c r="K865" s="22"/>
      <c r="L865" s="12">
        <f t="shared" ref="L865" si="534">SUM(H865:J865)+K865</f>
        <v>0.33999999999999997</v>
      </c>
      <c r="M865" s="12">
        <f t="shared" si="528"/>
        <v>9.52</v>
      </c>
      <c r="N865" s="12">
        <f t="shared" si="448"/>
        <v>0</v>
      </c>
      <c r="O865" s="12">
        <f t="shared" si="449"/>
        <v>0</v>
      </c>
      <c r="P865" s="12">
        <f t="shared" si="450"/>
        <v>0</v>
      </c>
      <c r="Q865" s="12">
        <f t="shared" si="451"/>
        <v>0</v>
      </c>
      <c r="R865" s="12">
        <f t="shared" si="452"/>
        <v>0</v>
      </c>
    </row>
    <row r="866" spans="1:19" x14ac:dyDescent="0.25">
      <c r="A866" s="26"/>
      <c r="B866" s="45" t="s">
        <v>725</v>
      </c>
      <c r="C866" s="15">
        <v>16</v>
      </c>
      <c r="D866" s="16"/>
      <c r="E866" s="15">
        <v>1</v>
      </c>
      <c r="F866" s="11">
        <v>1</v>
      </c>
      <c r="G866" s="11">
        <v>8</v>
      </c>
      <c r="H866" s="12"/>
      <c r="I866" s="12">
        <f t="shared" ref="I866:I868" si="535">106.2-103.25</f>
        <v>2.9500000000000028</v>
      </c>
      <c r="J866" s="22"/>
      <c r="K866" s="22">
        <f t="shared" ref="K866:K868" si="536">0.5*40*C866/1000</f>
        <v>0.32</v>
      </c>
      <c r="L866" s="12">
        <f t="shared" ref="L866:L871" si="537">SUM(H866:J866)+K866</f>
        <v>3.2700000000000027</v>
      </c>
      <c r="M866" s="12">
        <f t="shared" si="528"/>
        <v>0</v>
      </c>
      <c r="N866" s="12">
        <f t="shared" si="448"/>
        <v>0</v>
      </c>
      <c r="O866" s="12">
        <f t="shared" si="449"/>
        <v>0</v>
      </c>
      <c r="P866" s="12">
        <f t="shared" si="450"/>
        <v>26.16</v>
      </c>
      <c r="Q866" s="12">
        <f t="shared" si="451"/>
        <v>0</v>
      </c>
      <c r="R866" s="12">
        <f t="shared" si="452"/>
        <v>0</v>
      </c>
    </row>
    <row r="867" spans="1:19" x14ac:dyDescent="0.25">
      <c r="A867" s="26"/>
      <c r="B867" s="45"/>
      <c r="C867" s="15">
        <v>12</v>
      </c>
      <c r="D867" s="16"/>
      <c r="E867" s="15">
        <v>1</v>
      </c>
      <c r="F867" s="11">
        <v>1</v>
      </c>
      <c r="G867" s="11">
        <v>20</v>
      </c>
      <c r="H867" s="12"/>
      <c r="I867" s="12">
        <f t="shared" si="535"/>
        <v>2.9500000000000028</v>
      </c>
      <c r="J867" s="22"/>
      <c r="K867" s="22">
        <f t="shared" si="536"/>
        <v>0.24</v>
      </c>
      <c r="L867" s="12">
        <f t="shared" si="537"/>
        <v>3.1900000000000031</v>
      </c>
      <c r="M867" s="12">
        <f t="shared" si="528"/>
        <v>0</v>
      </c>
      <c r="N867" s="12">
        <f t="shared" si="448"/>
        <v>0</v>
      </c>
      <c r="O867" s="12">
        <f t="shared" si="449"/>
        <v>63.8</v>
      </c>
      <c r="P867" s="12">
        <f t="shared" si="450"/>
        <v>0</v>
      </c>
      <c r="Q867" s="12">
        <f t="shared" si="451"/>
        <v>0</v>
      </c>
      <c r="R867" s="12">
        <f t="shared" si="452"/>
        <v>0</v>
      </c>
    </row>
    <row r="868" spans="1:19" x14ac:dyDescent="0.25">
      <c r="A868" s="26"/>
      <c r="B868" s="45"/>
      <c r="C868" s="15">
        <v>10</v>
      </c>
      <c r="D868" s="16"/>
      <c r="E868" s="15">
        <v>1</v>
      </c>
      <c r="F868" s="11">
        <v>1</v>
      </c>
      <c r="G868" s="11">
        <v>22</v>
      </c>
      <c r="H868" s="12"/>
      <c r="I868" s="12">
        <f t="shared" si="535"/>
        <v>2.9500000000000028</v>
      </c>
      <c r="J868" s="22"/>
      <c r="K868" s="22">
        <f t="shared" si="536"/>
        <v>0.2</v>
      </c>
      <c r="L868" s="12">
        <f t="shared" si="537"/>
        <v>3.150000000000003</v>
      </c>
      <c r="M868" s="12">
        <f t="shared" si="528"/>
        <v>0</v>
      </c>
      <c r="N868" s="12">
        <f t="shared" si="448"/>
        <v>69.3</v>
      </c>
      <c r="O868" s="12">
        <f t="shared" si="449"/>
        <v>0</v>
      </c>
      <c r="P868" s="12">
        <f t="shared" si="450"/>
        <v>0</v>
      </c>
      <c r="Q868" s="12">
        <f t="shared" si="451"/>
        <v>0</v>
      </c>
      <c r="R868" s="12">
        <f t="shared" si="452"/>
        <v>0</v>
      </c>
    </row>
    <row r="869" spans="1:19" x14ac:dyDescent="0.25">
      <c r="A869" s="26"/>
      <c r="B869" s="25" t="s">
        <v>172</v>
      </c>
      <c r="C869" s="15"/>
      <c r="D869" s="16"/>
      <c r="E869" s="15"/>
      <c r="F869" s="11"/>
      <c r="G869" s="11"/>
      <c r="H869" s="12"/>
      <c r="I869" s="12"/>
      <c r="J869" s="22"/>
      <c r="K869" s="22"/>
      <c r="L869" s="12">
        <f t="shared" si="537"/>
        <v>0</v>
      </c>
      <c r="M869" s="12">
        <f t="shared" si="528"/>
        <v>0</v>
      </c>
      <c r="N869" s="12">
        <f t="shared" si="448"/>
        <v>0</v>
      </c>
      <c r="O869" s="12">
        <f t="shared" si="449"/>
        <v>0</v>
      </c>
      <c r="P869" s="12">
        <f t="shared" si="450"/>
        <v>0</v>
      </c>
      <c r="Q869" s="12">
        <f t="shared" si="451"/>
        <v>0</v>
      </c>
      <c r="R869" s="12">
        <f t="shared" si="452"/>
        <v>0</v>
      </c>
    </row>
    <row r="870" spans="1:19" x14ac:dyDescent="0.25">
      <c r="A870" s="26"/>
      <c r="B870" s="25" t="s">
        <v>200</v>
      </c>
      <c r="C870" s="15">
        <v>8</v>
      </c>
      <c r="D870" s="16">
        <v>100</v>
      </c>
      <c r="E870" s="15">
        <v>1</v>
      </c>
      <c r="F870" s="11">
        <v>2</v>
      </c>
      <c r="G870" s="11">
        <f t="shared" ref="G870:G874" si="538">+ROUND(2450/D870+1,0)</f>
        <v>26</v>
      </c>
      <c r="H870" s="12"/>
      <c r="I870" s="12">
        <f>2*(0.18+0.683)+24*C870/1000</f>
        <v>1.9179999999999999</v>
      </c>
      <c r="J870" s="22"/>
      <c r="K870" s="22"/>
      <c r="L870" s="12">
        <f t="shared" si="537"/>
        <v>1.9179999999999999</v>
      </c>
      <c r="M870" s="12">
        <f t="shared" si="528"/>
        <v>99.74</v>
      </c>
      <c r="N870" s="12">
        <f t="shared" si="448"/>
        <v>0</v>
      </c>
      <c r="O870" s="12">
        <f t="shared" si="449"/>
        <v>0</v>
      </c>
      <c r="P870" s="12">
        <f t="shared" si="450"/>
        <v>0</v>
      </c>
      <c r="Q870" s="12">
        <f t="shared" si="451"/>
        <v>0</v>
      </c>
      <c r="R870" s="12">
        <f t="shared" si="452"/>
        <v>0</v>
      </c>
      <c r="S870" s="3">
        <f>700-25+8</f>
        <v>683</v>
      </c>
    </row>
    <row r="871" spans="1:19" x14ac:dyDescent="0.25">
      <c r="A871" s="26"/>
      <c r="B871" s="25" t="s">
        <v>194</v>
      </c>
      <c r="C871" s="15">
        <v>8</v>
      </c>
      <c r="D871" s="16">
        <v>100</v>
      </c>
      <c r="E871" s="15">
        <v>1</v>
      </c>
      <c r="F871" s="11">
        <v>4</v>
      </c>
      <c r="G871" s="11">
        <f t="shared" si="538"/>
        <v>26</v>
      </c>
      <c r="H871" s="12"/>
      <c r="I871" s="12">
        <f>2*(0.18+0.122)+24*C871/1000</f>
        <v>0.79600000000000004</v>
      </c>
      <c r="J871" s="22"/>
      <c r="K871" s="22"/>
      <c r="L871" s="12">
        <f t="shared" si="537"/>
        <v>0.79600000000000004</v>
      </c>
      <c r="M871" s="12">
        <f t="shared" si="528"/>
        <v>82.78</v>
      </c>
      <c r="N871" s="12">
        <f t="shared" si="448"/>
        <v>0</v>
      </c>
      <c r="O871" s="12">
        <f t="shared" si="449"/>
        <v>0</v>
      </c>
      <c r="P871" s="12">
        <f t="shared" si="450"/>
        <v>0</v>
      </c>
      <c r="Q871" s="12">
        <f t="shared" si="451"/>
        <v>0</v>
      </c>
      <c r="R871" s="12">
        <f t="shared" si="452"/>
        <v>0</v>
      </c>
    </row>
    <row r="872" spans="1:19" x14ac:dyDescent="0.25">
      <c r="A872" s="26"/>
      <c r="B872" s="25" t="s">
        <v>173</v>
      </c>
      <c r="C872" s="15">
        <v>8</v>
      </c>
      <c r="D872" s="16">
        <v>400</v>
      </c>
      <c r="E872" s="15">
        <v>1</v>
      </c>
      <c r="F872" s="11">
        <v>2</v>
      </c>
      <c r="G872" s="11">
        <f>+ROUND(2450/D872+1,0)</f>
        <v>7</v>
      </c>
      <c r="H872" s="12"/>
      <c r="I872" s="12">
        <f>0.18+(20*C872/1000)</f>
        <v>0.33999999999999997</v>
      </c>
      <c r="J872" s="22"/>
      <c r="K872" s="22"/>
      <c r="L872" s="12">
        <f t="shared" ref="L872" si="539">SUM(H872:J872)+K872</f>
        <v>0.33999999999999997</v>
      </c>
      <c r="M872" s="12">
        <f t="shared" ref="M872" si="540">+ROUND(IF(C872=8,PRODUCT(E872,F872,G872,L872),0),2)</f>
        <v>4.76</v>
      </c>
      <c r="N872" s="12">
        <f t="shared" ref="N872" si="541">+ROUND(IF(C872=10,PRODUCT(E872,F872,G872,L872),0),2)</f>
        <v>0</v>
      </c>
      <c r="O872" s="12">
        <f t="shared" ref="O872" si="542">+ROUND(IF(C872=12,PRODUCT(E872,F872,G872,L872),0),2)</f>
        <v>0</v>
      </c>
      <c r="P872" s="12">
        <f t="shared" ref="P872" si="543">+ROUND(IF(C872=16,PRODUCT(E872,F872,G872,L872),0),2)</f>
        <v>0</v>
      </c>
      <c r="Q872" s="12">
        <f t="shared" ref="Q872" si="544">+ROUND(IF(C872=20,PRODUCT(E872,F872,G872,L872),0),2)</f>
        <v>0</v>
      </c>
      <c r="R872" s="12">
        <f t="shared" ref="R872" si="545">+ROUND(IF(C872=25,PRODUCT(E872,F872,G872,L872),0),2)</f>
        <v>0</v>
      </c>
    </row>
    <row r="873" spans="1:19" x14ac:dyDescent="0.25">
      <c r="A873" s="26"/>
      <c r="B873" s="25" t="s">
        <v>726</v>
      </c>
      <c r="C873" s="15">
        <v>8</v>
      </c>
      <c r="D873" s="16">
        <v>200</v>
      </c>
      <c r="E873" s="15">
        <v>1</v>
      </c>
      <c r="F873" s="11">
        <v>1</v>
      </c>
      <c r="G873" s="11">
        <f t="shared" si="538"/>
        <v>13</v>
      </c>
      <c r="H873" s="12"/>
      <c r="I873" s="12">
        <f>2*(0.18+2.216)+24*C873/1000</f>
        <v>4.9840000000000009</v>
      </c>
      <c r="J873" s="22"/>
      <c r="K873" s="22"/>
      <c r="L873" s="12">
        <f t="shared" ref="L873:L874" si="546">SUM(H873:J873)+K873</f>
        <v>4.9840000000000009</v>
      </c>
      <c r="M873" s="12">
        <f t="shared" si="528"/>
        <v>64.790000000000006</v>
      </c>
      <c r="N873" s="12">
        <f t="shared" si="448"/>
        <v>0</v>
      </c>
      <c r="O873" s="12">
        <f t="shared" si="449"/>
        <v>0</v>
      </c>
      <c r="P873" s="12">
        <f t="shared" si="450"/>
        <v>0</v>
      </c>
      <c r="Q873" s="12">
        <f t="shared" si="451"/>
        <v>0</v>
      </c>
      <c r="R873" s="12">
        <f t="shared" si="452"/>
        <v>0</v>
      </c>
    </row>
    <row r="874" spans="1:19" x14ac:dyDescent="0.25">
      <c r="A874" s="26"/>
      <c r="B874" s="25" t="s">
        <v>177</v>
      </c>
      <c r="C874" s="15">
        <v>8</v>
      </c>
      <c r="D874" s="16">
        <v>400</v>
      </c>
      <c r="E874" s="15">
        <v>1</v>
      </c>
      <c r="F874" s="11">
        <v>5</v>
      </c>
      <c r="G874" s="11">
        <f t="shared" si="538"/>
        <v>7</v>
      </c>
      <c r="H874" s="12"/>
      <c r="I874" s="12">
        <f>0.18+(20*C874/1000)</f>
        <v>0.33999999999999997</v>
      </c>
      <c r="J874" s="22"/>
      <c r="K874" s="22"/>
      <c r="L874" s="12">
        <f t="shared" si="546"/>
        <v>0.33999999999999997</v>
      </c>
      <c r="M874" s="12">
        <f t="shared" si="528"/>
        <v>11.9</v>
      </c>
      <c r="N874" s="12">
        <f t="shared" si="448"/>
        <v>0</v>
      </c>
      <c r="O874" s="12">
        <f t="shared" si="449"/>
        <v>0</v>
      </c>
      <c r="P874" s="12">
        <f t="shared" si="450"/>
        <v>0</v>
      </c>
      <c r="Q874" s="12">
        <f t="shared" si="451"/>
        <v>0</v>
      </c>
      <c r="R874" s="12">
        <f t="shared" si="452"/>
        <v>0</v>
      </c>
    </row>
    <row r="875" spans="1:19" x14ac:dyDescent="0.25">
      <c r="A875" s="26"/>
      <c r="B875" s="45" t="s">
        <v>198</v>
      </c>
      <c r="C875" s="15">
        <v>16</v>
      </c>
      <c r="D875" s="16"/>
      <c r="E875" s="15">
        <v>6</v>
      </c>
      <c r="F875" s="11">
        <v>1</v>
      </c>
      <c r="G875" s="11">
        <v>8</v>
      </c>
      <c r="H875" s="12"/>
      <c r="I875" s="12">
        <f t="shared" ref="I875:I877" si="547">106.2-103.25</f>
        <v>2.9500000000000028</v>
      </c>
      <c r="J875" s="22"/>
      <c r="K875" s="22">
        <f t="shared" ref="K875:K877" si="548">0.5*40*C875/1000</f>
        <v>0.32</v>
      </c>
      <c r="L875" s="12">
        <f t="shared" ref="L875:L885" si="549">SUM(H875:J875)+K875</f>
        <v>3.2700000000000027</v>
      </c>
      <c r="M875" s="12">
        <f t="shared" si="528"/>
        <v>0</v>
      </c>
      <c r="N875" s="12">
        <f t="shared" si="448"/>
        <v>0</v>
      </c>
      <c r="O875" s="12">
        <f t="shared" si="449"/>
        <v>0</v>
      </c>
      <c r="P875" s="12">
        <f t="shared" si="450"/>
        <v>156.96</v>
      </c>
      <c r="Q875" s="12">
        <f t="shared" si="451"/>
        <v>0</v>
      </c>
      <c r="R875" s="12">
        <f t="shared" si="452"/>
        <v>0</v>
      </c>
    </row>
    <row r="876" spans="1:19" x14ac:dyDescent="0.25">
      <c r="A876" s="26"/>
      <c r="B876" s="25"/>
      <c r="C876" s="15">
        <v>12</v>
      </c>
      <c r="D876" s="16"/>
      <c r="E876" s="15">
        <v>6</v>
      </c>
      <c r="F876" s="11">
        <v>1</v>
      </c>
      <c r="G876" s="11">
        <v>16</v>
      </c>
      <c r="H876" s="12"/>
      <c r="I876" s="12">
        <f t="shared" si="547"/>
        <v>2.9500000000000028</v>
      </c>
      <c r="J876" s="22"/>
      <c r="K876" s="22">
        <f t="shared" si="548"/>
        <v>0.24</v>
      </c>
      <c r="L876" s="12">
        <f t="shared" si="549"/>
        <v>3.1900000000000031</v>
      </c>
      <c r="M876" s="12">
        <f t="shared" si="528"/>
        <v>0</v>
      </c>
      <c r="N876" s="12">
        <f t="shared" si="448"/>
        <v>0</v>
      </c>
      <c r="O876" s="12">
        <f t="shared" si="449"/>
        <v>306.24</v>
      </c>
      <c r="P876" s="12">
        <f t="shared" si="450"/>
        <v>0</v>
      </c>
      <c r="Q876" s="12">
        <f t="shared" si="451"/>
        <v>0</v>
      </c>
      <c r="R876" s="12">
        <f t="shared" si="452"/>
        <v>0</v>
      </c>
    </row>
    <row r="877" spans="1:19" x14ac:dyDescent="0.25">
      <c r="A877" s="26"/>
      <c r="B877" s="25"/>
      <c r="C877" s="15">
        <v>10</v>
      </c>
      <c r="D877" s="16"/>
      <c r="E877" s="15">
        <v>6</v>
      </c>
      <c r="F877" s="11">
        <v>1</v>
      </c>
      <c r="G877" s="11">
        <v>10</v>
      </c>
      <c r="H877" s="12"/>
      <c r="I877" s="12">
        <f t="shared" si="547"/>
        <v>2.9500000000000028</v>
      </c>
      <c r="J877" s="22"/>
      <c r="K877" s="22">
        <f t="shared" si="548"/>
        <v>0.2</v>
      </c>
      <c r="L877" s="12">
        <f t="shared" si="549"/>
        <v>3.150000000000003</v>
      </c>
      <c r="M877" s="12">
        <f t="shared" si="528"/>
        <v>0</v>
      </c>
      <c r="N877" s="12">
        <f t="shared" si="448"/>
        <v>189</v>
      </c>
      <c r="O877" s="12">
        <f t="shared" si="449"/>
        <v>0</v>
      </c>
      <c r="P877" s="12">
        <f t="shared" si="450"/>
        <v>0</v>
      </c>
      <c r="Q877" s="12">
        <f t="shared" si="451"/>
        <v>0</v>
      </c>
      <c r="R877" s="12">
        <f t="shared" si="452"/>
        <v>0</v>
      </c>
    </row>
    <row r="878" spans="1:19" x14ac:dyDescent="0.25">
      <c r="A878" s="26"/>
      <c r="B878" s="25" t="s">
        <v>172</v>
      </c>
      <c r="C878" s="15"/>
      <c r="D878" s="16"/>
      <c r="E878" s="15"/>
      <c r="F878" s="11"/>
      <c r="G878" s="11"/>
      <c r="H878" s="12"/>
      <c r="I878" s="12"/>
      <c r="J878" s="22"/>
      <c r="K878" s="22"/>
      <c r="L878" s="12">
        <f t="shared" si="549"/>
        <v>0</v>
      </c>
      <c r="M878" s="12">
        <f t="shared" si="528"/>
        <v>0</v>
      </c>
      <c r="N878" s="12">
        <f t="shared" si="448"/>
        <v>0</v>
      </c>
      <c r="O878" s="12">
        <f t="shared" si="449"/>
        <v>0</v>
      </c>
      <c r="P878" s="12">
        <f t="shared" si="450"/>
        <v>0</v>
      </c>
      <c r="Q878" s="12">
        <f t="shared" si="451"/>
        <v>0</v>
      </c>
      <c r="R878" s="12">
        <f t="shared" si="452"/>
        <v>0</v>
      </c>
    </row>
    <row r="879" spans="1:19" x14ac:dyDescent="0.25">
      <c r="A879" s="26"/>
      <c r="B879" s="25" t="s">
        <v>188</v>
      </c>
      <c r="C879" s="15">
        <v>8</v>
      </c>
      <c r="D879" s="16">
        <v>100</v>
      </c>
      <c r="E879" s="15">
        <v>6</v>
      </c>
      <c r="F879" s="11">
        <v>1</v>
      </c>
      <c r="G879" s="11">
        <f t="shared" ref="G879:G886" si="550">+ROUND(2450/D879+1,0)</f>
        <v>26</v>
      </c>
      <c r="H879" s="12"/>
      <c r="I879" s="12">
        <f>2*(0.18+0.6)+24*C879/1000</f>
        <v>1.752</v>
      </c>
      <c r="J879" s="22"/>
      <c r="K879" s="22"/>
      <c r="L879" s="12">
        <f t="shared" si="549"/>
        <v>1.752</v>
      </c>
      <c r="M879" s="12">
        <f t="shared" si="528"/>
        <v>273.31</v>
      </c>
      <c r="N879" s="12">
        <f t="shared" si="448"/>
        <v>0</v>
      </c>
      <c r="O879" s="12">
        <f t="shared" si="449"/>
        <v>0</v>
      </c>
      <c r="P879" s="12">
        <f t="shared" si="450"/>
        <v>0</v>
      </c>
      <c r="Q879" s="12">
        <f t="shared" si="451"/>
        <v>0</v>
      </c>
      <c r="R879" s="12">
        <f t="shared" si="452"/>
        <v>0</v>
      </c>
    </row>
    <row r="880" spans="1:19" x14ac:dyDescent="0.25">
      <c r="A880" s="26"/>
      <c r="B880" s="25" t="s">
        <v>174</v>
      </c>
      <c r="C880" s="15">
        <v>8</v>
      </c>
      <c r="D880" s="16">
        <v>100</v>
      </c>
      <c r="E880" s="15">
        <v>6</v>
      </c>
      <c r="F880" s="11">
        <v>1</v>
      </c>
      <c r="G880" s="11">
        <f t="shared" si="550"/>
        <v>26</v>
      </c>
      <c r="H880" s="12"/>
      <c r="I880" s="12">
        <f>2*(0.18+0.248)+24*C880/1000</f>
        <v>1.048</v>
      </c>
      <c r="J880" s="22"/>
      <c r="K880" s="22"/>
      <c r="L880" s="12">
        <f t="shared" si="549"/>
        <v>1.048</v>
      </c>
      <c r="M880" s="12">
        <f t="shared" si="528"/>
        <v>163.49</v>
      </c>
      <c r="N880" s="12">
        <f t="shared" si="448"/>
        <v>0</v>
      </c>
      <c r="O880" s="12">
        <f t="shared" si="449"/>
        <v>0</v>
      </c>
      <c r="P880" s="12">
        <f t="shared" si="450"/>
        <v>0</v>
      </c>
      <c r="Q880" s="12">
        <f t="shared" si="451"/>
        <v>0</v>
      </c>
      <c r="R880" s="12">
        <f t="shared" si="452"/>
        <v>0</v>
      </c>
    </row>
    <row r="881" spans="1:18" x14ac:dyDescent="0.25">
      <c r="A881" s="26"/>
      <c r="B881" s="25" t="s">
        <v>173</v>
      </c>
      <c r="C881" s="15">
        <v>8</v>
      </c>
      <c r="D881" s="16">
        <v>100</v>
      </c>
      <c r="E881" s="15">
        <v>6</v>
      </c>
      <c r="F881" s="11">
        <v>1</v>
      </c>
      <c r="G881" s="11">
        <f t="shared" si="550"/>
        <v>26</v>
      </c>
      <c r="H881" s="12"/>
      <c r="I881" s="12">
        <f>0.18+(20*C881/1000)</f>
        <v>0.33999999999999997</v>
      </c>
      <c r="J881" s="22"/>
      <c r="K881" s="22"/>
      <c r="L881" s="12">
        <f t="shared" si="549"/>
        <v>0.33999999999999997</v>
      </c>
      <c r="M881" s="12">
        <f t="shared" si="528"/>
        <v>53.04</v>
      </c>
      <c r="N881" s="12">
        <f t="shared" si="448"/>
        <v>0</v>
      </c>
      <c r="O881" s="12">
        <f t="shared" si="449"/>
        <v>0</v>
      </c>
      <c r="P881" s="12">
        <f t="shared" si="450"/>
        <v>0</v>
      </c>
      <c r="Q881" s="12">
        <f t="shared" si="451"/>
        <v>0</v>
      </c>
      <c r="R881" s="12">
        <f t="shared" si="452"/>
        <v>0</v>
      </c>
    </row>
    <row r="882" spans="1:18" x14ac:dyDescent="0.25">
      <c r="A882" s="26"/>
      <c r="B882" s="25" t="s">
        <v>189</v>
      </c>
      <c r="C882" s="15">
        <v>8</v>
      </c>
      <c r="D882" s="16">
        <v>100</v>
      </c>
      <c r="E882" s="15">
        <v>6</v>
      </c>
      <c r="F882" s="11">
        <v>2</v>
      </c>
      <c r="G882" s="11">
        <f t="shared" si="550"/>
        <v>26</v>
      </c>
      <c r="H882" s="12"/>
      <c r="I882" s="12">
        <f>2*(0.18+0.385)+24*C882/1000</f>
        <v>1.3219999999999998</v>
      </c>
      <c r="J882" s="22"/>
      <c r="K882" s="22"/>
      <c r="L882" s="12">
        <f t="shared" si="549"/>
        <v>1.3219999999999998</v>
      </c>
      <c r="M882" s="12">
        <f t="shared" si="528"/>
        <v>412.46</v>
      </c>
      <c r="N882" s="12">
        <f t="shared" si="448"/>
        <v>0</v>
      </c>
      <c r="O882" s="12">
        <f t="shared" si="449"/>
        <v>0</v>
      </c>
      <c r="P882" s="12">
        <f t="shared" si="450"/>
        <v>0</v>
      </c>
      <c r="Q882" s="12">
        <f t="shared" si="451"/>
        <v>0</v>
      </c>
      <c r="R882" s="12">
        <f t="shared" si="452"/>
        <v>0</v>
      </c>
    </row>
    <row r="883" spans="1:18" x14ac:dyDescent="0.25">
      <c r="A883" s="26"/>
      <c r="B883" s="25" t="s">
        <v>175</v>
      </c>
      <c r="C883" s="15">
        <v>8</v>
      </c>
      <c r="D883" s="16">
        <v>100</v>
      </c>
      <c r="E883" s="15">
        <v>6</v>
      </c>
      <c r="F883" s="11">
        <v>1</v>
      </c>
      <c r="G883" s="11">
        <f t="shared" si="550"/>
        <v>26</v>
      </c>
      <c r="H883" s="12"/>
      <c r="I883" s="12">
        <f>2*(0.18+0.268)+24*C883/1000</f>
        <v>1.0880000000000001</v>
      </c>
      <c r="J883" s="22"/>
      <c r="K883" s="22"/>
      <c r="L883" s="12">
        <f t="shared" si="549"/>
        <v>1.0880000000000001</v>
      </c>
      <c r="M883" s="12">
        <f t="shared" si="528"/>
        <v>169.73</v>
      </c>
      <c r="N883" s="12">
        <f t="shared" si="448"/>
        <v>0</v>
      </c>
      <c r="O883" s="12">
        <f t="shared" si="449"/>
        <v>0</v>
      </c>
      <c r="P883" s="12">
        <f t="shared" si="450"/>
        <v>0</v>
      </c>
      <c r="Q883" s="12">
        <f t="shared" si="451"/>
        <v>0</v>
      </c>
      <c r="R883" s="12">
        <f t="shared" si="452"/>
        <v>0</v>
      </c>
    </row>
    <row r="884" spans="1:18" x14ac:dyDescent="0.25">
      <c r="A884" s="26"/>
      <c r="B884" s="25" t="s">
        <v>173</v>
      </c>
      <c r="C884" s="15">
        <v>8</v>
      </c>
      <c r="D884" s="16">
        <v>100</v>
      </c>
      <c r="E884" s="15">
        <v>6</v>
      </c>
      <c r="F884" s="11">
        <v>1</v>
      </c>
      <c r="G884" s="11">
        <f t="shared" si="550"/>
        <v>26</v>
      </c>
      <c r="H884" s="12"/>
      <c r="I884" s="12">
        <f>0.18+(20*C884/1000)</f>
        <v>0.33999999999999997</v>
      </c>
      <c r="J884" s="22"/>
      <c r="K884" s="22"/>
      <c r="L884" s="12">
        <f t="shared" si="549"/>
        <v>0.33999999999999997</v>
      </c>
      <c r="M884" s="12">
        <f t="shared" si="528"/>
        <v>53.04</v>
      </c>
      <c r="N884" s="12">
        <f t="shared" si="448"/>
        <v>0</v>
      </c>
      <c r="O884" s="12">
        <f t="shared" si="449"/>
        <v>0</v>
      </c>
      <c r="P884" s="12">
        <f t="shared" si="450"/>
        <v>0</v>
      </c>
      <c r="Q884" s="12">
        <f t="shared" si="451"/>
        <v>0</v>
      </c>
      <c r="R884" s="12">
        <f t="shared" si="452"/>
        <v>0</v>
      </c>
    </row>
    <row r="885" spans="1:18" x14ac:dyDescent="0.25">
      <c r="A885" s="26"/>
      <c r="B885" s="25" t="s">
        <v>179</v>
      </c>
      <c r="C885" s="15">
        <v>8</v>
      </c>
      <c r="D885" s="16">
        <v>200</v>
      </c>
      <c r="E885" s="15">
        <v>6</v>
      </c>
      <c r="F885" s="11">
        <v>1</v>
      </c>
      <c r="G885" s="11">
        <f t="shared" si="550"/>
        <v>13</v>
      </c>
      <c r="H885" s="12"/>
      <c r="I885" s="12">
        <f>2*(0.18+1.066)+24*C885/1000</f>
        <v>2.6840000000000002</v>
      </c>
      <c r="J885" s="22"/>
      <c r="K885" s="22"/>
      <c r="L885" s="12">
        <f t="shared" si="549"/>
        <v>2.6840000000000002</v>
      </c>
      <c r="M885" s="12">
        <f t="shared" si="528"/>
        <v>209.35</v>
      </c>
      <c r="N885" s="12">
        <f t="shared" si="448"/>
        <v>0</v>
      </c>
      <c r="O885" s="12">
        <f t="shared" si="449"/>
        <v>0</v>
      </c>
      <c r="P885" s="12">
        <f t="shared" si="450"/>
        <v>0</v>
      </c>
      <c r="Q885" s="12">
        <f t="shared" si="451"/>
        <v>0</v>
      </c>
      <c r="R885" s="12">
        <f t="shared" si="452"/>
        <v>0</v>
      </c>
    </row>
    <row r="886" spans="1:18" x14ac:dyDescent="0.25">
      <c r="A886" s="26"/>
      <c r="B886" s="25" t="s">
        <v>177</v>
      </c>
      <c r="C886" s="15">
        <v>8</v>
      </c>
      <c r="D886" s="16">
        <v>400</v>
      </c>
      <c r="E886" s="15">
        <v>6</v>
      </c>
      <c r="F886" s="11">
        <v>2</v>
      </c>
      <c r="G886" s="11">
        <f t="shared" si="550"/>
        <v>7</v>
      </c>
      <c r="H886" s="12"/>
      <c r="I886" s="12">
        <f>0.18+(20*C886/1000)</f>
        <v>0.33999999999999997</v>
      </c>
      <c r="J886" s="22"/>
      <c r="K886" s="22"/>
      <c r="L886" s="12">
        <f t="shared" ref="L886" si="551">SUM(H886:J886)+K886</f>
        <v>0.33999999999999997</v>
      </c>
      <c r="M886" s="12">
        <f t="shared" si="528"/>
        <v>28.56</v>
      </c>
      <c r="N886" s="12">
        <f t="shared" si="448"/>
        <v>0</v>
      </c>
      <c r="O886" s="12">
        <f t="shared" si="449"/>
        <v>0</v>
      </c>
      <c r="P886" s="12">
        <f t="shared" si="450"/>
        <v>0</v>
      </c>
      <c r="Q886" s="12">
        <f t="shared" si="451"/>
        <v>0</v>
      </c>
      <c r="R886" s="12">
        <f t="shared" si="452"/>
        <v>0</v>
      </c>
    </row>
    <row r="887" spans="1:18" x14ac:dyDescent="0.25">
      <c r="A887" s="26"/>
      <c r="B887" s="45" t="s">
        <v>229</v>
      </c>
      <c r="C887" s="15">
        <v>16</v>
      </c>
      <c r="D887" s="16"/>
      <c r="E887" s="15">
        <v>2</v>
      </c>
      <c r="F887" s="11">
        <v>1</v>
      </c>
      <c r="G887" s="11">
        <v>8</v>
      </c>
      <c r="H887" s="12"/>
      <c r="I887" s="12">
        <f t="shared" ref="I887:I889" si="552">106.2-103.25</f>
        <v>2.9500000000000028</v>
      </c>
      <c r="J887" s="22"/>
      <c r="K887" s="22">
        <f t="shared" ref="K887:K889" si="553">0.5*40*C887/1000</f>
        <v>0.32</v>
      </c>
      <c r="L887" s="12">
        <f t="shared" ref="L887:L894" si="554">SUM(H887:J887)+K887</f>
        <v>3.2700000000000027</v>
      </c>
      <c r="M887" s="12">
        <f t="shared" si="528"/>
        <v>0</v>
      </c>
      <c r="N887" s="12">
        <f t="shared" si="448"/>
        <v>0</v>
      </c>
      <c r="O887" s="12">
        <f t="shared" si="449"/>
        <v>0</v>
      </c>
      <c r="P887" s="12">
        <f t="shared" si="450"/>
        <v>52.32</v>
      </c>
      <c r="Q887" s="12">
        <f t="shared" si="451"/>
        <v>0</v>
      </c>
      <c r="R887" s="12">
        <f t="shared" si="452"/>
        <v>0</v>
      </c>
    </row>
    <row r="888" spans="1:18" x14ac:dyDescent="0.25">
      <c r="A888" s="26"/>
      <c r="B888" s="45"/>
      <c r="C888" s="15">
        <v>12</v>
      </c>
      <c r="D888" s="16"/>
      <c r="E888" s="15">
        <v>2</v>
      </c>
      <c r="F888" s="11">
        <v>1</v>
      </c>
      <c r="G888" s="11">
        <v>12</v>
      </c>
      <c r="H888" s="12"/>
      <c r="I888" s="12">
        <f t="shared" si="552"/>
        <v>2.9500000000000028</v>
      </c>
      <c r="J888" s="22"/>
      <c r="K888" s="22">
        <f t="shared" si="553"/>
        <v>0.24</v>
      </c>
      <c r="L888" s="12">
        <f t="shared" si="554"/>
        <v>3.1900000000000031</v>
      </c>
      <c r="M888" s="12">
        <f t="shared" si="528"/>
        <v>0</v>
      </c>
      <c r="N888" s="12">
        <f t="shared" si="448"/>
        <v>0</v>
      </c>
      <c r="O888" s="12">
        <f t="shared" si="449"/>
        <v>76.56</v>
      </c>
      <c r="P888" s="12">
        <f t="shared" si="450"/>
        <v>0</v>
      </c>
      <c r="Q888" s="12">
        <f t="shared" si="451"/>
        <v>0</v>
      </c>
      <c r="R888" s="12">
        <f t="shared" si="452"/>
        <v>0</v>
      </c>
    </row>
    <row r="889" spans="1:18" x14ac:dyDescent="0.25">
      <c r="A889" s="26"/>
      <c r="B889" s="45"/>
      <c r="C889" s="15">
        <v>10</v>
      </c>
      <c r="D889" s="16"/>
      <c r="E889" s="15">
        <v>2</v>
      </c>
      <c r="F889" s="11">
        <v>1</v>
      </c>
      <c r="G889" s="11">
        <v>24</v>
      </c>
      <c r="H889" s="12"/>
      <c r="I889" s="12">
        <f t="shared" si="552"/>
        <v>2.9500000000000028</v>
      </c>
      <c r="J889" s="22"/>
      <c r="K889" s="22">
        <f t="shared" si="553"/>
        <v>0.2</v>
      </c>
      <c r="L889" s="12">
        <f t="shared" si="554"/>
        <v>3.150000000000003</v>
      </c>
      <c r="M889" s="12">
        <f t="shared" si="528"/>
        <v>0</v>
      </c>
      <c r="N889" s="12">
        <f t="shared" si="448"/>
        <v>151.19999999999999</v>
      </c>
      <c r="O889" s="12">
        <f t="shared" si="449"/>
        <v>0</v>
      </c>
      <c r="P889" s="12">
        <f t="shared" si="450"/>
        <v>0</v>
      </c>
      <c r="Q889" s="12">
        <f t="shared" si="451"/>
        <v>0</v>
      </c>
      <c r="R889" s="12">
        <f t="shared" si="452"/>
        <v>0</v>
      </c>
    </row>
    <row r="890" spans="1:18" x14ac:dyDescent="0.25">
      <c r="A890" s="26"/>
      <c r="B890" s="25" t="s">
        <v>172</v>
      </c>
      <c r="C890" s="15"/>
      <c r="D890" s="16"/>
      <c r="E890" s="15"/>
      <c r="F890" s="11"/>
      <c r="G890" s="11"/>
      <c r="H890" s="12"/>
      <c r="I890" s="12"/>
      <c r="J890" s="22"/>
      <c r="K890" s="22"/>
      <c r="L890" s="12">
        <f t="shared" si="554"/>
        <v>0</v>
      </c>
      <c r="M890" s="12">
        <f t="shared" si="528"/>
        <v>0</v>
      </c>
      <c r="N890" s="12">
        <f t="shared" si="448"/>
        <v>0</v>
      </c>
      <c r="O890" s="12">
        <f t="shared" si="449"/>
        <v>0</v>
      </c>
      <c r="P890" s="12">
        <f t="shared" si="450"/>
        <v>0</v>
      </c>
      <c r="Q890" s="12">
        <f t="shared" si="451"/>
        <v>0</v>
      </c>
      <c r="R890" s="12">
        <f t="shared" si="452"/>
        <v>0</v>
      </c>
    </row>
    <row r="891" spans="1:18" x14ac:dyDescent="0.25">
      <c r="A891" s="26"/>
      <c r="B891" s="25" t="s">
        <v>230</v>
      </c>
      <c r="C891" s="15">
        <v>8</v>
      </c>
      <c r="D891" s="16">
        <v>100</v>
      </c>
      <c r="E891" s="15">
        <v>2</v>
      </c>
      <c r="F891" s="11">
        <v>2</v>
      </c>
      <c r="G891" s="11">
        <f t="shared" ref="G891:G895" si="555">+ROUND(2450/D891+1,0)</f>
        <v>26</v>
      </c>
      <c r="H891" s="12"/>
      <c r="I891" s="12">
        <f>2*(0.18+0.483)+24*C891/1000</f>
        <v>1.518</v>
      </c>
      <c r="J891" s="22"/>
      <c r="K891" s="22"/>
      <c r="L891" s="12">
        <f t="shared" si="554"/>
        <v>1.518</v>
      </c>
      <c r="M891" s="12">
        <f t="shared" si="528"/>
        <v>157.87</v>
      </c>
      <c r="N891" s="12">
        <f t="shared" si="448"/>
        <v>0</v>
      </c>
      <c r="O891" s="12">
        <f t="shared" si="449"/>
        <v>0</v>
      </c>
      <c r="P891" s="12">
        <f t="shared" si="450"/>
        <v>0</v>
      </c>
      <c r="Q891" s="12">
        <f t="shared" si="451"/>
        <v>0</v>
      </c>
      <c r="R891" s="12">
        <f t="shared" si="452"/>
        <v>0</v>
      </c>
    </row>
    <row r="892" spans="1:18" x14ac:dyDescent="0.25">
      <c r="A892" s="26"/>
      <c r="B892" s="25" t="s">
        <v>231</v>
      </c>
      <c r="C892" s="15">
        <v>8</v>
      </c>
      <c r="D892" s="16">
        <v>100</v>
      </c>
      <c r="E892" s="15">
        <v>2</v>
      </c>
      <c r="F892" s="11">
        <v>2</v>
      </c>
      <c r="G892" s="11">
        <f t="shared" si="555"/>
        <v>26</v>
      </c>
      <c r="H892" s="12"/>
      <c r="I892" s="12">
        <f>2*(0.18+0.25)+24*C892/1000</f>
        <v>1.052</v>
      </c>
      <c r="J892" s="22"/>
      <c r="K892" s="22"/>
      <c r="L892" s="12">
        <f t="shared" si="554"/>
        <v>1.052</v>
      </c>
      <c r="M892" s="12">
        <f t="shared" si="528"/>
        <v>109.41</v>
      </c>
      <c r="N892" s="12">
        <f t="shared" si="448"/>
        <v>0</v>
      </c>
      <c r="O892" s="12">
        <f t="shared" si="449"/>
        <v>0</v>
      </c>
      <c r="P892" s="12">
        <f t="shared" si="450"/>
        <v>0</v>
      </c>
      <c r="Q892" s="12">
        <f t="shared" si="451"/>
        <v>0</v>
      </c>
      <c r="R892" s="12">
        <f t="shared" si="452"/>
        <v>0</v>
      </c>
    </row>
    <row r="893" spans="1:18" x14ac:dyDescent="0.25">
      <c r="A893" s="26"/>
      <c r="B893" s="25" t="s">
        <v>173</v>
      </c>
      <c r="C893" s="15">
        <v>8</v>
      </c>
      <c r="D893" s="16">
        <v>100</v>
      </c>
      <c r="E893" s="15">
        <v>2</v>
      </c>
      <c r="F893" s="11">
        <v>2</v>
      </c>
      <c r="G893" s="11">
        <f t="shared" si="555"/>
        <v>26</v>
      </c>
      <c r="H893" s="12"/>
      <c r="I893" s="12">
        <f>0.18+(20*C893/1000)</f>
        <v>0.33999999999999997</v>
      </c>
      <c r="J893" s="22"/>
      <c r="K893" s="22"/>
      <c r="L893" s="12">
        <f t="shared" si="554"/>
        <v>0.33999999999999997</v>
      </c>
      <c r="M893" s="12">
        <f t="shared" si="528"/>
        <v>35.36</v>
      </c>
      <c r="N893" s="12">
        <f t="shared" si="448"/>
        <v>0</v>
      </c>
      <c r="O893" s="12">
        <f t="shared" si="449"/>
        <v>0</v>
      </c>
      <c r="P893" s="12">
        <f t="shared" si="450"/>
        <v>0</v>
      </c>
      <c r="Q893" s="12">
        <f t="shared" si="451"/>
        <v>0</v>
      </c>
      <c r="R893" s="12">
        <f t="shared" si="452"/>
        <v>0</v>
      </c>
    </row>
    <row r="894" spans="1:18" x14ac:dyDescent="0.25">
      <c r="A894" s="26"/>
      <c r="B894" s="25" t="s">
        <v>232</v>
      </c>
      <c r="C894" s="15">
        <v>8</v>
      </c>
      <c r="D894" s="16">
        <v>200</v>
      </c>
      <c r="E894" s="15">
        <v>2</v>
      </c>
      <c r="F894" s="11">
        <v>1</v>
      </c>
      <c r="G894" s="11">
        <f t="shared" si="555"/>
        <v>13</v>
      </c>
      <c r="H894" s="12"/>
      <c r="I894" s="12">
        <f>2*(0.18+2.461)+24*C894/1000</f>
        <v>5.4740000000000002</v>
      </c>
      <c r="J894" s="22"/>
      <c r="K894" s="22"/>
      <c r="L894" s="12">
        <f t="shared" si="554"/>
        <v>5.4740000000000002</v>
      </c>
      <c r="M894" s="12">
        <f t="shared" si="528"/>
        <v>142.32</v>
      </c>
      <c r="N894" s="12">
        <f t="shared" si="448"/>
        <v>0</v>
      </c>
      <c r="O894" s="12">
        <f t="shared" si="449"/>
        <v>0</v>
      </c>
      <c r="P894" s="12">
        <f t="shared" si="450"/>
        <v>0</v>
      </c>
      <c r="Q894" s="12">
        <f t="shared" si="451"/>
        <v>0</v>
      </c>
      <c r="R894" s="12">
        <f t="shared" si="452"/>
        <v>0</v>
      </c>
    </row>
    <row r="895" spans="1:18" x14ac:dyDescent="0.25">
      <c r="A895" s="26"/>
      <c r="B895" s="25" t="s">
        <v>177</v>
      </c>
      <c r="C895" s="15">
        <v>8</v>
      </c>
      <c r="D895" s="16">
        <v>400</v>
      </c>
      <c r="E895" s="15">
        <v>2</v>
      </c>
      <c r="F895" s="11">
        <v>6</v>
      </c>
      <c r="G895" s="11">
        <f t="shared" si="555"/>
        <v>7</v>
      </c>
      <c r="H895" s="12"/>
      <c r="I895" s="12">
        <f>0.18+(20*C895/1000)</f>
        <v>0.33999999999999997</v>
      </c>
      <c r="J895" s="22"/>
      <c r="K895" s="22"/>
      <c r="L895" s="12">
        <f t="shared" ref="L895" si="556">SUM(H895:J895)+K895</f>
        <v>0.33999999999999997</v>
      </c>
      <c r="M895" s="12">
        <f t="shared" si="528"/>
        <v>28.56</v>
      </c>
      <c r="N895" s="12">
        <f t="shared" si="448"/>
        <v>0</v>
      </c>
      <c r="O895" s="12">
        <f t="shared" si="449"/>
        <v>0</v>
      </c>
      <c r="P895" s="12">
        <f t="shared" si="450"/>
        <v>0</v>
      </c>
      <c r="Q895" s="12">
        <f t="shared" si="451"/>
        <v>0</v>
      </c>
      <c r="R895" s="12">
        <f t="shared" si="452"/>
        <v>0</v>
      </c>
    </row>
    <row r="896" spans="1:18" x14ac:dyDescent="0.25">
      <c r="A896" s="26"/>
      <c r="B896" s="45" t="s">
        <v>247</v>
      </c>
      <c r="C896" s="15">
        <v>16</v>
      </c>
      <c r="D896" s="16"/>
      <c r="E896" s="15">
        <v>2</v>
      </c>
      <c r="F896" s="11">
        <v>1</v>
      </c>
      <c r="G896" s="11">
        <v>8</v>
      </c>
      <c r="H896" s="12"/>
      <c r="I896" s="12">
        <f t="shared" ref="I896:I898" si="557">106.2-103.25</f>
        <v>2.9500000000000028</v>
      </c>
      <c r="J896" s="22"/>
      <c r="K896" s="22">
        <f t="shared" ref="K896:K898" si="558">0.5*40*C896/1000</f>
        <v>0.32</v>
      </c>
      <c r="L896" s="12">
        <f t="shared" ref="L896:L903" si="559">SUM(H896:J896)+K896</f>
        <v>3.2700000000000027</v>
      </c>
      <c r="M896" s="12">
        <f t="shared" si="528"/>
        <v>0</v>
      </c>
      <c r="N896" s="12">
        <f t="shared" si="448"/>
        <v>0</v>
      </c>
      <c r="O896" s="12">
        <f t="shared" si="449"/>
        <v>0</v>
      </c>
      <c r="P896" s="12">
        <f t="shared" si="450"/>
        <v>52.32</v>
      </c>
      <c r="Q896" s="12">
        <f t="shared" si="451"/>
        <v>0</v>
      </c>
      <c r="R896" s="12">
        <f t="shared" si="452"/>
        <v>0</v>
      </c>
    </row>
    <row r="897" spans="1:18" x14ac:dyDescent="0.25">
      <c r="A897" s="26"/>
      <c r="B897" s="45"/>
      <c r="C897" s="15">
        <v>12</v>
      </c>
      <c r="D897" s="16"/>
      <c r="E897" s="15">
        <v>2</v>
      </c>
      <c r="F897" s="11">
        <v>1</v>
      </c>
      <c r="G897" s="11">
        <v>20</v>
      </c>
      <c r="H897" s="12"/>
      <c r="I897" s="12">
        <f t="shared" si="557"/>
        <v>2.9500000000000028</v>
      </c>
      <c r="J897" s="22"/>
      <c r="K897" s="22">
        <f t="shared" si="558"/>
        <v>0.24</v>
      </c>
      <c r="L897" s="12">
        <f t="shared" si="559"/>
        <v>3.1900000000000031</v>
      </c>
      <c r="M897" s="12">
        <f t="shared" si="528"/>
        <v>0</v>
      </c>
      <c r="N897" s="12">
        <f t="shared" si="448"/>
        <v>0</v>
      </c>
      <c r="O897" s="12">
        <f t="shared" si="449"/>
        <v>127.6</v>
      </c>
      <c r="P897" s="12">
        <f t="shared" si="450"/>
        <v>0</v>
      </c>
      <c r="Q897" s="12">
        <f t="shared" si="451"/>
        <v>0</v>
      </c>
      <c r="R897" s="12">
        <f t="shared" si="452"/>
        <v>0</v>
      </c>
    </row>
    <row r="898" spans="1:18" x14ac:dyDescent="0.25">
      <c r="A898" s="26"/>
      <c r="B898" s="45"/>
      <c r="C898" s="15">
        <v>10</v>
      </c>
      <c r="D898" s="16"/>
      <c r="E898" s="15">
        <v>2</v>
      </c>
      <c r="F898" s="11">
        <v>1</v>
      </c>
      <c r="G898" s="11">
        <v>26</v>
      </c>
      <c r="H898" s="12"/>
      <c r="I898" s="12">
        <f t="shared" si="557"/>
        <v>2.9500000000000028</v>
      </c>
      <c r="J898" s="22"/>
      <c r="K898" s="22">
        <f t="shared" si="558"/>
        <v>0.2</v>
      </c>
      <c r="L898" s="12">
        <f t="shared" si="559"/>
        <v>3.150000000000003</v>
      </c>
      <c r="M898" s="12">
        <f t="shared" si="528"/>
        <v>0</v>
      </c>
      <c r="N898" s="12">
        <f t="shared" si="448"/>
        <v>163.80000000000001</v>
      </c>
      <c r="O898" s="12">
        <f t="shared" si="449"/>
        <v>0</v>
      </c>
      <c r="P898" s="12">
        <f t="shared" si="450"/>
        <v>0</v>
      </c>
      <c r="Q898" s="12">
        <f t="shared" si="451"/>
        <v>0</v>
      </c>
      <c r="R898" s="12">
        <f t="shared" si="452"/>
        <v>0</v>
      </c>
    </row>
    <row r="899" spans="1:18" x14ac:dyDescent="0.25">
      <c r="A899" s="26"/>
      <c r="B899" s="25" t="s">
        <v>172</v>
      </c>
      <c r="C899" s="15"/>
      <c r="D899" s="16"/>
      <c r="E899" s="15"/>
      <c r="F899" s="11"/>
      <c r="G899" s="11"/>
      <c r="H899" s="12"/>
      <c r="I899" s="12"/>
      <c r="J899" s="22"/>
      <c r="K899" s="22"/>
      <c r="L899" s="12">
        <f t="shared" si="559"/>
        <v>0</v>
      </c>
      <c r="M899" s="12">
        <f t="shared" si="528"/>
        <v>0</v>
      </c>
      <c r="N899" s="12">
        <f t="shared" si="448"/>
        <v>0</v>
      </c>
      <c r="O899" s="12">
        <f t="shared" si="449"/>
        <v>0</v>
      </c>
      <c r="P899" s="12">
        <f t="shared" si="450"/>
        <v>0</v>
      </c>
      <c r="Q899" s="12">
        <f t="shared" si="451"/>
        <v>0</v>
      </c>
      <c r="R899" s="12">
        <f t="shared" si="452"/>
        <v>0</v>
      </c>
    </row>
    <row r="900" spans="1:18" x14ac:dyDescent="0.25">
      <c r="A900" s="26"/>
      <c r="B900" s="25" t="s">
        <v>200</v>
      </c>
      <c r="C900" s="15">
        <v>8</v>
      </c>
      <c r="D900" s="16">
        <v>100</v>
      </c>
      <c r="E900" s="15">
        <v>2</v>
      </c>
      <c r="F900" s="11">
        <v>2</v>
      </c>
      <c r="G900" s="11">
        <f t="shared" ref="G900:G904" si="560">+ROUND(2450/D900+1,0)</f>
        <v>26</v>
      </c>
      <c r="H900" s="12"/>
      <c r="I900" s="12">
        <f>2*(0.18+0.683)+24*C900/1000</f>
        <v>1.9179999999999999</v>
      </c>
      <c r="J900" s="22"/>
      <c r="K900" s="22"/>
      <c r="L900" s="12">
        <f t="shared" si="559"/>
        <v>1.9179999999999999</v>
      </c>
      <c r="M900" s="12">
        <f t="shared" si="528"/>
        <v>199.47</v>
      </c>
      <c r="N900" s="12">
        <f t="shared" si="448"/>
        <v>0</v>
      </c>
      <c r="O900" s="12">
        <f t="shared" si="449"/>
        <v>0</v>
      </c>
      <c r="P900" s="12">
        <f t="shared" si="450"/>
        <v>0</v>
      </c>
      <c r="Q900" s="12">
        <f t="shared" si="451"/>
        <v>0</v>
      </c>
      <c r="R900" s="12">
        <f t="shared" si="452"/>
        <v>0</v>
      </c>
    </row>
    <row r="901" spans="1:18" x14ac:dyDescent="0.25">
      <c r="A901" s="26"/>
      <c r="B901" s="25" t="s">
        <v>205</v>
      </c>
      <c r="C901" s="15">
        <v>8</v>
      </c>
      <c r="D901" s="16">
        <v>100</v>
      </c>
      <c r="E901" s="15">
        <v>2</v>
      </c>
      <c r="F901" s="11">
        <f>2*2</f>
        <v>4</v>
      </c>
      <c r="G901" s="11">
        <f t="shared" si="560"/>
        <v>26</v>
      </c>
      <c r="H901" s="12"/>
      <c r="I901" s="12">
        <f>2*(0.18+0.124)+24*C901/1000</f>
        <v>0.8</v>
      </c>
      <c r="J901" s="22"/>
      <c r="K901" s="22"/>
      <c r="L901" s="12">
        <f t="shared" si="559"/>
        <v>0.8</v>
      </c>
      <c r="M901" s="12">
        <f t="shared" si="528"/>
        <v>166.4</v>
      </c>
      <c r="N901" s="12">
        <f t="shared" si="448"/>
        <v>0</v>
      </c>
      <c r="O901" s="12">
        <f t="shared" si="449"/>
        <v>0</v>
      </c>
      <c r="P901" s="12">
        <f t="shared" si="450"/>
        <v>0</v>
      </c>
      <c r="Q901" s="12">
        <f t="shared" si="451"/>
        <v>0</v>
      </c>
      <c r="R901" s="12">
        <f t="shared" si="452"/>
        <v>0</v>
      </c>
    </row>
    <row r="902" spans="1:18" x14ac:dyDescent="0.25">
      <c r="A902" s="26"/>
      <c r="B902" s="25" t="s">
        <v>173</v>
      </c>
      <c r="C902" s="15">
        <v>8</v>
      </c>
      <c r="D902" s="16">
        <v>100</v>
      </c>
      <c r="E902" s="15">
        <v>2</v>
      </c>
      <c r="F902" s="11">
        <v>2</v>
      </c>
      <c r="G902" s="11">
        <f t="shared" si="560"/>
        <v>26</v>
      </c>
      <c r="H902" s="12"/>
      <c r="I902" s="12">
        <f>0.18+(20*C902/1000)</f>
        <v>0.33999999999999997</v>
      </c>
      <c r="J902" s="22"/>
      <c r="K902" s="22"/>
      <c r="L902" s="12">
        <f t="shared" si="559"/>
        <v>0.33999999999999997</v>
      </c>
      <c r="M902" s="12">
        <f t="shared" si="528"/>
        <v>35.36</v>
      </c>
      <c r="N902" s="12">
        <f t="shared" si="448"/>
        <v>0</v>
      </c>
      <c r="O902" s="12">
        <f t="shared" si="449"/>
        <v>0</v>
      </c>
      <c r="P902" s="12">
        <f t="shared" si="450"/>
        <v>0</v>
      </c>
      <c r="Q902" s="12">
        <f t="shared" si="451"/>
        <v>0</v>
      </c>
      <c r="R902" s="12">
        <f t="shared" si="452"/>
        <v>0</v>
      </c>
    </row>
    <row r="903" spans="1:18" x14ac:dyDescent="0.25">
      <c r="A903" s="26"/>
      <c r="B903" s="25" t="s">
        <v>246</v>
      </c>
      <c r="C903" s="15">
        <v>8</v>
      </c>
      <c r="D903" s="16">
        <v>200</v>
      </c>
      <c r="E903" s="15">
        <v>2</v>
      </c>
      <c r="F903" s="11">
        <v>1</v>
      </c>
      <c r="G903" s="11">
        <f t="shared" si="560"/>
        <v>13</v>
      </c>
      <c r="H903" s="12"/>
      <c r="I903" s="12">
        <f>2*(0.18+2.681)+24*C903/1000</f>
        <v>5.9140000000000006</v>
      </c>
      <c r="J903" s="22"/>
      <c r="K903" s="22"/>
      <c r="L903" s="12">
        <f t="shared" si="559"/>
        <v>5.9140000000000006</v>
      </c>
      <c r="M903" s="12">
        <f t="shared" si="528"/>
        <v>153.76</v>
      </c>
      <c r="N903" s="12">
        <f t="shared" si="448"/>
        <v>0</v>
      </c>
      <c r="O903" s="12">
        <f t="shared" si="449"/>
        <v>0</v>
      </c>
      <c r="P903" s="12">
        <f t="shared" si="450"/>
        <v>0</v>
      </c>
      <c r="Q903" s="12">
        <f t="shared" si="451"/>
        <v>0</v>
      </c>
      <c r="R903" s="12">
        <f t="shared" si="452"/>
        <v>0</v>
      </c>
    </row>
    <row r="904" spans="1:18" x14ac:dyDescent="0.25">
      <c r="A904" s="26"/>
      <c r="B904" s="25" t="s">
        <v>177</v>
      </c>
      <c r="C904" s="15">
        <v>8</v>
      </c>
      <c r="D904" s="16">
        <v>400</v>
      </c>
      <c r="E904" s="15">
        <v>2</v>
      </c>
      <c r="F904" s="11">
        <v>6</v>
      </c>
      <c r="G904" s="11">
        <f t="shared" si="560"/>
        <v>7</v>
      </c>
      <c r="H904" s="12"/>
      <c r="I904" s="12">
        <f>0.18+(20*C904/1000)</f>
        <v>0.33999999999999997</v>
      </c>
      <c r="J904" s="22"/>
      <c r="K904" s="22"/>
      <c r="L904" s="12">
        <f t="shared" ref="L904" si="561">SUM(H904:J904)+K904</f>
        <v>0.33999999999999997</v>
      </c>
      <c r="M904" s="12">
        <f t="shared" si="528"/>
        <v>28.56</v>
      </c>
      <c r="N904" s="12">
        <f t="shared" si="448"/>
        <v>0</v>
      </c>
      <c r="O904" s="12">
        <f t="shared" si="449"/>
        <v>0</v>
      </c>
      <c r="P904" s="12">
        <f t="shared" si="450"/>
        <v>0</v>
      </c>
      <c r="Q904" s="12">
        <f t="shared" si="451"/>
        <v>0</v>
      </c>
      <c r="R904" s="12">
        <f t="shared" si="452"/>
        <v>0</v>
      </c>
    </row>
    <row r="905" spans="1:18" x14ac:dyDescent="0.25">
      <c r="A905" s="26"/>
      <c r="B905" s="45" t="s">
        <v>207</v>
      </c>
      <c r="C905" s="15">
        <v>16</v>
      </c>
      <c r="D905" s="16"/>
      <c r="E905" s="15">
        <v>2</v>
      </c>
      <c r="F905" s="11">
        <v>1</v>
      </c>
      <c r="G905" s="11">
        <v>8</v>
      </c>
      <c r="H905" s="12"/>
      <c r="I905" s="12">
        <f t="shared" ref="I905:I907" si="562">106.2-103.25</f>
        <v>2.9500000000000028</v>
      </c>
      <c r="J905" s="22"/>
      <c r="K905" s="22">
        <f t="shared" ref="K905:K907" si="563">0.5*40*C905/1000</f>
        <v>0.32</v>
      </c>
      <c r="L905" s="12">
        <f t="shared" ref="L905:L922" si="564">SUM(H905:J905)+K905</f>
        <v>3.2700000000000027</v>
      </c>
      <c r="M905" s="12">
        <f t="shared" si="528"/>
        <v>0</v>
      </c>
      <c r="N905" s="12">
        <f t="shared" si="448"/>
        <v>0</v>
      </c>
      <c r="O905" s="12">
        <f t="shared" si="449"/>
        <v>0</v>
      </c>
      <c r="P905" s="12">
        <f t="shared" si="450"/>
        <v>52.32</v>
      </c>
      <c r="Q905" s="12">
        <f t="shared" si="451"/>
        <v>0</v>
      </c>
      <c r="R905" s="12">
        <f t="shared" si="452"/>
        <v>0</v>
      </c>
    </row>
    <row r="906" spans="1:18" x14ac:dyDescent="0.25">
      <c r="A906" s="26"/>
      <c r="B906" s="25"/>
      <c r="C906" s="15">
        <v>12</v>
      </c>
      <c r="D906" s="16"/>
      <c r="E906" s="15">
        <v>2</v>
      </c>
      <c r="F906" s="11">
        <v>1</v>
      </c>
      <c r="G906" s="11">
        <v>16</v>
      </c>
      <c r="H906" s="12"/>
      <c r="I906" s="12">
        <f t="shared" si="562"/>
        <v>2.9500000000000028</v>
      </c>
      <c r="J906" s="22"/>
      <c r="K906" s="22">
        <f t="shared" si="563"/>
        <v>0.24</v>
      </c>
      <c r="L906" s="12">
        <f t="shared" si="564"/>
        <v>3.1900000000000031</v>
      </c>
      <c r="M906" s="12">
        <f t="shared" si="528"/>
        <v>0</v>
      </c>
      <c r="N906" s="12">
        <f t="shared" si="448"/>
        <v>0</v>
      </c>
      <c r="O906" s="12">
        <f t="shared" si="449"/>
        <v>102.08</v>
      </c>
      <c r="P906" s="12">
        <f t="shared" si="450"/>
        <v>0</v>
      </c>
      <c r="Q906" s="12">
        <f t="shared" si="451"/>
        <v>0</v>
      </c>
      <c r="R906" s="12">
        <f t="shared" si="452"/>
        <v>0</v>
      </c>
    </row>
    <row r="907" spans="1:18" x14ac:dyDescent="0.25">
      <c r="A907" s="26"/>
      <c r="B907" s="25"/>
      <c r="C907" s="15">
        <v>10</v>
      </c>
      <c r="D907" s="16"/>
      <c r="E907" s="15">
        <v>2</v>
      </c>
      <c r="F907" s="11">
        <v>1</v>
      </c>
      <c r="G907" s="11">
        <v>6</v>
      </c>
      <c r="H907" s="12"/>
      <c r="I907" s="12">
        <f t="shared" si="562"/>
        <v>2.9500000000000028</v>
      </c>
      <c r="J907" s="22"/>
      <c r="K907" s="22">
        <f t="shared" si="563"/>
        <v>0.2</v>
      </c>
      <c r="L907" s="12">
        <f t="shared" si="564"/>
        <v>3.150000000000003</v>
      </c>
      <c r="M907" s="12">
        <f t="shared" si="528"/>
        <v>0</v>
      </c>
      <c r="N907" s="12">
        <f t="shared" si="448"/>
        <v>37.799999999999997</v>
      </c>
      <c r="O907" s="12">
        <f t="shared" si="449"/>
        <v>0</v>
      </c>
      <c r="P907" s="12">
        <f t="shared" si="450"/>
        <v>0</v>
      </c>
      <c r="Q907" s="12">
        <f t="shared" si="451"/>
        <v>0</v>
      </c>
      <c r="R907" s="12">
        <f t="shared" si="452"/>
        <v>0</v>
      </c>
    </row>
    <row r="908" spans="1:18" x14ac:dyDescent="0.25">
      <c r="A908" s="26"/>
      <c r="B908" s="25" t="s">
        <v>172</v>
      </c>
      <c r="C908" s="15"/>
      <c r="D908" s="16"/>
      <c r="E908" s="15"/>
      <c r="F908" s="11"/>
      <c r="G908" s="11"/>
      <c r="H908" s="12"/>
      <c r="I908" s="12"/>
      <c r="J908" s="22"/>
      <c r="K908" s="22"/>
      <c r="L908" s="12">
        <f t="shared" si="564"/>
        <v>0</v>
      </c>
      <c r="M908" s="12">
        <f t="shared" si="528"/>
        <v>0</v>
      </c>
      <c r="N908" s="12">
        <f t="shared" si="448"/>
        <v>0</v>
      </c>
      <c r="O908" s="12">
        <f t="shared" si="449"/>
        <v>0</v>
      </c>
      <c r="P908" s="12">
        <f t="shared" si="450"/>
        <v>0</v>
      </c>
      <c r="Q908" s="12">
        <f t="shared" si="451"/>
        <v>0</v>
      </c>
      <c r="R908" s="12">
        <f t="shared" si="452"/>
        <v>0</v>
      </c>
    </row>
    <row r="909" spans="1:18" x14ac:dyDescent="0.25">
      <c r="A909" s="26"/>
      <c r="B909" s="25" t="s">
        <v>188</v>
      </c>
      <c r="C909" s="15">
        <v>8</v>
      </c>
      <c r="D909" s="16">
        <v>100</v>
      </c>
      <c r="E909" s="15">
        <v>2</v>
      </c>
      <c r="F909" s="11">
        <v>1</v>
      </c>
      <c r="G909" s="11">
        <f t="shared" ref="G909:G916" si="565">+ROUND(2450/D909+1,0)</f>
        <v>26</v>
      </c>
      <c r="H909" s="12"/>
      <c r="I909" s="12">
        <f>2*(0.18+0.6)+24*C909/1000</f>
        <v>1.752</v>
      </c>
      <c r="J909" s="22"/>
      <c r="K909" s="22"/>
      <c r="L909" s="12">
        <f t="shared" si="564"/>
        <v>1.752</v>
      </c>
      <c r="M909" s="12">
        <f t="shared" si="528"/>
        <v>91.1</v>
      </c>
      <c r="N909" s="12">
        <f t="shared" si="448"/>
        <v>0</v>
      </c>
      <c r="O909" s="12">
        <f t="shared" si="449"/>
        <v>0</v>
      </c>
      <c r="P909" s="12">
        <f t="shared" si="450"/>
        <v>0</v>
      </c>
      <c r="Q909" s="12">
        <f t="shared" si="451"/>
        <v>0</v>
      </c>
      <c r="R909" s="12">
        <f t="shared" si="452"/>
        <v>0</v>
      </c>
    </row>
    <row r="910" spans="1:18" x14ac:dyDescent="0.25">
      <c r="A910" s="26"/>
      <c r="B910" s="25" t="s">
        <v>174</v>
      </c>
      <c r="C910" s="15">
        <v>8</v>
      </c>
      <c r="D910" s="16">
        <v>100</v>
      </c>
      <c r="E910" s="15">
        <v>2</v>
      </c>
      <c r="F910" s="11">
        <v>1</v>
      </c>
      <c r="G910" s="11">
        <f t="shared" si="565"/>
        <v>26</v>
      </c>
      <c r="H910" s="12"/>
      <c r="I910" s="12">
        <f>2*(0.18+0.248)+24*C910/1000</f>
        <v>1.048</v>
      </c>
      <c r="J910" s="22"/>
      <c r="K910" s="22"/>
      <c r="L910" s="12">
        <f t="shared" si="564"/>
        <v>1.048</v>
      </c>
      <c r="M910" s="12">
        <f t="shared" si="528"/>
        <v>54.5</v>
      </c>
      <c r="N910" s="12">
        <f t="shared" si="448"/>
        <v>0</v>
      </c>
      <c r="O910" s="12">
        <f t="shared" si="449"/>
        <v>0</v>
      </c>
      <c r="P910" s="12">
        <f t="shared" si="450"/>
        <v>0</v>
      </c>
      <c r="Q910" s="12">
        <f t="shared" si="451"/>
        <v>0</v>
      </c>
      <c r="R910" s="12">
        <f t="shared" si="452"/>
        <v>0</v>
      </c>
    </row>
    <row r="911" spans="1:18" x14ac:dyDescent="0.25">
      <c r="A911" s="26"/>
      <c r="B911" s="25" t="s">
        <v>173</v>
      </c>
      <c r="C911" s="15">
        <v>8</v>
      </c>
      <c r="D911" s="16">
        <v>100</v>
      </c>
      <c r="E911" s="15">
        <v>2</v>
      </c>
      <c r="F911" s="11">
        <v>1</v>
      </c>
      <c r="G911" s="11">
        <f t="shared" si="565"/>
        <v>26</v>
      </c>
      <c r="H911" s="12"/>
      <c r="I911" s="12">
        <f>0.18+(20*C911/1000)</f>
        <v>0.33999999999999997</v>
      </c>
      <c r="J911" s="22"/>
      <c r="K911" s="22"/>
      <c r="L911" s="12">
        <f t="shared" si="564"/>
        <v>0.33999999999999997</v>
      </c>
      <c r="M911" s="12">
        <f t="shared" si="528"/>
        <v>17.68</v>
      </c>
      <c r="N911" s="12">
        <f t="shared" si="448"/>
        <v>0</v>
      </c>
      <c r="O911" s="12">
        <f t="shared" si="449"/>
        <v>0</v>
      </c>
      <c r="P911" s="12">
        <f t="shared" si="450"/>
        <v>0</v>
      </c>
      <c r="Q911" s="12">
        <f t="shared" si="451"/>
        <v>0</v>
      </c>
      <c r="R911" s="12">
        <f t="shared" si="452"/>
        <v>0</v>
      </c>
    </row>
    <row r="912" spans="1:18" x14ac:dyDescent="0.25">
      <c r="A912" s="26"/>
      <c r="B912" s="25" t="s">
        <v>189</v>
      </c>
      <c r="C912" s="15">
        <v>8</v>
      </c>
      <c r="D912" s="16">
        <v>100</v>
      </c>
      <c r="E912" s="15">
        <v>2</v>
      </c>
      <c r="F912" s="11">
        <v>2</v>
      </c>
      <c r="G912" s="11">
        <f t="shared" si="565"/>
        <v>26</v>
      </c>
      <c r="H912" s="12"/>
      <c r="I912" s="12">
        <f>2*(0.18+0.385)+24*C912/1000</f>
        <v>1.3219999999999998</v>
      </c>
      <c r="J912" s="22"/>
      <c r="K912" s="22"/>
      <c r="L912" s="12">
        <f t="shared" si="564"/>
        <v>1.3219999999999998</v>
      </c>
      <c r="M912" s="12">
        <f t="shared" si="528"/>
        <v>137.49</v>
      </c>
      <c r="N912" s="12">
        <f t="shared" si="448"/>
        <v>0</v>
      </c>
      <c r="O912" s="12">
        <f t="shared" si="449"/>
        <v>0</v>
      </c>
      <c r="P912" s="12">
        <f t="shared" si="450"/>
        <v>0</v>
      </c>
      <c r="Q912" s="12">
        <f t="shared" si="451"/>
        <v>0</v>
      </c>
      <c r="R912" s="12">
        <f t="shared" si="452"/>
        <v>0</v>
      </c>
    </row>
    <row r="913" spans="1:19" x14ac:dyDescent="0.25">
      <c r="A913" s="26"/>
      <c r="B913" s="25" t="s">
        <v>175</v>
      </c>
      <c r="C913" s="15">
        <v>8</v>
      </c>
      <c r="D913" s="16">
        <v>100</v>
      </c>
      <c r="E913" s="15">
        <v>2</v>
      </c>
      <c r="F913" s="11">
        <v>1</v>
      </c>
      <c r="G913" s="11">
        <f t="shared" si="565"/>
        <v>26</v>
      </c>
      <c r="H913" s="12"/>
      <c r="I913" s="12">
        <f>2*(0.18+0.268)+24*C913/1000</f>
        <v>1.0880000000000001</v>
      </c>
      <c r="J913" s="22"/>
      <c r="K913" s="22"/>
      <c r="L913" s="12">
        <f t="shared" si="564"/>
        <v>1.0880000000000001</v>
      </c>
      <c r="M913" s="12">
        <f t="shared" si="528"/>
        <v>56.58</v>
      </c>
      <c r="N913" s="12">
        <f t="shared" si="448"/>
        <v>0</v>
      </c>
      <c r="O913" s="12">
        <f t="shared" si="449"/>
        <v>0</v>
      </c>
      <c r="P913" s="12">
        <f t="shared" si="450"/>
        <v>0</v>
      </c>
      <c r="Q913" s="12">
        <f t="shared" si="451"/>
        <v>0</v>
      </c>
      <c r="R913" s="12">
        <f t="shared" si="452"/>
        <v>0</v>
      </c>
    </row>
    <row r="914" spans="1:19" x14ac:dyDescent="0.25">
      <c r="A914" s="26"/>
      <c r="B914" s="25" t="s">
        <v>173</v>
      </c>
      <c r="C914" s="15">
        <v>8</v>
      </c>
      <c r="D914" s="16">
        <v>100</v>
      </c>
      <c r="E914" s="15">
        <v>2</v>
      </c>
      <c r="F914" s="11">
        <v>1</v>
      </c>
      <c r="G914" s="11">
        <f t="shared" si="565"/>
        <v>26</v>
      </c>
      <c r="H914" s="12"/>
      <c r="I914" s="12">
        <f>0.18+(20*C914/1000)</f>
        <v>0.33999999999999997</v>
      </c>
      <c r="J914" s="22"/>
      <c r="K914" s="22"/>
      <c r="L914" s="12">
        <f t="shared" si="564"/>
        <v>0.33999999999999997</v>
      </c>
      <c r="M914" s="12">
        <f t="shared" si="528"/>
        <v>17.68</v>
      </c>
      <c r="N914" s="12">
        <f t="shared" si="448"/>
        <v>0</v>
      </c>
      <c r="O914" s="12">
        <f t="shared" si="449"/>
        <v>0</v>
      </c>
      <c r="P914" s="12">
        <f t="shared" si="450"/>
        <v>0</v>
      </c>
      <c r="Q914" s="12">
        <f t="shared" si="451"/>
        <v>0</v>
      </c>
      <c r="R914" s="12">
        <f t="shared" si="452"/>
        <v>0</v>
      </c>
    </row>
    <row r="915" spans="1:19" x14ac:dyDescent="0.25">
      <c r="A915" s="26"/>
      <c r="B915" s="25" t="s">
        <v>208</v>
      </c>
      <c r="C915" s="15">
        <v>8</v>
      </c>
      <c r="D915" s="16">
        <v>200</v>
      </c>
      <c r="E915" s="15">
        <v>2</v>
      </c>
      <c r="F915" s="11">
        <v>1</v>
      </c>
      <c r="G915" s="11">
        <f t="shared" si="565"/>
        <v>13</v>
      </c>
      <c r="H915" s="12"/>
      <c r="I915" s="12">
        <f>2*(0.18+0.751)+24*C915/1000</f>
        <v>2.0540000000000003</v>
      </c>
      <c r="J915" s="22"/>
      <c r="K915" s="22"/>
      <c r="L915" s="12">
        <f t="shared" si="564"/>
        <v>2.0540000000000003</v>
      </c>
      <c r="M915" s="12">
        <f t="shared" si="528"/>
        <v>53.4</v>
      </c>
      <c r="N915" s="12">
        <f t="shared" si="448"/>
        <v>0</v>
      </c>
      <c r="O915" s="12">
        <f t="shared" si="449"/>
        <v>0</v>
      </c>
      <c r="P915" s="12">
        <f t="shared" si="450"/>
        <v>0</v>
      </c>
      <c r="Q915" s="12">
        <f t="shared" si="451"/>
        <v>0</v>
      </c>
      <c r="R915" s="12">
        <f t="shared" si="452"/>
        <v>0</v>
      </c>
    </row>
    <row r="916" spans="1:19" x14ac:dyDescent="0.25">
      <c r="A916" s="26"/>
      <c r="B916" s="25" t="s">
        <v>177</v>
      </c>
      <c r="C916" s="15">
        <v>8</v>
      </c>
      <c r="D916" s="16">
        <v>400</v>
      </c>
      <c r="E916" s="15">
        <v>2</v>
      </c>
      <c r="F916" s="11">
        <v>1</v>
      </c>
      <c r="G916" s="11">
        <f t="shared" si="565"/>
        <v>7</v>
      </c>
      <c r="H916" s="12"/>
      <c r="I916" s="12">
        <f>0.18+(20*C916/1000)</f>
        <v>0.33999999999999997</v>
      </c>
      <c r="J916" s="22"/>
      <c r="K916" s="22"/>
      <c r="L916" s="12">
        <f t="shared" si="564"/>
        <v>0.33999999999999997</v>
      </c>
      <c r="M916" s="12">
        <f t="shared" si="528"/>
        <v>4.76</v>
      </c>
      <c r="N916" s="12">
        <f t="shared" si="448"/>
        <v>0</v>
      </c>
      <c r="O916" s="12">
        <f t="shared" si="449"/>
        <v>0</v>
      </c>
      <c r="P916" s="12">
        <f t="shared" si="450"/>
        <v>0</v>
      </c>
      <c r="Q916" s="12">
        <f t="shared" si="451"/>
        <v>0</v>
      </c>
      <c r="R916" s="12">
        <f t="shared" si="452"/>
        <v>0</v>
      </c>
    </row>
    <row r="917" spans="1:19" x14ac:dyDescent="0.25">
      <c r="A917" s="26"/>
      <c r="B917" s="45" t="s">
        <v>248</v>
      </c>
      <c r="C917" s="15">
        <v>16</v>
      </c>
      <c r="D917" s="16"/>
      <c r="E917" s="15">
        <v>2</v>
      </c>
      <c r="F917" s="11">
        <v>1</v>
      </c>
      <c r="G917" s="11">
        <v>8</v>
      </c>
      <c r="H917" s="12"/>
      <c r="I917" s="12">
        <f t="shared" ref="I917:I919" si="566">106.2-103.25</f>
        <v>2.9500000000000028</v>
      </c>
      <c r="J917" s="22"/>
      <c r="K917" s="22">
        <f t="shared" ref="K917:K919" si="567">0.5*40*C917/1000</f>
        <v>0.32</v>
      </c>
      <c r="L917" s="12">
        <f t="shared" si="564"/>
        <v>3.2700000000000027</v>
      </c>
      <c r="M917" s="12">
        <f t="shared" si="528"/>
        <v>0</v>
      </c>
      <c r="N917" s="12">
        <f t="shared" si="448"/>
        <v>0</v>
      </c>
      <c r="O917" s="12">
        <f t="shared" si="449"/>
        <v>0</v>
      </c>
      <c r="P917" s="12">
        <f t="shared" si="450"/>
        <v>52.32</v>
      </c>
      <c r="Q917" s="12">
        <f t="shared" si="451"/>
        <v>0</v>
      </c>
      <c r="R917" s="12">
        <f t="shared" si="452"/>
        <v>0</v>
      </c>
    </row>
    <row r="918" spans="1:19" x14ac:dyDescent="0.25">
      <c r="A918" s="26"/>
      <c r="B918" s="45"/>
      <c r="C918" s="15">
        <v>12</v>
      </c>
      <c r="D918" s="16"/>
      <c r="E918" s="15">
        <v>2</v>
      </c>
      <c r="F918" s="11">
        <v>1</v>
      </c>
      <c r="G918" s="11">
        <v>8</v>
      </c>
      <c r="H918" s="12"/>
      <c r="I918" s="12">
        <f t="shared" si="566"/>
        <v>2.9500000000000028</v>
      </c>
      <c r="J918" s="22"/>
      <c r="K918" s="22">
        <f t="shared" si="567"/>
        <v>0.24</v>
      </c>
      <c r="L918" s="12">
        <f t="shared" si="564"/>
        <v>3.1900000000000031</v>
      </c>
      <c r="M918" s="12">
        <f t="shared" si="528"/>
        <v>0</v>
      </c>
      <c r="N918" s="12">
        <f t="shared" si="448"/>
        <v>0</v>
      </c>
      <c r="O918" s="12">
        <f t="shared" si="449"/>
        <v>51.04</v>
      </c>
      <c r="P918" s="12">
        <f t="shared" si="450"/>
        <v>0</v>
      </c>
      <c r="Q918" s="12">
        <f t="shared" si="451"/>
        <v>0</v>
      </c>
      <c r="R918" s="12">
        <f t="shared" si="452"/>
        <v>0</v>
      </c>
    </row>
    <row r="919" spans="1:19" x14ac:dyDescent="0.25">
      <c r="A919" s="26"/>
      <c r="B919" s="45"/>
      <c r="C919" s="15">
        <v>10</v>
      </c>
      <c r="D919" s="16"/>
      <c r="E919" s="15">
        <v>2</v>
      </c>
      <c r="F919" s="11">
        <v>1</v>
      </c>
      <c r="G919" s="11">
        <v>26</v>
      </c>
      <c r="H919" s="12"/>
      <c r="I919" s="12">
        <f t="shared" si="566"/>
        <v>2.9500000000000028</v>
      </c>
      <c r="J919" s="22"/>
      <c r="K919" s="22">
        <f t="shared" si="567"/>
        <v>0.2</v>
      </c>
      <c r="L919" s="12">
        <f t="shared" si="564"/>
        <v>3.150000000000003</v>
      </c>
      <c r="M919" s="12">
        <f t="shared" si="528"/>
        <v>0</v>
      </c>
      <c r="N919" s="12">
        <f t="shared" si="448"/>
        <v>163.80000000000001</v>
      </c>
      <c r="O919" s="12">
        <f t="shared" si="449"/>
        <v>0</v>
      </c>
      <c r="P919" s="12">
        <f t="shared" si="450"/>
        <v>0</v>
      </c>
      <c r="Q919" s="12">
        <f t="shared" si="451"/>
        <v>0</v>
      </c>
      <c r="R919" s="12">
        <f t="shared" si="452"/>
        <v>0</v>
      </c>
    </row>
    <row r="920" spans="1:19" x14ac:dyDescent="0.25">
      <c r="A920" s="26"/>
      <c r="B920" s="25" t="s">
        <v>172</v>
      </c>
      <c r="C920" s="15"/>
      <c r="D920" s="16"/>
      <c r="E920" s="15"/>
      <c r="F920" s="11"/>
      <c r="G920" s="11"/>
      <c r="H920" s="12"/>
      <c r="I920" s="12"/>
      <c r="J920" s="22"/>
      <c r="K920" s="22"/>
      <c r="L920" s="12">
        <f t="shared" si="564"/>
        <v>0</v>
      </c>
      <c r="M920" s="12">
        <f t="shared" si="528"/>
        <v>0</v>
      </c>
      <c r="N920" s="12">
        <f t="shared" si="448"/>
        <v>0</v>
      </c>
      <c r="O920" s="12">
        <f t="shared" si="449"/>
        <v>0</v>
      </c>
      <c r="P920" s="12">
        <f t="shared" si="450"/>
        <v>0</v>
      </c>
      <c r="Q920" s="12">
        <f t="shared" si="451"/>
        <v>0</v>
      </c>
      <c r="R920" s="12">
        <f t="shared" si="452"/>
        <v>0</v>
      </c>
    </row>
    <row r="921" spans="1:19" x14ac:dyDescent="0.25">
      <c r="A921" s="26"/>
      <c r="B921" s="25" t="s">
        <v>289</v>
      </c>
      <c r="C921" s="15">
        <v>8</v>
      </c>
      <c r="D921" s="16">
        <v>100</v>
      </c>
      <c r="E921" s="15">
        <v>2</v>
      </c>
      <c r="F921" s="11">
        <v>2</v>
      </c>
      <c r="G921" s="11">
        <f t="shared" ref="G921:G924" si="568">+ROUND(2450/D921+1,0)</f>
        <v>26</v>
      </c>
      <c r="H921" s="12"/>
      <c r="I921" s="12">
        <f>2*(0.14+0.383)+24*C921/1000</f>
        <v>1.238</v>
      </c>
      <c r="J921" s="22"/>
      <c r="K921" s="22"/>
      <c r="L921" s="12">
        <f t="shared" si="564"/>
        <v>1.238</v>
      </c>
      <c r="M921" s="12">
        <f t="shared" si="528"/>
        <v>128.75</v>
      </c>
      <c r="N921" s="12">
        <f t="shared" si="448"/>
        <v>0</v>
      </c>
      <c r="O921" s="12">
        <f t="shared" si="449"/>
        <v>0</v>
      </c>
      <c r="P921" s="12">
        <f t="shared" si="450"/>
        <v>0</v>
      </c>
      <c r="Q921" s="12">
        <f t="shared" si="451"/>
        <v>0</v>
      </c>
      <c r="R921" s="12">
        <f t="shared" si="452"/>
        <v>0</v>
      </c>
    </row>
    <row r="922" spans="1:19" x14ac:dyDescent="0.25">
      <c r="A922" s="26"/>
      <c r="B922" s="25" t="s">
        <v>287</v>
      </c>
      <c r="C922" s="15">
        <v>8</v>
      </c>
      <c r="D922" s="16">
        <v>100</v>
      </c>
      <c r="E922" s="15">
        <v>2</v>
      </c>
      <c r="F922" s="11">
        <v>2</v>
      </c>
      <c r="G922" s="11">
        <f t="shared" si="568"/>
        <v>26</v>
      </c>
      <c r="H922" s="12"/>
      <c r="I922" s="12">
        <f>2*(0.14+0.133)+24*C922/1000</f>
        <v>0.73799999999999999</v>
      </c>
      <c r="J922" s="22"/>
      <c r="K922" s="22"/>
      <c r="L922" s="12">
        <f t="shared" si="564"/>
        <v>0.73799999999999999</v>
      </c>
      <c r="M922" s="12">
        <f t="shared" si="528"/>
        <v>76.75</v>
      </c>
      <c r="N922" s="12">
        <f t="shared" si="448"/>
        <v>0</v>
      </c>
      <c r="O922" s="12">
        <f t="shared" si="449"/>
        <v>0</v>
      </c>
      <c r="P922" s="12">
        <f t="shared" si="450"/>
        <v>0</v>
      </c>
      <c r="Q922" s="12">
        <f t="shared" si="451"/>
        <v>0</v>
      </c>
      <c r="R922" s="12">
        <f t="shared" si="452"/>
        <v>0</v>
      </c>
    </row>
    <row r="923" spans="1:19" x14ac:dyDescent="0.25">
      <c r="A923" s="26"/>
      <c r="B923" s="25" t="s">
        <v>290</v>
      </c>
      <c r="C923" s="15">
        <v>8</v>
      </c>
      <c r="D923" s="16">
        <v>200</v>
      </c>
      <c r="E923" s="15">
        <v>2</v>
      </c>
      <c r="F923" s="11">
        <v>1</v>
      </c>
      <c r="G923" s="11">
        <f t="shared" si="568"/>
        <v>13</v>
      </c>
      <c r="H923" s="12"/>
      <c r="I923" s="12">
        <f>2*(0.14+2.661)+24*C923/1000</f>
        <v>5.7940000000000005</v>
      </c>
      <c r="J923" s="22"/>
      <c r="K923" s="22"/>
      <c r="L923" s="12">
        <f t="shared" ref="L923:L924" si="569">SUM(H923:J923)+K923</f>
        <v>5.7940000000000005</v>
      </c>
      <c r="M923" s="12">
        <f t="shared" si="528"/>
        <v>150.63999999999999</v>
      </c>
      <c r="N923" s="12">
        <f t="shared" si="448"/>
        <v>0</v>
      </c>
      <c r="O923" s="12">
        <f t="shared" si="449"/>
        <v>0</v>
      </c>
      <c r="P923" s="12">
        <f t="shared" si="450"/>
        <v>0</v>
      </c>
      <c r="Q923" s="12">
        <f t="shared" si="451"/>
        <v>0</v>
      </c>
      <c r="R923" s="12">
        <f t="shared" si="452"/>
        <v>0</v>
      </c>
    </row>
    <row r="924" spans="1:19" x14ac:dyDescent="0.25">
      <c r="A924" s="26"/>
      <c r="B924" s="25" t="s">
        <v>177</v>
      </c>
      <c r="C924" s="15">
        <v>8</v>
      </c>
      <c r="D924" s="16">
        <v>400</v>
      </c>
      <c r="E924" s="15">
        <v>2</v>
      </c>
      <c r="F924" s="11">
        <v>6</v>
      </c>
      <c r="G924" s="11">
        <f t="shared" si="568"/>
        <v>7</v>
      </c>
      <c r="H924" s="12"/>
      <c r="I924" s="12">
        <f>0.14+(20*C924/1000)</f>
        <v>0.30000000000000004</v>
      </c>
      <c r="J924" s="22"/>
      <c r="K924" s="22"/>
      <c r="L924" s="12">
        <f t="shared" si="569"/>
        <v>0.30000000000000004</v>
      </c>
      <c r="M924" s="12">
        <f t="shared" si="528"/>
        <v>25.2</v>
      </c>
      <c r="N924" s="12">
        <f t="shared" si="448"/>
        <v>0</v>
      </c>
      <c r="O924" s="12">
        <f t="shared" si="449"/>
        <v>0</v>
      </c>
      <c r="P924" s="12">
        <f t="shared" si="450"/>
        <v>0</v>
      </c>
      <c r="Q924" s="12">
        <f t="shared" si="451"/>
        <v>0</v>
      </c>
      <c r="R924" s="12">
        <f t="shared" si="452"/>
        <v>0</v>
      </c>
    </row>
    <row r="925" spans="1:19" x14ac:dyDescent="0.25">
      <c r="A925" s="26"/>
      <c r="B925" s="25"/>
      <c r="C925" s="15"/>
      <c r="D925" s="16"/>
      <c r="E925" s="15"/>
      <c r="F925" s="11"/>
      <c r="G925" s="11"/>
      <c r="H925" s="12"/>
      <c r="I925" s="12"/>
      <c r="J925" s="22"/>
      <c r="K925" s="22"/>
      <c r="L925" s="12">
        <f t="shared" ref="L925" si="570">SUM(H925:J925)+K925</f>
        <v>0</v>
      </c>
      <c r="M925" s="12">
        <f t="shared" ref="M925" si="571">+ROUND(IF(C925=8,PRODUCT(E925,F925,G925,L925),0),2)</f>
        <v>0</v>
      </c>
      <c r="N925" s="12">
        <f t="shared" si="448"/>
        <v>0</v>
      </c>
      <c r="O925" s="12">
        <f t="shared" si="449"/>
        <v>0</v>
      </c>
      <c r="P925" s="12">
        <f t="shared" si="450"/>
        <v>0</v>
      </c>
      <c r="Q925" s="12">
        <f t="shared" si="451"/>
        <v>0</v>
      </c>
      <c r="R925" s="12">
        <f t="shared" si="452"/>
        <v>0</v>
      </c>
    </row>
    <row r="926" spans="1:19" x14ac:dyDescent="0.25">
      <c r="A926" s="32"/>
      <c r="B926" s="45" t="s">
        <v>728</v>
      </c>
      <c r="C926" s="33"/>
      <c r="D926" s="34"/>
      <c r="E926" s="33"/>
      <c r="F926" s="35"/>
      <c r="G926" s="35"/>
      <c r="H926" s="36"/>
      <c r="I926" s="36"/>
      <c r="J926" s="36"/>
      <c r="K926" s="36"/>
      <c r="L926" s="36"/>
      <c r="M926" s="37">
        <f>SUM(M738:M925)*0.395</f>
        <v>4001.5237999999995</v>
      </c>
      <c r="N926" s="37">
        <f>SUM(N738:N925)*0.617</f>
        <v>5683.6188999999968</v>
      </c>
      <c r="O926" s="37">
        <f>SUM(O738:O925)*0.889</f>
        <v>4129.0849600000001</v>
      </c>
      <c r="P926" s="37">
        <f>SUM(P738:P925)*1.58</f>
        <v>4443.2760000000017</v>
      </c>
      <c r="Q926" s="37">
        <f>SUM(Q738:Q925)*2.46</f>
        <v>131.85599999999999</v>
      </c>
      <c r="R926" s="37">
        <f>SUM(R738:R925)*3.85</f>
        <v>0</v>
      </c>
      <c r="S926" s="50">
        <f>SUM(M926:R926)</f>
        <v>18389.359659999998</v>
      </c>
    </row>
    <row r="927" spans="1:19" x14ac:dyDescent="0.25">
      <c r="A927" s="40"/>
      <c r="F927" s="43"/>
      <c r="G927" s="43"/>
      <c r="H927" s="40"/>
      <c r="I927" s="40"/>
      <c r="J927" s="40"/>
      <c r="K927" s="40"/>
      <c r="L927" s="40"/>
      <c r="M927" s="44"/>
      <c r="N927" s="40"/>
      <c r="O927" s="40"/>
      <c r="P927" s="40"/>
      <c r="Q927" s="40"/>
    </row>
    <row r="928" spans="1:19" x14ac:dyDescent="0.25">
      <c r="A928" s="26"/>
      <c r="B928" s="45" t="s">
        <v>729</v>
      </c>
      <c r="C928" s="15"/>
      <c r="D928" s="16"/>
      <c r="E928" s="15"/>
      <c r="F928" s="11"/>
      <c r="G928" s="11"/>
      <c r="H928" s="12"/>
      <c r="I928" s="12"/>
      <c r="J928" s="22"/>
      <c r="K928" s="47"/>
      <c r="L928" s="12"/>
      <c r="M928" s="12"/>
      <c r="N928" s="12"/>
      <c r="O928" s="12"/>
      <c r="P928" s="12"/>
      <c r="Q928" s="12"/>
      <c r="R928" s="12"/>
    </row>
    <row r="929" spans="1:18" x14ac:dyDescent="0.25">
      <c r="A929" s="26"/>
      <c r="B929" s="45" t="s">
        <v>162</v>
      </c>
      <c r="C929" s="15">
        <v>16</v>
      </c>
      <c r="D929" s="16"/>
      <c r="E929" s="15">
        <v>32</v>
      </c>
      <c r="F929" s="11">
        <v>1</v>
      </c>
      <c r="G929" s="11">
        <v>4</v>
      </c>
      <c r="H929" s="12"/>
      <c r="I929" s="12">
        <f>106.2-103.25</f>
        <v>2.9500000000000028</v>
      </c>
      <c r="J929" s="22"/>
      <c r="K929" s="22">
        <f>0.5*40*C929/1000</f>
        <v>0.32</v>
      </c>
      <c r="L929" s="12">
        <f>SUM(H929:J929)+K929</f>
        <v>3.2700000000000027</v>
      </c>
      <c r="M929" s="12">
        <f t="shared" ref="M929:M1029" si="572">+ROUND(IF(C929=8,PRODUCT(E929,F929,G929,L929),0),2)</f>
        <v>0</v>
      </c>
      <c r="N929" s="12">
        <f t="shared" ref="N929:N1116" si="573">+ROUND(IF(C929=10,PRODUCT(E929,F929,G929,L929),0),2)</f>
        <v>0</v>
      </c>
      <c r="O929" s="12">
        <f t="shared" ref="O929:O1116" si="574">+ROUND(IF(C929=12,PRODUCT(E929,F929,G929,L929),0),2)</f>
        <v>0</v>
      </c>
      <c r="P929" s="12">
        <f t="shared" ref="P929:P1116" si="575">+ROUND(IF(C929=16,PRODUCT(E929,F929,G929,L929),0),2)</f>
        <v>418.56</v>
      </c>
      <c r="Q929" s="12">
        <f t="shared" ref="Q929:Q1116" si="576">+ROUND(IF(C929=20,PRODUCT(E929,F929,G929,L929),0),2)</f>
        <v>0</v>
      </c>
      <c r="R929" s="12">
        <f t="shared" ref="R929:R1116" si="577">+ROUND(IF(C929=25,PRODUCT(E929,F929,G929,L929),0),2)</f>
        <v>0</v>
      </c>
    </row>
    <row r="930" spans="1:18" x14ac:dyDescent="0.25">
      <c r="A930" s="26"/>
      <c r="B930" s="25"/>
      <c r="C930" s="15">
        <v>12</v>
      </c>
      <c r="D930" s="16"/>
      <c r="E930" s="15">
        <f>+E929</f>
        <v>32</v>
      </c>
      <c r="F930" s="11">
        <v>1</v>
      </c>
      <c r="G930" s="11">
        <v>10</v>
      </c>
      <c r="H930" s="12"/>
      <c r="I930" s="12">
        <f>106.2-103.25</f>
        <v>2.9500000000000028</v>
      </c>
      <c r="J930" s="22"/>
      <c r="K930" s="22">
        <f>0.5*40*C930/1000</f>
        <v>0.24</v>
      </c>
      <c r="L930" s="12">
        <f t="shared" ref="L930:L957" si="578">SUM(H930:J930)+K930</f>
        <v>3.1900000000000031</v>
      </c>
      <c r="M930" s="12">
        <f t="shared" si="572"/>
        <v>0</v>
      </c>
      <c r="N930" s="12">
        <f t="shared" si="573"/>
        <v>0</v>
      </c>
      <c r="O930" s="12">
        <f t="shared" si="574"/>
        <v>1020.8</v>
      </c>
      <c r="P930" s="12">
        <f t="shared" si="575"/>
        <v>0</v>
      </c>
      <c r="Q930" s="12">
        <f t="shared" si="576"/>
        <v>0</v>
      </c>
      <c r="R930" s="12">
        <f t="shared" si="577"/>
        <v>0</v>
      </c>
    </row>
    <row r="931" spans="1:18" x14ac:dyDescent="0.25">
      <c r="A931" s="26"/>
      <c r="B931" s="25" t="s">
        <v>160</v>
      </c>
      <c r="C931" s="15">
        <v>10</v>
      </c>
      <c r="D931" s="16">
        <v>75</v>
      </c>
      <c r="E931" s="15">
        <f>+E930</f>
        <v>32</v>
      </c>
      <c r="F931" s="11">
        <v>2</v>
      </c>
      <c r="G931" s="11">
        <f>+ROUND(600/D931,0)</f>
        <v>8</v>
      </c>
      <c r="H931" s="12"/>
      <c r="I931" s="12">
        <f>2*(0.22+0.52)+24*0.01</f>
        <v>1.72</v>
      </c>
      <c r="J931" s="22"/>
      <c r="K931" s="22"/>
      <c r="L931" s="12">
        <f t="shared" si="578"/>
        <v>1.72</v>
      </c>
      <c r="M931" s="12">
        <f t="shared" si="572"/>
        <v>0</v>
      </c>
      <c r="N931" s="12">
        <f t="shared" si="573"/>
        <v>880.64</v>
      </c>
      <c r="O931" s="12">
        <f t="shared" si="574"/>
        <v>0</v>
      </c>
      <c r="P931" s="12">
        <f t="shared" si="575"/>
        <v>0</v>
      </c>
      <c r="Q931" s="12">
        <f t="shared" si="576"/>
        <v>0</v>
      </c>
      <c r="R931" s="12">
        <f t="shared" si="577"/>
        <v>0</v>
      </c>
    </row>
    <row r="932" spans="1:18" x14ac:dyDescent="0.25">
      <c r="A932" s="26"/>
      <c r="B932" s="25"/>
      <c r="C932" s="15">
        <v>10</v>
      </c>
      <c r="D932" s="16">
        <v>75</v>
      </c>
      <c r="E932" s="15">
        <f t="shared" ref="E932:E936" si="579">+E931</f>
        <v>32</v>
      </c>
      <c r="F932" s="11">
        <v>2</v>
      </c>
      <c r="G932" s="11">
        <f t="shared" ref="G932:G933" si="580">+ROUND(600/D932,0)</f>
        <v>8</v>
      </c>
      <c r="H932" s="12"/>
      <c r="I932" s="12">
        <f>2*(0.22+0.115)+24*0.01</f>
        <v>0.91</v>
      </c>
      <c r="J932" s="22"/>
      <c r="K932" s="22"/>
      <c r="L932" s="12">
        <f t="shared" si="578"/>
        <v>0.91</v>
      </c>
      <c r="M932" s="12">
        <f t="shared" si="572"/>
        <v>0</v>
      </c>
      <c r="N932" s="12">
        <f t="shared" si="573"/>
        <v>465.92</v>
      </c>
      <c r="O932" s="12">
        <f t="shared" si="574"/>
        <v>0</v>
      </c>
      <c r="P932" s="12">
        <f t="shared" si="575"/>
        <v>0</v>
      </c>
      <c r="Q932" s="12">
        <f t="shared" si="576"/>
        <v>0</v>
      </c>
      <c r="R932" s="12">
        <f t="shared" si="577"/>
        <v>0</v>
      </c>
    </row>
    <row r="933" spans="1:18" x14ac:dyDescent="0.25">
      <c r="A933" s="26"/>
      <c r="B933" s="25"/>
      <c r="C933" s="15">
        <v>10</v>
      </c>
      <c r="D933" s="16">
        <v>75</v>
      </c>
      <c r="E933" s="15">
        <f t="shared" si="579"/>
        <v>32</v>
      </c>
      <c r="F933" s="11">
        <f>2*2</f>
        <v>4</v>
      </c>
      <c r="G933" s="11">
        <f t="shared" si="580"/>
        <v>8</v>
      </c>
      <c r="H933" s="12"/>
      <c r="I933" s="12">
        <f>+(0.16+0.16+0.22)+0.24*0.01</f>
        <v>0.54239999999999999</v>
      </c>
      <c r="J933" s="22"/>
      <c r="K933" s="22"/>
      <c r="L933" s="12">
        <f t="shared" si="578"/>
        <v>0.54239999999999999</v>
      </c>
      <c r="M933" s="12">
        <f t="shared" si="572"/>
        <v>0</v>
      </c>
      <c r="N933" s="12">
        <f t="shared" si="573"/>
        <v>555.41999999999996</v>
      </c>
      <c r="O933" s="12">
        <f t="shared" si="574"/>
        <v>0</v>
      </c>
      <c r="P933" s="12">
        <f t="shared" si="575"/>
        <v>0</v>
      </c>
      <c r="Q933" s="12">
        <f t="shared" si="576"/>
        <v>0</v>
      </c>
      <c r="R933" s="12">
        <f t="shared" si="577"/>
        <v>0</v>
      </c>
    </row>
    <row r="934" spans="1:18" x14ac:dyDescent="0.25">
      <c r="A934" s="26"/>
      <c r="B934" s="25" t="s">
        <v>161</v>
      </c>
      <c r="C934" s="15">
        <v>8</v>
      </c>
      <c r="D934" s="16">
        <v>150</v>
      </c>
      <c r="E934" s="15">
        <f t="shared" si="579"/>
        <v>32</v>
      </c>
      <c r="F934" s="11">
        <v>1</v>
      </c>
      <c r="G934" s="11">
        <f>+ROUND(1250/D934+1,0)</f>
        <v>9</v>
      </c>
      <c r="H934" s="12"/>
      <c r="I934" s="12">
        <f>2*(0.22+0.52)+24*0.008</f>
        <v>1.6719999999999999</v>
      </c>
      <c r="J934" s="22"/>
      <c r="K934" s="22"/>
      <c r="L934" s="12">
        <f t="shared" si="578"/>
        <v>1.6719999999999999</v>
      </c>
      <c r="M934" s="12">
        <f t="shared" si="572"/>
        <v>481.54</v>
      </c>
      <c r="N934" s="12">
        <f t="shared" si="573"/>
        <v>0</v>
      </c>
      <c r="O934" s="12">
        <f t="shared" si="574"/>
        <v>0</v>
      </c>
      <c r="P934" s="12">
        <f t="shared" si="575"/>
        <v>0</v>
      </c>
      <c r="Q934" s="12">
        <f t="shared" si="576"/>
        <v>0</v>
      </c>
      <c r="R934" s="12">
        <f t="shared" si="577"/>
        <v>0</v>
      </c>
    </row>
    <row r="935" spans="1:18" x14ac:dyDescent="0.25">
      <c r="A935" s="26"/>
      <c r="B935" s="25"/>
      <c r="C935" s="15">
        <v>8</v>
      </c>
      <c r="D935" s="16">
        <v>150</v>
      </c>
      <c r="E935" s="15">
        <f t="shared" si="579"/>
        <v>32</v>
      </c>
      <c r="F935" s="11">
        <v>1</v>
      </c>
      <c r="G935" s="11">
        <f t="shared" ref="G935:G936" si="581">+ROUND(1250/D935+1,0)</f>
        <v>9</v>
      </c>
      <c r="H935" s="12"/>
      <c r="I935" s="12">
        <f>2*(0.22+0.115)+24*0.008</f>
        <v>0.8620000000000001</v>
      </c>
      <c r="J935" s="22"/>
      <c r="K935" s="22"/>
      <c r="L935" s="12">
        <f t="shared" si="578"/>
        <v>0.8620000000000001</v>
      </c>
      <c r="M935" s="12">
        <f t="shared" si="572"/>
        <v>248.26</v>
      </c>
      <c r="N935" s="12">
        <f t="shared" si="573"/>
        <v>0</v>
      </c>
      <c r="O935" s="12">
        <f t="shared" si="574"/>
        <v>0</v>
      </c>
      <c r="P935" s="12">
        <f t="shared" si="575"/>
        <v>0</v>
      </c>
      <c r="Q935" s="12">
        <f t="shared" si="576"/>
        <v>0</v>
      </c>
      <c r="R935" s="12">
        <f t="shared" si="577"/>
        <v>0</v>
      </c>
    </row>
    <row r="936" spans="1:18" x14ac:dyDescent="0.25">
      <c r="A936" s="26"/>
      <c r="B936" s="25"/>
      <c r="C936" s="15">
        <v>8</v>
      </c>
      <c r="D936" s="16">
        <v>150</v>
      </c>
      <c r="E936" s="15">
        <f t="shared" si="579"/>
        <v>32</v>
      </c>
      <c r="F936" s="11">
        <v>2</v>
      </c>
      <c r="G936" s="11">
        <f t="shared" si="581"/>
        <v>9</v>
      </c>
      <c r="H936" s="12"/>
      <c r="I936" s="12">
        <f>+(0.16+0.16+0.22)+0.2*0.008</f>
        <v>0.54160000000000008</v>
      </c>
      <c r="J936" s="22"/>
      <c r="K936" s="22"/>
      <c r="L936" s="12">
        <f t="shared" si="578"/>
        <v>0.54160000000000008</v>
      </c>
      <c r="M936" s="12">
        <f t="shared" si="572"/>
        <v>311.95999999999998</v>
      </c>
      <c r="N936" s="12">
        <f t="shared" si="573"/>
        <v>0</v>
      </c>
      <c r="O936" s="12">
        <f t="shared" si="574"/>
        <v>0</v>
      </c>
      <c r="P936" s="12">
        <f t="shared" si="575"/>
        <v>0</v>
      </c>
      <c r="Q936" s="12">
        <f t="shared" si="576"/>
        <v>0</v>
      </c>
      <c r="R936" s="12">
        <f t="shared" si="577"/>
        <v>0</v>
      </c>
    </row>
    <row r="937" spans="1:18" x14ac:dyDescent="0.25">
      <c r="A937" s="26"/>
      <c r="B937" s="45" t="s">
        <v>163</v>
      </c>
      <c r="C937" s="15">
        <v>16</v>
      </c>
      <c r="D937" s="16"/>
      <c r="E937" s="15">
        <v>22</v>
      </c>
      <c r="F937" s="11">
        <v>1</v>
      </c>
      <c r="G937" s="11">
        <v>6</v>
      </c>
      <c r="H937" s="12"/>
      <c r="I937" s="12">
        <f t="shared" ref="I937:I938" si="582">106.2-103.25</f>
        <v>2.9500000000000028</v>
      </c>
      <c r="J937" s="22"/>
      <c r="K937" s="22">
        <f>0.5*40*C937/1000</f>
        <v>0.32</v>
      </c>
      <c r="L937" s="12">
        <f t="shared" si="578"/>
        <v>3.2700000000000027</v>
      </c>
      <c r="M937" s="12">
        <f t="shared" si="572"/>
        <v>0</v>
      </c>
      <c r="N937" s="12">
        <f t="shared" si="573"/>
        <v>0</v>
      </c>
      <c r="O937" s="12">
        <f t="shared" si="574"/>
        <v>0</v>
      </c>
      <c r="P937" s="12">
        <f t="shared" si="575"/>
        <v>431.64</v>
      </c>
      <c r="Q937" s="12">
        <f t="shared" si="576"/>
        <v>0</v>
      </c>
      <c r="R937" s="12">
        <f t="shared" si="577"/>
        <v>0</v>
      </c>
    </row>
    <row r="938" spans="1:18" x14ac:dyDescent="0.25">
      <c r="A938" s="26"/>
      <c r="B938" s="45"/>
      <c r="C938" s="15">
        <v>12</v>
      </c>
      <c r="D938" s="16"/>
      <c r="E938" s="15">
        <v>22</v>
      </c>
      <c r="F938" s="11">
        <v>1</v>
      </c>
      <c r="G938" s="11">
        <v>8</v>
      </c>
      <c r="H938" s="12"/>
      <c r="I938" s="12">
        <f t="shared" si="582"/>
        <v>2.9500000000000028</v>
      </c>
      <c r="J938" s="22"/>
      <c r="K938" s="22">
        <f>0.5*40*C938/1000</f>
        <v>0.24</v>
      </c>
      <c r="L938" s="12">
        <f t="shared" si="578"/>
        <v>3.1900000000000031</v>
      </c>
      <c r="M938" s="12">
        <f t="shared" si="572"/>
        <v>0</v>
      </c>
      <c r="N938" s="12">
        <f t="shared" si="573"/>
        <v>0</v>
      </c>
      <c r="O938" s="12">
        <f t="shared" si="574"/>
        <v>561.44000000000005</v>
      </c>
      <c r="P938" s="12">
        <f t="shared" si="575"/>
        <v>0</v>
      </c>
      <c r="Q938" s="12">
        <f t="shared" si="576"/>
        <v>0</v>
      </c>
      <c r="R938" s="12">
        <f t="shared" si="577"/>
        <v>0</v>
      </c>
    </row>
    <row r="939" spans="1:18" x14ac:dyDescent="0.25">
      <c r="A939" s="26"/>
      <c r="B939" s="25" t="s">
        <v>160</v>
      </c>
      <c r="C939" s="15">
        <v>10</v>
      </c>
      <c r="D939" s="16">
        <v>75</v>
      </c>
      <c r="E939" s="15">
        <v>22</v>
      </c>
      <c r="F939" s="11">
        <v>2</v>
      </c>
      <c r="G939" s="11">
        <f>+ROUND(600/D939,0)</f>
        <v>8</v>
      </c>
      <c r="H939" s="12"/>
      <c r="I939" s="12">
        <f>2*(0.22+0.52)+24*0.01</f>
        <v>1.72</v>
      </c>
      <c r="J939" s="22"/>
      <c r="K939" s="22"/>
      <c r="L939" s="12">
        <f t="shared" si="578"/>
        <v>1.72</v>
      </c>
      <c r="M939" s="12">
        <f t="shared" si="572"/>
        <v>0</v>
      </c>
      <c r="N939" s="12">
        <f t="shared" si="573"/>
        <v>605.44000000000005</v>
      </c>
      <c r="O939" s="12">
        <f t="shared" si="574"/>
        <v>0</v>
      </c>
      <c r="P939" s="12">
        <f t="shared" si="575"/>
        <v>0</v>
      </c>
      <c r="Q939" s="12">
        <f t="shared" si="576"/>
        <v>0</v>
      </c>
      <c r="R939" s="12">
        <f t="shared" si="577"/>
        <v>0</v>
      </c>
    </row>
    <row r="940" spans="1:18" x14ac:dyDescent="0.25">
      <c r="A940" s="26"/>
      <c r="B940" s="25"/>
      <c r="C940" s="15">
        <v>10</v>
      </c>
      <c r="D940" s="16">
        <v>75</v>
      </c>
      <c r="E940" s="15">
        <v>22</v>
      </c>
      <c r="F940" s="11">
        <v>2</v>
      </c>
      <c r="G940" s="11">
        <f t="shared" ref="G940:G941" si="583">+ROUND(600/D940,0)</f>
        <v>8</v>
      </c>
      <c r="H940" s="12"/>
      <c r="I940" s="12">
        <f>2*(0.22+0.115)+24*0.01</f>
        <v>0.91</v>
      </c>
      <c r="J940" s="22"/>
      <c r="K940" s="22"/>
      <c r="L940" s="12">
        <f t="shared" si="578"/>
        <v>0.91</v>
      </c>
      <c r="M940" s="12">
        <f t="shared" si="572"/>
        <v>0</v>
      </c>
      <c r="N940" s="12">
        <f t="shared" si="573"/>
        <v>320.32</v>
      </c>
      <c r="O940" s="12">
        <f t="shared" si="574"/>
        <v>0</v>
      </c>
      <c r="P940" s="12">
        <f t="shared" si="575"/>
        <v>0</v>
      </c>
      <c r="Q940" s="12">
        <f t="shared" si="576"/>
        <v>0</v>
      </c>
      <c r="R940" s="12">
        <f t="shared" si="577"/>
        <v>0</v>
      </c>
    </row>
    <row r="941" spans="1:18" x14ac:dyDescent="0.25">
      <c r="A941" s="26"/>
      <c r="B941" s="25"/>
      <c r="C941" s="15">
        <v>10</v>
      </c>
      <c r="D941" s="16">
        <v>75</v>
      </c>
      <c r="E941" s="15">
        <v>22</v>
      </c>
      <c r="F941" s="11">
        <f>2*2</f>
        <v>4</v>
      </c>
      <c r="G941" s="11">
        <f t="shared" si="583"/>
        <v>8</v>
      </c>
      <c r="H941" s="12"/>
      <c r="I941" s="12">
        <f>+(0.16+0.16+0.22)+0.24*0.01</f>
        <v>0.54239999999999999</v>
      </c>
      <c r="J941" s="22"/>
      <c r="K941" s="22"/>
      <c r="L941" s="12">
        <f t="shared" si="578"/>
        <v>0.54239999999999999</v>
      </c>
      <c r="M941" s="12">
        <f t="shared" si="572"/>
        <v>0</v>
      </c>
      <c r="N941" s="12">
        <f t="shared" si="573"/>
        <v>381.85</v>
      </c>
      <c r="O941" s="12">
        <f t="shared" si="574"/>
        <v>0</v>
      </c>
      <c r="P941" s="12">
        <f t="shared" si="575"/>
        <v>0</v>
      </c>
      <c r="Q941" s="12">
        <f t="shared" si="576"/>
        <v>0</v>
      </c>
      <c r="R941" s="12">
        <f t="shared" si="577"/>
        <v>0</v>
      </c>
    </row>
    <row r="942" spans="1:18" x14ac:dyDescent="0.25">
      <c r="A942" s="26"/>
      <c r="B942" s="25" t="s">
        <v>161</v>
      </c>
      <c r="C942" s="15">
        <v>8</v>
      </c>
      <c r="D942" s="16">
        <v>150</v>
      </c>
      <c r="E942" s="15">
        <v>22</v>
      </c>
      <c r="F942" s="11">
        <v>1</v>
      </c>
      <c r="G942" s="11">
        <f t="shared" ref="G942:G944" si="584">+ROUND(1250/D942+1,0)</f>
        <v>9</v>
      </c>
      <c r="H942" s="12"/>
      <c r="I942" s="12">
        <f>2*(0.22+0.52)+24*0.008</f>
        <v>1.6719999999999999</v>
      </c>
      <c r="J942" s="22"/>
      <c r="K942" s="22"/>
      <c r="L942" s="12">
        <f t="shared" si="578"/>
        <v>1.6719999999999999</v>
      </c>
      <c r="M942" s="12">
        <f t="shared" si="572"/>
        <v>331.06</v>
      </c>
      <c r="N942" s="12">
        <f t="shared" si="573"/>
        <v>0</v>
      </c>
      <c r="O942" s="12">
        <f t="shared" si="574"/>
        <v>0</v>
      </c>
      <c r="P942" s="12">
        <f t="shared" si="575"/>
        <v>0</v>
      </c>
      <c r="Q942" s="12">
        <f t="shared" si="576"/>
        <v>0</v>
      </c>
      <c r="R942" s="12">
        <f t="shared" si="577"/>
        <v>0</v>
      </c>
    </row>
    <row r="943" spans="1:18" x14ac:dyDescent="0.25">
      <c r="A943" s="26"/>
      <c r="B943" s="25"/>
      <c r="C943" s="15">
        <v>8</v>
      </c>
      <c r="D943" s="16">
        <v>150</v>
      </c>
      <c r="E943" s="15">
        <v>22</v>
      </c>
      <c r="F943" s="11">
        <v>1</v>
      </c>
      <c r="G943" s="11">
        <f t="shared" si="584"/>
        <v>9</v>
      </c>
      <c r="H943" s="12"/>
      <c r="I943" s="12">
        <f>2*(0.22+0.115)+24*0.008</f>
        <v>0.8620000000000001</v>
      </c>
      <c r="J943" s="22"/>
      <c r="K943" s="22"/>
      <c r="L943" s="12">
        <f t="shared" si="578"/>
        <v>0.8620000000000001</v>
      </c>
      <c r="M943" s="12">
        <f t="shared" si="572"/>
        <v>170.68</v>
      </c>
      <c r="N943" s="12">
        <f t="shared" si="573"/>
        <v>0</v>
      </c>
      <c r="O943" s="12">
        <f t="shared" si="574"/>
        <v>0</v>
      </c>
      <c r="P943" s="12">
        <f t="shared" si="575"/>
        <v>0</v>
      </c>
      <c r="Q943" s="12">
        <f t="shared" si="576"/>
        <v>0</v>
      </c>
      <c r="R943" s="12">
        <f t="shared" si="577"/>
        <v>0</v>
      </c>
    </row>
    <row r="944" spans="1:18" x14ac:dyDescent="0.25">
      <c r="A944" s="26"/>
      <c r="B944" s="25"/>
      <c r="C944" s="15">
        <v>8</v>
      </c>
      <c r="D944" s="16">
        <v>150</v>
      </c>
      <c r="E944" s="15">
        <v>22</v>
      </c>
      <c r="F944" s="11">
        <v>2</v>
      </c>
      <c r="G944" s="11">
        <f t="shared" si="584"/>
        <v>9</v>
      </c>
      <c r="H944" s="12"/>
      <c r="I944" s="12">
        <f>+(0.16+0.16+0.22)+0.2*0.008</f>
        <v>0.54160000000000008</v>
      </c>
      <c r="J944" s="22"/>
      <c r="K944" s="22"/>
      <c r="L944" s="12">
        <f t="shared" si="578"/>
        <v>0.54160000000000008</v>
      </c>
      <c r="M944" s="12">
        <f t="shared" si="572"/>
        <v>214.47</v>
      </c>
      <c r="N944" s="12">
        <f t="shared" si="573"/>
        <v>0</v>
      </c>
      <c r="O944" s="12">
        <f t="shared" si="574"/>
        <v>0</v>
      </c>
      <c r="P944" s="12">
        <f t="shared" si="575"/>
        <v>0</v>
      </c>
      <c r="Q944" s="12">
        <f t="shared" si="576"/>
        <v>0</v>
      </c>
      <c r="R944" s="12">
        <f t="shared" si="577"/>
        <v>0</v>
      </c>
    </row>
    <row r="945" spans="1:18" x14ac:dyDescent="0.25">
      <c r="A945" s="26"/>
      <c r="B945" s="45" t="s">
        <v>164</v>
      </c>
      <c r="C945" s="15">
        <v>16</v>
      </c>
      <c r="D945" s="16"/>
      <c r="E945" s="15">
        <v>4</v>
      </c>
      <c r="F945" s="11">
        <v>1</v>
      </c>
      <c r="G945" s="11">
        <v>10</v>
      </c>
      <c r="H945" s="12"/>
      <c r="I945" s="12">
        <f t="shared" ref="I945:I946" si="585">106.2-103.25</f>
        <v>2.9500000000000028</v>
      </c>
      <c r="J945" s="22"/>
      <c r="K945" s="22">
        <f>0.5*40*C945/1000</f>
        <v>0.32</v>
      </c>
      <c r="L945" s="12">
        <f t="shared" si="578"/>
        <v>3.2700000000000027</v>
      </c>
      <c r="M945" s="12">
        <f t="shared" si="572"/>
        <v>0</v>
      </c>
      <c r="N945" s="12">
        <f t="shared" si="573"/>
        <v>0</v>
      </c>
      <c r="O945" s="12">
        <f t="shared" si="574"/>
        <v>0</v>
      </c>
      <c r="P945" s="12">
        <f t="shared" si="575"/>
        <v>130.80000000000001</v>
      </c>
      <c r="Q945" s="12">
        <f t="shared" si="576"/>
        <v>0</v>
      </c>
      <c r="R945" s="12">
        <f t="shared" si="577"/>
        <v>0</v>
      </c>
    </row>
    <row r="946" spans="1:18" x14ac:dyDescent="0.25">
      <c r="A946" s="26"/>
      <c r="B946" s="25"/>
      <c r="C946" s="15">
        <v>20</v>
      </c>
      <c r="D946" s="16"/>
      <c r="E946" s="15">
        <f>+E945</f>
        <v>4</v>
      </c>
      <c r="F946" s="11">
        <v>1</v>
      </c>
      <c r="G946" s="11">
        <v>4</v>
      </c>
      <c r="H946" s="12"/>
      <c r="I946" s="12">
        <f t="shared" si="585"/>
        <v>2.9500000000000028</v>
      </c>
      <c r="J946" s="22"/>
      <c r="K946" s="22">
        <f>0.5*40*C946/1000</f>
        <v>0.4</v>
      </c>
      <c r="L946" s="12">
        <f t="shared" si="578"/>
        <v>3.3500000000000028</v>
      </c>
      <c r="M946" s="12">
        <f t="shared" si="572"/>
        <v>0</v>
      </c>
      <c r="N946" s="12">
        <f t="shared" si="573"/>
        <v>0</v>
      </c>
      <c r="O946" s="12">
        <f t="shared" si="574"/>
        <v>0</v>
      </c>
      <c r="P946" s="12">
        <f t="shared" si="575"/>
        <v>0</v>
      </c>
      <c r="Q946" s="12">
        <f t="shared" si="576"/>
        <v>53.6</v>
      </c>
      <c r="R946" s="12">
        <f t="shared" si="577"/>
        <v>0</v>
      </c>
    </row>
    <row r="947" spans="1:18" x14ac:dyDescent="0.25">
      <c r="A947" s="26"/>
      <c r="B947" s="25" t="s">
        <v>160</v>
      </c>
      <c r="C947" s="15">
        <v>10</v>
      </c>
      <c r="D947" s="16">
        <v>75</v>
      </c>
      <c r="E947" s="15">
        <f>+E946</f>
        <v>4</v>
      </c>
      <c r="F947" s="11">
        <v>2</v>
      </c>
      <c r="G947" s="11">
        <f>+ROUND(600/D947,0)</f>
        <v>8</v>
      </c>
      <c r="H947" s="12"/>
      <c r="I947" s="12">
        <f>2*(0.22+0.52)+24*0.01</f>
        <v>1.72</v>
      </c>
      <c r="J947" s="22"/>
      <c r="K947" s="22"/>
      <c r="L947" s="12">
        <f t="shared" si="578"/>
        <v>1.72</v>
      </c>
      <c r="M947" s="12">
        <f t="shared" si="572"/>
        <v>0</v>
      </c>
      <c r="N947" s="12">
        <f t="shared" si="573"/>
        <v>110.08</v>
      </c>
      <c r="O947" s="12">
        <f t="shared" si="574"/>
        <v>0</v>
      </c>
      <c r="P947" s="12">
        <f t="shared" si="575"/>
        <v>0</v>
      </c>
      <c r="Q947" s="12">
        <f t="shared" si="576"/>
        <v>0</v>
      </c>
      <c r="R947" s="12">
        <f t="shared" si="577"/>
        <v>0</v>
      </c>
    </row>
    <row r="948" spans="1:18" x14ac:dyDescent="0.25">
      <c r="A948" s="26"/>
      <c r="B948" s="25"/>
      <c r="C948" s="15">
        <v>10</v>
      </c>
      <c r="D948" s="16">
        <v>75</v>
      </c>
      <c r="E948" s="15">
        <f t="shared" ref="E948:E952" si="586">+E947</f>
        <v>4</v>
      </c>
      <c r="F948" s="11">
        <v>2</v>
      </c>
      <c r="G948" s="11">
        <f t="shared" ref="G948:G949" si="587">+ROUND(600/D948,0)</f>
        <v>8</v>
      </c>
      <c r="H948" s="12"/>
      <c r="I948" s="12">
        <f>2*(0.22+0.115)+24*0.01</f>
        <v>0.91</v>
      </c>
      <c r="J948" s="22"/>
      <c r="K948" s="22"/>
      <c r="L948" s="12">
        <f t="shared" si="578"/>
        <v>0.91</v>
      </c>
      <c r="M948" s="12">
        <f t="shared" si="572"/>
        <v>0</v>
      </c>
      <c r="N948" s="12">
        <f t="shared" si="573"/>
        <v>58.24</v>
      </c>
      <c r="O948" s="12">
        <f t="shared" si="574"/>
        <v>0</v>
      </c>
      <c r="P948" s="12">
        <f t="shared" si="575"/>
        <v>0</v>
      </c>
      <c r="Q948" s="12">
        <f t="shared" si="576"/>
        <v>0</v>
      </c>
      <c r="R948" s="12">
        <f t="shared" si="577"/>
        <v>0</v>
      </c>
    </row>
    <row r="949" spans="1:18" x14ac:dyDescent="0.25">
      <c r="A949" s="26"/>
      <c r="B949" s="25"/>
      <c r="C949" s="15">
        <v>10</v>
      </c>
      <c r="D949" s="16">
        <v>75</v>
      </c>
      <c r="E949" s="15">
        <f t="shared" si="586"/>
        <v>4</v>
      </c>
      <c r="F949" s="11">
        <f>2*2</f>
        <v>4</v>
      </c>
      <c r="G949" s="11">
        <f t="shared" si="587"/>
        <v>8</v>
      </c>
      <c r="H949" s="12"/>
      <c r="I949" s="12">
        <f>+(0.16+0.16+0.22)+0.24*0.01</f>
        <v>0.54239999999999999</v>
      </c>
      <c r="J949" s="22"/>
      <c r="K949" s="22"/>
      <c r="L949" s="12">
        <f t="shared" si="578"/>
        <v>0.54239999999999999</v>
      </c>
      <c r="M949" s="12">
        <f t="shared" si="572"/>
        <v>0</v>
      </c>
      <c r="N949" s="12">
        <f t="shared" si="573"/>
        <v>69.430000000000007</v>
      </c>
      <c r="O949" s="12">
        <f t="shared" si="574"/>
        <v>0</v>
      </c>
      <c r="P949" s="12">
        <f t="shared" si="575"/>
        <v>0</v>
      </c>
      <c r="Q949" s="12">
        <f t="shared" si="576"/>
        <v>0</v>
      </c>
      <c r="R949" s="12">
        <f t="shared" si="577"/>
        <v>0</v>
      </c>
    </row>
    <row r="950" spans="1:18" x14ac:dyDescent="0.25">
      <c r="A950" s="26"/>
      <c r="B950" s="25" t="s">
        <v>161</v>
      </c>
      <c r="C950" s="15">
        <v>8</v>
      </c>
      <c r="D950" s="16">
        <v>150</v>
      </c>
      <c r="E950" s="15">
        <f t="shared" si="586"/>
        <v>4</v>
      </c>
      <c r="F950" s="11">
        <v>1</v>
      </c>
      <c r="G950" s="11">
        <f t="shared" ref="G950:G952" si="588">+ROUND(1250/D950+1,0)</f>
        <v>9</v>
      </c>
      <c r="H950" s="12"/>
      <c r="I950" s="12">
        <f>2*(0.22+0.52)+24*0.008</f>
        <v>1.6719999999999999</v>
      </c>
      <c r="J950" s="22"/>
      <c r="K950" s="22"/>
      <c r="L950" s="12">
        <f t="shared" si="578"/>
        <v>1.6719999999999999</v>
      </c>
      <c r="M950" s="12">
        <f t="shared" si="572"/>
        <v>60.19</v>
      </c>
      <c r="N950" s="12">
        <f t="shared" si="573"/>
        <v>0</v>
      </c>
      <c r="O950" s="12">
        <f t="shared" si="574"/>
        <v>0</v>
      </c>
      <c r="P950" s="12">
        <f t="shared" si="575"/>
        <v>0</v>
      </c>
      <c r="Q950" s="12">
        <f t="shared" si="576"/>
        <v>0</v>
      </c>
      <c r="R950" s="12">
        <f t="shared" si="577"/>
        <v>0</v>
      </c>
    </row>
    <row r="951" spans="1:18" x14ac:dyDescent="0.25">
      <c r="A951" s="26"/>
      <c r="B951" s="25"/>
      <c r="C951" s="15">
        <v>8</v>
      </c>
      <c r="D951" s="16">
        <v>150</v>
      </c>
      <c r="E951" s="15">
        <f t="shared" si="586"/>
        <v>4</v>
      </c>
      <c r="F951" s="11">
        <v>1</v>
      </c>
      <c r="G951" s="11">
        <f t="shared" si="588"/>
        <v>9</v>
      </c>
      <c r="H951" s="12"/>
      <c r="I951" s="12">
        <f>2*(0.22+0.115)+24*0.008</f>
        <v>0.8620000000000001</v>
      </c>
      <c r="J951" s="22"/>
      <c r="K951" s="22"/>
      <c r="L951" s="12">
        <f t="shared" si="578"/>
        <v>0.8620000000000001</v>
      </c>
      <c r="M951" s="12">
        <f t="shared" si="572"/>
        <v>31.03</v>
      </c>
      <c r="N951" s="12">
        <f t="shared" si="573"/>
        <v>0</v>
      </c>
      <c r="O951" s="12">
        <f t="shared" si="574"/>
        <v>0</v>
      </c>
      <c r="P951" s="12">
        <f t="shared" si="575"/>
        <v>0</v>
      </c>
      <c r="Q951" s="12">
        <f t="shared" si="576"/>
        <v>0</v>
      </c>
      <c r="R951" s="12">
        <f t="shared" si="577"/>
        <v>0</v>
      </c>
    </row>
    <row r="952" spans="1:18" x14ac:dyDescent="0.25">
      <c r="A952" s="26"/>
      <c r="B952" s="25"/>
      <c r="C952" s="15">
        <v>8</v>
      </c>
      <c r="D952" s="16">
        <v>150</v>
      </c>
      <c r="E952" s="15">
        <f t="shared" si="586"/>
        <v>4</v>
      </c>
      <c r="F952" s="11">
        <v>2</v>
      </c>
      <c r="G952" s="11">
        <f t="shared" si="588"/>
        <v>9</v>
      </c>
      <c r="H952" s="12"/>
      <c r="I952" s="12">
        <f>+(0.16+0.16+0.22)+0.2*0.008</f>
        <v>0.54160000000000008</v>
      </c>
      <c r="J952" s="22"/>
      <c r="K952" s="22"/>
      <c r="L952" s="12">
        <f t="shared" si="578"/>
        <v>0.54160000000000008</v>
      </c>
      <c r="M952" s="12">
        <f t="shared" si="572"/>
        <v>39</v>
      </c>
      <c r="N952" s="12">
        <f t="shared" si="573"/>
        <v>0</v>
      </c>
      <c r="O952" s="12">
        <f t="shared" si="574"/>
        <v>0</v>
      </c>
      <c r="P952" s="12">
        <f t="shared" si="575"/>
        <v>0</v>
      </c>
      <c r="Q952" s="12">
        <f t="shared" si="576"/>
        <v>0</v>
      </c>
      <c r="R952" s="12">
        <f t="shared" si="577"/>
        <v>0</v>
      </c>
    </row>
    <row r="953" spans="1:18" x14ac:dyDescent="0.25">
      <c r="A953" s="26"/>
      <c r="B953" s="45" t="s">
        <v>165</v>
      </c>
      <c r="C953" s="15">
        <v>16</v>
      </c>
      <c r="D953" s="16"/>
      <c r="E953" s="15">
        <v>16</v>
      </c>
      <c r="F953" s="11">
        <v>1</v>
      </c>
      <c r="G953" s="11">
        <v>10</v>
      </c>
      <c r="H953" s="12"/>
      <c r="I953" s="12">
        <f>106.2-103.25</f>
        <v>2.9500000000000028</v>
      </c>
      <c r="J953" s="22"/>
      <c r="K953" s="22">
        <f>0.5*40*C953/1000</f>
        <v>0.32</v>
      </c>
      <c r="L953" s="12">
        <f t="shared" si="578"/>
        <v>3.2700000000000027</v>
      </c>
      <c r="M953" s="12">
        <f t="shared" si="572"/>
        <v>0</v>
      </c>
      <c r="N953" s="12">
        <f t="shared" si="573"/>
        <v>0</v>
      </c>
      <c r="O953" s="12">
        <f t="shared" si="574"/>
        <v>0</v>
      </c>
      <c r="P953" s="12">
        <f t="shared" si="575"/>
        <v>523.20000000000005</v>
      </c>
      <c r="Q953" s="12">
        <f t="shared" si="576"/>
        <v>0</v>
      </c>
      <c r="R953" s="12">
        <f t="shared" si="577"/>
        <v>0</v>
      </c>
    </row>
    <row r="954" spans="1:18" x14ac:dyDescent="0.25">
      <c r="A954" s="26"/>
      <c r="B954" s="45"/>
      <c r="C954" s="15">
        <v>12</v>
      </c>
      <c r="D954" s="16"/>
      <c r="E954" s="15">
        <v>16</v>
      </c>
      <c r="F954" s="11">
        <v>1</v>
      </c>
      <c r="G954" s="11">
        <v>6</v>
      </c>
      <c r="H954" s="12"/>
      <c r="I954" s="12">
        <f>106.2-103.25</f>
        <v>2.9500000000000028</v>
      </c>
      <c r="J954" s="22"/>
      <c r="K954" s="22">
        <f>0.5*40*C954/1000</f>
        <v>0.24</v>
      </c>
      <c r="L954" s="12">
        <f t="shared" si="578"/>
        <v>3.1900000000000031</v>
      </c>
      <c r="M954" s="12">
        <f t="shared" si="572"/>
        <v>0</v>
      </c>
      <c r="N954" s="12">
        <f t="shared" si="573"/>
        <v>0</v>
      </c>
      <c r="O954" s="12">
        <f t="shared" si="574"/>
        <v>306.24</v>
      </c>
      <c r="P954" s="12">
        <f t="shared" si="575"/>
        <v>0</v>
      </c>
      <c r="Q954" s="12">
        <f t="shared" si="576"/>
        <v>0</v>
      </c>
      <c r="R954" s="12">
        <f t="shared" si="577"/>
        <v>0</v>
      </c>
    </row>
    <row r="955" spans="1:18" x14ac:dyDescent="0.25">
      <c r="A955" s="26"/>
      <c r="B955" s="25" t="s">
        <v>160</v>
      </c>
      <c r="C955" s="15">
        <v>10</v>
      </c>
      <c r="D955" s="16">
        <v>75</v>
      </c>
      <c r="E955" s="15">
        <f>+E953</f>
        <v>16</v>
      </c>
      <c r="F955" s="11">
        <v>2</v>
      </c>
      <c r="G955" s="11">
        <f>+ROUND(750/D955,0)</f>
        <v>10</v>
      </c>
      <c r="H955" s="12"/>
      <c r="I955" s="12">
        <f>2*(0.22+0.67)+24*0.01</f>
        <v>2.02</v>
      </c>
      <c r="J955" s="22"/>
      <c r="K955" s="22"/>
      <c r="L955" s="12">
        <f t="shared" si="578"/>
        <v>2.02</v>
      </c>
      <c r="M955" s="12">
        <f t="shared" si="572"/>
        <v>0</v>
      </c>
      <c r="N955" s="12">
        <f t="shared" si="573"/>
        <v>646.4</v>
      </c>
      <c r="O955" s="12">
        <f t="shared" si="574"/>
        <v>0</v>
      </c>
      <c r="P955" s="12">
        <f t="shared" si="575"/>
        <v>0</v>
      </c>
      <c r="Q955" s="12">
        <f t="shared" si="576"/>
        <v>0</v>
      </c>
      <c r="R955" s="12">
        <f t="shared" si="577"/>
        <v>0</v>
      </c>
    </row>
    <row r="956" spans="1:18" x14ac:dyDescent="0.25">
      <c r="A956" s="26"/>
      <c r="B956" s="25"/>
      <c r="C956" s="15">
        <v>10</v>
      </c>
      <c r="D956" s="16">
        <v>75</v>
      </c>
      <c r="E956" s="15">
        <f t="shared" ref="E956:E962" si="589">+E955</f>
        <v>16</v>
      </c>
      <c r="F956" s="11">
        <v>2</v>
      </c>
      <c r="G956" s="11">
        <f t="shared" ref="G956:G958" si="590">+ROUND(750/D956,0)</f>
        <v>10</v>
      </c>
      <c r="H956" s="12"/>
      <c r="I956" s="12">
        <f>2*(0.22+0.132)+24*0.01</f>
        <v>0.94399999999999995</v>
      </c>
      <c r="J956" s="22"/>
      <c r="K956" s="22"/>
      <c r="L956" s="12">
        <f t="shared" si="578"/>
        <v>0.94399999999999995</v>
      </c>
      <c r="M956" s="12">
        <f t="shared" si="572"/>
        <v>0</v>
      </c>
      <c r="N956" s="12">
        <f t="shared" si="573"/>
        <v>302.08</v>
      </c>
      <c r="O956" s="12">
        <f t="shared" si="574"/>
        <v>0</v>
      </c>
      <c r="P956" s="12">
        <f t="shared" si="575"/>
        <v>0</v>
      </c>
      <c r="Q956" s="12">
        <f t="shared" si="576"/>
        <v>0</v>
      </c>
      <c r="R956" s="12">
        <f t="shared" si="577"/>
        <v>0</v>
      </c>
    </row>
    <row r="957" spans="1:18" x14ac:dyDescent="0.25">
      <c r="A957" s="26"/>
      <c r="B957" s="25"/>
      <c r="C957" s="15">
        <v>10</v>
      </c>
      <c r="D957" s="16">
        <v>75</v>
      </c>
      <c r="E957" s="15">
        <f t="shared" si="589"/>
        <v>16</v>
      </c>
      <c r="F957" s="11">
        <f>2*2</f>
        <v>4</v>
      </c>
      <c r="G957" s="11">
        <f t="shared" si="590"/>
        <v>10</v>
      </c>
      <c r="H957" s="12"/>
      <c r="I957" s="12">
        <f>+(0.165+0.165+0.22)+0.2*0.01</f>
        <v>0.55200000000000005</v>
      </c>
      <c r="J957" s="22"/>
      <c r="K957" s="22"/>
      <c r="L957" s="12">
        <f t="shared" si="578"/>
        <v>0.55200000000000005</v>
      </c>
      <c r="M957" s="12">
        <f t="shared" si="572"/>
        <v>0</v>
      </c>
      <c r="N957" s="12">
        <f t="shared" si="573"/>
        <v>353.28</v>
      </c>
      <c r="O957" s="12">
        <f t="shared" si="574"/>
        <v>0</v>
      </c>
      <c r="P957" s="12">
        <f t="shared" si="575"/>
        <v>0</v>
      </c>
      <c r="Q957" s="12">
        <f t="shared" si="576"/>
        <v>0</v>
      </c>
      <c r="R957" s="12">
        <f t="shared" si="577"/>
        <v>0</v>
      </c>
    </row>
    <row r="958" spans="1:18" x14ac:dyDescent="0.25">
      <c r="A958" s="26"/>
      <c r="B958" s="25"/>
      <c r="C958" s="15">
        <v>10</v>
      </c>
      <c r="D958" s="16">
        <v>75</v>
      </c>
      <c r="E958" s="15">
        <f t="shared" si="589"/>
        <v>16</v>
      </c>
      <c r="F958" s="11">
        <v>2</v>
      </c>
      <c r="G958" s="11">
        <f t="shared" si="590"/>
        <v>10</v>
      </c>
      <c r="H958" s="12"/>
      <c r="I958" s="12">
        <f>0.22+2*10*0.01</f>
        <v>0.42000000000000004</v>
      </c>
      <c r="J958" s="22"/>
      <c r="K958" s="22"/>
      <c r="L958" s="12">
        <f t="shared" ref="L958:L991" si="591">SUM(H958:J958)+K958</f>
        <v>0.42000000000000004</v>
      </c>
      <c r="M958" s="12">
        <f t="shared" si="572"/>
        <v>0</v>
      </c>
      <c r="N958" s="12">
        <f t="shared" si="573"/>
        <v>134.4</v>
      </c>
      <c r="O958" s="12">
        <f t="shared" si="574"/>
        <v>0</v>
      </c>
      <c r="P958" s="12">
        <f t="shared" si="575"/>
        <v>0</v>
      </c>
      <c r="Q958" s="12">
        <f t="shared" si="576"/>
        <v>0</v>
      </c>
      <c r="R958" s="12">
        <f t="shared" si="577"/>
        <v>0</v>
      </c>
    </row>
    <row r="959" spans="1:18" x14ac:dyDescent="0.25">
      <c r="A959" s="26"/>
      <c r="B959" s="25" t="s">
        <v>161</v>
      </c>
      <c r="C959" s="15">
        <v>8</v>
      </c>
      <c r="D959" s="16">
        <v>150</v>
      </c>
      <c r="E959" s="15">
        <f t="shared" si="589"/>
        <v>16</v>
      </c>
      <c r="F959" s="11">
        <v>1</v>
      </c>
      <c r="G959" s="11">
        <f>+ROUND(950/D959+1,0)</f>
        <v>7</v>
      </c>
      <c r="H959" s="12"/>
      <c r="I959" s="12">
        <f>2*(0.22+0.67)+24*0.008</f>
        <v>1.972</v>
      </c>
      <c r="J959" s="22"/>
      <c r="K959" s="22"/>
      <c r="L959" s="12">
        <f t="shared" si="591"/>
        <v>1.972</v>
      </c>
      <c r="M959" s="12">
        <f t="shared" si="572"/>
        <v>220.86</v>
      </c>
      <c r="N959" s="12">
        <f t="shared" si="573"/>
        <v>0</v>
      </c>
      <c r="O959" s="12">
        <f t="shared" si="574"/>
        <v>0</v>
      </c>
      <c r="P959" s="12">
        <f t="shared" si="575"/>
        <v>0</v>
      </c>
      <c r="Q959" s="12">
        <f t="shared" si="576"/>
        <v>0</v>
      </c>
      <c r="R959" s="12">
        <f t="shared" si="577"/>
        <v>0</v>
      </c>
    </row>
    <row r="960" spans="1:18" x14ac:dyDescent="0.25">
      <c r="A960" s="26"/>
      <c r="B960" s="25"/>
      <c r="C960" s="15">
        <v>8</v>
      </c>
      <c r="D960" s="16">
        <v>150</v>
      </c>
      <c r="E960" s="15">
        <f t="shared" si="589"/>
        <v>16</v>
      </c>
      <c r="F960" s="11">
        <v>1</v>
      </c>
      <c r="G960" s="11">
        <f t="shared" ref="G960:G962" si="592">+ROUND(950/D960+1,0)</f>
        <v>7</v>
      </c>
      <c r="H960" s="12"/>
      <c r="I960" s="12">
        <f>2*(0.22+0.132)+24*0.008</f>
        <v>0.89599999999999991</v>
      </c>
      <c r="J960" s="22"/>
      <c r="K960" s="22"/>
      <c r="L960" s="12">
        <f t="shared" si="591"/>
        <v>0.89599999999999991</v>
      </c>
      <c r="M960" s="12">
        <f t="shared" si="572"/>
        <v>100.35</v>
      </c>
      <c r="N960" s="12">
        <f t="shared" si="573"/>
        <v>0</v>
      </c>
      <c r="O960" s="12">
        <f t="shared" si="574"/>
        <v>0</v>
      </c>
      <c r="P960" s="12">
        <f t="shared" si="575"/>
        <v>0</v>
      </c>
      <c r="Q960" s="12">
        <f t="shared" si="576"/>
        <v>0</v>
      </c>
      <c r="R960" s="12">
        <f t="shared" si="577"/>
        <v>0</v>
      </c>
    </row>
    <row r="961" spans="1:18" x14ac:dyDescent="0.25">
      <c r="A961" s="26"/>
      <c r="B961" s="25"/>
      <c r="C961" s="15">
        <v>8</v>
      </c>
      <c r="D961" s="16">
        <v>150</v>
      </c>
      <c r="E961" s="15">
        <f t="shared" si="589"/>
        <v>16</v>
      </c>
      <c r="F961" s="11">
        <v>2</v>
      </c>
      <c r="G961" s="11">
        <f t="shared" si="592"/>
        <v>7</v>
      </c>
      <c r="H961" s="12"/>
      <c r="I961" s="12">
        <f>+(0.165+0.165+0.22)+0.2*0.008</f>
        <v>0.55160000000000009</v>
      </c>
      <c r="J961" s="22"/>
      <c r="K961" s="22"/>
      <c r="L961" s="12">
        <f t="shared" si="591"/>
        <v>0.55160000000000009</v>
      </c>
      <c r="M961" s="12">
        <f t="shared" si="572"/>
        <v>123.56</v>
      </c>
      <c r="N961" s="12">
        <f t="shared" si="573"/>
        <v>0</v>
      </c>
      <c r="O961" s="12">
        <f t="shared" si="574"/>
        <v>0</v>
      </c>
      <c r="P961" s="12">
        <f t="shared" si="575"/>
        <v>0</v>
      </c>
      <c r="Q961" s="12">
        <f t="shared" si="576"/>
        <v>0</v>
      </c>
      <c r="R961" s="12">
        <f t="shared" si="577"/>
        <v>0</v>
      </c>
    </row>
    <row r="962" spans="1:18" x14ac:dyDescent="0.25">
      <c r="A962" s="26"/>
      <c r="B962" s="25"/>
      <c r="C962" s="15">
        <v>8</v>
      </c>
      <c r="D962" s="16">
        <v>150</v>
      </c>
      <c r="E962" s="15">
        <f t="shared" si="589"/>
        <v>16</v>
      </c>
      <c r="F962" s="11">
        <v>1</v>
      </c>
      <c r="G962" s="11">
        <f t="shared" si="592"/>
        <v>7</v>
      </c>
      <c r="H962" s="12"/>
      <c r="I962" s="12">
        <f>0.22+2*10*0.008</f>
        <v>0.38</v>
      </c>
      <c r="J962" s="22"/>
      <c r="K962" s="22"/>
      <c r="L962" s="12">
        <f t="shared" si="591"/>
        <v>0.38</v>
      </c>
      <c r="M962" s="12">
        <f t="shared" si="572"/>
        <v>42.56</v>
      </c>
      <c r="N962" s="12">
        <f t="shared" si="573"/>
        <v>0</v>
      </c>
      <c r="O962" s="12">
        <f t="shared" si="574"/>
        <v>0</v>
      </c>
      <c r="P962" s="12">
        <f t="shared" si="575"/>
        <v>0</v>
      </c>
      <c r="Q962" s="12">
        <f t="shared" si="576"/>
        <v>0</v>
      </c>
      <c r="R962" s="12">
        <f t="shared" si="577"/>
        <v>0</v>
      </c>
    </row>
    <row r="963" spans="1:18" x14ac:dyDescent="0.25">
      <c r="A963" s="26"/>
      <c r="B963" s="45" t="s">
        <v>166</v>
      </c>
      <c r="C963" s="15">
        <v>16</v>
      </c>
      <c r="D963" s="16"/>
      <c r="E963" s="15">
        <v>14</v>
      </c>
      <c r="F963" s="11">
        <v>1</v>
      </c>
      <c r="G963" s="11">
        <v>4</v>
      </c>
      <c r="H963" s="12"/>
      <c r="I963" s="12">
        <f t="shared" ref="I963:I964" si="593">106.2-103.25</f>
        <v>2.9500000000000028</v>
      </c>
      <c r="J963" s="22"/>
      <c r="K963" s="22">
        <f t="shared" ref="K963:K964" si="594">0.5*40*C963/1000</f>
        <v>0.32</v>
      </c>
      <c r="L963" s="12">
        <f t="shared" si="591"/>
        <v>3.2700000000000027</v>
      </c>
      <c r="M963" s="12">
        <f t="shared" si="572"/>
        <v>0</v>
      </c>
      <c r="N963" s="12">
        <f t="shared" si="573"/>
        <v>0</v>
      </c>
      <c r="O963" s="12">
        <f t="shared" si="574"/>
        <v>0</v>
      </c>
      <c r="P963" s="12">
        <f t="shared" si="575"/>
        <v>183.12</v>
      </c>
      <c r="Q963" s="12">
        <f t="shared" si="576"/>
        <v>0</v>
      </c>
      <c r="R963" s="12">
        <f t="shared" si="577"/>
        <v>0</v>
      </c>
    </row>
    <row r="964" spans="1:18" x14ac:dyDescent="0.25">
      <c r="A964" s="26"/>
      <c r="B964" s="25"/>
      <c r="C964" s="15">
        <v>12</v>
      </c>
      <c r="D964" s="16"/>
      <c r="E964" s="15">
        <f>+E963</f>
        <v>14</v>
      </c>
      <c r="F964" s="11">
        <v>1</v>
      </c>
      <c r="G964" s="11">
        <v>12</v>
      </c>
      <c r="H964" s="12"/>
      <c r="I964" s="12">
        <f t="shared" si="593"/>
        <v>2.9500000000000028</v>
      </c>
      <c r="J964" s="22"/>
      <c r="K964" s="22">
        <f t="shared" si="594"/>
        <v>0.24</v>
      </c>
      <c r="L964" s="12">
        <f t="shared" si="591"/>
        <v>3.1900000000000031</v>
      </c>
      <c r="M964" s="12">
        <f t="shared" si="572"/>
        <v>0</v>
      </c>
      <c r="N964" s="12">
        <f t="shared" si="573"/>
        <v>0</v>
      </c>
      <c r="O964" s="12">
        <f t="shared" si="574"/>
        <v>535.91999999999996</v>
      </c>
      <c r="P964" s="12">
        <f t="shared" si="575"/>
        <v>0</v>
      </c>
      <c r="Q964" s="12">
        <f t="shared" si="576"/>
        <v>0</v>
      </c>
      <c r="R964" s="12">
        <f t="shared" si="577"/>
        <v>0</v>
      </c>
    </row>
    <row r="965" spans="1:18" x14ac:dyDescent="0.25">
      <c r="A965" s="26"/>
      <c r="B965" s="25" t="s">
        <v>160</v>
      </c>
      <c r="C965" s="15">
        <v>10</v>
      </c>
      <c r="D965" s="16">
        <v>75</v>
      </c>
      <c r="E965" s="15">
        <f t="shared" ref="E965:E972" si="595">+E964</f>
        <v>14</v>
      </c>
      <c r="F965" s="11">
        <v>2</v>
      </c>
      <c r="G965" s="11">
        <f>+ROUND(750/D965,0)</f>
        <v>10</v>
      </c>
      <c r="H965" s="12"/>
      <c r="I965" s="12">
        <f>2*(0.22+0.67)+24*0.01</f>
        <v>2.02</v>
      </c>
      <c r="J965" s="22"/>
      <c r="K965" s="22"/>
      <c r="L965" s="12">
        <f t="shared" si="591"/>
        <v>2.02</v>
      </c>
      <c r="M965" s="12">
        <f t="shared" si="572"/>
        <v>0</v>
      </c>
      <c r="N965" s="12">
        <f t="shared" si="573"/>
        <v>565.6</v>
      </c>
      <c r="O965" s="12">
        <f t="shared" si="574"/>
        <v>0</v>
      </c>
      <c r="P965" s="12">
        <f t="shared" si="575"/>
        <v>0</v>
      </c>
      <c r="Q965" s="12">
        <f t="shared" si="576"/>
        <v>0</v>
      </c>
      <c r="R965" s="12">
        <f t="shared" si="577"/>
        <v>0</v>
      </c>
    </row>
    <row r="966" spans="1:18" x14ac:dyDescent="0.25">
      <c r="A966" s="26"/>
      <c r="B966" s="25"/>
      <c r="C966" s="15">
        <v>10</v>
      </c>
      <c r="D966" s="16">
        <v>75</v>
      </c>
      <c r="E966" s="15">
        <f t="shared" si="595"/>
        <v>14</v>
      </c>
      <c r="F966" s="11">
        <v>2</v>
      </c>
      <c r="G966" s="11">
        <f t="shared" ref="G966:G968" si="596">+ROUND(750/D966,0)</f>
        <v>10</v>
      </c>
      <c r="H966" s="12"/>
      <c r="I966" s="12">
        <f>2*(0.22+0.132)+24*0.01</f>
        <v>0.94399999999999995</v>
      </c>
      <c r="J966" s="22"/>
      <c r="K966" s="22"/>
      <c r="L966" s="12">
        <f t="shared" si="591"/>
        <v>0.94399999999999995</v>
      </c>
      <c r="M966" s="12">
        <f t="shared" si="572"/>
        <v>0</v>
      </c>
      <c r="N966" s="12">
        <f t="shared" si="573"/>
        <v>264.32</v>
      </c>
      <c r="O966" s="12">
        <f t="shared" si="574"/>
        <v>0</v>
      </c>
      <c r="P966" s="12">
        <f t="shared" si="575"/>
        <v>0</v>
      </c>
      <c r="Q966" s="12">
        <f t="shared" si="576"/>
        <v>0</v>
      </c>
      <c r="R966" s="12">
        <f t="shared" si="577"/>
        <v>0</v>
      </c>
    </row>
    <row r="967" spans="1:18" x14ac:dyDescent="0.25">
      <c r="A967" s="26"/>
      <c r="B967" s="25"/>
      <c r="C967" s="15">
        <v>10</v>
      </c>
      <c r="D967" s="16">
        <v>75</v>
      </c>
      <c r="E967" s="15">
        <f t="shared" si="595"/>
        <v>14</v>
      </c>
      <c r="F967" s="11">
        <f>2*2</f>
        <v>4</v>
      </c>
      <c r="G967" s="11">
        <f t="shared" si="596"/>
        <v>10</v>
      </c>
      <c r="H967" s="12"/>
      <c r="I967" s="12">
        <f>+(0.165+0.165+0.22)+0.2*0.01</f>
        <v>0.55200000000000005</v>
      </c>
      <c r="J967" s="22"/>
      <c r="K967" s="22"/>
      <c r="L967" s="12">
        <f t="shared" si="591"/>
        <v>0.55200000000000005</v>
      </c>
      <c r="M967" s="12">
        <f t="shared" si="572"/>
        <v>0</v>
      </c>
      <c r="N967" s="12">
        <f t="shared" si="573"/>
        <v>309.12</v>
      </c>
      <c r="O967" s="12">
        <f t="shared" si="574"/>
        <v>0</v>
      </c>
      <c r="P967" s="12">
        <f t="shared" si="575"/>
        <v>0</v>
      </c>
      <c r="Q967" s="12">
        <f t="shared" si="576"/>
        <v>0</v>
      </c>
      <c r="R967" s="12">
        <f t="shared" si="577"/>
        <v>0</v>
      </c>
    </row>
    <row r="968" spans="1:18" x14ac:dyDescent="0.25">
      <c r="A968" s="26"/>
      <c r="B968" s="25"/>
      <c r="C968" s="15">
        <v>10</v>
      </c>
      <c r="D968" s="16">
        <v>75</v>
      </c>
      <c r="E968" s="15">
        <f t="shared" si="595"/>
        <v>14</v>
      </c>
      <c r="F968" s="11">
        <v>2</v>
      </c>
      <c r="G968" s="11">
        <f t="shared" si="596"/>
        <v>10</v>
      </c>
      <c r="H968" s="12"/>
      <c r="I968" s="12">
        <f>0.22+2*10*0.01</f>
        <v>0.42000000000000004</v>
      </c>
      <c r="J968" s="22"/>
      <c r="K968" s="22"/>
      <c r="L968" s="12">
        <f t="shared" si="591"/>
        <v>0.42000000000000004</v>
      </c>
      <c r="M968" s="12">
        <f t="shared" si="572"/>
        <v>0</v>
      </c>
      <c r="N968" s="12">
        <f t="shared" si="573"/>
        <v>117.6</v>
      </c>
      <c r="O968" s="12">
        <f t="shared" si="574"/>
        <v>0</v>
      </c>
      <c r="P968" s="12">
        <f t="shared" si="575"/>
        <v>0</v>
      </c>
      <c r="Q968" s="12">
        <f t="shared" si="576"/>
        <v>0</v>
      </c>
      <c r="R968" s="12">
        <f t="shared" si="577"/>
        <v>0</v>
      </c>
    </row>
    <row r="969" spans="1:18" x14ac:dyDescent="0.25">
      <c r="A969" s="26"/>
      <c r="B969" s="25" t="s">
        <v>161</v>
      </c>
      <c r="C969" s="15">
        <v>8</v>
      </c>
      <c r="D969" s="16">
        <v>150</v>
      </c>
      <c r="E969" s="15">
        <f t="shared" si="595"/>
        <v>14</v>
      </c>
      <c r="F969" s="11">
        <v>1</v>
      </c>
      <c r="G969" s="11">
        <f t="shared" ref="G969:G972" si="597">+ROUND(950/D969+1,0)</f>
        <v>7</v>
      </c>
      <c r="H969" s="12"/>
      <c r="I969" s="12">
        <f>2*(0.22+0.67)+24*0.008</f>
        <v>1.972</v>
      </c>
      <c r="J969" s="22"/>
      <c r="K969" s="22"/>
      <c r="L969" s="12">
        <f t="shared" si="591"/>
        <v>1.972</v>
      </c>
      <c r="M969" s="12">
        <f t="shared" si="572"/>
        <v>193.26</v>
      </c>
      <c r="N969" s="12">
        <f t="shared" si="573"/>
        <v>0</v>
      </c>
      <c r="O969" s="12">
        <f t="shared" si="574"/>
        <v>0</v>
      </c>
      <c r="P969" s="12">
        <f t="shared" si="575"/>
        <v>0</v>
      </c>
      <c r="Q969" s="12">
        <f t="shared" si="576"/>
        <v>0</v>
      </c>
      <c r="R969" s="12">
        <f t="shared" si="577"/>
        <v>0</v>
      </c>
    </row>
    <row r="970" spans="1:18" x14ac:dyDescent="0.25">
      <c r="A970" s="26"/>
      <c r="B970" s="25"/>
      <c r="C970" s="15">
        <v>8</v>
      </c>
      <c r="D970" s="16">
        <v>150</v>
      </c>
      <c r="E970" s="15">
        <f t="shared" si="595"/>
        <v>14</v>
      </c>
      <c r="F970" s="11">
        <v>1</v>
      </c>
      <c r="G970" s="11">
        <f t="shared" si="597"/>
        <v>7</v>
      </c>
      <c r="H970" s="12"/>
      <c r="I970" s="12">
        <f>2*(0.22+0.132)+24*0.008</f>
        <v>0.89599999999999991</v>
      </c>
      <c r="J970" s="22"/>
      <c r="K970" s="22"/>
      <c r="L970" s="12">
        <f t="shared" si="591"/>
        <v>0.89599999999999991</v>
      </c>
      <c r="M970" s="12">
        <f t="shared" si="572"/>
        <v>87.81</v>
      </c>
      <c r="N970" s="12">
        <f t="shared" si="573"/>
        <v>0</v>
      </c>
      <c r="O970" s="12">
        <f t="shared" si="574"/>
        <v>0</v>
      </c>
      <c r="P970" s="12">
        <f t="shared" si="575"/>
        <v>0</v>
      </c>
      <c r="Q970" s="12">
        <f t="shared" si="576"/>
        <v>0</v>
      </c>
      <c r="R970" s="12">
        <f t="shared" si="577"/>
        <v>0</v>
      </c>
    </row>
    <row r="971" spans="1:18" x14ac:dyDescent="0.25">
      <c r="A971" s="26"/>
      <c r="B971" s="25"/>
      <c r="C971" s="15">
        <v>8</v>
      </c>
      <c r="D971" s="16">
        <v>150</v>
      </c>
      <c r="E971" s="15">
        <f t="shared" si="595"/>
        <v>14</v>
      </c>
      <c r="F971" s="11">
        <v>2</v>
      </c>
      <c r="G971" s="11">
        <f t="shared" si="597"/>
        <v>7</v>
      </c>
      <c r="H971" s="12"/>
      <c r="I971" s="12">
        <f>+(0.165+0.165+0.22)+0.2*0.008</f>
        <v>0.55160000000000009</v>
      </c>
      <c r="J971" s="22"/>
      <c r="K971" s="22"/>
      <c r="L971" s="12">
        <f t="shared" si="591"/>
        <v>0.55160000000000009</v>
      </c>
      <c r="M971" s="12">
        <f t="shared" si="572"/>
        <v>108.11</v>
      </c>
      <c r="N971" s="12">
        <f t="shared" si="573"/>
        <v>0</v>
      </c>
      <c r="O971" s="12">
        <f t="shared" si="574"/>
        <v>0</v>
      </c>
      <c r="P971" s="12">
        <f t="shared" si="575"/>
        <v>0</v>
      </c>
      <c r="Q971" s="12">
        <f t="shared" si="576"/>
        <v>0</v>
      </c>
      <c r="R971" s="12">
        <f t="shared" si="577"/>
        <v>0</v>
      </c>
    </row>
    <row r="972" spans="1:18" x14ac:dyDescent="0.25">
      <c r="A972" s="26"/>
      <c r="B972" s="25"/>
      <c r="C972" s="15">
        <v>8</v>
      </c>
      <c r="D972" s="16">
        <v>150</v>
      </c>
      <c r="E972" s="15">
        <f t="shared" si="595"/>
        <v>14</v>
      </c>
      <c r="F972" s="11">
        <v>1</v>
      </c>
      <c r="G972" s="11">
        <f t="shared" si="597"/>
        <v>7</v>
      </c>
      <c r="H972" s="12"/>
      <c r="I972" s="12">
        <f>0.22+2*10*0.008</f>
        <v>0.38</v>
      </c>
      <c r="J972" s="22"/>
      <c r="K972" s="22"/>
      <c r="L972" s="12">
        <f t="shared" si="591"/>
        <v>0.38</v>
      </c>
      <c r="M972" s="12">
        <f t="shared" si="572"/>
        <v>37.24</v>
      </c>
      <c r="N972" s="12">
        <f t="shared" si="573"/>
        <v>0</v>
      </c>
      <c r="O972" s="12">
        <f t="shared" si="574"/>
        <v>0</v>
      </c>
      <c r="P972" s="12">
        <f t="shared" si="575"/>
        <v>0</v>
      </c>
      <c r="Q972" s="12">
        <f t="shared" si="576"/>
        <v>0</v>
      </c>
      <c r="R972" s="12">
        <f t="shared" si="577"/>
        <v>0</v>
      </c>
    </row>
    <row r="973" spans="1:18" x14ac:dyDescent="0.25">
      <c r="A973" s="26"/>
      <c r="B973" s="45" t="s">
        <v>167</v>
      </c>
      <c r="C973" s="15">
        <v>16</v>
      </c>
      <c r="D973" s="16"/>
      <c r="E973" s="15">
        <v>14</v>
      </c>
      <c r="F973" s="11">
        <v>1</v>
      </c>
      <c r="G973" s="11">
        <v>4</v>
      </c>
      <c r="H973" s="12"/>
      <c r="I973" s="12">
        <f t="shared" ref="I973:I974" si="598">106.2-103.25</f>
        <v>2.9500000000000028</v>
      </c>
      <c r="J973" s="22"/>
      <c r="K973" s="22">
        <f t="shared" ref="K973:K974" si="599">0.5*40*C973/1000</f>
        <v>0.32</v>
      </c>
      <c r="L973" s="12">
        <f t="shared" si="591"/>
        <v>3.2700000000000027</v>
      </c>
      <c r="M973" s="12">
        <f t="shared" si="572"/>
        <v>0</v>
      </c>
      <c r="N973" s="12">
        <f t="shared" si="573"/>
        <v>0</v>
      </c>
      <c r="O973" s="12">
        <f t="shared" si="574"/>
        <v>0</v>
      </c>
      <c r="P973" s="12">
        <f t="shared" si="575"/>
        <v>183.12</v>
      </c>
      <c r="Q973" s="12">
        <f t="shared" si="576"/>
        <v>0</v>
      </c>
      <c r="R973" s="12">
        <f t="shared" si="577"/>
        <v>0</v>
      </c>
    </row>
    <row r="974" spans="1:18" x14ac:dyDescent="0.25">
      <c r="A974" s="26"/>
      <c r="B974" s="25"/>
      <c r="C974" s="15">
        <v>12</v>
      </c>
      <c r="D974" s="16"/>
      <c r="E974" s="15">
        <f>+E973</f>
        <v>14</v>
      </c>
      <c r="F974" s="11">
        <v>1</v>
      </c>
      <c r="G974" s="11">
        <v>12</v>
      </c>
      <c r="H974" s="12"/>
      <c r="I974" s="12">
        <f t="shared" si="598"/>
        <v>2.9500000000000028</v>
      </c>
      <c r="J974" s="22"/>
      <c r="K974" s="22">
        <f t="shared" si="599"/>
        <v>0.24</v>
      </c>
      <c r="L974" s="12">
        <f t="shared" si="591"/>
        <v>3.1900000000000031</v>
      </c>
      <c r="M974" s="12">
        <f t="shared" si="572"/>
        <v>0</v>
      </c>
      <c r="N974" s="12">
        <f t="shared" si="573"/>
        <v>0</v>
      </c>
      <c r="O974" s="12">
        <f t="shared" si="574"/>
        <v>535.91999999999996</v>
      </c>
      <c r="P974" s="12">
        <f t="shared" si="575"/>
        <v>0</v>
      </c>
      <c r="Q974" s="12">
        <f t="shared" si="576"/>
        <v>0</v>
      </c>
      <c r="R974" s="12">
        <f t="shared" si="577"/>
        <v>0</v>
      </c>
    </row>
    <row r="975" spans="1:18" x14ac:dyDescent="0.25">
      <c r="A975" s="26"/>
      <c r="B975" s="25" t="s">
        <v>160</v>
      </c>
      <c r="C975" s="15">
        <v>10</v>
      </c>
      <c r="D975" s="16">
        <v>75</v>
      </c>
      <c r="E975" s="15">
        <f t="shared" ref="E975:E982" si="600">+E974</f>
        <v>14</v>
      </c>
      <c r="F975" s="11">
        <v>2</v>
      </c>
      <c r="G975" s="11">
        <f>+ROUND(715/D975,0)</f>
        <v>10</v>
      </c>
      <c r="H975" s="12"/>
      <c r="I975" s="12">
        <f>2*(0.22+0.635)+24*0.01</f>
        <v>1.95</v>
      </c>
      <c r="J975" s="22"/>
      <c r="K975" s="22"/>
      <c r="L975" s="12">
        <f t="shared" si="591"/>
        <v>1.95</v>
      </c>
      <c r="M975" s="12">
        <f t="shared" si="572"/>
        <v>0</v>
      </c>
      <c r="N975" s="12">
        <f t="shared" si="573"/>
        <v>546</v>
      </c>
      <c r="O975" s="12">
        <f t="shared" si="574"/>
        <v>0</v>
      </c>
      <c r="P975" s="12">
        <f t="shared" si="575"/>
        <v>0</v>
      </c>
      <c r="Q975" s="12">
        <f t="shared" si="576"/>
        <v>0</v>
      </c>
      <c r="R975" s="12">
        <f t="shared" si="577"/>
        <v>0</v>
      </c>
    </row>
    <row r="976" spans="1:18" x14ac:dyDescent="0.25">
      <c r="A976" s="26"/>
      <c r="B976" s="25"/>
      <c r="C976" s="15">
        <v>10</v>
      </c>
      <c r="D976" s="16">
        <v>75</v>
      </c>
      <c r="E976" s="15">
        <f t="shared" si="600"/>
        <v>14</v>
      </c>
      <c r="F976" s="11">
        <v>2</v>
      </c>
      <c r="G976" s="11">
        <f t="shared" ref="G976:G978" si="601">+ROUND(715/D976,0)</f>
        <v>10</v>
      </c>
      <c r="H976" s="12"/>
      <c r="I976" s="12">
        <f>2*(0.22+0.132)+24*0.01</f>
        <v>0.94399999999999995</v>
      </c>
      <c r="J976" s="22"/>
      <c r="K976" s="22"/>
      <c r="L976" s="12">
        <f t="shared" si="591"/>
        <v>0.94399999999999995</v>
      </c>
      <c r="M976" s="12">
        <f t="shared" si="572"/>
        <v>0</v>
      </c>
      <c r="N976" s="12">
        <f t="shared" si="573"/>
        <v>264.32</v>
      </c>
      <c r="O976" s="12">
        <f t="shared" si="574"/>
        <v>0</v>
      </c>
      <c r="P976" s="12">
        <f t="shared" si="575"/>
        <v>0</v>
      </c>
      <c r="Q976" s="12">
        <f t="shared" si="576"/>
        <v>0</v>
      </c>
      <c r="R976" s="12">
        <f t="shared" si="577"/>
        <v>0</v>
      </c>
    </row>
    <row r="977" spans="1:18" x14ac:dyDescent="0.25">
      <c r="A977" s="26"/>
      <c r="B977" s="25"/>
      <c r="C977" s="15">
        <v>10</v>
      </c>
      <c r="D977" s="16">
        <v>75</v>
      </c>
      <c r="E977" s="15">
        <f t="shared" si="600"/>
        <v>14</v>
      </c>
      <c r="F977" s="11">
        <f>2*2</f>
        <v>4</v>
      </c>
      <c r="G977" s="11">
        <f t="shared" si="601"/>
        <v>10</v>
      </c>
      <c r="H977" s="12"/>
      <c r="I977" s="12">
        <f>+(0.165+0.165+0.22)+0.2*0.01</f>
        <v>0.55200000000000005</v>
      </c>
      <c r="J977" s="22"/>
      <c r="K977" s="22"/>
      <c r="L977" s="12">
        <f t="shared" si="591"/>
        <v>0.55200000000000005</v>
      </c>
      <c r="M977" s="12">
        <f t="shared" si="572"/>
        <v>0</v>
      </c>
      <c r="N977" s="12">
        <f t="shared" si="573"/>
        <v>309.12</v>
      </c>
      <c r="O977" s="12">
        <f t="shared" si="574"/>
        <v>0</v>
      </c>
      <c r="P977" s="12">
        <f t="shared" si="575"/>
        <v>0</v>
      </c>
      <c r="Q977" s="12">
        <f t="shared" si="576"/>
        <v>0</v>
      </c>
      <c r="R977" s="12">
        <f t="shared" si="577"/>
        <v>0</v>
      </c>
    </row>
    <row r="978" spans="1:18" x14ac:dyDescent="0.25">
      <c r="A978" s="26"/>
      <c r="B978" s="25"/>
      <c r="C978" s="15">
        <v>10</v>
      </c>
      <c r="D978" s="16">
        <v>75</v>
      </c>
      <c r="E978" s="15">
        <f t="shared" si="600"/>
        <v>14</v>
      </c>
      <c r="F978" s="11">
        <v>2</v>
      </c>
      <c r="G978" s="11">
        <f t="shared" si="601"/>
        <v>10</v>
      </c>
      <c r="H978" s="12"/>
      <c r="I978" s="12">
        <f>0.22+2*10*0.01</f>
        <v>0.42000000000000004</v>
      </c>
      <c r="J978" s="22"/>
      <c r="K978" s="22"/>
      <c r="L978" s="12">
        <f t="shared" si="591"/>
        <v>0.42000000000000004</v>
      </c>
      <c r="M978" s="12">
        <f t="shared" si="572"/>
        <v>0</v>
      </c>
      <c r="N978" s="12">
        <f t="shared" si="573"/>
        <v>117.6</v>
      </c>
      <c r="O978" s="12">
        <f t="shared" si="574"/>
        <v>0</v>
      </c>
      <c r="P978" s="12">
        <f t="shared" si="575"/>
        <v>0</v>
      </c>
      <c r="Q978" s="12">
        <f t="shared" si="576"/>
        <v>0</v>
      </c>
      <c r="R978" s="12">
        <f t="shared" si="577"/>
        <v>0</v>
      </c>
    </row>
    <row r="979" spans="1:18" x14ac:dyDescent="0.25">
      <c r="A979" s="26"/>
      <c r="B979" s="25" t="s">
        <v>161</v>
      </c>
      <c r="C979" s="15">
        <v>8</v>
      </c>
      <c r="D979" s="16">
        <v>150</v>
      </c>
      <c r="E979" s="15">
        <f t="shared" si="600"/>
        <v>14</v>
      </c>
      <c r="F979" s="11">
        <v>1</v>
      </c>
      <c r="G979" s="11">
        <f>+ROUND(1020/D979+1,0)</f>
        <v>8</v>
      </c>
      <c r="H979" s="12"/>
      <c r="I979" s="12">
        <f>2*(0.22+0.635)+24*0.008</f>
        <v>1.9019999999999999</v>
      </c>
      <c r="J979" s="22"/>
      <c r="K979" s="22"/>
      <c r="L979" s="12">
        <f t="shared" si="591"/>
        <v>1.9019999999999999</v>
      </c>
      <c r="M979" s="12">
        <f t="shared" si="572"/>
        <v>213.02</v>
      </c>
      <c r="N979" s="12">
        <f t="shared" si="573"/>
        <v>0</v>
      </c>
      <c r="O979" s="12">
        <f t="shared" si="574"/>
        <v>0</v>
      </c>
      <c r="P979" s="12">
        <f t="shared" si="575"/>
        <v>0</v>
      </c>
      <c r="Q979" s="12">
        <f t="shared" si="576"/>
        <v>0</v>
      </c>
      <c r="R979" s="12">
        <f t="shared" si="577"/>
        <v>0</v>
      </c>
    </row>
    <row r="980" spans="1:18" x14ac:dyDescent="0.25">
      <c r="A980" s="26"/>
      <c r="B980" s="25"/>
      <c r="C980" s="15">
        <v>8</v>
      </c>
      <c r="D980" s="16">
        <v>150</v>
      </c>
      <c r="E980" s="15">
        <f t="shared" si="600"/>
        <v>14</v>
      </c>
      <c r="F980" s="11">
        <v>1</v>
      </c>
      <c r="G980" s="11">
        <f>+ROUND(1020/D980+1,0)</f>
        <v>8</v>
      </c>
      <c r="H980" s="12"/>
      <c r="I980" s="12">
        <f>2*(0.22+0.132)+24*0.008</f>
        <v>0.89599999999999991</v>
      </c>
      <c r="J980" s="22"/>
      <c r="K980" s="22"/>
      <c r="L980" s="12">
        <f t="shared" si="591"/>
        <v>0.89599999999999991</v>
      </c>
      <c r="M980" s="12">
        <f t="shared" si="572"/>
        <v>100.35</v>
      </c>
      <c r="N980" s="12">
        <f t="shared" si="573"/>
        <v>0</v>
      </c>
      <c r="O980" s="12">
        <f t="shared" si="574"/>
        <v>0</v>
      </c>
      <c r="P980" s="12">
        <f t="shared" si="575"/>
        <v>0</v>
      </c>
      <c r="Q980" s="12">
        <f t="shared" si="576"/>
        <v>0</v>
      </c>
      <c r="R980" s="12">
        <f t="shared" si="577"/>
        <v>0</v>
      </c>
    </row>
    <row r="981" spans="1:18" x14ac:dyDescent="0.25">
      <c r="A981" s="26"/>
      <c r="B981" s="25"/>
      <c r="C981" s="15">
        <v>8</v>
      </c>
      <c r="D981" s="16">
        <v>150</v>
      </c>
      <c r="E981" s="15">
        <f t="shared" si="600"/>
        <v>14</v>
      </c>
      <c r="F981" s="11">
        <v>2</v>
      </c>
      <c r="G981" s="11">
        <f t="shared" ref="G981:G982" si="602">+ROUND(1020/D981+1,0)</f>
        <v>8</v>
      </c>
      <c r="H981" s="12"/>
      <c r="I981" s="12">
        <f>+(0.165+0.165+0.22)+0.2*0.008</f>
        <v>0.55160000000000009</v>
      </c>
      <c r="J981" s="22"/>
      <c r="K981" s="22"/>
      <c r="L981" s="12">
        <f t="shared" si="591"/>
        <v>0.55160000000000009</v>
      </c>
      <c r="M981" s="12">
        <f t="shared" si="572"/>
        <v>123.56</v>
      </c>
      <c r="N981" s="12">
        <f t="shared" si="573"/>
        <v>0</v>
      </c>
      <c r="O981" s="12">
        <f t="shared" si="574"/>
        <v>0</v>
      </c>
      <c r="P981" s="12">
        <f t="shared" si="575"/>
        <v>0</v>
      </c>
      <c r="Q981" s="12">
        <f t="shared" si="576"/>
        <v>0</v>
      </c>
      <c r="R981" s="12">
        <f t="shared" si="577"/>
        <v>0</v>
      </c>
    </row>
    <row r="982" spans="1:18" x14ac:dyDescent="0.25">
      <c r="A982" s="26"/>
      <c r="B982" s="25"/>
      <c r="C982" s="15">
        <v>8</v>
      </c>
      <c r="D982" s="16">
        <v>150</v>
      </c>
      <c r="E982" s="15">
        <f t="shared" si="600"/>
        <v>14</v>
      </c>
      <c r="F982" s="11">
        <v>1</v>
      </c>
      <c r="G982" s="11">
        <f t="shared" si="602"/>
        <v>8</v>
      </c>
      <c r="H982" s="12"/>
      <c r="I982" s="12">
        <f>0.22+2*10*0.008</f>
        <v>0.38</v>
      </c>
      <c r="J982" s="22"/>
      <c r="K982" s="22"/>
      <c r="L982" s="12">
        <f t="shared" si="591"/>
        <v>0.38</v>
      </c>
      <c r="M982" s="12">
        <f t="shared" si="572"/>
        <v>42.56</v>
      </c>
      <c r="N982" s="12">
        <f t="shared" si="573"/>
        <v>0</v>
      </c>
      <c r="O982" s="12">
        <f t="shared" si="574"/>
        <v>0</v>
      </c>
      <c r="P982" s="12">
        <f t="shared" si="575"/>
        <v>0</v>
      </c>
      <c r="Q982" s="12">
        <f t="shared" si="576"/>
        <v>0</v>
      </c>
      <c r="R982" s="12">
        <f t="shared" si="577"/>
        <v>0</v>
      </c>
    </row>
    <row r="983" spans="1:18" x14ac:dyDescent="0.25">
      <c r="A983" s="26"/>
      <c r="B983" s="45" t="s">
        <v>168</v>
      </c>
      <c r="C983" s="15">
        <v>16</v>
      </c>
      <c r="D983" s="16"/>
      <c r="E983" s="15">
        <v>4</v>
      </c>
      <c r="F983" s="11">
        <v>1</v>
      </c>
      <c r="G983" s="11">
        <v>4</v>
      </c>
      <c r="H983" s="12"/>
      <c r="I983" s="12">
        <f t="shared" ref="I983:I984" si="603">106.2-103.25</f>
        <v>2.9500000000000028</v>
      </c>
      <c r="J983" s="22"/>
      <c r="K983" s="22">
        <f t="shared" ref="K983:K984" si="604">0.5*40*C983/1000</f>
        <v>0.32</v>
      </c>
      <c r="L983" s="12">
        <f t="shared" si="591"/>
        <v>3.2700000000000027</v>
      </c>
      <c r="M983" s="12">
        <f t="shared" si="572"/>
        <v>0</v>
      </c>
      <c r="N983" s="12">
        <f t="shared" si="573"/>
        <v>0</v>
      </c>
      <c r="O983" s="12">
        <f t="shared" si="574"/>
        <v>0</v>
      </c>
      <c r="P983" s="12">
        <f t="shared" si="575"/>
        <v>52.32</v>
      </c>
      <c r="Q983" s="12">
        <f t="shared" si="576"/>
        <v>0</v>
      </c>
      <c r="R983" s="12">
        <f t="shared" si="577"/>
        <v>0</v>
      </c>
    </row>
    <row r="984" spans="1:18" x14ac:dyDescent="0.25">
      <c r="A984" s="26"/>
      <c r="B984" s="25"/>
      <c r="C984" s="15">
        <v>12</v>
      </c>
      <c r="D984" s="16"/>
      <c r="E984" s="15">
        <f>+E983</f>
        <v>4</v>
      </c>
      <c r="F984" s="11">
        <v>1</v>
      </c>
      <c r="G984" s="11">
        <v>14</v>
      </c>
      <c r="H984" s="12"/>
      <c r="I984" s="12">
        <f t="shared" si="603"/>
        <v>2.9500000000000028</v>
      </c>
      <c r="J984" s="22"/>
      <c r="K984" s="22">
        <f t="shared" si="604"/>
        <v>0.24</v>
      </c>
      <c r="L984" s="12">
        <f t="shared" si="591"/>
        <v>3.1900000000000031</v>
      </c>
      <c r="M984" s="12">
        <f t="shared" si="572"/>
        <v>0</v>
      </c>
      <c r="N984" s="12">
        <f t="shared" si="573"/>
        <v>0</v>
      </c>
      <c r="O984" s="12">
        <f t="shared" si="574"/>
        <v>178.64</v>
      </c>
      <c r="P984" s="12">
        <f t="shared" si="575"/>
        <v>0</v>
      </c>
      <c r="Q984" s="12">
        <f t="shared" si="576"/>
        <v>0</v>
      </c>
      <c r="R984" s="12">
        <f t="shared" si="577"/>
        <v>0</v>
      </c>
    </row>
    <row r="985" spans="1:18" x14ac:dyDescent="0.25">
      <c r="A985" s="26"/>
      <c r="B985" s="25" t="s">
        <v>160</v>
      </c>
      <c r="C985" s="15">
        <v>10</v>
      </c>
      <c r="D985" s="16">
        <v>75</v>
      </c>
      <c r="E985" s="15">
        <f t="shared" ref="E985:E990" si="605">+E984</f>
        <v>4</v>
      </c>
      <c r="F985" s="11">
        <v>2</v>
      </c>
      <c r="G985" s="11">
        <f>+ROUND(800/D985,0)</f>
        <v>11</v>
      </c>
      <c r="H985" s="12"/>
      <c r="I985" s="12">
        <f>2*(0.22+0.72)+24*0.01</f>
        <v>2.12</v>
      </c>
      <c r="J985" s="22"/>
      <c r="K985" s="22"/>
      <c r="L985" s="12">
        <f t="shared" si="591"/>
        <v>2.12</v>
      </c>
      <c r="M985" s="12">
        <f t="shared" si="572"/>
        <v>0</v>
      </c>
      <c r="N985" s="12">
        <f t="shared" si="573"/>
        <v>186.56</v>
      </c>
      <c r="O985" s="12">
        <f t="shared" si="574"/>
        <v>0</v>
      </c>
      <c r="P985" s="12">
        <f t="shared" si="575"/>
        <v>0</v>
      </c>
      <c r="Q985" s="12">
        <f t="shared" si="576"/>
        <v>0</v>
      </c>
      <c r="R985" s="12">
        <f t="shared" si="577"/>
        <v>0</v>
      </c>
    </row>
    <row r="986" spans="1:18" x14ac:dyDescent="0.25">
      <c r="A986" s="26"/>
      <c r="B986" s="25"/>
      <c r="C986" s="15">
        <v>10</v>
      </c>
      <c r="D986" s="16">
        <v>75</v>
      </c>
      <c r="E986" s="15">
        <f t="shared" si="605"/>
        <v>4</v>
      </c>
      <c r="F986" s="11">
        <f>2*2</f>
        <v>4</v>
      </c>
      <c r="G986" s="11">
        <f t="shared" ref="G986:G987" si="606">+ROUND(800/D986,0)</f>
        <v>11</v>
      </c>
      <c r="H986" s="12"/>
      <c r="I986" s="12">
        <f>2*(0.22+0.115)+24*0.01</f>
        <v>0.91</v>
      </c>
      <c r="J986" s="22"/>
      <c r="K986" s="22"/>
      <c r="L986" s="12">
        <f t="shared" si="591"/>
        <v>0.91</v>
      </c>
      <c r="M986" s="12">
        <f t="shared" si="572"/>
        <v>0</v>
      </c>
      <c r="N986" s="12">
        <f t="shared" si="573"/>
        <v>160.16</v>
      </c>
      <c r="O986" s="12">
        <f t="shared" si="574"/>
        <v>0</v>
      </c>
      <c r="P986" s="12">
        <f t="shared" si="575"/>
        <v>0</v>
      </c>
      <c r="Q986" s="12">
        <f t="shared" si="576"/>
        <v>0</v>
      </c>
      <c r="R986" s="12">
        <f t="shared" si="577"/>
        <v>0</v>
      </c>
    </row>
    <row r="987" spans="1:18" x14ac:dyDescent="0.25">
      <c r="A987" s="26"/>
      <c r="B987" s="25"/>
      <c r="C987" s="15">
        <v>10</v>
      </c>
      <c r="D987" s="16">
        <v>75</v>
      </c>
      <c r="E987" s="15">
        <f t="shared" si="605"/>
        <v>4</v>
      </c>
      <c r="F987" s="11">
        <f>2*2</f>
        <v>4</v>
      </c>
      <c r="G987" s="11">
        <f t="shared" si="606"/>
        <v>11</v>
      </c>
      <c r="H987" s="12"/>
      <c r="I987" s="12">
        <f>+(0.165+0.165+0.22)+0.2*0.01</f>
        <v>0.55200000000000005</v>
      </c>
      <c r="J987" s="22"/>
      <c r="K987" s="22"/>
      <c r="L987" s="12">
        <f t="shared" si="591"/>
        <v>0.55200000000000005</v>
      </c>
      <c r="M987" s="12">
        <f t="shared" si="572"/>
        <v>0</v>
      </c>
      <c r="N987" s="12">
        <f t="shared" si="573"/>
        <v>97.15</v>
      </c>
      <c r="O987" s="12">
        <f t="shared" si="574"/>
        <v>0</v>
      </c>
      <c r="P987" s="12">
        <f t="shared" si="575"/>
        <v>0</v>
      </c>
      <c r="Q987" s="12">
        <f t="shared" si="576"/>
        <v>0</v>
      </c>
      <c r="R987" s="12">
        <f t="shared" si="577"/>
        <v>0</v>
      </c>
    </row>
    <row r="988" spans="1:18" x14ac:dyDescent="0.25">
      <c r="A988" s="26"/>
      <c r="B988" s="25" t="s">
        <v>161</v>
      </c>
      <c r="C988" s="15">
        <v>8</v>
      </c>
      <c r="D988" s="16">
        <v>150</v>
      </c>
      <c r="E988" s="15">
        <f t="shared" si="605"/>
        <v>4</v>
      </c>
      <c r="F988" s="11">
        <v>1</v>
      </c>
      <c r="G988" s="11">
        <f>+ROUND(800/D988+1,0)</f>
        <v>6</v>
      </c>
      <c r="H988" s="12"/>
      <c r="I988" s="12">
        <f>2*(0.22+0.72)+24*0.008</f>
        <v>2.0720000000000001</v>
      </c>
      <c r="J988" s="22"/>
      <c r="K988" s="22"/>
      <c r="L988" s="12">
        <f t="shared" si="591"/>
        <v>2.0720000000000001</v>
      </c>
      <c r="M988" s="12">
        <f t="shared" si="572"/>
        <v>49.73</v>
      </c>
      <c r="N988" s="12">
        <f t="shared" si="573"/>
        <v>0</v>
      </c>
      <c r="O988" s="12">
        <f t="shared" si="574"/>
        <v>0</v>
      </c>
      <c r="P988" s="12">
        <f t="shared" si="575"/>
        <v>0</v>
      </c>
      <c r="Q988" s="12">
        <f t="shared" si="576"/>
        <v>0</v>
      </c>
      <c r="R988" s="12">
        <f t="shared" si="577"/>
        <v>0</v>
      </c>
    </row>
    <row r="989" spans="1:18" x14ac:dyDescent="0.25">
      <c r="A989" s="26"/>
      <c r="B989" s="25"/>
      <c r="C989" s="15">
        <v>8</v>
      </c>
      <c r="D989" s="16">
        <v>150</v>
      </c>
      <c r="E989" s="15">
        <f t="shared" si="605"/>
        <v>4</v>
      </c>
      <c r="F989" s="11">
        <v>2</v>
      </c>
      <c r="G989" s="11">
        <f t="shared" ref="G989:G990" si="607">+ROUND(800/D989+1,0)</f>
        <v>6</v>
      </c>
      <c r="H989" s="12"/>
      <c r="I989" s="12">
        <f>2*(0.22+0.115)+24*0.008</f>
        <v>0.8620000000000001</v>
      </c>
      <c r="J989" s="22"/>
      <c r="K989" s="22"/>
      <c r="L989" s="12">
        <f t="shared" si="591"/>
        <v>0.8620000000000001</v>
      </c>
      <c r="M989" s="12">
        <f t="shared" si="572"/>
        <v>41.38</v>
      </c>
      <c r="N989" s="12">
        <f t="shared" si="573"/>
        <v>0</v>
      </c>
      <c r="O989" s="12">
        <f t="shared" si="574"/>
        <v>0</v>
      </c>
      <c r="P989" s="12">
        <f t="shared" si="575"/>
        <v>0</v>
      </c>
      <c r="Q989" s="12">
        <f t="shared" si="576"/>
        <v>0</v>
      </c>
      <c r="R989" s="12">
        <f t="shared" si="577"/>
        <v>0</v>
      </c>
    </row>
    <row r="990" spans="1:18" x14ac:dyDescent="0.25">
      <c r="A990" s="26"/>
      <c r="B990" s="25"/>
      <c r="C990" s="15">
        <v>8</v>
      </c>
      <c r="D990" s="16">
        <v>150</v>
      </c>
      <c r="E990" s="15">
        <f t="shared" si="605"/>
        <v>4</v>
      </c>
      <c r="F990" s="11">
        <v>2</v>
      </c>
      <c r="G990" s="11">
        <f t="shared" si="607"/>
        <v>6</v>
      </c>
      <c r="H990" s="12"/>
      <c r="I990" s="12">
        <f>+(0.165+0.165+0.22)+0.2*0.008</f>
        <v>0.55160000000000009</v>
      </c>
      <c r="J990" s="22"/>
      <c r="K990" s="22"/>
      <c r="L990" s="12">
        <f t="shared" si="591"/>
        <v>0.55160000000000009</v>
      </c>
      <c r="M990" s="12">
        <f t="shared" si="572"/>
        <v>26.48</v>
      </c>
      <c r="N990" s="12">
        <f t="shared" si="573"/>
        <v>0</v>
      </c>
      <c r="O990" s="12">
        <f t="shared" si="574"/>
        <v>0</v>
      </c>
      <c r="P990" s="12">
        <f t="shared" si="575"/>
        <v>0</v>
      </c>
      <c r="Q990" s="12">
        <f t="shared" si="576"/>
        <v>0</v>
      </c>
      <c r="R990" s="12">
        <f t="shared" si="577"/>
        <v>0</v>
      </c>
    </row>
    <row r="991" spans="1:18" x14ac:dyDescent="0.25">
      <c r="A991" s="26"/>
      <c r="B991" s="45" t="s">
        <v>169</v>
      </c>
      <c r="C991" s="15">
        <v>16</v>
      </c>
      <c r="D991" s="16"/>
      <c r="E991" s="15">
        <v>4</v>
      </c>
      <c r="F991" s="11">
        <v>1</v>
      </c>
      <c r="G991" s="11">
        <v>10</v>
      </c>
      <c r="H991" s="12"/>
      <c r="I991" s="12">
        <f t="shared" ref="I991:I992" si="608">106.2-103.25</f>
        <v>2.9500000000000028</v>
      </c>
      <c r="J991" s="22"/>
      <c r="K991" s="22">
        <f>0.5*40*C991/1000</f>
        <v>0.32</v>
      </c>
      <c r="L991" s="12">
        <f t="shared" si="591"/>
        <v>3.2700000000000027</v>
      </c>
      <c r="M991" s="12">
        <f t="shared" si="572"/>
        <v>0</v>
      </c>
      <c r="N991" s="12">
        <f t="shared" si="573"/>
        <v>0</v>
      </c>
      <c r="O991" s="12">
        <f t="shared" si="574"/>
        <v>0</v>
      </c>
      <c r="P991" s="12">
        <f t="shared" si="575"/>
        <v>130.80000000000001</v>
      </c>
      <c r="Q991" s="12">
        <f t="shared" si="576"/>
        <v>0</v>
      </c>
      <c r="R991" s="12">
        <f t="shared" si="577"/>
        <v>0</v>
      </c>
    </row>
    <row r="992" spans="1:18" x14ac:dyDescent="0.25">
      <c r="A992" s="26"/>
      <c r="B992" s="45"/>
      <c r="C992" s="15">
        <v>12</v>
      </c>
      <c r="D992" s="16"/>
      <c r="E992" s="15">
        <v>4</v>
      </c>
      <c r="F992" s="11">
        <v>1</v>
      </c>
      <c r="G992" s="11">
        <v>4</v>
      </c>
      <c r="H992" s="12"/>
      <c r="I992" s="12">
        <f t="shared" si="608"/>
        <v>2.9500000000000028</v>
      </c>
      <c r="J992" s="22"/>
      <c r="K992" s="22">
        <f>0.5*40*C992/1000</f>
        <v>0.24</v>
      </c>
      <c r="L992" s="12">
        <f t="shared" ref="L992" si="609">SUM(H992:J992)+K992</f>
        <v>3.1900000000000031</v>
      </c>
      <c r="M992" s="12">
        <f t="shared" si="572"/>
        <v>0</v>
      </c>
      <c r="N992" s="12">
        <f t="shared" si="573"/>
        <v>0</v>
      </c>
      <c r="O992" s="12">
        <f t="shared" si="574"/>
        <v>51.04</v>
      </c>
      <c r="P992" s="12">
        <f t="shared" si="575"/>
        <v>0</v>
      </c>
      <c r="Q992" s="12">
        <f t="shared" si="576"/>
        <v>0</v>
      </c>
      <c r="R992" s="12">
        <f t="shared" si="577"/>
        <v>0</v>
      </c>
    </row>
    <row r="993" spans="1:18" x14ac:dyDescent="0.25">
      <c r="A993" s="26"/>
      <c r="B993" s="25" t="s">
        <v>160</v>
      </c>
      <c r="C993" s="15">
        <v>10</v>
      </c>
      <c r="D993" s="16">
        <v>75</v>
      </c>
      <c r="E993" s="15">
        <f>+E991</f>
        <v>4</v>
      </c>
      <c r="F993" s="11">
        <v>2</v>
      </c>
      <c r="G993" s="11">
        <f>+ROUND(600/D993,0)</f>
        <v>8</v>
      </c>
      <c r="H993" s="12"/>
      <c r="I993" s="12">
        <f>2*(0.22+0.52)+24*0.01</f>
        <v>1.72</v>
      </c>
      <c r="J993" s="22"/>
      <c r="K993" s="22"/>
      <c r="L993" s="12">
        <f t="shared" ref="L993:L1022" si="610">SUM(H993:J993)+K993</f>
        <v>1.72</v>
      </c>
      <c r="M993" s="12">
        <f t="shared" si="572"/>
        <v>0</v>
      </c>
      <c r="N993" s="12">
        <f t="shared" si="573"/>
        <v>110.08</v>
      </c>
      <c r="O993" s="12">
        <f t="shared" si="574"/>
        <v>0</v>
      </c>
      <c r="P993" s="12">
        <f t="shared" si="575"/>
        <v>0</v>
      </c>
      <c r="Q993" s="12">
        <f t="shared" si="576"/>
        <v>0</v>
      </c>
      <c r="R993" s="12">
        <f t="shared" si="577"/>
        <v>0</v>
      </c>
    </row>
    <row r="994" spans="1:18" x14ac:dyDescent="0.25">
      <c r="A994" s="26"/>
      <c r="B994" s="25"/>
      <c r="C994" s="15">
        <v>10</v>
      </c>
      <c r="D994" s="16">
        <v>75</v>
      </c>
      <c r="E994" s="15">
        <f t="shared" ref="E994:E998" si="611">+E993</f>
        <v>4</v>
      </c>
      <c r="F994" s="11">
        <v>2</v>
      </c>
      <c r="G994" s="11">
        <f t="shared" ref="G994:G995" si="612">+ROUND(600/D994,0)</f>
        <v>8</v>
      </c>
      <c r="H994" s="12"/>
      <c r="I994" s="12">
        <f>2*(0.22+0.115)+24*0.01</f>
        <v>0.91</v>
      </c>
      <c r="J994" s="22"/>
      <c r="K994" s="22"/>
      <c r="L994" s="12">
        <f t="shared" si="610"/>
        <v>0.91</v>
      </c>
      <c r="M994" s="12">
        <f t="shared" si="572"/>
        <v>0</v>
      </c>
      <c r="N994" s="12">
        <f t="shared" si="573"/>
        <v>58.24</v>
      </c>
      <c r="O994" s="12">
        <f t="shared" si="574"/>
        <v>0</v>
      </c>
      <c r="P994" s="12">
        <f t="shared" si="575"/>
        <v>0</v>
      </c>
      <c r="Q994" s="12">
        <f t="shared" si="576"/>
        <v>0</v>
      </c>
      <c r="R994" s="12">
        <f t="shared" si="577"/>
        <v>0</v>
      </c>
    </row>
    <row r="995" spans="1:18" x14ac:dyDescent="0.25">
      <c r="A995" s="26"/>
      <c r="B995" s="25"/>
      <c r="C995" s="15">
        <v>10</v>
      </c>
      <c r="D995" s="16">
        <v>75</v>
      </c>
      <c r="E995" s="15">
        <f t="shared" si="611"/>
        <v>4</v>
      </c>
      <c r="F995" s="11">
        <f>2*2</f>
        <v>4</v>
      </c>
      <c r="G995" s="11">
        <f t="shared" si="612"/>
        <v>8</v>
      </c>
      <c r="H995" s="12"/>
      <c r="I995" s="12">
        <f>+(0.16+0.16+0.22)+0.24*0.01</f>
        <v>0.54239999999999999</v>
      </c>
      <c r="J995" s="22"/>
      <c r="K995" s="22"/>
      <c r="L995" s="12">
        <f t="shared" si="610"/>
        <v>0.54239999999999999</v>
      </c>
      <c r="M995" s="12">
        <f t="shared" si="572"/>
        <v>0</v>
      </c>
      <c r="N995" s="12">
        <f t="shared" si="573"/>
        <v>69.430000000000007</v>
      </c>
      <c r="O995" s="12">
        <f t="shared" si="574"/>
        <v>0</v>
      </c>
      <c r="P995" s="12">
        <f t="shared" si="575"/>
        <v>0</v>
      </c>
      <c r="Q995" s="12">
        <f t="shared" si="576"/>
        <v>0</v>
      </c>
      <c r="R995" s="12">
        <f t="shared" si="577"/>
        <v>0</v>
      </c>
    </row>
    <row r="996" spans="1:18" x14ac:dyDescent="0.25">
      <c r="A996" s="26"/>
      <c r="B996" s="25" t="s">
        <v>161</v>
      </c>
      <c r="C996" s="15">
        <v>8</v>
      </c>
      <c r="D996" s="16">
        <v>150</v>
      </c>
      <c r="E996" s="15">
        <f t="shared" si="611"/>
        <v>4</v>
      </c>
      <c r="F996" s="11">
        <v>1</v>
      </c>
      <c r="G996" s="11">
        <f>+ROUND(1250/D996+1,0)</f>
        <v>9</v>
      </c>
      <c r="H996" s="12"/>
      <c r="I996" s="12">
        <f>2*(0.22+0.52)+24*0.008</f>
        <v>1.6719999999999999</v>
      </c>
      <c r="J996" s="22"/>
      <c r="K996" s="22"/>
      <c r="L996" s="12">
        <f t="shared" si="610"/>
        <v>1.6719999999999999</v>
      </c>
      <c r="M996" s="12">
        <f t="shared" si="572"/>
        <v>60.19</v>
      </c>
      <c r="N996" s="12">
        <f t="shared" si="573"/>
        <v>0</v>
      </c>
      <c r="O996" s="12">
        <f t="shared" si="574"/>
        <v>0</v>
      </c>
      <c r="P996" s="12">
        <f t="shared" si="575"/>
        <v>0</v>
      </c>
      <c r="Q996" s="12">
        <f t="shared" si="576"/>
        <v>0</v>
      </c>
      <c r="R996" s="12">
        <f t="shared" si="577"/>
        <v>0</v>
      </c>
    </row>
    <row r="997" spans="1:18" x14ac:dyDescent="0.25">
      <c r="A997" s="26"/>
      <c r="B997" s="25"/>
      <c r="C997" s="15">
        <v>8</v>
      </c>
      <c r="D997" s="16">
        <v>150</v>
      </c>
      <c r="E997" s="15">
        <f t="shared" si="611"/>
        <v>4</v>
      </c>
      <c r="F997" s="11">
        <v>1</v>
      </c>
      <c r="G997" s="11">
        <f t="shared" ref="G997:G998" si="613">+ROUND(1250/D997+1,0)</f>
        <v>9</v>
      </c>
      <c r="H997" s="12"/>
      <c r="I997" s="12">
        <f>2*(0.22+0.115)+24*0.008</f>
        <v>0.8620000000000001</v>
      </c>
      <c r="J997" s="22"/>
      <c r="K997" s="22"/>
      <c r="L997" s="12">
        <f t="shared" si="610"/>
        <v>0.8620000000000001</v>
      </c>
      <c r="M997" s="12">
        <f t="shared" si="572"/>
        <v>31.03</v>
      </c>
      <c r="N997" s="12">
        <f t="shared" si="573"/>
        <v>0</v>
      </c>
      <c r="O997" s="12">
        <f t="shared" si="574"/>
        <v>0</v>
      </c>
      <c r="P997" s="12">
        <f t="shared" si="575"/>
        <v>0</v>
      </c>
      <c r="Q997" s="12">
        <f t="shared" si="576"/>
        <v>0</v>
      </c>
      <c r="R997" s="12">
        <f t="shared" si="577"/>
        <v>0</v>
      </c>
    </row>
    <row r="998" spans="1:18" x14ac:dyDescent="0.25">
      <c r="A998" s="26"/>
      <c r="B998" s="25"/>
      <c r="C998" s="15">
        <v>8</v>
      </c>
      <c r="D998" s="16">
        <v>150</v>
      </c>
      <c r="E998" s="15">
        <f t="shared" si="611"/>
        <v>4</v>
      </c>
      <c r="F998" s="11">
        <v>2</v>
      </c>
      <c r="G998" s="11">
        <f t="shared" si="613"/>
        <v>9</v>
      </c>
      <c r="H998" s="12"/>
      <c r="I998" s="12">
        <f>+(0.16+0.16+0.22)+0.2*0.008</f>
        <v>0.54160000000000008</v>
      </c>
      <c r="J998" s="22"/>
      <c r="K998" s="22"/>
      <c r="L998" s="12">
        <f t="shared" si="610"/>
        <v>0.54160000000000008</v>
      </c>
      <c r="M998" s="12">
        <f t="shared" si="572"/>
        <v>39</v>
      </c>
      <c r="N998" s="12">
        <f t="shared" si="573"/>
        <v>0</v>
      </c>
      <c r="O998" s="12">
        <f t="shared" si="574"/>
        <v>0</v>
      </c>
      <c r="P998" s="12">
        <f t="shared" si="575"/>
        <v>0</v>
      </c>
      <c r="Q998" s="12">
        <f t="shared" si="576"/>
        <v>0</v>
      </c>
      <c r="R998" s="12">
        <f t="shared" si="577"/>
        <v>0</v>
      </c>
    </row>
    <row r="999" spans="1:18" x14ac:dyDescent="0.25">
      <c r="A999" s="26"/>
      <c r="B999" s="45" t="s">
        <v>429</v>
      </c>
      <c r="C999" s="15"/>
      <c r="D999" s="16"/>
      <c r="E999" s="15"/>
      <c r="F999" s="11"/>
      <c r="G999" s="11"/>
      <c r="H999" s="12"/>
      <c r="I999" s="12"/>
      <c r="J999" s="22"/>
      <c r="K999" s="22"/>
      <c r="L999" s="12">
        <f t="shared" si="610"/>
        <v>0</v>
      </c>
      <c r="M999" s="12">
        <f t="shared" si="572"/>
        <v>0</v>
      </c>
      <c r="N999" s="12">
        <f t="shared" si="573"/>
        <v>0</v>
      </c>
      <c r="O999" s="12">
        <f t="shared" si="574"/>
        <v>0</v>
      </c>
      <c r="P999" s="12">
        <f t="shared" si="575"/>
        <v>0</v>
      </c>
      <c r="Q999" s="12">
        <f t="shared" si="576"/>
        <v>0</v>
      </c>
      <c r="R999" s="12">
        <f t="shared" si="577"/>
        <v>0</v>
      </c>
    </row>
    <row r="1000" spans="1:18" x14ac:dyDescent="0.25">
      <c r="A1000" s="26"/>
      <c r="B1000" s="45" t="s">
        <v>171</v>
      </c>
      <c r="C1000" s="15">
        <v>16</v>
      </c>
      <c r="D1000" s="16"/>
      <c r="E1000" s="15">
        <v>2</v>
      </c>
      <c r="F1000" s="11">
        <v>1</v>
      </c>
      <c r="G1000" s="11">
        <v>8</v>
      </c>
      <c r="H1000" s="12"/>
      <c r="I1000" s="12">
        <f t="shared" ref="I1000:I1002" si="614">106.2-103.25</f>
        <v>2.9500000000000028</v>
      </c>
      <c r="J1000" s="22"/>
      <c r="K1000" s="22">
        <f t="shared" ref="K1000:K1002" si="615">0.5*40*C1000/1000</f>
        <v>0.32</v>
      </c>
      <c r="L1000" s="12">
        <f t="shared" si="610"/>
        <v>3.2700000000000027</v>
      </c>
      <c r="M1000" s="12">
        <f t="shared" si="572"/>
        <v>0</v>
      </c>
      <c r="N1000" s="12">
        <f t="shared" si="573"/>
        <v>0</v>
      </c>
      <c r="O1000" s="12">
        <f t="shared" si="574"/>
        <v>0</v>
      </c>
      <c r="P1000" s="12">
        <f t="shared" si="575"/>
        <v>52.32</v>
      </c>
      <c r="Q1000" s="12">
        <f t="shared" si="576"/>
        <v>0</v>
      </c>
      <c r="R1000" s="12">
        <f t="shared" si="577"/>
        <v>0</v>
      </c>
    </row>
    <row r="1001" spans="1:18" x14ac:dyDescent="0.25">
      <c r="A1001" s="26"/>
      <c r="B1001" s="25"/>
      <c r="C1001" s="15">
        <v>12</v>
      </c>
      <c r="D1001" s="16"/>
      <c r="E1001" s="15">
        <v>2</v>
      </c>
      <c r="F1001" s="11">
        <v>1</v>
      </c>
      <c r="G1001" s="11">
        <v>16</v>
      </c>
      <c r="H1001" s="12"/>
      <c r="I1001" s="12">
        <f t="shared" si="614"/>
        <v>2.9500000000000028</v>
      </c>
      <c r="J1001" s="22"/>
      <c r="K1001" s="22">
        <f t="shared" si="615"/>
        <v>0.24</v>
      </c>
      <c r="L1001" s="12">
        <f t="shared" si="610"/>
        <v>3.1900000000000031</v>
      </c>
      <c r="M1001" s="12">
        <f t="shared" si="572"/>
        <v>0</v>
      </c>
      <c r="N1001" s="12">
        <f t="shared" si="573"/>
        <v>0</v>
      </c>
      <c r="O1001" s="12">
        <f t="shared" si="574"/>
        <v>102.08</v>
      </c>
      <c r="P1001" s="12">
        <f t="shared" si="575"/>
        <v>0</v>
      </c>
      <c r="Q1001" s="12">
        <f t="shared" si="576"/>
        <v>0</v>
      </c>
      <c r="R1001" s="12">
        <f t="shared" si="577"/>
        <v>0</v>
      </c>
    </row>
    <row r="1002" spans="1:18" x14ac:dyDescent="0.25">
      <c r="A1002" s="26"/>
      <c r="B1002" s="25"/>
      <c r="C1002" s="15">
        <v>10</v>
      </c>
      <c r="D1002" s="16"/>
      <c r="E1002" s="15">
        <v>2</v>
      </c>
      <c r="F1002" s="11">
        <v>1</v>
      </c>
      <c r="G1002" s="11">
        <v>8</v>
      </c>
      <c r="H1002" s="12"/>
      <c r="I1002" s="12">
        <f t="shared" si="614"/>
        <v>2.9500000000000028</v>
      </c>
      <c r="J1002" s="22"/>
      <c r="K1002" s="22">
        <f t="shared" si="615"/>
        <v>0.2</v>
      </c>
      <c r="L1002" s="12">
        <f t="shared" si="610"/>
        <v>3.150000000000003</v>
      </c>
      <c r="M1002" s="12">
        <f t="shared" si="572"/>
        <v>0</v>
      </c>
      <c r="N1002" s="12">
        <f t="shared" si="573"/>
        <v>50.4</v>
      </c>
      <c r="O1002" s="12">
        <f t="shared" si="574"/>
        <v>0</v>
      </c>
      <c r="P1002" s="12">
        <f t="shared" si="575"/>
        <v>0</v>
      </c>
      <c r="Q1002" s="12">
        <f t="shared" si="576"/>
        <v>0</v>
      </c>
      <c r="R1002" s="12">
        <f t="shared" si="577"/>
        <v>0</v>
      </c>
    </row>
    <row r="1003" spans="1:18" x14ac:dyDescent="0.25">
      <c r="A1003" s="26"/>
      <c r="B1003" s="25" t="s">
        <v>172</v>
      </c>
      <c r="C1003" s="15"/>
      <c r="D1003" s="16"/>
      <c r="E1003" s="15"/>
      <c r="F1003" s="11"/>
      <c r="G1003" s="11"/>
      <c r="H1003" s="12"/>
      <c r="I1003" s="12"/>
      <c r="J1003" s="22"/>
      <c r="K1003" s="22"/>
      <c r="L1003" s="12">
        <f t="shared" si="610"/>
        <v>0</v>
      </c>
      <c r="M1003" s="12">
        <f t="shared" si="572"/>
        <v>0</v>
      </c>
      <c r="N1003" s="12">
        <f t="shared" si="573"/>
        <v>0</v>
      </c>
      <c r="O1003" s="12">
        <f t="shared" si="574"/>
        <v>0</v>
      </c>
      <c r="P1003" s="12">
        <f t="shared" si="575"/>
        <v>0</v>
      </c>
      <c r="Q1003" s="12">
        <f t="shared" si="576"/>
        <v>0</v>
      </c>
      <c r="R1003" s="12">
        <f t="shared" si="577"/>
        <v>0</v>
      </c>
    </row>
    <row r="1004" spans="1:18" x14ac:dyDescent="0.25">
      <c r="A1004" s="26"/>
      <c r="B1004" s="25" t="s">
        <v>188</v>
      </c>
      <c r="C1004" s="15">
        <v>8</v>
      </c>
      <c r="D1004" s="16">
        <v>100</v>
      </c>
      <c r="E1004" s="15">
        <v>2</v>
      </c>
      <c r="F1004" s="11">
        <v>1</v>
      </c>
      <c r="G1004" s="11">
        <f>+ROUND(2450/D1004+1,0)</f>
        <v>26</v>
      </c>
      <c r="H1004" s="12"/>
      <c r="I1004" s="12">
        <f>2*(0.18+0.6)+24*C1004/1000</f>
        <v>1.752</v>
      </c>
      <c r="J1004" s="22"/>
      <c r="K1004" s="22"/>
      <c r="L1004" s="12">
        <f t="shared" si="610"/>
        <v>1.752</v>
      </c>
      <c r="M1004" s="12">
        <f t="shared" si="572"/>
        <v>91.1</v>
      </c>
      <c r="N1004" s="12">
        <f t="shared" si="573"/>
        <v>0</v>
      </c>
      <c r="O1004" s="12">
        <f t="shared" si="574"/>
        <v>0</v>
      </c>
      <c r="P1004" s="12">
        <f t="shared" si="575"/>
        <v>0</v>
      </c>
      <c r="Q1004" s="12">
        <f t="shared" si="576"/>
        <v>0</v>
      </c>
      <c r="R1004" s="12">
        <f t="shared" si="577"/>
        <v>0</v>
      </c>
    </row>
    <row r="1005" spans="1:18" x14ac:dyDescent="0.25">
      <c r="A1005" s="26"/>
      <c r="B1005" s="25" t="s">
        <v>174</v>
      </c>
      <c r="C1005" s="15">
        <v>8</v>
      </c>
      <c r="D1005" s="16">
        <v>100</v>
      </c>
      <c r="E1005" s="15">
        <v>2</v>
      </c>
      <c r="F1005" s="11">
        <v>1</v>
      </c>
      <c r="G1005" s="11">
        <f t="shared" ref="G1005:G1011" si="616">+ROUND(2450/D1005+1,0)</f>
        <v>26</v>
      </c>
      <c r="H1005" s="12"/>
      <c r="I1005" s="12">
        <f>2*(0.18+0.248)+24*C1005/1000</f>
        <v>1.048</v>
      </c>
      <c r="J1005" s="22"/>
      <c r="K1005" s="22"/>
      <c r="L1005" s="12">
        <f t="shared" si="610"/>
        <v>1.048</v>
      </c>
      <c r="M1005" s="12">
        <f t="shared" si="572"/>
        <v>54.5</v>
      </c>
      <c r="N1005" s="12">
        <f t="shared" si="573"/>
        <v>0</v>
      </c>
      <c r="O1005" s="12">
        <f t="shared" si="574"/>
        <v>0</v>
      </c>
      <c r="P1005" s="12">
        <f t="shared" si="575"/>
        <v>0</v>
      </c>
      <c r="Q1005" s="12">
        <f t="shared" si="576"/>
        <v>0</v>
      </c>
      <c r="R1005" s="12">
        <f t="shared" si="577"/>
        <v>0</v>
      </c>
    </row>
    <row r="1006" spans="1:18" x14ac:dyDescent="0.25">
      <c r="A1006" s="26"/>
      <c r="B1006" s="25" t="s">
        <v>173</v>
      </c>
      <c r="C1006" s="15">
        <v>8</v>
      </c>
      <c r="D1006" s="16">
        <v>100</v>
      </c>
      <c r="E1006" s="15">
        <v>2</v>
      </c>
      <c r="F1006" s="11">
        <v>1</v>
      </c>
      <c r="G1006" s="11">
        <f t="shared" si="616"/>
        <v>26</v>
      </c>
      <c r="H1006" s="12"/>
      <c r="I1006" s="12">
        <f>0.18+(20*C1006/1000)</f>
        <v>0.33999999999999997</v>
      </c>
      <c r="J1006" s="22"/>
      <c r="K1006" s="22"/>
      <c r="L1006" s="12">
        <f t="shared" si="610"/>
        <v>0.33999999999999997</v>
      </c>
      <c r="M1006" s="12">
        <f t="shared" si="572"/>
        <v>17.68</v>
      </c>
      <c r="N1006" s="12">
        <f t="shared" si="573"/>
        <v>0</v>
      </c>
      <c r="O1006" s="12">
        <f t="shared" si="574"/>
        <v>0</v>
      </c>
      <c r="P1006" s="12">
        <f t="shared" si="575"/>
        <v>0</v>
      </c>
      <c r="Q1006" s="12">
        <f t="shared" si="576"/>
        <v>0</v>
      </c>
      <c r="R1006" s="12">
        <f t="shared" si="577"/>
        <v>0</v>
      </c>
    </row>
    <row r="1007" spans="1:18" x14ac:dyDescent="0.25">
      <c r="A1007" s="26"/>
      <c r="B1007" s="25" t="s">
        <v>189</v>
      </c>
      <c r="C1007" s="15">
        <v>8</v>
      </c>
      <c r="D1007" s="16">
        <v>100</v>
      </c>
      <c r="E1007" s="15">
        <v>2</v>
      </c>
      <c r="F1007" s="11">
        <v>2</v>
      </c>
      <c r="G1007" s="11">
        <f t="shared" si="616"/>
        <v>26</v>
      </c>
      <c r="H1007" s="12"/>
      <c r="I1007" s="12">
        <f>2*(0.18+0.385)+24*C1007/1000</f>
        <v>1.3219999999999998</v>
      </c>
      <c r="J1007" s="22"/>
      <c r="K1007" s="22"/>
      <c r="L1007" s="12">
        <f t="shared" si="610"/>
        <v>1.3219999999999998</v>
      </c>
      <c r="M1007" s="12">
        <f t="shared" si="572"/>
        <v>137.49</v>
      </c>
      <c r="N1007" s="12">
        <f t="shared" si="573"/>
        <v>0</v>
      </c>
      <c r="O1007" s="12">
        <f t="shared" si="574"/>
        <v>0</v>
      </c>
      <c r="P1007" s="12">
        <f t="shared" si="575"/>
        <v>0</v>
      </c>
      <c r="Q1007" s="12">
        <f t="shared" si="576"/>
        <v>0</v>
      </c>
      <c r="R1007" s="12">
        <f t="shared" si="577"/>
        <v>0</v>
      </c>
    </row>
    <row r="1008" spans="1:18" x14ac:dyDescent="0.25">
      <c r="A1008" s="26"/>
      <c r="B1008" s="25" t="s">
        <v>175</v>
      </c>
      <c r="C1008" s="15">
        <v>8</v>
      </c>
      <c r="D1008" s="16">
        <v>100</v>
      </c>
      <c r="E1008" s="15">
        <v>2</v>
      </c>
      <c r="F1008" s="11">
        <v>1</v>
      </c>
      <c r="G1008" s="11">
        <f t="shared" si="616"/>
        <v>26</v>
      </c>
      <c r="H1008" s="12"/>
      <c r="I1008" s="12">
        <f>2*(0.18+0.268)+24*C1008/1000</f>
        <v>1.0880000000000001</v>
      </c>
      <c r="J1008" s="22"/>
      <c r="K1008" s="22"/>
      <c r="L1008" s="12">
        <f t="shared" si="610"/>
        <v>1.0880000000000001</v>
      </c>
      <c r="M1008" s="12">
        <f t="shared" si="572"/>
        <v>56.58</v>
      </c>
      <c r="N1008" s="12">
        <f t="shared" si="573"/>
        <v>0</v>
      </c>
      <c r="O1008" s="12">
        <f t="shared" si="574"/>
        <v>0</v>
      </c>
      <c r="P1008" s="12">
        <f t="shared" si="575"/>
        <v>0</v>
      </c>
      <c r="Q1008" s="12">
        <f t="shared" si="576"/>
        <v>0</v>
      </c>
      <c r="R1008" s="12">
        <f t="shared" si="577"/>
        <v>0</v>
      </c>
    </row>
    <row r="1009" spans="1:18" x14ac:dyDescent="0.25">
      <c r="A1009" s="26"/>
      <c r="B1009" s="25" t="s">
        <v>173</v>
      </c>
      <c r="C1009" s="15">
        <v>8</v>
      </c>
      <c r="D1009" s="16">
        <v>100</v>
      </c>
      <c r="E1009" s="15">
        <v>2</v>
      </c>
      <c r="F1009" s="11">
        <v>1</v>
      </c>
      <c r="G1009" s="11">
        <f t="shared" si="616"/>
        <v>26</v>
      </c>
      <c r="H1009" s="12"/>
      <c r="I1009" s="12">
        <f>0.18+(20*C1009/1000)</f>
        <v>0.33999999999999997</v>
      </c>
      <c r="J1009" s="22"/>
      <c r="K1009" s="22"/>
      <c r="L1009" s="12">
        <f t="shared" si="610"/>
        <v>0.33999999999999997</v>
      </c>
      <c r="M1009" s="12">
        <f t="shared" si="572"/>
        <v>17.68</v>
      </c>
      <c r="N1009" s="12">
        <f t="shared" si="573"/>
        <v>0</v>
      </c>
      <c r="O1009" s="12">
        <f t="shared" si="574"/>
        <v>0</v>
      </c>
      <c r="P1009" s="12">
        <f t="shared" si="575"/>
        <v>0</v>
      </c>
      <c r="Q1009" s="12">
        <f t="shared" si="576"/>
        <v>0</v>
      </c>
      <c r="R1009" s="12">
        <f t="shared" si="577"/>
        <v>0</v>
      </c>
    </row>
    <row r="1010" spans="1:18" x14ac:dyDescent="0.25">
      <c r="A1010" s="26"/>
      <c r="B1010" s="25" t="s">
        <v>176</v>
      </c>
      <c r="C1010" s="15">
        <v>8</v>
      </c>
      <c r="D1010" s="16">
        <v>200</v>
      </c>
      <c r="E1010" s="15">
        <v>2</v>
      </c>
      <c r="F1010" s="11">
        <v>1</v>
      </c>
      <c r="G1010" s="11">
        <f t="shared" si="616"/>
        <v>13</v>
      </c>
      <c r="H1010" s="12"/>
      <c r="I1010" s="12">
        <f>2*(0.18+0.866)+24*C1010/1000</f>
        <v>2.2840000000000003</v>
      </c>
      <c r="J1010" s="22"/>
      <c r="K1010" s="22"/>
      <c r="L1010" s="12">
        <f t="shared" si="610"/>
        <v>2.2840000000000003</v>
      </c>
      <c r="M1010" s="12">
        <f t="shared" si="572"/>
        <v>59.38</v>
      </c>
      <c r="N1010" s="12">
        <f t="shared" si="573"/>
        <v>0</v>
      </c>
      <c r="O1010" s="12">
        <f t="shared" si="574"/>
        <v>0</v>
      </c>
      <c r="P1010" s="12">
        <f t="shared" si="575"/>
        <v>0</v>
      </c>
      <c r="Q1010" s="12">
        <f t="shared" si="576"/>
        <v>0</v>
      </c>
      <c r="R1010" s="12">
        <f t="shared" si="577"/>
        <v>0</v>
      </c>
    </row>
    <row r="1011" spans="1:18" x14ac:dyDescent="0.25">
      <c r="A1011" s="26"/>
      <c r="B1011" s="25" t="s">
        <v>177</v>
      </c>
      <c r="C1011" s="15">
        <v>8</v>
      </c>
      <c r="D1011" s="16">
        <v>400</v>
      </c>
      <c r="E1011" s="15">
        <v>2</v>
      </c>
      <c r="F1011" s="11">
        <v>2</v>
      </c>
      <c r="G1011" s="11">
        <f t="shared" si="616"/>
        <v>7</v>
      </c>
      <c r="H1011" s="12"/>
      <c r="I1011" s="12">
        <f>0.18+(20*C1011/1000)</f>
        <v>0.33999999999999997</v>
      </c>
      <c r="J1011" s="22"/>
      <c r="K1011" s="22"/>
      <c r="L1011" s="12">
        <f t="shared" si="610"/>
        <v>0.33999999999999997</v>
      </c>
      <c r="M1011" s="12">
        <f t="shared" si="572"/>
        <v>9.52</v>
      </c>
      <c r="N1011" s="12">
        <f t="shared" si="573"/>
        <v>0</v>
      </c>
      <c r="O1011" s="12">
        <f t="shared" si="574"/>
        <v>0</v>
      </c>
      <c r="P1011" s="12">
        <f t="shared" si="575"/>
        <v>0</v>
      </c>
      <c r="Q1011" s="12">
        <f t="shared" si="576"/>
        <v>0</v>
      </c>
      <c r="R1011" s="12">
        <f t="shared" si="577"/>
        <v>0</v>
      </c>
    </row>
    <row r="1012" spans="1:18" x14ac:dyDescent="0.25">
      <c r="A1012" s="26"/>
      <c r="B1012" s="45" t="s">
        <v>178</v>
      </c>
      <c r="C1012" s="15">
        <v>16</v>
      </c>
      <c r="D1012" s="16"/>
      <c r="E1012" s="15">
        <v>2</v>
      </c>
      <c r="F1012" s="11">
        <v>1</v>
      </c>
      <c r="G1012" s="11">
        <v>8</v>
      </c>
      <c r="H1012" s="12"/>
      <c r="I1012" s="12">
        <f t="shared" ref="I1012:I1014" si="617">106.2-103.25</f>
        <v>2.9500000000000028</v>
      </c>
      <c r="J1012" s="22"/>
      <c r="K1012" s="22">
        <f t="shared" ref="K1012:K1014" si="618">0.5*40*C1012/1000</f>
        <v>0.32</v>
      </c>
      <c r="L1012" s="12">
        <f t="shared" si="610"/>
        <v>3.2700000000000027</v>
      </c>
      <c r="M1012" s="12">
        <f t="shared" si="572"/>
        <v>0</v>
      </c>
      <c r="N1012" s="12">
        <f t="shared" si="573"/>
        <v>0</v>
      </c>
      <c r="O1012" s="12">
        <f t="shared" si="574"/>
        <v>0</v>
      </c>
      <c r="P1012" s="12">
        <f t="shared" si="575"/>
        <v>52.32</v>
      </c>
      <c r="Q1012" s="12">
        <f t="shared" si="576"/>
        <v>0</v>
      </c>
      <c r="R1012" s="12">
        <f t="shared" si="577"/>
        <v>0</v>
      </c>
    </row>
    <row r="1013" spans="1:18" x14ac:dyDescent="0.25">
      <c r="A1013" s="26"/>
      <c r="B1013" s="25"/>
      <c r="C1013" s="15">
        <v>12</v>
      </c>
      <c r="D1013" s="16"/>
      <c r="E1013" s="15">
        <v>2</v>
      </c>
      <c r="F1013" s="11">
        <v>1</v>
      </c>
      <c r="G1013" s="11">
        <v>16</v>
      </c>
      <c r="H1013" s="12"/>
      <c r="I1013" s="12">
        <f t="shared" si="617"/>
        <v>2.9500000000000028</v>
      </c>
      <c r="J1013" s="22"/>
      <c r="K1013" s="22">
        <f t="shared" si="618"/>
        <v>0.24</v>
      </c>
      <c r="L1013" s="12">
        <f t="shared" si="610"/>
        <v>3.1900000000000031</v>
      </c>
      <c r="M1013" s="12">
        <f t="shared" si="572"/>
        <v>0</v>
      </c>
      <c r="N1013" s="12">
        <f t="shared" si="573"/>
        <v>0</v>
      </c>
      <c r="O1013" s="12">
        <f t="shared" si="574"/>
        <v>102.08</v>
      </c>
      <c r="P1013" s="12">
        <f t="shared" si="575"/>
        <v>0</v>
      </c>
      <c r="Q1013" s="12">
        <f t="shared" si="576"/>
        <v>0</v>
      </c>
      <c r="R1013" s="12">
        <f t="shared" si="577"/>
        <v>0</v>
      </c>
    </row>
    <row r="1014" spans="1:18" x14ac:dyDescent="0.25">
      <c r="A1014" s="26"/>
      <c r="B1014" s="25"/>
      <c r="C1014" s="15">
        <v>10</v>
      </c>
      <c r="D1014" s="16"/>
      <c r="E1014" s="15">
        <v>2</v>
      </c>
      <c r="F1014" s="11">
        <v>1</v>
      </c>
      <c r="G1014" s="11">
        <v>10</v>
      </c>
      <c r="H1014" s="12"/>
      <c r="I1014" s="12">
        <f t="shared" si="617"/>
        <v>2.9500000000000028</v>
      </c>
      <c r="J1014" s="22"/>
      <c r="K1014" s="22">
        <f t="shared" si="618"/>
        <v>0.2</v>
      </c>
      <c r="L1014" s="12">
        <f t="shared" si="610"/>
        <v>3.150000000000003</v>
      </c>
      <c r="M1014" s="12">
        <f t="shared" si="572"/>
        <v>0</v>
      </c>
      <c r="N1014" s="12">
        <f t="shared" si="573"/>
        <v>63</v>
      </c>
      <c r="O1014" s="12">
        <f t="shared" si="574"/>
        <v>0</v>
      </c>
      <c r="P1014" s="12">
        <f t="shared" si="575"/>
        <v>0</v>
      </c>
      <c r="Q1014" s="12">
        <f t="shared" si="576"/>
        <v>0</v>
      </c>
      <c r="R1014" s="12">
        <f t="shared" si="577"/>
        <v>0</v>
      </c>
    </row>
    <row r="1015" spans="1:18" x14ac:dyDescent="0.25">
      <c r="A1015" s="26"/>
      <c r="B1015" s="25" t="s">
        <v>172</v>
      </c>
      <c r="C1015" s="15"/>
      <c r="D1015" s="16"/>
      <c r="E1015" s="15"/>
      <c r="F1015" s="11"/>
      <c r="G1015" s="11"/>
      <c r="H1015" s="12"/>
      <c r="I1015" s="12"/>
      <c r="J1015" s="22"/>
      <c r="K1015" s="22"/>
      <c r="L1015" s="12">
        <f t="shared" si="610"/>
        <v>0</v>
      </c>
      <c r="M1015" s="12">
        <f t="shared" si="572"/>
        <v>0</v>
      </c>
      <c r="N1015" s="12">
        <f t="shared" si="573"/>
        <v>0</v>
      </c>
      <c r="O1015" s="12">
        <f t="shared" si="574"/>
        <v>0</v>
      </c>
      <c r="P1015" s="12">
        <f t="shared" si="575"/>
        <v>0</v>
      </c>
      <c r="Q1015" s="12">
        <f t="shared" si="576"/>
        <v>0</v>
      </c>
      <c r="R1015" s="12">
        <f t="shared" si="577"/>
        <v>0</v>
      </c>
    </row>
    <row r="1016" spans="1:18" x14ac:dyDescent="0.25">
      <c r="A1016" s="26"/>
      <c r="B1016" s="25" t="s">
        <v>188</v>
      </c>
      <c r="C1016" s="15">
        <v>8</v>
      </c>
      <c r="D1016" s="16">
        <v>100</v>
      </c>
      <c r="E1016" s="15">
        <v>2</v>
      </c>
      <c r="F1016" s="11">
        <v>1</v>
      </c>
      <c r="G1016" s="11">
        <f t="shared" ref="G1016:G1023" si="619">+ROUND(2450/D1016+1,0)</f>
        <v>26</v>
      </c>
      <c r="H1016" s="12"/>
      <c r="I1016" s="12">
        <f>2*(0.18+0.6)+24*C1016/1000</f>
        <v>1.752</v>
      </c>
      <c r="J1016" s="22"/>
      <c r="K1016" s="22"/>
      <c r="L1016" s="12">
        <f t="shared" si="610"/>
        <v>1.752</v>
      </c>
      <c r="M1016" s="12">
        <f t="shared" si="572"/>
        <v>91.1</v>
      </c>
      <c r="N1016" s="12">
        <f t="shared" si="573"/>
        <v>0</v>
      </c>
      <c r="O1016" s="12">
        <f t="shared" si="574"/>
        <v>0</v>
      </c>
      <c r="P1016" s="12">
        <f t="shared" si="575"/>
        <v>0</v>
      </c>
      <c r="Q1016" s="12">
        <f t="shared" si="576"/>
        <v>0</v>
      </c>
      <c r="R1016" s="12">
        <f t="shared" si="577"/>
        <v>0</v>
      </c>
    </row>
    <row r="1017" spans="1:18" x14ac:dyDescent="0.25">
      <c r="A1017" s="26"/>
      <c r="B1017" s="25" t="s">
        <v>174</v>
      </c>
      <c r="C1017" s="15">
        <v>8</v>
      </c>
      <c r="D1017" s="16">
        <v>100</v>
      </c>
      <c r="E1017" s="15">
        <v>2</v>
      </c>
      <c r="F1017" s="11">
        <v>1</v>
      </c>
      <c r="G1017" s="11">
        <f t="shared" si="619"/>
        <v>26</v>
      </c>
      <c r="H1017" s="12"/>
      <c r="I1017" s="12">
        <f>2*(0.18+0.248)+24*C1017/1000</f>
        <v>1.048</v>
      </c>
      <c r="J1017" s="22"/>
      <c r="K1017" s="22"/>
      <c r="L1017" s="12">
        <f t="shared" si="610"/>
        <v>1.048</v>
      </c>
      <c r="M1017" s="12">
        <f t="shared" si="572"/>
        <v>54.5</v>
      </c>
      <c r="N1017" s="12">
        <f t="shared" si="573"/>
        <v>0</v>
      </c>
      <c r="O1017" s="12">
        <f t="shared" si="574"/>
        <v>0</v>
      </c>
      <c r="P1017" s="12">
        <f t="shared" si="575"/>
        <v>0</v>
      </c>
      <c r="Q1017" s="12">
        <f t="shared" si="576"/>
        <v>0</v>
      </c>
      <c r="R1017" s="12">
        <f t="shared" si="577"/>
        <v>0</v>
      </c>
    </row>
    <row r="1018" spans="1:18" x14ac:dyDescent="0.25">
      <c r="A1018" s="26"/>
      <c r="B1018" s="25" t="s">
        <v>173</v>
      </c>
      <c r="C1018" s="15">
        <v>8</v>
      </c>
      <c r="D1018" s="16">
        <v>100</v>
      </c>
      <c r="E1018" s="15">
        <v>2</v>
      </c>
      <c r="F1018" s="11">
        <v>1</v>
      </c>
      <c r="G1018" s="11">
        <f t="shared" si="619"/>
        <v>26</v>
      </c>
      <c r="H1018" s="12"/>
      <c r="I1018" s="12">
        <f>0.18+(20*C1018/1000)</f>
        <v>0.33999999999999997</v>
      </c>
      <c r="J1018" s="22"/>
      <c r="K1018" s="22"/>
      <c r="L1018" s="12">
        <f t="shared" si="610"/>
        <v>0.33999999999999997</v>
      </c>
      <c r="M1018" s="12">
        <f t="shared" si="572"/>
        <v>17.68</v>
      </c>
      <c r="N1018" s="12">
        <f t="shared" si="573"/>
        <v>0</v>
      </c>
      <c r="O1018" s="12">
        <f t="shared" si="574"/>
        <v>0</v>
      </c>
      <c r="P1018" s="12">
        <f t="shared" si="575"/>
        <v>0</v>
      </c>
      <c r="Q1018" s="12">
        <f t="shared" si="576"/>
        <v>0</v>
      </c>
      <c r="R1018" s="12">
        <f t="shared" si="577"/>
        <v>0</v>
      </c>
    </row>
    <row r="1019" spans="1:18" x14ac:dyDescent="0.25">
      <c r="A1019" s="26"/>
      <c r="B1019" s="25" t="s">
        <v>189</v>
      </c>
      <c r="C1019" s="15">
        <v>8</v>
      </c>
      <c r="D1019" s="16">
        <v>100</v>
      </c>
      <c r="E1019" s="15">
        <v>2</v>
      </c>
      <c r="F1019" s="11">
        <v>2</v>
      </c>
      <c r="G1019" s="11">
        <f t="shared" si="619"/>
        <v>26</v>
      </c>
      <c r="H1019" s="12"/>
      <c r="I1019" s="12">
        <f>2*(0.18+0.385)+24*C1019/1000</f>
        <v>1.3219999999999998</v>
      </c>
      <c r="J1019" s="22"/>
      <c r="K1019" s="22"/>
      <c r="L1019" s="12">
        <f t="shared" si="610"/>
        <v>1.3219999999999998</v>
      </c>
      <c r="M1019" s="12">
        <f t="shared" si="572"/>
        <v>137.49</v>
      </c>
      <c r="N1019" s="12">
        <f t="shared" si="573"/>
        <v>0</v>
      </c>
      <c r="O1019" s="12">
        <f t="shared" si="574"/>
        <v>0</v>
      </c>
      <c r="P1019" s="12">
        <f t="shared" si="575"/>
        <v>0</v>
      </c>
      <c r="Q1019" s="12">
        <f t="shared" si="576"/>
        <v>0</v>
      </c>
      <c r="R1019" s="12">
        <f t="shared" si="577"/>
        <v>0</v>
      </c>
    </row>
    <row r="1020" spans="1:18" x14ac:dyDescent="0.25">
      <c r="A1020" s="26"/>
      <c r="B1020" s="25" t="s">
        <v>175</v>
      </c>
      <c r="C1020" s="15">
        <v>8</v>
      </c>
      <c r="D1020" s="16">
        <v>100</v>
      </c>
      <c r="E1020" s="15">
        <v>2</v>
      </c>
      <c r="F1020" s="11">
        <v>1</v>
      </c>
      <c r="G1020" s="11">
        <f t="shared" si="619"/>
        <v>26</v>
      </c>
      <c r="H1020" s="12"/>
      <c r="I1020" s="12">
        <f>2*(0.18+0.268)+24*C1020/1000</f>
        <v>1.0880000000000001</v>
      </c>
      <c r="J1020" s="22"/>
      <c r="K1020" s="22"/>
      <c r="L1020" s="12">
        <f t="shared" si="610"/>
        <v>1.0880000000000001</v>
      </c>
      <c r="M1020" s="12">
        <f t="shared" si="572"/>
        <v>56.58</v>
      </c>
      <c r="N1020" s="12">
        <f t="shared" si="573"/>
        <v>0</v>
      </c>
      <c r="O1020" s="12">
        <f t="shared" si="574"/>
        <v>0</v>
      </c>
      <c r="P1020" s="12">
        <f t="shared" si="575"/>
        <v>0</v>
      </c>
      <c r="Q1020" s="12">
        <f t="shared" si="576"/>
        <v>0</v>
      </c>
      <c r="R1020" s="12">
        <f t="shared" si="577"/>
        <v>0</v>
      </c>
    </row>
    <row r="1021" spans="1:18" x14ac:dyDescent="0.25">
      <c r="A1021" s="26"/>
      <c r="B1021" s="25" t="s">
        <v>173</v>
      </c>
      <c r="C1021" s="15">
        <v>8</v>
      </c>
      <c r="D1021" s="16">
        <v>100</v>
      </c>
      <c r="E1021" s="15">
        <v>2</v>
      </c>
      <c r="F1021" s="11">
        <v>1</v>
      </c>
      <c r="G1021" s="11">
        <f t="shared" si="619"/>
        <v>26</v>
      </c>
      <c r="H1021" s="12"/>
      <c r="I1021" s="12">
        <f>0.18+(20*C1021/1000)</f>
        <v>0.33999999999999997</v>
      </c>
      <c r="J1021" s="22"/>
      <c r="K1021" s="22"/>
      <c r="L1021" s="12">
        <f t="shared" si="610"/>
        <v>0.33999999999999997</v>
      </c>
      <c r="M1021" s="12">
        <f t="shared" si="572"/>
        <v>17.68</v>
      </c>
      <c r="N1021" s="12">
        <f t="shared" si="573"/>
        <v>0</v>
      </c>
      <c r="O1021" s="12">
        <f t="shared" si="574"/>
        <v>0</v>
      </c>
      <c r="P1021" s="12">
        <f t="shared" si="575"/>
        <v>0</v>
      </c>
      <c r="Q1021" s="12">
        <f t="shared" si="576"/>
        <v>0</v>
      </c>
      <c r="R1021" s="12">
        <f t="shared" si="577"/>
        <v>0</v>
      </c>
    </row>
    <row r="1022" spans="1:18" x14ac:dyDescent="0.25">
      <c r="A1022" s="26"/>
      <c r="B1022" s="25" t="s">
        <v>179</v>
      </c>
      <c r="C1022" s="15">
        <v>8</v>
      </c>
      <c r="D1022" s="16">
        <v>200</v>
      </c>
      <c r="E1022" s="15">
        <v>2</v>
      </c>
      <c r="F1022" s="11">
        <v>1</v>
      </c>
      <c r="G1022" s="11">
        <f t="shared" si="619"/>
        <v>13</v>
      </c>
      <c r="H1022" s="12"/>
      <c r="I1022" s="12">
        <f>2*(0.18+1.066)+24*C1022/1000</f>
        <v>2.6840000000000002</v>
      </c>
      <c r="J1022" s="22"/>
      <c r="K1022" s="22"/>
      <c r="L1022" s="12">
        <f t="shared" si="610"/>
        <v>2.6840000000000002</v>
      </c>
      <c r="M1022" s="12">
        <f t="shared" si="572"/>
        <v>69.78</v>
      </c>
      <c r="N1022" s="12">
        <f t="shared" si="573"/>
        <v>0</v>
      </c>
      <c r="O1022" s="12">
        <f t="shared" si="574"/>
        <v>0</v>
      </c>
      <c r="P1022" s="12">
        <f t="shared" si="575"/>
        <v>0</v>
      </c>
      <c r="Q1022" s="12">
        <f t="shared" si="576"/>
        <v>0</v>
      </c>
      <c r="R1022" s="12">
        <f t="shared" si="577"/>
        <v>0</v>
      </c>
    </row>
    <row r="1023" spans="1:18" x14ac:dyDescent="0.25">
      <c r="A1023" s="26"/>
      <c r="B1023" s="25" t="s">
        <v>177</v>
      </c>
      <c r="C1023" s="15">
        <v>8</v>
      </c>
      <c r="D1023" s="16">
        <v>400</v>
      </c>
      <c r="E1023" s="15">
        <v>2</v>
      </c>
      <c r="F1023" s="11">
        <v>2</v>
      </c>
      <c r="G1023" s="11">
        <f t="shared" si="619"/>
        <v>7</v>
      </c>
      <c r="H1023" s="12"/>
      <c r="I1023" s="12">
        <f>0.18+(20*C1023/1000)</f>
        <v>0.33999999999999997</v>
      </c>
      <c r="J1023" s="22"/>
      <c r="K1023" s="22"/>
      <c r="L1023" s="12">
        <f t="shared" ref="L1023:L1028" si="620">SUM(H1023:J1023)+K1023</f>
        <v>0.33999999999999997</v>
      </c>
      <c r="M1023" s="12">
        <f t="shared" si="572"/>
        <v>9.52</v>
      </c>
      <c r="N1023" s="12">
        <f t="shared" si="573"/>
        <v>0</v>
      </c>
      <c r="O1023" s="12">
        <f t="shared" si="574"/>
        <v>0</v>
      </c>
      <c r="P1023" s="12">
        <f t="shared" si="575"/>
        <v>0</v>
      </c>
      <c r="Q1023" s="12">
        <f t="shared" si="576"/>
        <v>0</v>
      </c>
      <c r="R1023" s="12">
        <f t="shared" si="577"/>
        <v>0</v>
      </c>
    </row>
    <row r="1024" spans="1:18" x14ac:dyDescent="0.25">
      <c r="A1024" s="26"/>
      <c r="B1024" s="45" t="s">
        <v>180</v>
      </c>
      <c r="C1024" s="15">
        <v>16</v>
      </c>
      <c r="D1024" s="16"/>
      <c r="E1024" s="15">
        <v>2</v>
      </c>
      <c r="F1024" s="11">
        <v>1</v>
      </c>
      <c r="G1024" s="11">
        <v>4</v>
      </c>
      <c r="H1024" s="12"/>
      <c r="I1024" s="12">
        <f t="shared" ref="I1024:I1025" si="621">106.2-103.25</f>
        <v>2.9500000000000028</v>
      </c>
      <c r="J1024" s="22"/>
      <c r="K1024" s="22">
        <f t="shared" ref="K1024:K1025" si="622">0.5*40*C1024/1000</f>
        <v>0.32</v>
      </c>
      <c r="L1024" s="12">
        <f t="shared" si="620"/>
        <v>3.2700000000000027</v>
      </c>
      <c r="M1024" s="12">
        <f t="shared" si="572"/>
        <v>0</v>
      </c>
      <c r="N1024" s="12">
        <f t="shared" si="573"/>
        <v>0</v>
      </c>
      <c r="O1024" s="12">
        <f t="shared" si="574"/>
        <v>0</v>
      </c>
      <c r="P1024" s="12">
        <f t="shared" si="575"/>
        <v>26.16</v>
      </c>
      <c r="Q1024" s="12">
        <f t="shared" si="576"/>
        <v>0</v>
      </c>
      <c r="R1024" s="12">
        <f t="shared" si="577"/>
        <v>0</v>
      </c>
    </row>
    <row r="1025" spans="1:18" x14ac:dyDescent="0.25">
      <c r="A1025" s="26"/>
      <c r="B1025" s="25"/>
      <c r="C1025" s="15">
        <v>12</v>
      </c>
      <c r="D1025" s="16"/>
      <c r="E1025" s="15">
        <v>2</v>
      </c>
      <c r="F1025" s="11">
        <v>1</v>
      </c>
      <c r="G1025" s="11">
        <v>16</v>
      </c>
      <c r="H1025" s="12"/>
      <c r="I1025" s="12">
        <f t="shared" si="621"/>
        <v>2.9500000000000028</v>
      </c>
      <c r="J1025" s="22"/>
      <c r="K1025" s="22">
        <f t="shared" si="622"/>
        <v>0.24</v>
      </c>
      <c r="L1025" s="12">
        <f t="shared" si="620"/>
        <v>3.1900000000000031</v>
      </c>
      <c r="M1025" s="12">
        <f t="shared" si="572"/>
        <v>0</v>
      </c>
      <c r="N1025" s="12">
        <f t="shared" si="573"/>
        <v>0</v>
      </c>
      <c r="O1025" s="12">
        <f t="shared" si="574"/>
        <v>102.08</v>
      </c>
      <c r="P1025" s="12">
        <f t="shared" si="575"/>
        <v>0</v>
      </c>
      <c r="Q1025" s="12">
        <f t="shared" si="576"/>
        <v>0</v>
      </c>
      <c r="R1025" s="12">
        <f t="shared" si="577"/>
        <v>0</v>
      </c>
    </row>
    <row r="1026" spans="1:18" x14ac:dyDescent="0.25">
      <c r="A1026" s="26"/>
      <c r="B1026" s="25" t="s">
        <v>172</v>
      </c>
      <c r="C1026" s="15"/>
      <c r="D1026" s="16"/>
      <c r="E1026" s="15"/>
      <c r="F1026" s="11"/>
      <c r="G1026" s="11"/>
      <c r="H1026" s="12"/>
      <c r="I1026" s="12"/>
      <c r="J1026" s="22"/>
      <c r="K1026" s="22"/>
      <c r="L1026" s="12">
        <f t="shared" si="620"/>
        <v>0</v>
      </c>
      <c r="M1026" s="12">
        <f t="shared" si="572"/>
        <v>0</v>
      </c>
      <c r="N1026" s="12">
        <f t="shared" si="573"/>
        <v>0</v>
      </c>
      <c r="O1026" s="12">
        <f t="shared" si="574"/>
        <v>0</v>
      </c>
      <c r="P1026" s="12">
        <f t="shared" si="575"/>
        <v>0</v>
      </c>
      <c r="Q1026" s="12">
        <f t="shared" si="576"/>
        <v>0</v>
      </c>
      <c r="R1026" s="12">
        <f t="shared" si="577"/>
        <v>0</v>
      </c>
    </row>
    <row r="1027" spans="1:18" x14ac:dyDescent="0.25">
      <c r="A1027" s="26"/>
      <c r="B1027" s="25" t="s">
        <v>187</v>
      </c>
      <c r="C1027" s="15">
        <v>8</v>
      </c>
      <c r="D1027" s="16">
        <v>100</v>
      </c>
      <c r="E1027" s="15">
        <v>2</v>
      </c>
      <c r="F1027" s="11">
        <v>1</v>
      </c>
      <c r="G1027" s="11">
        <f t="shared" ref="G1027:G1028" si="623">+ROUND(2450/D1027+1,0)</f>
        <v>26</v>
      </c>
      <c r="H1027" s="12"/>
      <c r="I1027" s="12">
        <f>2*(0.18+0.95)+24*C1027/1000</f>
        <v>2.452</v>
      </c>
      <c r="J1027" s="22"/>
      <c r="K1027" s="22"/>
      <c r="L1027" s="12">
        <f t="shared" si="620"/>
        <v>2.452</v>
      </c>
      <c r="M1027" s="12">
        <f t="shared" si="572"/>
        <v>127.5</v>
      </c>
      <c r="N1027" s="12">
        <f t="shared" si="573"/>
        <v>0</v>
      </c>
      <c r="O1027" s="12">
        <f t="shared" si="574"/>
        <v>0</v>
      </c>
      <c r="P1027" s="12">
        <f t="shared" si="575"/>
        <v>0</v>
      </c>
      <c r="Q1027" s="12">
        <f t="shared" si="576"/>
        <v>0</v>
      </c>
      <c r="R1027" s="12">
        <f t="shared" si="577"/>
        <v>0</v>
      </c>
    </row>
    <row r="1028" spans="1:18" x14ac:dyDescent="0.25">
      <c r="A1028" s="26"/>
      <c r="B1028" s="25" t="s">
        <v>181</v>
      </c>
      <c r="C1028" s="15">
        <v>8</v>
      </c>
      <c r="D1028" s="16">
        <v>100</v>
      </c>
      <c r="E1028" s="15">
        <v>2</v>
      </c>
      <c r="F1028" s="11">
        <v>4</v>
      </c>
      <c r="G1028" s="11">
        <f t="shared" si="623"/>
        <v>26</v>
      </c>
      <c r="H1028" s="12"/>
      <c r="I1028" s="12">
        <f>2*(0.18+0.12)+24*C1028/1000</f>
        <v>0.79200000000000004</v>
      </c>
      <c r="J1028" s="22"/>
      <c r="K1028" s="22"/>
      <c r="L1028" s="12">
        <f t="shared" si="620"/>
        <v>0.79200000000000004</v>
      </c>
      <c r="M1028" s="12">
        <f t="shared" si="572"/>
        <v>164.74</v>
      </c>
      <c r="N1028" s="12">
        <f t="shared" si="573"/>
        <v>0</v>
      </c>
      <c r="O1028" s="12">
        <f t="shared" si="574"/>
        <v>0</v>
      </c>
      <c r="P1028" s="12">
        <f t="shared" si="575"/>
        <v>0</v>
      </c>
      <c r="Q1028" s="12">
        <f t="shared" si="576"/>
        <v>0</v>
      </c>
      <c r="R1028" s="12">
        <f t="shared" si="577"/>
        <v>0</v>
      </c>
    </row>
    <row r="1029" spans="1:18" x14ac:dyDescent="0.25">
      <c r="A1029" s="26"/>
      <c r="B1029" s="45" t="s">
        <v>182</v>
      </c>
      <c r="C1029" s="15">
        <v>16</v>
      </c>
      <c r="D1029" s="16"/>
      <c r="E1029" s="15">
        <v>2</v>
      </c>
      <c r="F1029" s="11">
        <v>1</v>
      </c>
      <c r="G1029" s="11">
        <v>4</v>
      </c>
      <c r="H1029" s="12"/>
      <c r="I1029" s="12">
        <f t="shared" ref="I1029:I1030" si="624">106.2-103.25</f>
        <v>2.9500000000000028</v>
      </c>
      <c r="J1029" s="22"/>
      <c r="K1029" s="22">
        <f t="shared" ref="K1029:K1030" si="625">0.5*40*C1029/1000</f>
        <v>0.32</v>
      </c>
      <c r="L1029" s="12">
        <f t="shared" ref="L1029" si="626">SUM(H1029:J1029)+K1029</f>
        <v>3.2700000000000027</v>
      </c>
      <c r="M1029" s="12">
        <f t="shared" si="572"/>
        <v>0</v>
      </c>
      <c r="N1029" s="12">
        <f t="shared" si="573"/>
        <v>0</v>
      </c>
      <c r="O1029" s="12">
        <f t="shared" si="574"/>
        <v>0</v>
      </c>
      <c r="P1029" s="12">
        <f t="shared" si="575"/>
        <v>26.16</v>
      </c>
      <c r="Q1029" s="12">
        <f t="shared" si="576"/>
        <v>0</v>
      </c>
      <c r="R1029" s="12">
        <f t="shared" si="577"/>
        <v>0</v>
      </c>
    </row>
    <row r="1030" spans="1:18" x14ac:dyDescent="0.25">
      <c r="A1030" s="26"/>
      <c r="B1030" s="25"/>
      <c r="C1030" s="15">
        <v>12</v>
      </c>
      <c r="D1030" s="16"/>
      <c r="E1030" s="15">
        <v>2</v>
      </c>
      <c r="F1030" s="11">
        <v>1</v>
      </c>
      <c r="G1030" s="11">
        <v>18</v>
      </c>
      <c r="H1030" s="12"/>
      <c r="I1030" s="12">
        <f t="shared" si="624"/>
        <v>2.9500000000000028</v>
      </c>
      <c r="J1030" s="22"/>
      <c r="K1030" s="22">
        <f t="shared" si="625"/>
        <v>0.24</v>
      </c>
      <c r="L1030" s="12">
        <f>SUM(H1030:J1030)+K1030</f>
        <v>3.1900000000000031</v>
      </c>
      <c r="M1030" s="12">
        <f>+ROUND(IF(C1030=8,PRODUCT(E1030,F1030,G1030,L1030),0),2)</f>
        <v>0</v>
      </c>
      <c r="N1030" s="12">
        <f t="shared" si="573"/>
        <v>0</v>
      </c>
      <c r="O1030" s="12">
        <f t="shared" si="574"/>
        <v>114.84</v>
      </c>
      <c r="P1030" s="12">
        <f t="shared" si="575"/>
        <v>0</v>
      </c>
      <c r="Q1030" s="12">
        <f t="shared" si="576"/>
        <v>0</v>
      </c>
      <c r="R1030" s="12">
        <f t="shared" si="577"/>
        <v>0</v>
      </c>
    </row>
    <row r="1031" spans="1:18" x14ac:dyDescent="0.25">
      <c r="A1031" s="26"/>
      <c r="B1031" s="25" t="s">
        <v>172</v>
      </c>
      <c r="C1031" s="15"/>
      <c r="D1031" s="16"/>
      <c r="E1031" s="15"/>
      <c r="F1031" s="11"/>
      <c r="G1031" s="11"/>
      <c r="H1031" s="12"/>
      <c r="I1031" s="12"/>
      <c r="J1031" s="22"/>
      <c r="K1031" s="22"/>
      <c r="L1031" s="12">
        <f t="shared" ref="L1031:L1033" si="627">SUM(H1031:J1031)+K1031</f>
        <v>0</v>
      </c>
      <c r="M1031" s="12">
        <f t="shared" ref="M1031:M1035" si="628">+ROUND(IF(C1031=8,PRODUCT(E1031,F1031,G1031,L1031),0),2)</f>
        <v>0</v>
      </c>
      <c r="N1031" s="12">
        <f t="shared" si="573"/>
        <v>0</v>
      </c>
      <c r="O1031" s="12">
        <f t="shared" si="574"/>
        <v>0</v>
      </c>
      <c r="P1031" s="12">
        <f t="shared" si="575"/>
        <v>0</v>
      </c>
      <c r="Q1031" s="12">
        <f t="shared" si="576"/>
        <v>0</v>
      </c>
      <c r="R1031" s="12">
        <f t="shared" si="577"/>
        <v>0</v>
      </c>
    </row>
    <row r="1032" spans="1:18" x14ac:dyDescent="0.25">
      <c r="A1032" s="26"/>
      <c r="B1032" s="25" t="s">
        <v>186</v>
      </c>
      <c r="C1032" s="15">
        <v>8</v>
      </c>
      <c r="D1032" s="16">
        <v>100</v>
      </c>
      <c r="E1032" s="15">
        <v>2</v>
      </c>
      <c r="F1032" s="11">
        <v>1</v>
      </c>
      <c r="G1032" s="11">
        <f t="shared" ref="G1032:G1034" si="629">+ROUND(2450/D1032+1,0)</f>
        <v>26</v>
      </c>
      <c r="H1032" s="12"/>
      <c r="I1032" s="12">
        <f>2*(0.18+1.1)+24*C1032/1000</f>
        <v>2.7520000000000002</v>
      </c>
      <c r="J1032" s="22"/>
      <c r="K1032" s="22"/>
      <c r="L1032" s="12">
        <f t="shared" si="627"/>
        <v>2.7520000000000002</v>
      </c>
      <c r="M1032" s="12">
        <f t="shared" si="628"/>
        <v>143.1</v>
      </c>
      <c r="N1032" s="12">
        <f t="shared" si="573"/>
        <v>0</v>
      </c>
      <c r="O1032" s="12">
        <f t="shared" si="574"/>
        <v>0</v>
      </c>
      <c r="P1032" s="12">
        <f t="shared" si="575"/>
        <v>0</v>
      </c>
      <c r="Q1032" s="12">
        <f t="shared" si="576"/>
        <v>0</v>
      </c>
      <c r="R1032" s="12">
        <f t="shared" si="577"/>
        <v>0</v>
      </c>
    </row>
    <row r="1033" spans="1:18" x14ac:dyDescent="0.25">
      <c r="A1033" s="26"/>
      <c r="B1033" s="25" t="s">
        <v>183</v>
      </c>
      <c r="C1033" s="15">
        <v>8</v>
      </c>
      <c r="D1033" s="16">
        <v>100</v>
      </c>
      <c r="E1033" s="15">
        <v>2</v>
      </c>
      <c r="F1033" s="11">
        <v>4</v>
      </c>
      <c r="G1033" s="11">
        <f t="shared" si="629"/>
        <v>26</v>
      </c>
      <c r="H1033" s="12"/>
      <c r="I1033" s="12">
        <f>2*(0.18+0.125)+24*C1033/1000</f>
        <v>0.80200000000000005</v>
      </c>
      <c r="J1033" s="22"/>
      <c r="K1033" s="22"/>
      <c r="L1033" s="12">
        <f t="shared" si="627"/>
        <v>0.80200000000000005</v>
      </c>
      <c r="M1033" s="12">
        <f t="shared" si="628"/>
        <v>166.82</v>
      </c>
      <c r="N1033" s="12">
        <f t="shared" si="573"/>
        <v>0</v>
      </c>
      <c r="O1033" s="12">
        <f t="shared" si="574"/>
        <v>0</v>
      </c>
      <c r="P1033" s="12">
        <f t="shared" si="575"/>
        <v>0</v>
      </c>
      <c r="Q1033" s="12">
        <f t="shared" si="576"/>
        <v>0</v>
      </c>
      <c r="R1033" s="12">
        <f t="shared" si="577"/>
        <v>0</v>
      </c>
    </row>
    <row r="1034" spans="1:18" x14ac:dyDescent="0.25">
      <c r="A1034" s="26"/>
      <c r="B1034" s="25" t="s">
        <v>184</v>
      </c>
      <c r="C1034" s="15">
        <v>8</v>
      </c>
      <c r="D1034" s="16">
        <v>100</v>
      </c>
      <c r="E1034" s="15">
        <v>2</v>
      </c>
      <c r="F1034" s="11">
        <v>1</v>
      </c>
      <c r="G1034" s="11">
        <f t="shared" si="629"/>
        <v>26</v>
      </c>
      <c r="H1034" s="12"/>
      <c r="I1034" s="12">
        <f>0.18+(20*C1034/1000)</f>
        <v>0.33999999999999997</v>
      </c>
      <c r="J1034" s="22"/>
      <c r="K1034" s="22"/>
      <c r="L1034" s="12">
        <f t="shared" ref="L1034:L1035" si="630">SUM(H1034:J1034)+K1034</f>
        <v>0.33999999999999997</v>
      </c>
      <c r="M1034" s="12">
        <f t="shared" si="628"/>
        <v>17.68</v>
      </c>
      <c r="N1034" s="12">
        <f t="shared" si="573"/>
        <v>0</v>
      </c>
      <c r="O1034" s="12">
        <f t="shared" si="574"/>
        <v>0</v>
      </c>
      <c r="P1034" s="12">
        <f t="shared" si="575"/>
        <v>0</v>
      </c>
      <c r="Q1034" s="12">
        <f t="shared" si="576"/>
        <v>0</v>
      </c>
      <c r="R1034" s="12">
        <f t="shared" si="577"/>
        <v>0</v>
      </c>
    </row>
    <row r="1035" spans="1:18" x14ac:dyDescent="0.25">
      <c r="A1035" s="26"/>
      <c r="B1035" s="45" t="s">
        <v>226</v>
      </c>
      <c r="C1035" s="15">
        <v>16</v>
      </c>
      <c r="D1035" s="16"/>
      <c r="E1035" s="15">
        <v>4</v>
      </c>
      <c r="F1035" s="11">
        <v>1</v>
      </c>
      <c r="G1035" s="11">
        <v>8</v>
      </c>
      <c r="H1035" s="12"/>
      <c r="I1035" s="12">
        <f t="shared" ref="I1035:I1037" si="631">106.2-103.25</f>
        <v>2.9500000000000028</v>
      </c>
      <c r="J1035" s="22"/>
      <c r="K1035" s="22">
        <f t="shared" ref="K1035:K1037" si="632">0.5*40*C1035/1000</f>
        <v>0.32</v>
      </c>
      <c r="L1035" s="12">
        <f t="shared" si="630"/>
        <v>3.2700000000000027</v>
      </c>
      <c r="M1035" s="12">
        <f t="shared" si="628"/>
        <v>0</v>
      </c>
      <c r="N1035" s="12">
        <f t="shared" si="573"/>
        <v>0</v>
      </c>
      <c r="O1035" s="12">
        <f t="shared" si="574"/>
        <v>0</v>
      </c>
      <c r="P1035" s="12">
        <f t="shared" si="575"/>
        <v>104.64</v>
      </c>
      <c r="Q1035" s="12">
        <f t="shared" si="576"/>
        <v>0</v>
      </c>
      <c r="R1035" s="12">
        <f t="shared" si="577"/>
        <v>0</v>
      </c>
    </row>
    <row r="1036" spans="1:18" x14ac:dyDescent="0.25">
      <c r="A1036" s="26"/>
      <c r="B1036" s="25"/>
      <c r="C1036" s="15">
        <v>12</v>
      </c>
      <c r="D1036" s="16"/>
      <c r="E1036" s="15">
        <f>+E1035</f>
        <v>4</v>
      </c>
      <c r="F1036" s="11">
        <v>1</v>
      </c>
      <c r="G1036" s="11">
        <v>8</v>
      </c>
      <c r="H1036" s="12"/>
      <c r="I1036" s="12">
        <f t="shared" si="631"/>
        <v>2.9500000000000028</v>
      </c>
      <c r="J1036" s="22"/>
      <c r="K1036" s="22">
        <f t="shared" si="632"/>
        <v>0.24</v>
      </c>
      <c r="L1036" s="12">
        <f>SUM(H1036:J1036)+K1036</f>
        <v>3.1900000000000031</v>
      </c>
      <c r="M1036" s="12">
        <f>+ROUND(IF(C1036=8,PRODUCT(E1036,F1036,G1036,L1036),0),2)</f>
        <v>0</v>
      </c>
      <c r="N1036" s="12">
        <f t="shared" si="573"/>
        <v>0</v>
      </c>
      <c r="O1036" s="12">
        <f t="shared" si="574"/>
        <v>102.08</v>
      </c>
      <c r="P1036" s="12">
        <f t="shared" si="575"/>
        <v>0</v>
      </c>
      <c r="Q1036" s="12">
        <f t="shared" si="576"/>
        <v>0</v>
      </c>
      <c r="R1036" s="12">
        <f t="shared" si="577"/>
        <v>0</v>
      </c>
    </row>
    <row r="1037" spans="1:18" x14ac:dyDescent="0.25">
      <c r="A1037" s="26"/>
      <c r="B1037" s="25"/>
      <c r="C1037" s="15">
        <v>10</v>
      </c>
      <c r="D1037" s="16"/>
      <c r="E1037" s="15">
        <f>+E1036</f>
        <v>4</v>
      </c>
      <c r="F1037" s="11">
        <v>1</v>
      </c>
      <c r="G1037" s="11">
        <v>8</v>
      </c>
      <c r="H1037" s="12"/>
      <c r="I1037" s="12">
        <f t="shared" si="631"/>
        <v>2.9500000000000028</v>
      </c>
      <c r="J1037" s="22"/>
      <c r="K1037" s="22">
        <f t="shared" si="632"/>
        <v>0.2</v>
      </c>
      <c r="L1037" s="12">
        <f>SUM(H1037:J1037)+K1037</f>
        <v>3.150000000000003</v>
      </c>
      <c r="M1037" s="12">
        <f>+ROUND(IF(C1037=8,PRODUCT(E1037,F1037,G1037,L1037),0),2)</f>
        <v>0</v>
      </c>
      <c r="N1037" s="12">
        <f t="shared" si="573"/>
        <v>100.8</v>
      </c>
      <c r="O1037" s="12">
        <f t="shared" si="574"/>
        <v>0</v>
      </c>
      <c r="P1037" s="12">
        <f t="shared" si="575"/>
        <v>0</v>
      </c>
      <c r="Q1037" s="12">
        <f t="shared" si="576"/>
        <v>0</v>
      </c>
      <c r="R1037" s="12">
        <f t="shared" si="577"/>
        <v>0</v>
      </c>
    </row>
    <row r="1038" spans="1:18" x14ac:dyDescent="0.25">
      <c r="A1038" s="26"/>
      <c r="B1038" s="25" t="s">
        <v>172</v>
      </c>
      <c r="C1038" s="15"/>
      <c r="D1038" s="16"/>
      <c r="E1038" s="15"/>
      <c r="F1038" s="11"/>
      <c r="G1038" s="11"/>
      <c r="H1038" s="12"/>
      <c r="I1038" s="12"/>
      <c r="J1038" s="22"/>
      <c r="K1038" s="22"/>
      <c r="L1038" s="12">
        <f t="shared" ref="L1038:L1040" si="633">SUM(H1038:J1038)+K1038</f>
        <v>0</v>
      </c>
      <c r="M1038" s="12">
        <f t="shared" ref="M1038:M1043" si="634">+ROUND(IF(C1038=8,PRODUCT(E1038,F1038,G1038,L1038),0),2)</f>
        <v>0</v>
      </c>
      <c r="N1038" s="12">
        <f t="shared" si="573"/>
        <v>0</v>
      </c>
      <c r="O1038" s="12">
        <f t="shared" si="574"/>
        <v>0</v>
      </c>
      <c r="P1038" s="12">
        <f t="shared" si="575"/>
        <v>0</v>
      </c>
      <c r="Q1038" s="12">
        <f t="shared" si="576"/>
        <v>0</v>
      </c>
      <c r="R1038" s="12">
        <f t="shared" si="577"/>
        <v>0</v>
      </c>
    </row>
    <row r="1039" spans="1:18" x14ac:dyDescent="0.25">
      <c r="A1039" s="26"/>
      <c r="B1039" s="25" t="s">
        <v>224</v>
      </c>
      <c r="C1039" s="15">
        <v>8</v>
      </c>
      <c r="D1039" s="16">
        <v>100</v>
      </c>
      <c r="E1039" s="15">
        <v>4</v>
      </c>
      <c r="F1039" s="11">
        <v>2</v>
      </c>
      <c r="G1039" s="11">
        <f t="shared" ref="G1039:G1042" si="635">+ROUND(2450/D1039+1,0)</f>
        <v>26</v>
      </c>
      <c r="H1039" s="12"/>
      <c r="I1039" s="12">
        <f>2*(0.18+0.383)+24*C1039/1000</f>
        <v>1.3179999999999998</v>
      </c>
      <c r="J1039" s="22"/>
      <c r="K1039" s="22"/>
      <c r="L1039" s="12">
        <f t="shared" si="633"/>
        <v>1.3179999999999998</v>
      </c>
      <c r="M1039" s="12">
        <f t="shared" si="634"/>
        <v>274.14</v>
      </c>
      <c r="N1039" s="12">
        <f t="shared" si="573"/>
        <v>0</v>
      </c>
      <c r="O1039" s="12">
        <f t="shared" si="574"/>
        <v>0</v>
      </c>
      <c r="P1039" s="12">
        <f t="shared" si="575"/>
        <v>0</v>
      </c>
      <c r="Q1039" s="12">
        <f t="shared" si="576"/>
        <v>0</v>
      </c>
      <c r="R1039" s="12">
        <f t="shared" si="577"/>
        <v>0</v>
      </c>
    </row>
    <row r="1040" spans="1:18" x14ac:dyDescent="0.25">
      <c r="A1040" s="26"/>
      <c r="B1040" s="25" t="s">
        <v>181</v>
      </c>
      <c r="C1040" s="15">
        <v>8</v>
      </c>
      <c r="D1040" s="16">
        <v>100</v>
      </c>
      <c r="E1040" s="15">
        <v>4</v>
      </c>
      <c r="F1040" s="11">
        <v>2</v>
      </c>
      <c r="G1040" s="11">
        <f t="shared" si="635"/>
        <v>26</v>
      </c>
      <c r="H1040" s="12"/>
      <c r="I1040" s="12">
        <f>2*(0.18+0.12)+24*C1040/1000</f>
        <v>0.79200000000000004</v>
      </c>
      <c r="J1040" s="22"/>
      <c r="K1040" s="22"/>
      <c r="L1040" s="12">
        <f t="shared" si="633"/>
        <v>0.79200000000000004</v>
      </c>
      <c r="M1040" s="12">
        <f t="shared" si="634"/>
        <v>164.74</v>
      </c>
      <c r="N1040" s="12">
        <f t="shared" si="573"/>
        <v>0</v>
      </c>
      <c r="O1040" s="12">
        <f t="shared" si="574"/>
        <v>0</v>
      </c>
      <c r="P1040" s="12">
        <f t="shared" si="575"/>
        <v>0</v>
      </c>
      <c r="Q1040" s="12">
        <f t="shared" si="576"/>
        <v>0</v>
      </c>
      <c r="R1040" s="12">
        <f t="shared" si="577"/>
        <v>0</v>
      </c>
    </row>
    <row r="1041" spans="1:18" x14ac:dyDescent="0.25">
      <c r="A1041" s="26"/>
      <c r="B1041" s="25" t="s">
        <v>225</v>
      </c>
      <c r="C1041" s="15">
        <v>8</v>
      </c>
      <c r="D1041" s="16">
        <v>200</v>
      </c>
      <c r="E1041" s="15">
        <v>4</v>
      </c>
      <c r="F1041" s="11">
        <v>1</v>
      </c>
      <c r="G1041" s="11">
        <f t="shared" si="635"/>
        <v>13</v>
      </c>
      <c r="H1041" s="12"/>
      <c r="I1041" s="12">
        <f>2*(0.18+0.916)+24*C1041/1000</f>
        <v>2.3840000000000003</v>
      </c>
      <c r="J1041" s="22"/>
      <c r="K1041" s="22"/>
      <c r="L1041" s="12">
        <f t="shared" ref="L1041" si="636">SUM(H1041:J1041)+K1041</f>
        <v>2.3840000000000003</v>
      </c>
      <c r="M1041" s="12">
        <f t="shared" si="634"/>
        <v>123.97</v>
      </c>
      <c r="N1041" s="12">
        <f t="shared" si="573"/>
        <v>0</v>
      </c>
      <c r="O1041" s="12">
        <f t="shared" si="574"/>
        <v>0</v>
      </c>
      <c r="P1041" s="12">
        <f t="shared" si="575"/>
        <v>0</v>
      </c>
      <c r="Q1041" s="12">
        <f t="shared" si="576"/>
        <v>0</v>
      </c>
      <c r="R1041" s="12">
        <f t="shared" si="577"/>
        <v>0</v>
      </c>
    </row>
    <row r="1042" spans="1:18" x14ac:dyDescent="0.25">
      <c r="A1042" s="26"/>
      <c r="B1042" s="25" t="s">
        <v>177</v>
      </c>
      <c r="C1042" s="15">
        <v>8</v>
      </c>
      <c r="D1042" s="16">
        <v>400</v>
      </c>
      <c r="E1042" s="15">
        <v>4</v>
      </c>
      <c r="F1042" s="11">
        <v>2</v>
      </c>
      <c r="G1042" s="11">
        <f t="shared" si="635"/>
        <v>7</v>
      </c>
      <c r="H1042" s="12"/>
      <c r="I1042" s="12">
        <f>0.18+(20*C1042/1000)</f>
        <v>0.33999999999999997</v>
      </c>
      <c r="J1042" s="22"/>
      <c r="K1042" s="22"/>
      <c r="L1042" s="12">
        <f t="shared" ref="L1042" si="637">SUM(H1042:J1042)+K1042</f>
        <v>0.33999999999999997</v>
      </c>
      <c r="M1042" s="12">
        <f t="shared" si="634"/>
        <v>19.04</v>
      </c>
      <c r="N1042" s="12">
        <f t="shared" si="573"/>
        <v>0</v>
      </c>
      <c r="O1042" s="12">
        <f t="shared" si="574"/>
        <v>0</v>
      </c>
      <c r="P1042" s="12">
        <f t="shared" si="575"/>
        <v>0</v>
      </c>
      <c r="Q1042" s="12">
        <f t="shared" si="576"/>
        <v>0</v>
      </c>
      <c r="R1042" s="12">
        <f t="shared" si="577"/>
        <v>0</v>
      </c>
    </row>
    <row r="1043" spans="1:18" x14ac:dyDescent="0.25">
      <c r="A1043" s="26"/>
      <c r="B1043" s="45" t="s">
        <v>190</v>
      </c>
      <c r="C1043" s="15">
        <v>16</v>
      </c>
      <c r="D1043" s="16"/>
      <c r="E1043" s="15">
        <v>4</v>
      </c>
      <c r="F1043" s="11">
        <v>1</v>
      </c>
      <c r="G1043" s="11">
        <v>4</v>
      </c>
      <c r="H1043" s="12"/>
      <c r="I1043" s="12">
        <f t="shared" ref="I1043:I1045" si="638">106.2-103.25</f>
        <v>2.9500000000000028</v>
      </c>
      <c r="J1043" s="22"/>
      <c r="K1043" s="22">
        <f t="shared" ref="K1043:K1045" si="639">0.5*40*C1043/1000</f>
        <v>0.32</v>
      </c>
      <c r="L1043" s="12">
        <f t="shared" ref="L1043" si="640">SUM(H1043:J1043)+K1043</f>
        <v>3.2700000000000027</v>
      </c>
      <c r="M1043" s="12">
        <f t="shared" si="634"/>
        <v>0</v>
      </c>
      <c r="N1043" s="12">
        <f t="shared" si="573"/>
        <v>0</v>
      </c>
      <c r="O1043" s="12">
        <f t="shared" si="574"/>
        <v>0</v>
      </c>
      <c r="P1043" s="12">
        <f t="shared" si="575"/>
        <v>52.32</v>
      </c>
      <c r="Q1043" s="12">
        <f t="shared" si="576"/>
        <v>0</v>
      </c>
      <c r="R1043" s="12">
        <f t="shared" si="577"/>
        <v>0</v>
      </c>
    </row>
    <row r="1044" spans="1:18" x14ac:dyDescent="0.25">
      <c r="A1044" s="26"/>
      <c r="B1044" s="25"/>
      <c r="C1044" s="15">
        <v>12</v>
      </c>
      <c r="D1044" s="16"/>
      <c r="E1044" s="15">
        <f>+E1043</f>
        <v>4</v>
      </c>
      <c r="F1044" s="11">
        <v>1</v>
      </c>
      <c r="G1044" s="11">
        <v>12</v>
      </c>
      <c r="H1044" s="12"/>
      <c r="I1044" s="12">
        <f t="shared" si="638"/>
        <v>2.9500000000000028</v>
      </c>
      <c r="J1044" s="22"/>
      <c r="K1044" s="22">
        <f t="shared" si="639"/>
        <v>0.24</v>
      </c>
      <c r="L1044" s="12">
        <f>SUM(H1044:J1044)+K1044</f>
        <v>3.1900000000000031</v>
      </c>
      <c r="M1044" s="12">
        <f>+ROUND(IF(C1044=8,PRODUCT(E1044,F1044,G1044,L1044),0),2)</f>
        <v>0</v>
      </c>
      <c r="N1044" s="12">
        <f t="shared" si="573"/>
        <v>0</v>
      </c>
      <c r="O1044" s="12">
        <f t="shared" si="574"/>
        <v>153.12</v>
      </c>
      <c r="P1044" s="12">
        <f t="shared" si="575"/>
        <v>0</v>
      </c>
      <c r="Q1044" s="12">
        <f t="shared" si="576"/>
        <v>0</v>
      </c>
      <c r="R1044" s="12">
        <f t="shared" si="577"/>
        <v>0</v>
      </c>
    </row>
    <row r="1045" spans="1:18" x14ac:dyDescent="0.25">
      <c r="A1045" s="26"/>
      <c r="B1045" s="25"/>
      <c r="C1045" s="15">
        <v>10</v>
      </c>
      <c r="D1045" s="16"/>
      <c r="E1045" s="15">
        <f>+E1044</f>
        <v>4</v>
      </c>
      <c r="F1045" s="11">
        <v>1</v>
      </c>
      <c r="G1045" s="11">
        <v>8</v>
      </c>
      <c r="H1045" s="12"/>
      <c r="I1045" s="12">
        <f t="shared" si="638"/>
        <v>2.9500000000000028</v>
      </c>
      <c r="J1045" s="22"/>
      <c r="K1045" s="22">
        <f t="shared" si="639"/>
        <v>0.2</v>
      </c>
      <c r="L1045" s="12">
        <f>SUM(H1045:J1045)+K1045</f>
        <v>3.150000000000003</v>
      </c>
      <c r="M1045" s="12">
        <f>+ROUND(IF(C1045=8,PRODUCT(E1045,F1045,G1045,L1045),0),2)</f>
        <v>0</v>
      </c>
      <c r="N1045" s="12">
        <f t="shared" si="573"/>
        <v>100.8</v>
      </c>
      <c r="O1045" s="12">
        <f t="shared" si="574"/>
        <v>0</v>
      </c>
      <c r="P1045" s="12">
        <f t="shared" si="575"/>
        <v>0</v>
      </c>
      <c r="Q1045" s="12">
        <f t="shared" si="576"/>
        <v>0</v>
      </c>
      <c r="R1045" s="12">
        <f t="shared" si="577"/>
        <v>0</v>
      </c>
    </row>
    <row r="1046" spans="1:18" x14ac:dyDescent="0.25">
      <c r="A1046" s="26"/>
      <c r="B1046" s="25" t="s">
        <v>172</v>
      </c>
      <c r="C1046" s="15"/>
      <c r="D1046" s="16"/>
      <c r="E1046" s="15"/>
      <c r="F1046" s="11"/>
      <c r="G1046" s="11"/>
      <c r="H1046" s="12"/>
      <c r="I1046" s="12"/>
      <c r="J1046" s="22"/>
      <c r="K1046" s="22"/>
      <c r="L1046" s="12">
        <f t="shared" ref="L1046:L1050" si="641">SUM(H1046:J1046)+K1046</f>
        <v>0</v>
      </c>
      <c r="M1046" s="12">
        <f t="shared" ref="M1046:M1115" si="642">+ROUND(IF(C1046=8,PRODUCT(E1046,F1046,G1046,L1046),0),2)</f>
        <v>0</v>
      </c>
      <c r="N1046" s="12">
        <f t="shared" si="573"/>
        <v>0</v>
      </c>
      <c r="O1046" s="12">
        <f t="shared" si="574"/>
        <v>0</v>
      </c>
      <c r="P1046" s="12">
        <f t="shared" si="575"/>
        <v>0</v>
      </c>
      <c r="Q1046" s="12">
        <f t="shared" si="576"/>
        <v>0</v>
      </c>
      <c r="R1046" s="12">
        <f t="shared" si="577"/>
        <v>0</v>
      </c>
    </row>
    <row r="1047" spans="1:18" x14ac:dyDescent="0.25">
      <c r="A1047" s="26"/>
      <c r="B1047" s="25" t="s">
        <v>191</v>
      </c>
      <c r="C1047" s="15">
        <v>8</v>
      </c>
      <c r="D1047" s="16">
        <v>100</v>
      </c>
      <c r="E1047" s="15">
        <v>4</v>
      </c>
      <c r="F1047" s="11">
        <v>1</v>
      </c>
      <c r="G1047" s="11">
        <f t="shared" ref="G1047:G1048" si="643">+ROUND(2450/D1047+1,0)</f>
        <v>26</v>
      </c>
      <c r="H1047" s="12"/>
      <c r="I1047" s="12">
        <f>2*(0.18+1.135)+24*C1047/1000</f>
        <v>2.8220000000000001</v>
      </c>
      <c r="J1047" s="22"/>
      <c r="K1047" s="22"/>
      <c r="L1047" s="12">
        <f t="shared" si="641"/>
        <v>2.8220000000000001</v>
      </c>
      <c r="M1047" s="12">
        <f t="shared" si="642"/>
        <v>293.49</v>
      </c>
      <c r="N1047" s="12">
        <f t="shared" si="573"/>
        <v>0</v>
      </c>
      <c r="O1047" s="12">
        <f t="shared" si="574"/>
        <v>0</v>
      </c>
      <c r="P1047" s="12">
        <f t="shared" si="575"/>
        <v>0</v>
      </c>
      <c r="Q1047" s="12">
        <f t="shared" si="576"/>
        <v>0</v>
      </c>
      <c r="R1047" s="12">
        <f t="shared" si="577"/>
        <v>0</v>
      </c>
    </row>
    <row r="1048" spans="1:18" x14ac:dyDescent="0.25">
      <c r="A1048" s="26"/>
      <c r="B1048" s="25" t="s">
        <v>192</v>
      </c>
      <c r="C1048" s="15">
        <v>8</v>
      </c>
      <c r="D1048" s="16">
        <v>100</v>
      </c>
      <c r="E1048" s="15">
        <v>4</v>
      </c>
      <c r="F1048" s="11">
        <v>5</v>
      </c>
      <c r="G1048" s="11">
        <f t="shared" si="643"/>
        <v>26</v>
      </c>
      <c r="H1048" s="12"/>
      <c r="I1048" s="12">
        <f>2*(0.18+0.118)+24*C1048/1000</f>
        <v>0.78800000000000003</v>
      </c>
      <c r="J1048" s="22"/>
      <c r="K1048" s="22"/>
      <c r="L1048" s="12">
        <f t="shared" si="641"/>
        <v>0.78800000000000003</v>
      </c>
      <c r="M1048" s="12">
        <f t="shared" si="642"/>
        <v>409.76</v>
      </c>
      <c r="N1048" s="12">
        <f t="shared" si="573"/>
        <v>0</v>
      </c>
      <c r="O1048" s="12">
        <f t="shared" si="574"/>
        <v>0</v>
      </c>
      <c r="P1048" s="12">
        <f t="shared" si="575"/>
        <v>0</v>
      </c>
      <c r="Q1048" s="12">
        <f t="shared" si="576"/>
        <v>0</v>
      </c>
      <c r="R1048" s="12">
        <f t="shared" si="577"/>
        <v>0</v>
      </c>
    </row>
    <row r="1049" spans="1:18" x14ac:dyDescent="0.25">
      <c r="A1049" s="26"/>
      <c r="B1049" s="45" t="s">
        <v>227</v>
      </c>
      <c r="C1049" s="15">
        <v>16</v>
      </c>
      <c r="D1049" s="16"/>
      <c r="E1049" s="15">
        <v>2</v>
      </c>
      <c r="F1049" s="11">
        <v>1</v>
      </c>
      <c r="G1049" s="11">
        <v>8</v>
      </c>
      <c r="H1049" s="12"/>
      <c r="I1049" s="12">
        <f t="shared" ref="I1049:I1051" si="644">106.2-103.25</f>
        <v>2.9500000000000028</v>
      </c>
      <c r="J1049" s="22"/>
      <c r="K1049" s="22">
        <f>0.5*40*C1049/1000</f>
        <v>0.32</v>
      </c>
      <c r="L1049" s="12">
        <f t="shared" si="641"/>
        <v>3.2700000000000027</v>
      </c>
      <c r="M1049" s="12">
        <f t="shared" si="642"/>
        <v>0</v>
      </c>
      <c r="N1049" s="12">
        <f t="shared" si="573"/>
        <v>0</v>
      </c>
      <c r="O1049" s="12">
        <f t="shared" si="574"/>
        <v>0</v>
      </c>
      <c r="P1049" s="12">
        <f t="shared" si="575"/>
        <v>52.32</v>
      </c>
      <c r="Q1049" s="12">
        <f t="shared" si="576"/>
        <v>0</v>
      </c>
      <c r="R1049" s="12">
        <f t="shared" si="577"/>
        <v>0</v>
      </c>
    </row>
    <row r="1050" spans="1:18" x14ac:dyDescent="0.25">
      <c r="A1050" s="26"/>
      <c r="B1050" s="45"/>
      <c r="C1050" s="15">
        <v>12</v>
      </c>
      <c r="D1050" s="16"/>
      <c r="E1050" s="15">
        <v>2</v>
      </c>
      <c r="F1050" s="11">
        <v>1</v>
      </c>
      <c r="G1050" s="11">
        <v>8</v>
      </c>
      <c r="H1050" s="12"/>
      <c r="I1050" s="12">
        <f t="shared" si="644"/>
        <v>2.9500000000000028</v>
      </c>
      <c r="J1050" s="22"/>
      <c r="K1050" s="22">
        <f>0.5*40*C1050/1000</f>
        <v>0.24</v>
      </c>
      <c r="L1050" s="12">
        <f t="shared" si="641"/>
        <v>3.1900000000000031</v>
      </c>
      <c r="M1050" s="12">
        <f t="shared" si="642"/>
        <v>0</v>
      </c>
      <c r="N1050" s="12">
        <f t="shared" si="573"/>
        <v>0</v>
      </c>
      <c r="O1050" s="12">
        <f t="shared" si="574"/>
        <v>51.04</v>
      </c>
      <c r="P1050" s="12">
        <f t="shared" si="575"/>
        <v>0</v>
      </c>
      <c r="Q1050" s="12">
        <f t="shared" si="576"/>
        <v>0</v>
      </c>
      <c r="R1050" s="12">
        <f t="shared" si="577"/>
        <v>0</v>
      </c>
    </row>
    <row r="1051" spans="1:18" x14ac:dyDescent="0.25">
      <c r="A1051" s="26"/>
      <c r="B1051" s="45"/>
      <c r="C1051" s="15">
        <v>10</v>
      </c>
      <c r="D1051" s="16"/>
      <c r="E1051" s="15">
        <v>2</v>
      </c>
      <c r="F1051" s="11">
        <v>1</v>
      </c>
      <c r="G1051" s="11">
        <v>10</v>
      </c>
      <c r="H1051" s="12"/>
      <c r="I1051" s="12">
        <f t="shared" si="644"/>
        <v>2.9500000000000028</v>
      </c>
      <c r="J1051" s="22"/>
      <c r="K1051" s="22">
        <f>0.5*40*C1051/1000</f>
        <v>0.2</v>
      </c>
      <c r="L1051" s="12">
        <f t="shared" ref="L1051:L1054" si="645">SUM(H1051:J1051)+K1051</f>
        <v>3.150000000000003</v>
      </c>
      <c r="M1051" s="12">
        <f t="shared" si="642"/>
        <v>0</v>
      </c>
      <c r="N1051" s="12">
        <f t="shared" si="573"/>
        <v>63</v>
      </c>
      <c r="O1051" s="12">
        <f t="shared" si="574"/>
        <v>0</v>
      </c>
      <c r="P1051" s="12">
        <f t="shared" si="575"/>
        <v>0</v>
      </c>
      <c r="Q1051" s="12">
        <f t="shared" si="576"/>
        <v>0</v>
      </c>
      <c r="R1051" s="12">
        <f t="shared" si="577"/>
        <v>0</v>
      </c>
    </row>
    <row r="1052" spans="1:18" x14ac:dyDescent="0.25">
      <c r="A1052" s="26"/>
      <c r="B1052" s="25" t="s">
        <v>172</v>
      </c>
      <c r="C1052" s="15"/>
      <c r="D1052" s="16"/>
      <c r="E1052" s="15"/>
      <c r="F1052" s="11"/>
      <c r="G1052" s="11"/>
      <c r="H1052" s="12"/>
      <c r="I1052" s="12"/>
      <c r="J1052" s="22"/>
      <c r="K1052" s="22"/>
      <c r="L1052" s="12">
        <f t="shared" si="645"/>
        <v>0</v>
      </c>
      <c r="M1052" s="12">
        <f t="shared" si="642"/>
        <v>0</v>
      </c>
      <c r="N1052" s="12">
        <f t="shared" si="573"/>
        <v>0</v>
      </c>
      <c r="O1052" s="12">
        <f t="shared" si="574"/>
        <v>0</v>
      </c>
      <c r="P1052" s="12">
        <f t="shared" si="575"/>
        <v>0</v>
      </c>
      <c r="Q1052" s="12">
        <f t="shared" si="576"/>
        <v>0</v>
      </c>
      <c r="R1052" s="12">
        <f t="shared" si="577"/>
        <v>0</v>
      </c>
    </row>
    <row r="1053" spans="1:18" x14ac:dyDescent="0.25">
      <c r="A1053" s="26"/>
      <c r="B1053" s="25" t="s">
        <v>224</v>
      </c>
      <c r="C1053" s="15">
        <v>8</v>
      </c>
      <c r="D1053" s="16">
        <v>100</v>
      </c>
      <c r="E1053" s="15">
        <v>2</v>
      </c>
      <c r="F1053" s="11">
        <v>2</v>
      </c>
      <c r="G1053" s="11">
        <f t="shared" ref="G1053:G1056" si="646">+ROUND(2450/D1053+1,0)</f>
        <v>26</v>
      </c>
      <c r="H1053" s="12"/>
      <c r="I1053" s="12">
        <f>2*(0.18+0.383)+24*C1053/1000</f>
        <v>1.3179999999999998</v>
      </c>
      <c r="J1053" s="22"/>
      <c r="K1053" s="22"/>
      <c r="L1053" s="12">
        <f t="shared" si="645"/>
        <v>1.3179999999999998</v>
      </c>
      <c r="M1053" s="12">
        <f t="shared" si="642"/>
        <v>137.07</v>
      </c>
      <c r="N1053" s="12">
        <f t="shared" si="573"/>
        <v>0</v>
      </c>
      <c r="O1053" s="12">
        <f t="shared" si="574"/>
        <v>0</v>
      </c>
      <c r="P1053" s="12">
        <f t="shared" si="575"/>
        <v>0</v>
      </c>
      <c r="Q1053" s="12">
        <f t="shared" si="576"/>
        <v>0</v>
      </c>
      <c r="R1053" s="12">
        <f t="shared" si="577"/>
        <v>0</v>
      </c>
    </row>
    <row r="1054" spans="1:18" x14ac:dyDescent="0.25">
      <c r="A1054" s="26"/>
      <c r="B1054" s="25" t="s">
        <v>194</v>
      </c>
      <c r="C1054" s="15">
        <v>8</v>
      </c>
      <c r="D1054" s="16">
        <v>100</v>
      </c>
      <c r="E1054" s="15">
        <v>2</v>
      </c>
      <c r="F1054" s="11">
        <v>2</v>
      </c>
      <c r="G1054" s="11">
        <f t="shared" si="646"/>
        <v>26</v>
      </c>
      <c r="H1054" s="12"/>
      <c r="I1054" s="12">
        <f>2*(0.18+0.122)+24*C1054/1000</f>
        <v>0.79600000000000004</v>
      </c>
      <c r="J1054" s="22"/>
      <c r="K1054" s="22"/>
      <c r="L1054" s="12">
        <f t="shared" si="645"/>
        <v>0.79600000000000004</v>
      </c>
      <c r="M1054" s="12">
        <f t="shared" si="642"/>
        <v>82.78</v>
      </c>
      <c r="N1054" s="12">
        <f t="shared" si="573"/>
        <v>0</v>
      </c>
      <c r="O1054" s="12">
        <f t="shared" si="574"/>
        <v>0</v>
      </c>
      <c r="P1054" s="12">
        <f t="shared" si="575"/>
        <v>0</v>
      </c>
      <c r="Q1054" s="12">
        <f t="shared" si="576"/>
        <v>0</v>
      </c>
      <c r="R1054" s="12">
        <f t="shared" si="577"/>
        <v>0</v>
      </c>
    </row>
    <row r="1055" spans="1:18" x14ac:dyDescent="0.25">
      <c r="A1055" s="26"/>
      <c r="B1055" s="25" t="s">
        <v>228</v>
      </c>
      <c r="C1055" s="15">
        <v>8</v>
      </c>
      <c r="D1055" s="16">
        <v>200</v>
      </c>
      <c r="E1055" s="15">
        <v>2</v>
      </c>
      <c r="F1055" s="11">
        <v>1</v>
      </c>
      <c r="G1055" s="11">
        <f t="shared" si="646"/>
        <v>13</v>
      </c>
      <c r="H1055" s="12"/>
      <c r="I1055" s="12">
        <f>2*(0.18+1.071)+24*C1055/1000</f>
        <v>2.694</v>
      </c>
      <c r="J1055" s="22"/>
      <c r="K1055" s="22"/>
      <c r="L1055" s="12">
        <f t="shared" ref="L1055" si="647">SUM(H1055:J1055)+K1055</f>
        <v>2.694</v>
      </c>
      <c r="M1055" s="12">
        <f t="shared" si="642"/>
        <v>70.040000000000006</v>
      </c>
      <c r="N1055" s="12">
        <f t="shared" si="573"/>
        <v>0</v>
      </c>
      <c r="O1055" s="12">
        <f t="shared" si="574"/>
        <v>0</v>
      </c>
      <c r="P1055" s="12">
        <f t="shared" si="575"/>
        <v>0</v>
      </c>
      <c r="Q1055" s="12">
        <f t="shared" si="576"/>
        <v>0</v>
      </c>
      <c r="R1055" s="12">
        <f t="shared" si="577"/>
        <v>0</v>
      </c>
    </row>
    <row r="1056" spans="1:18" x14ac:dyDescent="0.25">
      <c r="A1056" s="26"/>
      <c r="B1056" s="25" t="s">
        <v>177</v>
      </c>
      <c r="C1056" s="15">
        <v>8</v>
      </c>
      <c r="D1056" s="16">
        <v>400</v>
      </c>
      <c r="E1056" s="15">
        <v>2</v>
      </c>
      <c r="F1056" s="11">
        <v>2</v>
      </c>
      <c r="G1056" s="11">
        <f t="shared" si="646"/>
        <v>7</v>
      </c>
      <c r="H1056" s="12"/>
      <c r="I1056" s="12">
        <f>0.18+(20*C1056/1000)</f>
        <v>0.33999999999999997</v>
      </c>
      <c r="J1056" s="22"/>
      <c r="K1056" s="22"/>
      <c r="L1056" s="12">
        <f t="shared" ref="L1056" si="648">SUM(H1056:J1056)+K1056</f>
        <v>0.33999999999999997</v>
      </c>
      <c r="M1056" s="12">
        <f t="shared" si="642"/>
        <v>9.52</v>
      </c>
      <c r="N1056" s="12">
        <f t="shared" si="573"/>
        <v>0</v>
      </c>
      <c r="O1056" s="12">
        <f t="shared" si="574"/>
        <v>0</v>
      </c>
      <c r="P1056" s="12">
        <f t="shared" si="575"/>
        <v>0</v>
      </c>
      <c r="Q1056" s="12">
        <f t="shared" si="576"/>
        <v>0</v>
      </c>
      <c r="R1056" s="12">
        <f t="shared" si="577"/>
        <v>0</v>
      </c>
    </row>
    <row r="1057" spans="1:19" x14ac:dyDescent="0.25">
      <c r="A1057" s="26"/>
      <c r="B1057" s="45" t="s">
        <v>725</v>
      </c>
      <c r="C1057" s="15">
        <v>16</v>
      </c>
      <c r="D1057" s="16"/>
      <c r="E1057" s="15">
        <v>1</v>
      </c>
      <c r="F1057" s="11">
        <v>1</v>
      </c>
      <c r="G1057" s="11">
        <v>8</v>
      </c>
      <c r="H1057" s="12"/>
      <c r="I1057" s="12">
        <f t="shared" ref="I1057:I1059" si="649">106.2-103.25</f>
        <v>2.9500000000000028</v>
      </c>
      <c r="J1057" s="22"/>
      <c r="K1057" s="22">
        <f t="shared" ref="K1057:K1059" si="650">0.5*40*C1057/1000</f>
        <v>0.32</v>
      </c>
      <c r="L1057" s="12">
        <f t="shared" ref="L1057:L1062" si="651">SUM(H1057:J1057)+K1057</f>
        <v>3.2700000000000027</v>
      </c>
      <c r="M1057" s="12">
        <f t="shared" si="642"/>
        <v>0</v>
      </c>
      <c r="N1057" s="12">
        <f t="shared" si="573"/>
        <v>0</v>
      </c>
      <c r="O1057" s="12">
        <f t="shared" si="574"/>
        <v>0</v>
      </c>
      <c r="P1057" s="12">
        <f t="shared" si="575"/>
        <v>26.16</v>
      </c>
      <c r="Q1057" s="12">
        <f t="shared" si="576"/>
        <v>0</v>
      </c>
      <c r="R1057" s="12">
        <f t="shared" si="577"/>
        <v>0</v>
      </c>
    </row>
    <row r="1058" spans="1:19" x14ac:dyDescent="0.25">
      <c r="A1058" s="26"/>
      <c r="B1058" s="45"/>
      <c r="C1058" s="15">
        <v>12</v>
      </c>
      <c r="D1058" s="16"/>
      <c r="E1058" s="15">
        <v>1</v>
      </c>
      <c r="F1058" s="11">
        <v>1</v>
      </c>
      <c r="G1058" s="11">
        <v>20</v>
      </c>
      <c r="H1058" s="12"/>
      <c r="I1058" s="12">
        <f t="shared" si="649"/>
        <v>2.9500000000000028</v>
      </c>
      <c r="J1058" s="22"/>
      <c r="K1058" s="22">
        <f t="shared" si="650"/>
        <v>0.24</v>
      </c>
      <c r="L1058" s="12">
        <f t="shared" si="651"/>
        <v>3.1900000000000031</v>
      </c>
      <c r="M1058" s="12">
        <f t="shared" si="642"/>
        <v>0</v>
      </c>
      <c r="N1058" s="12">
        <f t="shared" si="573"/>
        <v>0</v>
      </c>
      <c r="O1058" s="12">
        <f t="shared" si="574"/>
        <v>63.8</v>
      </c>
      <c r="P1058" s="12">
        <f t="shared" si="575"/>
        <v>0</v>
      </c>
      <c r="Q1058" s="12">
        <f t="shared" si="576"/>
        <v>0</v>
      </c>
      <c r="R1058" s="12">
        <f t="shared" si="577"/>
        <v>0</v>
      </c>
    </row>
    <row r="1059" spans="1:19" x14ac:dyDescent="0.25">
      <c r="A1059" s="26"/>
      <c r="B1059" s="45"/>
      <c r="C1059" s="15">
        <v>10</v>
      </c>
      <c r="D1059" s="16"/>
      <c r="E1059" s="15">
        <v>1</v>
      </c>
      <c r="F1059" s="11">
        <v>1</v>
      </c>
      <c r="G1059" s="11">
        <v>22</v>
      </c>
      <c r="H1059" s="12"/>
      <c r="I1059" s="12">
        <f t="shared" si="649"/>
        <v>2.9500000000000028</v>
      </c>
      <c r="J1059" s="22"/>
      <c r="K1059" s="22">
        <f t="shared" si="650"/>
        <v>0.2</v>
      </c>
      <c r="L1059" s="12">
        <f t="shared" si="651"/>
        <v>3.150000000000003</v>
      </c>
      <c r="M1059" s="12">
        <f t="shared" si="642"/>
        <v>0</v>
      </c>
      <c r="N1059" s="12">
        <f t="shared" si="573"/>
        <v>69.3</v>
      </c>
      <c r="O1059" s="12">
        <f t="shared" si="574"/>
        <v>0</v>
      </c>
      <c r="P1059" s="12">
        <f t="shared" si="575"/>
        <v>0</v>
      </c>
      <c r="Q1059" s="12">
        <f t="shared" si="576"/>
        <v>0</v>
      </c>
      <c r="R1059" s="12">
        <f t="shared" si="577"/>
        <v>0</v>
      </c>
    </row>
    <row r="1060" spans="1:19" x14ac:dyDescent="0.25">
      <c r="A1060" s="26"/>
      <c r="B1060" s="25" t="s">
        <v>172</v>
      </c>
      <c r="C1060" s="15"/>
      <c r="D1060" s="16"/>
      <c r="E1060" s="15"/>
      <c r="F1060" s="11"/>
      <c r="G1060" s="11"/>
      <c r="H1060" s="12"/>
      <c r="I1060" s="12"/>
      <c r="J1060" s="22"/>
      <c r="K1060" s="22"/>
      <c r="L1060" s="12">
        <f t="shared" si="651"/>
        <v>0</v>
      </c>
      <c r="M1060" s="12">
        <f t="shared" si="642"/>
        <v>0</v>
      </c>
      <c r="N1060" s="12">
        <f t="shared" si="573"/>
        <v>0</v>
      </c>
      <c r="O1060" s="12">
        <f t="shared" si="574"/>
        <v>0</v>
      </c>
      <c r="P1060" s="12">
        <f t="shared" si="575"/>
        <v>0</v>
      </c>
      <c r="Q1060" s="12">
        <f t="shared" si="576"/>
        <v>0</v>
      </c>
      <c r="R1060" s="12">
        <f t="shared" si="577"/>
        <v>0</v>
      </c>
    </row>
    <row r="1061" spans="1:19" x14ac:dyDescent="0.25">
      <c r="A1061" s="26"/>
      <c r="B1061" s="25" t="s">
        <v>200</v>
      </c>
      <c r="C1061" s="15">
        <v>8</v>
      </c>
      <c r="D1061" s="16">
        <v>100</v>
      </c>
      <c r="E1061" s="15">
        <v>1</v>
      </c>
      <c r="F1061" s="11">
        <v>2</v>
      </c>
      <c r="G1061" s="11">
        <f t="shared" ref="G1061:G1062" si="652">+ROUND(2450/D1061+1,0)</f>
        <v>26</v>
      </c>
      <c r="H1061" s="12"/>
      <c r="I1061" s="12">
        <f>2*(0.18+0.683)+24*C1061/1000</f>
        <v>1.9179999999999999</v>
      </c>
      <c r="J1061" s="22"/>
      <c r="K1061" s="22"/>
      <c r="L1061" s="12">
        <f t="shared" si="651"/>
        <v>1.9179999999999999</v>
      </c>
      <c r="M1061" s="12">
        <f t="shared" si="642"/>
        <v>99.74</v>
      </c>
      <c r="N1061" s="12">
        <f t="shared" si="573"/>
        <v>0</v>
      </c>
      <c r="O1061" s="12">
        <f t="shared" si="574"/>
        <v>0</v>
      </c>
      <c r="P1061" s="12">
        <f t="shared" si="575"/>
        <v>0</v>
      </c>
      <c r="Q1061" s="12">
        <f t="shared" si="576"/>
        <v>0</v>
      </c>
      <c r="R1061" s="12">
        <f t="shared" si="577"/>
        <v>0</v>
      </c>
      <c r="S1061" s="3">
        <f>700-25+8</f>
        <v>683</v>
      </c>
    </row>
    <row r="1062" spans="1:19" x14ac:dyDescent="0.25">
      <c r="A1062" s="26"/>
      <c r="B1062" s="25" t="s">
        <v>194</v>
      </c>
      <c r="C1062" s="15">
        <v>8</v>
      </c>
      <c r="D1062" s="16">
        <v>100</v>
      </c>
      <c r="E1062" s="15">
        <v>1</v>
      </c>
      <c r="F1062" s="11">
        <v>4</v>
      </c>
      <c r="G1062" s="11">
        <f t="shared" si="652"/>
        <v>26</v>
      </c>
      <c r="H1062" s="12"/>
      <c r="I1062" s="12">
        <f>2*(0.18+0.122)+24*C1062/1000</f>
        <v>0.79600000000000004</v>
      </c>
      <c r="J1062" s="22"/>
      <c r="K1062" s="22"/>
      <c r="L1062" s="12">
        <f t="shared" si="651"/>
        <v>0.79600000000000004</v>
      </c>
      <c r="M1062" s="12">
        <f t="shared" si="642"/>
        <v>82.78</v>
      </c>
      <c r="N1062" s="12">
        <f t="shared" si="573"/>
        <v>0</v>
      </c>
      <c r="O1062" s="12">
        <f t="shared" si="574"/>
        <v>0</v>
      </c>
      <c r="P1062" s="12">
        <f t="shared" si="575"/>
        <v>0</v>
      </c>
      <c r="Q1062" s="12">
        <f t="shared" si="576"/>
        <v>0</v>
      </c>
      <c r="R1062" s="12">
        <f t="shared" si="577"/>
        <v>0</v>
      </c>
    </row>
    <row r="1063" spans="1:19" x14ac:dyDescent="0.25">
      <c r="A1063" s="26"/>
      <c r="B1063" s="25" t="s">
        <v>173</v>
      </c>
      <c r="C1063" s="15">
        <v>8</v>
      </c>
      <c r="D1063" s="16">
        <v>400</v>
      </c>
      <c r="E1063" s="15">
        <v>1</v>
      </c>
      <c r="F1063" s="11">
        <v>2</v>
      </c>
      <c r="G1063" s="11">
        <f>+ROUND(2450/D1063+1,0)</f>
        <v>7</v>
      </c>
      <c r="H1063" s="12"/>
      <c r="I1063" s="12">
        <f>0.18+(20*C1063/1000)</f>
        <v>0.33999999999999997</v>
      </c>
      <c r="J1063" s="22"/>
      <c r="K1063" s="22"/>
      <c r="L1063" s="12">
        <f t="shared" ref="L1063:L1065" si="653">SUM(H1063:J1063)+K1063</f>
        <v>0.33999999999999997</v>
      </c>
      <c r="M1063" s="12">
        <f t="shared" si="642"/>
        <v>4.76</v>
      </c>
      <c r="N1063" s="12">
        <f t="shared" si="573"/>
        <v>0</v>
      </c>
      <c r="O1063" s="12">
        <f t="shared" si="574"/>
        <v>0</v>
      </c>
      <c r="P1063" s="12">
        <f t="shared" si="575"/>
        <v>0</v>
      </c>
      <c r="Q1063" s="12">
        <f t="shared" si="576"/>
        <v>0</v>
      </c>
      <c r="R1063" s="12">
        <f t="shared" si="577"/>
        <v>0</v>
      </c>
    </row>
    <row r="1064" spans="1:19" x14ac:dyDescent="0.25">
      <c r="A1064" s="26"/>
      <c r="B1064" s="25" t="s">
        <v>726</v>
      </c>
      <c r="C1064" s="15">
        <v>8</v>
      </c>
      <c r="D1064" s="16">
        <v>200</v>
      </c>
      <c r="E1064" s="15">
        <v>1</v>
      </c>
      <c r="F1064" s="11">
        <v>1</v>
      </c>
      <c r="G1064" s="11">
        <f t="shared" ref="G1064:G1065" si="654">+ROUND(2450/D1064+1,0)</f>
        <v>13</v>
      </c>
      <c r="H1064" s="12"/>
      <c r="I1064" s="12">
        <f>2*(0.18+2.216)+24*C1064/1000</f>
        <v>4.9840000000000009</v>
      </c>
      <c r="J1064" s="22"/>
      <c r="K1064" s="22"/>
      <c r="L1064" s="12">
        <f t="shared" si="653"/>
        <v>4.9840000000000009</v>
      </c>
      <c r="M1064" s="12">
        <f t="shared" si="642"/>
        <v>64.790000000000006</v>
      </c>
      <c r="N1064" s="12">
        <f t="shared" si="573"/>
        <v>0</v>
      </c>
      <c r="O1064" s="12">
        <f t="shared" si="574"/>
        <v>0</v>
      </c>
      <c r="P1064" s="12">
        <f t="shared" si="575"/>
        <v>0</v>
      </c>
      <c r="Q1064" s="12">
        <f t="shared" si="576"/>
        <v>0</v>
      </c>
      <c r="R1064" s="12">
        <f t="shared" si="577"/>
        <v>0</v>
      </c>
    </row>
    <row r="1065" spans="1:19" x14ac:dyDescent="0.25">
      <c r="A1065" s="26"/>
      <c r="B1065" s="25" t="s">
        <v>177</v>
      </c>
      <c r="C1065" s="15">
        <v>8</v>
      </c>
      <c r="D1065" s="16">
        <v>400</v>
      </c>
      <c r="E1065" s="15">
        <v>1</v>
      </c>
      <c r="F1065" s="11">
        <v>5</v>
      </c>
      <c r="G1065" s="11">
        <f t="shared" si="654"/>
        <v>7</v>
      </c>
      <c r="H1065" s="12"/>
      <c r="I1065" s="12">
        <f>0.18+(20*C1065/1000)</f>
        <v>0.33999999999999997</v>
      </c>
      <c r="J1065" s="22"/>
      <c r="K1065" s="22"/>
      <c r="L1065" s="12">
        <f t="shared" si="653"/>
        <v>0.33999999999999997</v>
      </c>
      <c r="M1065" s="12">
        <f t="shared" si="642"/>
        <v>11.9</v>
      </c>
      <c r="N1065" s="12">
        <f t="shared" si="573"/>
        <v>0</v>
      </c>
      <c r="O1065" s="12">
        <f t="shared" si="574"/>
        <v>0</v>
      </c>
      <c r="P1065" s="12">
        <f t="shared" si="575"/>
        <v>0</v>
      </c>
      <c r="Q1065" s="12">
        <f t="shared" si="576"/>
        <v>0</v>
      </c>
      <c r="R1065" s="12">
        <f t="shared" si="577"/>
        <v>0</v>
      </c>
    </row>
    <row r="1066" spans="1:19" x14ac:dyDescent="0.25">
      <c r="A1066" s="26"/>
      <c r="B1066" s="45" t="s">
        <v>198</v>
      </c>
      <c r="C1066" s="15">
        <v>16</v>
      </c>
      <c r="D1066" s="16"/>
      <c r="E1066" s="15">
        <v>6</v>
      </c>
      <c r="F1066" s="11">
        <v>1</v>
      </c>
      <c r="G1066" s="11">
        <v>8</v>
      </c>
      <c r="H1066" s="12"/>
      <c r="I1066" s="12">
        <f t="shared" ref="I1066:I1068" si="655">106.2-103.25</f>
        <v>2.9500000000000028</v>
      </c>
      <c r="J1066" s="22"/>
      <c r="K1066" s="22">
        <f t="shared" ref="K1066:K1068" si="656">0.5*40*C1066/1000</f>
        <v>0.32</v>
      </c>
      <c r="L1066" s="12">
        <f t="shared" ref="L1066:L1076" si="657">SUM(H1066:J1066)+K1066</f>
        <v>3.2700000000000027</v>
      </c>
      <c r="M1066" s="12">
        <f t="shared" si="642"/>
        <v>0</v>
      </c>
      <c r="N1066" s="12">
        <f t="shared" si="573"/>
        <v>0</v>
      </c>
      <c r="O1066" s="12">
        <f t="shared" si="574"/>
        <v>0</v>
      </c>
      <c r="P1066" s="12">
        <f t="shared" si="575"/>
        <v>156.96</v>
      </c>
      <c r="Q1066" s="12">
        <f t="shared" si="576"/>
        <v>0</v>
      </c>
      <c r="R1066" s="12">
        <f t="shared" si="577"/>
        <v>0</v>
      </c>
    </row>
    <row r="1067" spans="1:19" x14ac:dyDescent="0.25">
      <c r="A1067" s="26"/>
      <c r="B1067" s="25"/>
      <c r="C1067" s="15">
        <v>12</v>
      </c>
      <c r="D1067" s="16"/>
      <c r="E1067" s="15">
        <v>6</v>
      </c>
      <c r="F1067" s="11">
        <v>1</v>
      </c>
      <c r="G1067" s="11">
        <v>16</v>
      </c>
      <c r="H1067" s="12"/>
      <c r="I1067" s="12">
        <f t="shared" si="655"/>
        <v>2.9500000000000028</v>
      </c>
      <c r="J1067" s="22"/>
      <c r="K1067" s="22">
        <f t="shared" si="656"/>
        <v>0.24</v>
      </c>
      <c r="L1067" s="12">
        <f t="shared" si="657"/>
        <v>3.1900000000000031</v>
      </c>
      <c r="M1067" s="12">
        <f t="shared" si="642"/>
        <v>0</v>
      </c>
      <c r="N1067" s="12">
        <f t="shared" si="573"/>
        <v>0</v>
      </c>
      <c r="O1067" s="12">
        <f t="shared" si="574"/>
        <v>306.24</v>
      </c>
      <c r="P1067" s="12">
        <f t="shared" si="575"/>
        <v>0</v>
      </c>
      <c r="Q1067" s="12">
        <f t="shared" si="576"/>
        <v>0</v>
      </c>
      <c r="R1067" s="12">
        <f t="shared" si="577"/>
        <v>0</v>
      </c>
    </row>
    <row r="1068" spans="1:19" x14ac:dyDescent="0.25">
      <c r="A1068" s="26"/>
      <c r="B1068" s="25"/>
      <c r="C1068" s="15">
        <v>10</v>
      </c>
      <c r="D1068" s="16"/>
      <c r="E1068" s="15">
        <v>6</v>
      </c>
      <c r="F1068" s="11">
        <v>1</v>
      </c>
      <c r="G1068" s="11">
        <v>10</v>
      </c>
      <c r="H1068" s="12"/>
      <c r="I1068" s="12">
        <f t="shared" si="655"/>
        <v>2.9500000000000028</v>
      </c>
      <c r="J1068" s="22"/>
      <c r="K1068" s="22">
        <f t="shared" si="656"/>
        <v>0.2</v>
      </c>
      <c r="L1068" s="12">
        <f t="shared" si="657"/>
        <v>3.150000000000003</v>
      </c>
      <c r="M1068" s="12">
        <f t="shared" si="642"/>
        <v>0</v>
      </c>
      <c r="N1068" s="12">
        <f t="shared" si="573"/>
        <v>189</v>
      </c>
      <c r="O1068" s="12">
        <f t="shared" si="574"/>
        <v>0</v>
      </c>
      <c r="P1068" s="12">
        <f t="shared" si="575"/>
        <v>0</v>
      </c>
      <c r="Q1068" s="12">
        <f t="shared" si="576"/>
        <v>0</v>
      </c>
      <c r="R1068" s="12">
        <f t="shared" si="577"/>
        <v>0</v>
      </c>
    </row>
    <row r="1069" spans="1:19" x14ac:dyDescent="0.25">
      <c r="A1069" s="26"/>
      <c r="B1069" s="25" t="s">
        <v>172</v>
      </c>
      <c r="C1069" s="15"/>
      <c r="D1069" s="16"/>
      <c r="E1069" s="15"/>
      <c r="F1069" s="11"/>
      <c r="G1069" s="11"/>
      <c r="H1069" s="12"/>
      <c r="I1069" s="12"/>
      <c r="J1069" s="22"/>
      <c r="K1069" s="22"/>
      <c r="L1069" s="12">
        <f t="shared" si="657"/>
        <v>0</v>
      </c>
      <c r="M1069" s="12">
        <f t="shared" si="642"/>
        <v>0</v>
      </c>
      <c r="N1069" s="12">
        <f t="shared" si="573"/>
        <v>0</v>
      </c>
      <c r="O1069" s="12">
        <f t="shared" si="574"/>
        <v>0</v>
      </c>
      <c r="P1069" s="12">
        <f t="shared" si="575"/>
        <v>0</v>
      </c>
      <c r="Q1069" s="12">
        <f t="shared" si="576"/>
        <v>0</v>
      </c>
      <c r="R1069" s="12">
        <f t="shared" si="577"/>
        <v>0</v>
      </c>
    </row>
    <row r="1070" spans="1:19" x14ac:dyDescent="0.25">
      <c r="A1070" s="26"/>
      <c r="B1070" s="25" t="s">
        <v>188</v>
      </c>
      <c r="C1070" s="15">
        <v>8</v>
      </c>
      <c r="D1070" s="16">
        <v>100</v>
      </c>
      <c r="E1070" s="15">
        <v>6</v>
      </c>
      <c r="F1070" s="11">
        <v>1</v>
      </c>
      <c r="G1070" s="11">
        <f t="shared" ref="G1070:G1077" si="658">+ROUND(2450/D1070+1,0)</f>
        <v>26</v>
      </c>
      <c r="H1070" s="12"/>
      <c r="I1070" s="12">
        <f>2*(0.18+0.6)+24*C1070/1000</f>
        <v>1.752</v>
      </c>
      <c r="J1070" s="22"/>
      <c r="K1070" s="22"/>
      <c r="L1070" s="12">
        <f t="shared" si="657"/>
        <v>1.752</v>
      </c>
      <c r="M1070" s="12">
        <f t="shared" si="642"/>
        <v>273.31</v>
      </c>
      <c r="N1070" s="12">
        <f t="shared" si="573"/>
        <v>0</v>
      </c>
      <c r="O1070" s="12">
        <f t="shared" si="574"/>
        <v>0</v>
      </c>
      <c r="P1070" s="12">
        <f t="shared" si="575"/>
        <v>0</v>
      </c>
      <c r="Q1070" s="12">
        <f t="shared" si="576"/>
        <v>0</v>
      </c>
      <c r="R1070" s="12">
        <f t="shared" si="577"/>
        <v>0</v>
      </c>
    </row>
    <row r="1071" spans="1:19" x14ac:dyDescent="0.25">
      <c r="A1071" s="26"/>
      <c r="B1071" s="25" t="s">
        <v>174</v>
      </c>
      <c r="C1071" s="15">
        <v>8</v>
      </c>
      <c r="D1071" s="16">
        <v>100</v>
      </c>
      <c r="E1071" s="15">
        <v>6</v>
      </c>
      <c r="F1071" s="11">
        <v>1</v>
      </c>
      <c r="G1071" s="11">
        <f t="shared" si="658"/>
        <v>26</v>
      </c>
      <c r="H1071" s="12"/>
      <c r="I1071" s="12">
        <f>2*(0.18+0.248)+24*C1071/1000</f>
        <v>1.048</v>
      </c>
      <c r="J1071" s="22"/>
      <c r="K1071" s="22"/>
      <c r="L1071" s="12">
        <f t="shared" si="657"/>
        <v>1.048</v>
      </c>
      <c r="M1071" s="12">
        <f t="shared" si="642"/>
        <v>163.49</v>
      </c>
      <c r="N1071" s="12">
        <f t="shared" si="573"/>
        <v>0</v>
      </c>
      <c r="O1071" s="12">
        <f t="shared" si="574"/>
        <v>0</v>
      </c>
      <c r="P1071" s="12">
        <f t="shared" si="575"/>
        <v>0</v>
      </c>
      <c r="Q1071" s="12">
        <f t="shared" si="576"/>
        <v>0</v>
      </c>
      <c r="R1071" s="12">
        <f t="shared" si="577"/>
        <v>0</v>
      </c>
    </row>
    <row r="1072" spans="1:19" x14ac:dyDescent="0.25">
      <c r="A1072" s="26"/>
      <c r="B1072" s="25" t="s">
        <v>173</v>
      </c>
      <c r="C1072" s="15">
        <v>8</v>
      </c>
      <c r="D1072" s="16">
        <v>100</v>
      </c>
      <c r="E1072" s="15">
        <v>6</v>
      </c>
      <c r="F1072" s="11">
        <v>1</v>
      </c>
      <c r="G1072" s="11">
        <f t="shared" si="658"/>
        <v>26</v>
      </c>
      <c r="H1072" s="12"/>
      <c r="I1072" s="12">
        <f>0.18+(20*C1072/1000)</f>
        <v>0.33999999999999997</v>
      </c>
      <c r="J1072" s="22"/>
      <c r="K1072" s="22"/>
      <c r="L1072" s="12">
        <f t="shared" si="657"/>
        <v>0.33999999999999997</v>
      </c>
      <c r="M1072" s="12">
        <f t="shared" si="642"/>
        <v>53.04</v>
      </c>
      <c r="N1072" s="12">
        <f t="shared" si="573"/>
        <v>0</v>
      </c>
      <c r="O1072" s="12">
        <f t="shared" si="574"/>
        <v>0</v>
      </c>
      <c r="P1072" s="12">
        <f t="shared" si="575"/>
        <v>0</v>
      </c>
      <c r="Q1072" s="12">
        <f t="shared" si="576"/>
        <v>0</v>
      </c>
      <c r="R1072" s="12">
        <f t="shared" si="577"/>
        <v>0</v>
      </c>
    </row>
    <row r="1073" spans="1:18" x14ac:dyDescent="0.25">
      <c r="A1073" s="26"/>
      <c r="B1073" s="25" t="s">
        <v>189</v>
      </c>
      <c r="C1073" s="15">
        <v>8</v>
      </c>
      <c r="D1073" s="16">
        <v>100</v>
      </c>
      <c r="E1073" s="15">
        <v>6</v>
      </c>
      <c r="F1073" s="11">
        <v>2</v>
      </c>
      <c r="G1073" s="11">
        <f t="shared" si="658"/>
        <v>26</v>
      </c>
      <c r="H1073" s="12"/>
      <c r="I1073" s="12">
        <f>2*(0.18+0.385)+24*C1073/1000</f>
        <v>1.3219999999999998</v>
      </c>
      <c r="J1073" s="22"/>
      <c r="K1073" s="22"/>
      <c r="L1073" s="12">
        <f t="shared" si="657"/>
        <v>1.3219999999999998</v>
      </c>
      <c r="M1073" s="12">
        <f t="shared" si="642"/>
        <v>412.46</v>
      </c>
      <c r="N1073" s="12">
        <f t="shared" si="573"/>
        <v>0</v>
      </c>
      <c r="O1073" s="12">
        <f t="shared" si="574"/>
        <v>0</v>
      </c>
      <c r="P1073" s="12">
        <f t="shared" si="575"/>
        <v>0</v>
      </c>
      <c r="Q1073" s="12">
        <f t="shared" si="576"/>
        <v>0</v>
      </c>
      <c r="R1073" s="12">
        <f t="shared" si="577"/>
        <v>0</v>
      </c>
    </row>
    <row r="1074" spans="1:18" x14ac:dyDescent="0.25">
      <c r="A1074" s="26"/>
      <c r="B1074" s="25" t="s">
        <v>175</v>
      </c>
      <c r="C1074" s="15">
        <v>8</v>
      </c>
      <c r="D1074" s="16">
        <v>100</v>
      </c>
      <c r="E1074" s="15">
        <v>6</v>
      </c>
      <c r="F1074" s="11">
        <v>1</v>
      </c>
      <c r="G1074" s="11">
        <f t="shared" si="658"/>
        <v>26</v>
      </c>
      <c r="H1074" s="12"/>
      <c r="I1074" s="12">
        <f>2*(0.18+0.268)+24*C1074/1000</f>
        <v>1.0880000000000001</v>
      </c>
      <c r="J1074" s="22"/>
      <c r="K1074" s="22"/>
      <c r="L1074" s="12">
        <f t="shared" si="657"/>
        <v>1.0880000000000001</v>
      </c>
      <c r="M1074" s="12">
        <f t="shared" si="642"/>
        <v>169.73</v>
      </c>
      <c r="N1074" s="12">
        <f t="shared" si="573"/>
        <v>0</v>
      </c>
      <c r="O1074" s="12">
        <f t="shared" si="574"/>
        <v>0</v>
      </c>
      <c r="P1074" s="12">
        <f t="shared" si="575"/>
        <v>0</v>
      </c>
      <c r="Q1074" s="12">
        <f t="shared" si="576"/>
        <v>0</v>
      </c>
      <c r="R1074" s="12">
        <f t="shared" si="577"/>
        <v>0</v>
      </c>
    </row>
    <row r="1075" spans="1:18" x14ac:dyDescent="0.25">
      <c r="A1075" s="26"/>
      <c r="B1075" s="25" t="s">
        <v>173</v>
      </c>
      <c r="C1075" s="15">
        <v>8</v>
      </c>
      <c r="D1075" s="16">
        <v>100</v>
      </c>
      <c r="E1075" s="15">
        <v>6</v>
      </c>
      <c r="F1075" s="11">
        <v>1</v>
      </c>
      <c r="G1075" s="11">
        <f t="shared" si="658"/>
        <v>26</v>
      </c>
      <c r="H1075" s="12"/>
      <c r="I1075" s="12">
        <f>0.18+(20*C1075/1000)</f>
        <v>0.33999999999999997</v>
      </c>
      <c r="J1075" s="22"/>
      <c r="K1075" s="22"/>
      <c r="L1075" s="12">
        <f t="shared" si="657"/>
        <v>0.33999999999999997</v>
      </c>
      <c r="M1075" s="12">
        <f t="shared" si="642"/>
        <v>53.04</v>
      </c>
      <c r="N1075" s="12">
        <f t="shared" si="573"/>
        <v>0</v>
      </c>
      <c r="O1075" s="12">
        <f t="shared" si="574"/>
        <v>0</v>
      </c>
      <c r="P1075" s="12">
        <f t="shared" si="575"/>
        <v>0</v>
      </c>
      <c r="Q1075" s="12">
        <f t="shared" si="576"/>
        <v>0</v>
      </c>
      <c r="R1075" s="12">
        <f t="shared" si="577"/>
        <v>0</v>
      </c>
    </row>
    <row r="1076" spans="1:18" x14ac:dyDescent="0.25">
      <c r="A1076" s="26"/>
      <c r="B1076" s="25" t="s">
        <v>179</v>
      </c>
      <c r="C1076" s="15">
        <v>8</v>
      </c>
      <c r="D1076" s="16">
        <v>200</v>
      </c>
      <c r="E1076" s="15">
        <v>6</v>
      </c>
      <c r="F1076" s="11">
        <v>1</v>
      </c>
      <c r="G1076" s="11">
        <f t="shared" si="658"/>
        <v>13</v>
      </c>
      <c r="H1076" s="12"/>
      <c r="I1076" s="12">
        <f>2*(0.18+1.066)+24*C1076/1000</f>
        <v>2.6840000000000002</v>
      </c>
      <c r="J1076" s="22"/>
      <c r="K1076" s="22"/>
      <c r="L1076" s="12">
        <f t="shared" si="657"/>
        <v>2.6840000000000002</v>
      </c>
      <c r="M1076" s="12">
        <f t="shared" si="642"/>
        <v>209.35</v>
      </c>
      <c r="N1076" s="12">
        <f t="shared" si="573"/>
        <v>0</v>
      </c>
      <c r="O1076" s="12">
        <f t="shared" si="574"/>
        <v>0</v>
      </c>
      <c r="P1076" s="12">
        <f t="shared" si="575"/>
        <v>0</v>
      </c>
      <c r="Q1076" s="12">
        <f t="shared" si="576"/>
        <v>0</v>
      </c>
      <c r="R1076" s="12">
        <f t="shared" si="577"/>
        <v>0</v>
      </c>
    </row>
    <row r="1077" spans="1:18" x14ac:dyDescent="0.25">
      <c r="A1077" s="26"/>
      <c r="B1077" s="25" t="s">
        <v>177</v>
      </c>
      <c r="C1077" s="15">
        <v>8</v>
      </c>
      <c r="D1077" s="16">
        <v>400</v>
      </c>
      <c r="E1077" s="15">
        <v>6</v>
      </c>
      <c r="F1077" s="11">
        <v>2</v>
      </c>
      <c r="G1077" s="11">
        <f t="shared" si="658"/>
        <v>7</v>
      </c>
      <c r="H1077" s="12"/>
      <c r="I1077" s="12">
        <f>0.18+(20*C1077/1000)</f>
        <v>0.33999999999999997</v>
      </c>
      <c r="J1077" s="22"/>
      <c r="K1077" s="22"/>
      <c r="L1077" s="12">
        <f t="shared" ref="L1077" si="659">SUM(H1077:J1077)+K1077</f>
        <v>0.33999999999999997</v>
      </c>
      <c r="M1077" s="12">
        <f t="shared" si="642"/>
        <v>28.56</v>
      </c>
      <c r="N1077" s="12">
        <f t="shared" si="573"/>
        <v>0</v>
      </c>
      <c r="O1077" s="12">
        <f t="shared" si="574"/>
        <v>0</v>
      </c>
      <c r="P1077" s="12">
        <f t="shared" si="575"/>
        <v>0</v>
      </c>
      <c r="Q1077" s="12">
        <f t="shared" si="576"/>
        <v>0</v>
      </c>
      <c r="R1077" s="12">
        <f t="shared" si="577"/>
        <v>0</v>
      </c>
    </row>
    <row r="1078" spans="1:18" x14ac:dyDescent="0.25">
      <c r="A1078" s="26"/>
      <c r="B1078" s="45" t="s">
        <v>229</v>
      </c>
      <c r="C1078" s="15">
        <v>16</v>
      </c>
      <c r="D1078" s="16"/>
      <c r="E1078" s="15">
        <v>2</v>
      </c>
      <c r="F1078" s="11">
        <v>1</v>
      </c>
      <c r="G1078" s="11">
        <v>8</v>
      </c>
      <c r="H1078" s="12"/>
      <c r="I1078" s="12">
        <f t="shared" ref="I1078:I1080" si="660">106.2-103.25</f>
        <v>2.9500000000000028</v>
      </c>
      <c r="J1078" s="22"/>
      <c r="K1078" s="22">
        <f t="shared" ref="K1078:K1080" si="661">0.5*40*C1078/1000</f>
        <v>0.32</v>
      </c>
      <c r="L1078" s="12">
        <f t="shared" ref="L1078:L1085" si="662">SUM(H1078:J1078)+K1078</f>
        <v>3.2700000000000027</v>
      </c>
      <c r="M1078" s="12">
        <f t="shared" si="642"/>
        <v>0</v>
      </c>
      <c r="N1078" s="12">
        <f t="shared" si="573"/>
        <v>0</v>
      </c>
      <c r="O1078" s="12">
        <f t="shared" si="574"/>
        <v>0</v>
      </c>
      <c r="P1078" s="12">
        <f t="shared" si="575"/>
        <v>52.32</v>
      </c>
      <c r="Q1078" s="12">
        <f t="shared" si="576"/>
        <v>0</v>
      </c>
      <c r="R1078" s="12">
        <f t="shared" si="577"/>
        <v>0</v>
      </c>
    </row>
    <row r="1079" spans="1:18" x14ac:dyDescent="0.25">
      <c r="A1079" s="26"/>
      <c r="B1079" s="45"/>
      <c r="C1079" s="15">
        <v>12</v>
      </c>
      <c r="D1079" s="16"/>
      <c r="E1079" s="15">
        <v>2</v>
      </c>
      <c r="F1079" s="11">
        <v>1</v>
      </c>
      <c r="G1079" s="11">
        <v>12</v>
      </c>
      <c r="H1079" s="12"/>
      <c r="I1079" s="12">
        <f t="shared" si="660"/>
        <v>2.9500000000000028</v>
      </c>
      <c r="J1079" s="22"/>
      <c r="K1079" s="22">
        <f t="shared" si="661"/>
        <v>0.24</v>
      </c>
      <c r="L1079" s="12">
        <f t="shared" si="662"/>
        <v>3.1900000000000031</v>
      </c>
      <c r="M1079" s="12">
        <f t="shared" si="642"/>
        <v>0</v>
      </c>
      <c r="N1079" s="12">
        <f t="shared" si="573"/>
        <v>0</v>
      </c>
      <c r="O1079" s="12">
        <f t="shared" si="574"/>
        <v>76.56</v>
      </c>
      <c r="P1079" s="12">
        <f t="shared" si="575"/>
        <v>0</v>
      </c>
      <c r="Q1079" s="12">
        <f t="shared" si="576"/>
        <v>0</v>
      </c>
      <c r="R1079" s="12">
        <f t="shared" si="577"/>
        <v>0</v>
      </c>
    </row>
    <row r="1080" spans="1:18" x14ac:dyDescent="0.25">
      <c r="A1080" s="26"/>
      <c r="B1080" s="45"/>
      <c r="C1080" s="15">
        <v>10</v>
      </c>
      <c r="D1080" s="16"/>
      <c r="E1080" s="15">
        <v>2</v>
      </c>
      <c r="F1080" s="11">
        <v>1</v>
      </c>
      <c r="G1080" s="11">
        <v>24</v>
      </c>
      <c r="H1080" s="12"/>
      <c r="I1080" s="12">
        <f t="shared" si="660"/>
        <v>2.9500000000000028</v>
      </c>
      <c r="J1080" s="22"/>
      <c r="K1080" s="22">
        <f t="shared" si="661"/>
        <v>0.2</v>
      </c>
      <c r="L1080" s="12">
        <f t="shared" si="662"/>
        <v>3.150000000000003</v>
      </c>
      <c r="M1080" s="12">
        <f t="shared" si="642"/>
        <v>0</v>
      </c>
      <c r="N1080" s="12">
        <f t="shared" si="573"/>
        <v>151.19999999999999</v>
      </c>
      <c r="O1080" s="12">
        <f t="shared" si="574"/>
        <v>0</v>
      </c>
      <c r="P1080" s="12">
        <f t="shared" si="575"/>
        <v>0</v>
      </c>
      <c r="Q1080" s="12">
        <f t="shared" si="576"/>
        <v>0</v>
      </c>
      <c r="R1080" s="12">
        <f t="shared" si="577"/>
        <v>0</v>
      </c>
    </row>
    <row r="1081" spans="1:18" x14ac:dyDescent="0.25">
      <c r="A1081" s="26"/>
      <c r="B1081" s="25" t="s">
        <v>172</v>
      </c>
      <c r="C1081" s="15"/>
      <c r="D1081" s="16"/>
      <c r="E1081" s="15"/>
      <c r="F1081" s="11"/>
      <c r="G1081" s="11"/>
      <c r="H1081" s="12"/>
      <c r="I1081" s="12"/>
      <c r="J1081" s="22"/>
      <c r="K1081" s="22"/>
      <c r="L1081" s="12">
        <f t="shared" si="662"/>
        <v>0</v>
      </c>
      <c r="M1081" s="12">
        <f t="shared" si="642"/>
        <v>0</v>
      </c>
      <c r="N1081" s="12">
        <f t="shared" si="573"/>
        <v>0</v>
      </c>
      <c r="O1081" s="12">
        <f t="shared" si="574"/>
        <v>0</v>
      </c>
      <c r="P1081" s="12">
        <f t="shared" si="575"/>
        <v>0</v>
      </c>
      <c r="Q1081" s="12">
        <f t="shared" si="576"/>
        <v>0</v>
      </c>
      <c r="R1081" s="12">
        <f t="shared" si="577"/>
        <v>0</v>
      </c>
    </row>
    <row r="1082" spans="1:18" x14ac:dyDescent="0.25">
      <c r="A1082" s="26"/>
      <c r="B1082" s="25" t="s">
        <v>230</v>
      </c>
      <c r="C1082" s="15">
        <v>8</v>
      </c>
      <c r="D1082" s="16">
        <v>100</v>
      </c>
      <c r="E1082" s="15">
        <v>2</v>
      </c>
      <c r="F1082" s="11">
        <v>2</v>
      </c>
      <c r="G1082" s="11">
        <f t="shared" ref="G1082:G1086" si="663">+ROUND(2450/D1082+1,0)</f>
        <v>26</v>
      </c>
      <c r="H1082" s="12"/>
      <c r="I1082" s="12">
        <f>2*(0.18+0.483)+24*C1082/1000</f>
        <v>1.518</v>
      </c>
      <c r="J1082" s="22"/>
      <c r="K1082" s="22"/>
      <c r="L1082" s="12">
        <f t="shared" si="662"/>
        <v>1.518</v>
      </c>
      <c r="M1082" s="12">
        <f t="shared" si="642"/>
        <v>157.87</v>
      </c>
      <c r="N1082" s="12">
        <f t="shared" si="573"/>
        <v>0</v>
      </c>
      <c r="O1082" s="12">
        <f t="shared" si="574"/>
        <v>0</v>
      </c>
      <c r="P1082" s="12">
        <f t="shared" si="575"/>
        <v>0</v>
      </c>
      <c r="Q1082" s="12">
        <f t="shared" si="576"/>
        <v>0</v>
      </c>
      <c r="R1082" s="12">
        <f t="shared" si="577"/>
        <v>0</v>
      </c>
    </row>
    <row r="1083" spans="1:18" x14ac:dyDescent="0.25">
      <c r="A1083" s="26"/>
      <c r="B1083" s="25" t="s">
        <v>231</v>
      </c>
      <c r="C1083" s="15">
        <v>8</v>
      </c>
      <c r="D1083" s="16">
        <v>100</v>
      </c>
      <c r="E1083" s="15">
        <v>2</v>
      </c>
      <c r="F1083" s="11">
        <v>2</v>
      </c>
      <c r="G1083" s="11">
        <f t="shared" si="663"/>
        <v>26</v>
      </c>
      <c r="H1083" s="12"/>
      <c r="I1083" s="12">
        <f>2*(0.18+0.25)+24*C1083/1000</f>
        <v>1.052</v>
      </c>
      <c r="J1083" s="22"/>
      <c r="K1083" s="22"/>
      <c r="L1083" s="12">
        <f t="shared" si="662"/>
        <v>1.052</v>
      </c>
      <c r="M1083" s="12">
        <f t="shared" si="642"/>
        <v>109.41</v>
      </c>
      <c r="N1083" s="12">
        <f t="shared" si="573"/>
        <v>0</v>
      </c>
      <c r="O1083" s="12">
        <f t="shared" si="574"/>
        <v>0</v>
      </c>
      <c r="P1083" s="12">
        <f t="shared" si="575"/>
        <v>0</v>
      </c>
      <c r="Q1083" s="12">
        <f t="shared" si="576"/>
        <v>0</v>
      </c>
      <c r="R1083" s="12">
        <f t="shared" si="577"/>
        <v>0</v>
      </c>
    </row>
    <row r="1084" spans="1:18" x14ac:dyDescent="0.25">
      <c r="A1084" s="26"/>
      <c r="B1084" s="25" t="s">
        <v>173</v>
      </c>
      <c r="C1084" s="15">
        <v>8</v>
      </c>
      <c r="D1084" s="16">
        <v>100</v>
      </c>
      <c r="E1084" s="15">
        <v>2</v>
      </c>
      <c r="F1084" s="11">
        <v>2</v>
      </c>
      <c r="G1084" s="11">
        <f t="shared" si="663"/>
        <v>26</v>
      </c>
      <c r="H1084" s="12"/>
      <c r="I1084" s="12">
        <f>0.18+(20*C1084/1000)</f>
        <v>0.33999999999999997</v>
      </c>
      <c r="J1084" s="22"/>
      <c r="K1084" s="22"/>
      <c r="L1084" s="12">
        <f t="shared" si="662"/>
        <v>0.33999999999999997</v>
      </c>
      <c r="M1084" s="12">
        <f t="shared" si="642"/>
        <v>35.36</v>
      </c>
      <c r="N1084" s="12">
        <f t="shared" si="573"/>
        <v>0</v>
      </c>
      <c r="O1084" s="12">
        <f t="shared" si="574"/>
        <v>0</v>
      </c>
      <c r="P1084" s="12">
        <f t="shared" si="575"/>
        <v>0</v>
      </c>
      <c r="Q1084" s="12">
        <f t="shared" si="576"/>
        <v>0</v>
      </c>
      <c r="R1084" s="12">
        <f t="shared" si="577"/>
        <v>0</v>
      </c>
    </row>
    <row r="1085" spans="1:18" x14ac:dyDescent="0.25">
      <c r="A1085" s="26"/>
      <c r="B1085" s="25" t="s">
        <v>232</v>
      </c>
      <c r="C1085" s="15">
        <v>8</v>
      </c>
      <c r="D1085" s="16">
        <v>200</v>
      </c>
      <c r="E1085" s="15">
        <v>2</v>
      </c>
      <c r="F1085" s="11">
        <v>1</v>
      </c>
      <c r="G1085" s="11">
        <f t="shared" si="663"/>
        <v>13</v>
      </c>
      <c r="H1085" s="12"/>
      <c r="I1085" s="12">
        <f>2*(0.18+2.461)+24*C1085/1000</f>
        <v>5.4740000000000002</v>
      </c>
      <c r="J1085" s="22"/>
      <c r="K1085" s="22"/>
      <c r="L1085" s="12">
        <f t="shared" si="662"/>
        <v>5.4740000000000002</v>
      </c>
      <c r="M1085" s="12">
        <f t="shared" si="642"/>
        <v>142.32</v>
      </c>
      <c r="N1085" s="12">
        <f t="shared" si="573"/>
        <v>0</v>
      </c>
      <c r="O1085" s="12">
        <f t="shared" si="574"/>
        <v>0</v>
      </c>
      <c r="P1085" s="12">
        <f t="shared" si="575"/>
        <v>0</v>
      </c>
      <c r="Q1085" s="12">
        <f t="shared" si="576"/>
        <v>0</v>
      </c>
      <c r="R1085" s="12">
        <f t="shared" si="577"/>
        <v>0</v>
      </c>
    </row>
    <row r="1086" spans="1:18" x14ac:dyDescent="0.25">
      <c r="A1086" s="26"/>
      <c r="B1086" s="25" t="s">
        <v>177</v>
      </c>
      <c r="C1086" s="15">
        <v>8</v>
      </c>
      <c r="D1086" s="16">
        <v>400</v>
      </c>
      <c r="E1086" s="15">
        <v>2</v>
      </c>
      <c r="F1086" s="11">
        <v>6</v>
      </c>
      <c r="G1086" s="11">
        <f t="shared" si="663"/>
        <v>7</v>
      </c>
      <c r="H1086" s="12"/>
      <c r="I1086" s="12">
        <f>0.18+(20*C1086/1000)</f>
        <v>0.33999999999999997</v>
      </c>
      <c r="J1086" s="22"/>
      <c r="K1086" s="22"/>
      <c r="L1086" s="12">
        <f t="shared" ref="L1086" si="664">SUM(H1086:J1086)+K1086</f>
        <v>0.33999999999999997</v>
      </c>
      <c r="M1086" s="12">
        <f t="shared" si="642"/>
        <v>28.56</v>
      </c>
      <c r="N1086" s="12">
        <f t="shared" si="573"/>
        <v>0</v>
      </c>
      <c r="O1086" s="12">
        <f t="shared" si="574"/>
        <v>0</v>
      </c>
      <c r="P1086" s="12">
        <f t="shared" si="575"/>
        <v>0</v>
      </c>
      <c r="Q1086" s="12">
        <f t="shared" si="576"/>
        <v>0</v>
      </c>
      <c r="R1086" s="12">
        <f t="shared" si="577"/>
        <v>0</v>
      </c>
    </row>
    <row r="1087" spans="1:18" x14ac:dyDescent="0.25">
      <c r="A1087" s="26"/>
      <c r="B1087" s="45" t="s">
        <v>247</v>
      </c>
      <c r="C1087" s="15">
        <v>16</v>
      </c>
      <c r="D1087" s="16"/>
      <c r="E1087" s="15">
        <v>2</v>
      </c>
      <c r="F1087" s="11">
        <v>1</v>
      </c>
      <c r="G1087" s="11">
        <v>8</v>
      </c>
      <c r="H1087" s="12"/>
      <c r="I1087" s="12">
        <f t="shared" ref="I1087:I1089" si="665">106.2-103.25</f>
        <v>2.9500000000000028</v>
      </c>
      <c r="J1087" s="22"/>
      <c r="K1087" s="22">
        <f t="shared" ref="K1087:K1089" si="666">0.5*40*C1087/1000</f>
        <v>0.32</v>
      </c>
      <c r="L1087" s="12">
        <f t="shared" ref="L1087:L1094" si="667">SUM(H1087:J1087)+K1087</f>
        <v>3.2700000000000027</v>
      </c>
      <c r="M1087" s="12">
        <f t="shared" si="642"/>
        <v>0</v>
      </c>
      <c r="N1087" s="12">
        <f t="shared" si="573"/>
        <v>0</v>
      </c>
      <c r="O1087" s="12">
        <f t="shared" si="574"/>
        <v>0</v>
      </c>
      <c r="P1087" s="12">
        <f t="shared" si="575"/>
        <v>52.32</v>
      </c>
      <c r="Q1087" s="12">
        <f t="shared" si="576"/>
        <v>0</v>
      </c>
      <c r="R1087" s="12">
        <f t="shared" si="577"/>
        <v>0</v>
      </c>
    </row>
    <row r="1088" spans="1:18" x14ac:dyDescent="0.25">
      <c r="A1088" s="26"/>
      <c r="B1088" s="45"/>
      <c r="C1088" s="15">
        <v>12</v>
      </c>
      <c r="D1088" s="16"/>
      <c r="E1088" s="15">
        <v>2</v>
      </c>
      <c r="F1088" s="11">
        <v>1</v>
      </c>
      <c r="G1088" s="11">
        <v>20</v>
      </c>
      <c r="H1088" s="12"/>
      <c r="I1088" s="12">
        <f t="shared" si="665"/>
        <v>2.9500000000000028</v>
      </c>
      <c r="J1088" s="22"/>
      <c r="K1088" s="22">
        <f t="shared" si="666"/>
        <v>0.24</v>
      </c>
      <c r="L1088" s="12">
        <f t="shared" si="667"/>
        <v>3.1900000000000031</v>
      </c>
      <c r="M1088" s="12">
        <f t="shared" si="642"/>
        <v>0</v>
      </c>
      <c r="N1088" s="12">
        <f t="shared" si="573"/>
        <v>0</v>
      </c>
      <c r="O1088" s="12">
        <f t="shared" si="574"/>
        <v>127.6</v>
      </c>
      <c r="P1088" s="12">
        <f t="shared" si="575"/>
        <v>0</v>
      </c>
      <c r="Q1088" s="12">
        <f t="shared" si="576"/>
        <v>0</v>
      </c>
      <c r="R1088" s="12">
        <f t="shared" si="577"/>
        <v>0</v>
      </c>
    </row>
    <row r="1089" spans="1:18" x14ac:dyDescent="0.25">
      <c r="A1089" s="26"/>
      <c r="B1089" s="45"/>
      <c r="C1089" s="15">
        <v>10</v>
      </c>
      <c r="D1089" s="16"/>
      <c r="E1089" s="15">
        <v>2</v>
      </c>
      <c r="F1089" s="11">
        <v>1</v>
      </c>
      <c r="G1089" s="11">
        <v>26</v>
      </c>
      <c r="H1089" s="12"/>
      <c r="I1089" s="12">
        <f t="shared" si="665"/>
        <v>2.9500000000000028</v>
      </c>
      <c r="J1089" s="22"/>
      <c r="K1089" s="22">
        <f t="shared" si="666"/>
        <v>0.2</v>
      </c>
      <c r="L1089" s="12">
        <f t="shared" si="667"/>
        <v>3.150000000000003</v>
      </c>
      <c r="M1089" s="12">
        <f t="shared" si="642"/>
        <v>0</v>
      </c>
      <c r="N1089" s="12">
        <f t="shared" si="573"/>
        <v>163.80000000000001</v>
      </c>
      <c r="O1089" s="12">
        <f t="shared" si="574"/>
        <v>0</v>
      </c>
      <c r="P1089" s="12">
        <f t="shared" si="575"/>
        <v>0</v>
      </c>
      <c r="Q1089" s="12">
        <f t="shared" si="576"/>
        <v>0</v>
      </c>
      <c r="R1089" s="12">
        <f t="shared" si="577"/>
        <v>0</v>
      </c>
    </row>
    <row r="1090" spans="1:18" x14ac:dyDescent="0.25">
      <c r="A1090" s="26"/>
      <c r="B1090" s="25" t="s">
        <v>172</v>
      </c>
      <c r="C1090" s="15"/>
      <c r="D1090" s="16"/>
      <c r="E1090" s="15"/>
      <c r="F1090" s="11"/>
      <c r="G1090" s="11"/>
      <c r="H1090" s="12"/>
      <c r="I1090" s="12"/>
      <c r="J1090" s="22"/>
      <c r="K1090" s="22"/>
      <c r="L1090" s="12">
        <f t="shared" si="667"/>
        <v>0</v>
      </c>
      <c r="M1090" s="12">
        <f t="shared" si="642"/>
        <v>0</v>
      </c>
      <c r="N1090" s="12">
        <f t="shared" si="573"/>
        <v>0</v>
      </c>
      <c r="O1090" s="12">
        <f t="shared" si="574"/>
        <v>0</v>
      </c>
      <c r="P1090" s="12">
        <f t="shared" si="575"/>
        <v>0</v>
      </c>
      <c r="Q1090" s="12">
        <f t="shared" si="576"/>
        <v>0</v>
      </c>
      <c r="R1090" s="12">
        <f t="shared" si="577"/>
        <v>0</v>
      </c>
    </row>
    <row r="1091" spans="1:18" x14ac:dyDescent="0.25">
      <c r="A1091" s="26"/>
      <c r="B1091" s="25" t="s">
        <v>200</v>
      </c>
      <c r="C1091" s="15">
        <v>8</v>
      </c>
      <c r="D1091" s="16">
        <v>100</v>
      </c>
      <c r="E1091" s="15">
        <v>2</v>
      </c>
      <c r="F1091" s="11">
        <v>2</v>
      </c>
      <c r="G1091" s="11">
        <f t="shared" ref="G1091:G1095" si="668">+ROUND(2450/D1091+1,0)</f>
        <v>26</v>
      </c>
      <c r="H1091" s="12"/>
      <c r="I1091" s="12">
        <f>2*(0.18+0.683)+24*C1091/1000</f>
        <v>1.9179999999999999</v>
      </c>
      <c r="J1091" s="22"/>
      <c r="K1091" s="22"/>
      <c r="L1091" s="12">
        <f t="shared" si="667"/>
        <v>1.9179999999999999</v>
      </c>
      <c r="M1091" s="12">
        <f t="shared" si="642"/>
        <v>199.47</v>
      </c>
      <c r="N1091" s="12">
        <f t="shared" si="573"/>
        <v>0</v>
      </c>
      <c r="O1091" s="12">
        <f t="shared" si="574"/>
        <v>0</v>
      </c>
      <c r="P1091" s="12">
        <f t="shared" si="575"/>
        <v>0</v>
      </c>
      <c r="Q1091" s="12">
        <f t="shared" si="576"/>
        <v>0</v>
      </c>
      <c r="R1091" s="12">
        <f t="shared" si="577"/>
        <v>0</v>
      </c>
    </row>
    <row r="1092" spans="1:18" x14ac:dyDescent="0.25">
      <c r="A1092" s="26"/>
      <c r="B1092" s="25" t="s">
        <v>205</v>
      </c>
      <c r="C1092" s="15">
        <v>8</v>
      </c>
      <c r="D1092" s="16">
        <v>100</v>
      </c>
      <c r="E1092" s="15">
        <v>2</v>
      </c>
      <c r="F1092" s="11">
        <f>2*2</f>
        <v>4</v>
      </c>
      <c r="G1092" s="11">
        <f t="shared" si="668"/>
        <v>26</v>
      </c>
      <c r="H1092" s="12"/>
      <c r="I1092" s="12">
        <f>2*(0.18+0.124)+24*C1092/1000</f>
        <v>0.8</v>
      </c>
      <c r="J1092" s="22"/>
      <c r="K1092" s="22"/>
      <c r="L1092" s="12">
        <f t="shared" si="667"/>
        <v>0.8</v>
      </c>
      <c r="M1092" s="12">
        <f t="shared" si="642"/>
        <v>166.4</v>
      </c>
      <c r="N1092" s="12">
        <f t="shared" si="573"/>
        <v>0</v>
      </c>
      <c r="O1092" s="12">
        <f t="shared" si="574"/>
        <v>0</v>
      </c>
      <c r="P1092" s="12">
        <f t="shared" si="575"/>
        <v>0</v>
      </c>
      <c r="Q1092" s="12">
        <f t="shared" si="576"/>
        <v>0</v>
      </c>
      <c r="R1092" s="12">
        <f t="shared" si="577"/>
        <v>0</v>
      </c>
    </row>
    <row r="1093" spans="1:18" x14ac:dyDescent="0.25">
      <c r="A1093" s="26"/>
      <c r="B1093" s="25" t="s">
        <v>173</v>
      </c>
      <c r="C1093" s="15">
        <v>8</v>
      </c>
      <c r="D1093" s="16">
        <v>100</v>
      </c>
      <c r="E1093" s="15">
        <v>2</v>
      </c>
      <c r="F1093" s="11">
        <v>2</v>
      </c>
      <c r="G1093" s="11">
        <f t="shared" si="668"/>
        <v>26</v>
      </c>
      <c r="H1093" s="12"/>
      <c r="I1093" s="12">
        <f>0.18+(20*C1093/1000)</f>
        <v>0.33999999999999997</v>
      </c>
      <c r="J1093" s="22"/>
      <c r="K1093" s="22"/>
      <c r="L1093" s="12">
        <f t="shared" si="667"/>
        <v>0.33999999999999997</v>
      </c>
      <c r="M1093" s="12">
        <f t="shared" si="642"/>
        <v>35.36</v>
      </c>
      <c r="N1093" s="12">
        <f t="shared" si="573"/>
        <v>0</v>
      </c>
      <c r="O1093" s="12">
        <f t="shared" si="574"/>
        <v>0</v>
      </c>
      <c r="P1093" s="12">
        <f t="shared" si="575"/>
        <v>0</v>
      </c>
      <c r="Q1093" s="12">
        <f t="shared" si="576"/>
        <v>0</v>
      </c>
      <c r="R1093" s="12">
        <f t="shared" si="577"/>
        <v>0</v>
      </c>
    </row>
    <row r="1094" spans="1:18" x14ac:dyDescent="0.25">
      <c r="A1094" s="26"/>
      <c r="B1094" s="25" t="s">
        <v>246</v>
      </c>
      <c r="C1094" s="15">
        <v>8</v>
      </c>
      <c r="D1094" s="16">
        <v>200</v>
      </c>
      <c r="E1094" s="15">
        <v>2</v>
      </c>
      <c r="F1094" s="11">
        <v>1</v>
      </c>
      <c r="G1094" s="11">
        <f t="shared" si="668"/>
        <v>13</v>
      </c>
      <c r="H1094" s="12"/>
      <c r="I1094" s="12">
        <f>2*(0.18+2.681)+24*C1094/1000</f>
        <v>5.9140000000000006</v>
      </c>
      <c r="J1094" s="22"/>
      <c r="K1094" s="22"/>
      <c r="L1094" s="12">
        <f t="shared" si="667"/>
        <v>5.9140000000000006</v>
      </c>
      <c r="M1094" s="12">
        <f t="shared" si="642"/>
        <v>153.76</v>
      </c>
      <c r="N1094" s="12">
        <f t="shared" si="573"/>
        <v>0</v>
      </c>
      <c r="O1094" s="12">
        <f t="shared" si="574"/>
        <v>0</v>
      </c>
      <c r="P1094" s="12">
        <f t="shared" si="575"/>
        <v>0</v>
      </c>
      <c r="Q1094" s="12">
        <f t="shared" si="576"/>
        <v>0</v>
      </c>
      <c r="R1094" s="12">
        <f t="shared" si="577"/>
        <v>0</v>
      </c>
    </row>
    <row r="1095" spans="1:18" x14ac:dyDescent="0.25">
      <c r="A1095" s="26"/>
      <c r="B1095" s="25" t="s">
        <v>177</v>
      </c>
      <c r="C1095" s="15">
        <v>8</v>
      </c>
      <c r="D1095" s="16">
        <v>400</v>
      </c>
      <c r="E1095" s="15">
        <v>2</v>
      </c>
      <c r="F1095" s="11">
        <v>6</v>
      </c>
      <c r="G1095" s="11">
        <f t="shared" si="668"/>
        <v>7</v>
      </c>
      <c r="H1095" s="12"/>
      <c r="I1095" s="12">
        <f>0.18+(20*C1095/1000)</f>
        <v>0.33999999999999997</v>
      </c>
      <c r="J1095" s="22"/>
      <c r="K1095" s="22"/>
      <c r="L1095" s="12">
        <f t="shared" ref="L1095" si="669">SUM(H1095:J1095)+K1095</f>
        <v>0.33999999999999997</v>
      </c>
      <c r="M1095" s="12">
        <f t="shared" si="642"/>
        <v>28.56</v>
      </c>
      <c r="N1095" s="12">
        <f t="shared" si="573"/>
        <v>0</v>
      </c>
      <c r="O1095" s="12">
        <f t="shared" si="574"/>
        <v>0</v>
      </c>
      <c r="P1095" s="12">
        <f t="shared" si="575"/>
        <v>0</v>
      </c>
      <c r="Q1095" s="12">
        <f t="shared" si="576"/>
        <v>0</v>
      </c>
      <c r="R1095" s="12">
        <f t="shared" si="577"/>
        <v>0</v>
      </c>
    </row>
    <row r="1096" spans="1:18" x14ac:dyDescent="0.25">
      <c r="A1096" s="26"/>
      <c r="B1096" s="45" t="s">
        <v>207</v>
      </c>
      <c r="C1096" s="15">
        <v>16</v>
      </c>
      <c r="D1096" s="16"/>
      <c r="E1096" s="15">
        <v>2</v>
      </c>
      <c r="F1096" s="11">
        <v>1</v>
      </c>
      <c r="G1096" s="11">
        <v>8</v>
      </c>
      <c r="H1096" s="12"/>
      <c r="I1096" s="12">
        <f t="shared" ref="I1096:I1098" si="670">106.2-103.25</f>
        <v>2.9500000000000028</v>
      </c>
      <c r="J1096" s="22"/>
      <c r="K1096" s="22">
        <f t="shared" ref="K1096:K1098" si="671">0.5*40*C1096/1000</f>
        <v>0.32</v>
      </c>
      <c r="L1096" s="12">
        <f t="shared" ref="L1096:L1113" si="672">SUM(H1096:J1096)+K1096</f>
        <v>3.2700000000000027</v>
      </c>
      <c r="M1096" s="12">
        <f t="shared" si="642"/>
        <v>0</v>
      </c>
      <c r="N1096" s="12">
        <f t="shared" si="573"/>
        <v>0</v>
      </c>
      <c r="O1096" s="12">
        <f t="shared" si="574"/>
        <v>0</v>
      </c>
      <c r="P1096" s="12">
        <f t="shared" si="575"/>
        <v>52.32</v>
      </c>
      <c r="Q1096" s="12">
        <f t="shared" si="576"/>
        <v>0</v>
      </c>
      <c r="R1096" s="12">
        <f t="shared" si="577"/>
        <v>0</v>
      </c>
    </row>
    <row r="1097" spans="1:18" x14ac:dyDescent="0.25">
      <c r="A1097" s="26"/>
      <c r="B1097" s="25"/>
      <c r="C1097" s="15">
        <v>12</v>
      </c>
      <c r="D1097" s="16"/>
      <c r="E1097" s="15">
        <v>2</v>
      </c>
      <c r="F1097" s="11">
        <v>1</v>
      </c>
      <c r="G1097" s="11">
        <v>16</v>
      </c>
      <c r="H1097" s="12"/>
      <c r="I1097" s="12">
        <f t="shared" si="670"/>
        <v>2.9500000000000028</v>
      </c>
      <c r="J1097" s="22"/>
      <c r="K1097" s="22">
        <f t="shared" si="671"/>
        <v>0.24</v>
      </c>
      <c r="L1097" s="12">
        <f t="shared" si="672"/>
        <v>3.1900000000000031</v>
      </c>
      <c r="M1097" s="12">
        <f t="shared" si="642"/>
        <v>0</v>
      </c>
      <c r="N1097" s="12">
        <f t="shared" si="573"/>
        <v>0</v>
      </c>
      <c r="O1097" s="12">
        <f t="shared" si="574"/>
        <v>102.08</v>
      </c>
      <c r="P1097" s="12">
        <f t="shared" si="575"/>
        <v>0</v>
      </c>
      <c r="Q1097" s="12">
        <f t="shared" si="576"/>
        <v>0</v>
      </c>
      <c r="R1097" s="12">
        <f t="shared" si="577"/>
        <v>0</v>
      </c>
    </row>
    <row r="1098" spans="1:18" x14ac:dyDescent="0.25">
      <c r="A1098" s="26"/>
      <c r="B1098" s="25"/>
      <c r="C1098" s="15">
        <v>10</v>
      </c>
      <c r="D1098" s="16"/>
      <c r="E1098" s="15">
        <v>2</v>
      </c>
      <c r="F1098" s="11">
        <v>1</v>
      </c>
      <c r="G1098" s="11">
        <v>6</v>
      </c>
      <c r="H1098" s="12"/>
      <c r="I1098" s="12">
        <f t="shared" si="670"/>
        <v>2.9500000000000028</v>
      </c>
      <c r="J1098" s="22"/>
      <c r="K1098" s="22">
        <f t="shared" si="671"/>
        <v>0.2</v>
      </c>
      <c r="L1098" s="12">
        <f t="shared" si="672"/>
        <v>3.150000000000003</v>
      </c>
      <c r="M1098" s="12">
        <f t="shared" si="642"/>
        <v>0</v>
      </c>
      <c r="N1098" s="12">
        <f t="shared" si="573"/>
        <v>37.799999999999997</v>
      </c>
      <c r="O1098" s="12">
        <f t="shared" si="574"/>
        <v>0</v>
      </c>
      <c r="P1098" s="12">
        <f t="shared" si="575"/>
        <v>0</v>
      </c>
      <c r="Q1098" s="12">
        <f t="shared" si="576"/>
        <v>0</v>
      </c>
      <c r="R1098" s="12">
        <f t="shared" si="577"/>
        <v>0</v>
      </c>
    </row>
    <row r="1099" spans="1:18" x14ac:dyDescent="0.25">
      <c r="A1099" s="26"/>
      <c r="B1099" s="25" t="s">
        <v>172</v>
      </c>
      <c r="C1099" s="15"/>
      <c r="D1099" s="16"/>
      <c r="E1099" s="15"/>
      <c r="F1099" s="11"/>
      <c r="G1099" s="11"/>
      <c r="H1099" s="12"/>
      <c r="I1099" s="12"/>
      <c r="J1099" s="22"/>
      <c r="K1099" s="22"/>
      <c r="L1099" s="12">
        <f t="shared" si="672"/>
        <v>0</v>
      </c>
      <c r="M1099" s="12">
        <f t="shared" si="642"/>
        <v>0</v>
      </c>
      <c r="N1099" s="12">
        <f t="shared" si="573"/>
        <v>0</v>
      </c>
      <c r="O1099" s="12">
        <f t="shared" si="574"/>
        <v>0</v>
      </c>
      <c r="P1099" s="12">
        <f t="shared" si="575"/>
        <v>0</v>
      </c>
      <c r="Q1099" s="12">
        <f t="shared" si="576"/>
        <v>0</v>
      </c>
      <c r="R1099" s="12">
        <f t="shared" si="577"/>
        <v>0</v>
      </c>
    </row>
    <row r="1100" spans="1:18" x14ac:dyDescent="0.25">
      <c r="A1100" s="26"/>
      <c r="B1100" s="25" t="s">
        <v>188</v>
      </c>
      <c r="C1100" s="15">
        <v>8</v>
      </c>
      <c r="D1100" s="16">
        <v>100</v>
      </c>
      <c r="E1100" s="15">
        <v>2</v>
      </c>
      <c r="F1100" s="11">
        <v>1</v>
      </c>
      <c r="G1100" s="11">
        <f t="shared" ref="G1100:G1107" si="673">+ROUND(2450/D1100+1,0)</f>
        <v>26</v>
      </c>
      <c r="H1100" s="12"/>
      <c r="I1100" s="12">
        <f>2*(0.18+0.6)+24*C1100/1000</f>
        <v>1.752</v>
      </c>
      <c r="J1100" s="22"/>
      <c r="K1100" s="22"/>
      <c r="L1100" s="12">
        <f t="shared" si="672"/>
        <v>1.752</v>
      </c>
      <c r="M1100" s="12">
        <f t="shared" si="642"/>
        <v>91.1</v>
      </c>
      <c r="N1100" s="12">
        <f t="shared" si="573"/>
        <v>0</v>
      </c>
      <c r="O1100" s="12">
        <f t="shared" si="574"/>
        <v>0</v>
      </c>
      <c r="P1100" s="12">
        <f t="shared" si="575"/>
        <v>0</v>
      </c>
      <c r="Q1100" s="12">
        <f t="shared" si="576"/>
        <v>0</v>
      </c>
      <c r="R1100" s="12">
        <f t="shared" si="577"/>
        <v>0</v>
      </c>
    </row>
    <row r="1101" spans="1:18" x14ac:dyDescent="0.25">
      <c r="A1101" s="26"/>
      <c r="B1101" s="25" t="s">
        <v>174</v>
      </c>
      <c r="C1101" s="15">
        <v>8</v>
      </c>
      <c r="D1101" s="16">
        <v>100</v>
      </c>
      <c r="E1101" s="15">
        <v>2</v>
      </c>
      <c r="F1101" s="11">
        <v>1</v>
      </c>
      <c r="G1101" s="11">
        <f t="shared" si="673"/>
        <v>26</v>
      </c>
      <c r="H1101" s="12"/>
      <c r="I1101" s="12">
        <f>2*(0.18+0.248)+24*C1101/1000</f>
        <v>1.048</v>
      </c>
      <c r="J1101" s="22"/>
      <c r="K1101" s="22"/>
      <c r="L1101" s="12">
        <f t="shared" si="672"/>
        <v>1.048</v>
      </c>
      <c r="M1101" s="12">
        <f t="shared" si="642"/>
        <v>54.5</v>
      </c>
      <c r="N1101" s="12">
        <f t="shared" si="573"/>
        <v>0</v>
      </c>
      <c r="O1101" s="12">
        <f t="shared" si="574"/>
        <v>0</v>
      </c>
      <c r="P1101" s="12">
        <f t="shared" si="575"/>
        <v>0</v>
      </c>
      <c r="Q1101" s="12">
        <f t="shared" si="576"/>
        <v>0</v>
      </c>
      <c r="R1101" s="12">
        <f t="shared" si="577"/>
        <v>0</v>
      </c>
    </row>
    <row r="1102" spans="1:18" x14ac:dyDescent="0.25">
      <c r="A1102" s="26"/>
      <c r="B1102" s="25" t="s">
        <v>173</v>
      </c>
      <c r="C1102" s="15">
        <v>8</v>
      </c>
      <c r="D1102" s="16">
        <v>100</v>
      </c>
      <c r="E1102" s="15">
        <v>2</v>
      </c>
      <c r="F1102" s="11">
        <v>1</v>
      </c>
      <c r="G1102" s="11">
        <f t="shared" si="673"/>
        <v>26</v>
      </c>
      <c r="H1102" s="12"/>
      <c r="I1102" s="12">
        <f>0.18+(20*C1102/1000)</f>
        <v>0.33999999999999997</v>
      </c>
      <c r="J1102" s="22"/>
      <c r="K1102" s="22"/>
      <c r="L1102" s="12">
        <f t="shared" si="672"/>
        <v>0.33999999999999997</v>
      </c>
      <c r="M1102" s="12">
        <f t="shared" si="642"/>
        <v>17.68</v>
      </c>
      <c r="N1102" s="12">
        <f t="shared" si="573"/>
        <v>0</v>
      </c>
      <c r="O1102" s="12">
        <f t="shared" si="574"/>
        <v>0</v>
      </c>
      <c r="P1102" s="12">
        <f t="shared" si="575"/>
        <v>0</v>
      </c>
      <c r="Q1102" s="12">
        <f t="shared" si="576"/>
        <v>0</v>
      </c>
      <c r="R1102" s="12">
        <f t="shared" si="577"/>
        <v>0</v>
      </c>
    </row>
    <row r="1103" spans="1:18" x14ac:dyDescent="0.25">
      <c r="A1103" s="26"/>
      <c r="B1103" s="25" t="s">
        <v>189</v>
      </c>
      <c r="C1103" s="15">
        <v>8</v>
      </c>
      <c r="D1103" s="16">
        <v>100</v>
      </c>
      <c r="E1103" s="15">
        <v>2</v>
      </c>
      <c r="F1103" s="11">
        <v>2</v>
      </c>
      <c r="G1103" s="11">
        <f t="shared" si="673"/>
        <v>26</v>
      </c>
      <c r="H1103" s="12"/>
      <c r="I1103" s="12">
        <f>2*(0.18+0.385)+24*C1103/1000</f>
        <v>1.3219999999999998</v>
      </c>
      <c r="J1103" s="22"/>
      <c r="K1103" s="22"/>
      <c r="L1103" s="12">
        <f t="shared" si="672"/>
        <v>1.3219999999999998</v>
      </c>
      <c r="M1103" s="12">
        <f t="shared" si="642"/>
        <v>137.49</v>
      </c>
      <c r="N1103" s="12">
        <f t="shared" si="573"/>
        <v>0</v>
      </c>
      <c r="O1103" s="12">
        <f t="shared" si="574"/>
        <v>0</v>
      </c>
      <c r="P1103" s="12">
        <f t="shared" si="575"/>
        <v>0</v>
      </c>
      <c r="Q1103" s="12">
        <f t="shared" si="576"/>
        <v>0</v>
      </c>
      <c r="R1103" s="12">
        <f t="shared" si="577"/>
        <v>0</v>
      </c>
    </row>
    <row r="1104" spans="1:18" x14ac:dyDescent="0.25">
      <c r="A1104" s="26"/>
      <c r="B1104" s="25" t="s">
        <v>175</v>
      </c>
      <c r="C1104" s="15">
        <v>8</v>
      </c>
      <c r="D1104" s="16">
        <v>100</v>
      </c>
      <c r="E1104" s="15">
        <v>2</v>
      </c>
      <c r="F1104" s="11">
        <v>1</v>
      </c>
      <c r="G1104" s="11">
        <f t="shared" si="673"/>
        <v>26</v>
      </c>
      <c r="H1104" s="12"/>
      <c r="I1104" s="12">
        <f>2*(0.18+0.268)+24*C1104/1000</f>
        <v>1.0880000000000001</v>
      </c>
      <c r="J1104" s="22"/>
      <c r="K1104" s="22"/>
      <c r="L1104" s="12">
        <f t="shared" si="672"/>
        <v>1.0880000000000001</v>
      </c>
      <c r="M1104" s="12">
        <f t="shared" si="642"/>
        <v>56.58</v>
      </c>
      <c r="N1104" s="12">
        <f t="shared" si="573"/>
        <v>0</v>
      </c>
      <c r="O1104" s="12">
        <f t="shared" si="574"/>
        <v>0</v>
      </c>
      <c r="P1104" s="12">
        <f t="shared" si="575"/>
        <v>0</v>
      </c>
      <c r="Q1104" s="12">
        <f t="shared" si="576"/>
        <v>0</v>
      </c>
      <c r="R1104" s="12">
        <f t="shared" si="577"/>
        <v>0</v>
      </c>
    </row>
    <row r="1105" spans="1:19" x14ac:dyDescent="0.25">
      <c r="A1105" s="26"/>
      <c r="B1105" s="25" t="s">
        <v>173</v>
      </c>
      <c r="C1105" s="15">
        <v>8</v>
      </c>
      <c r="D1105" s="16">
        <v>100</v>
      </c>
      <c r="E1105" s="15">
        <v>2</v>
      </c>
      <c r="F1105" s="11">
        <v>1</v>
      </c>
      <c r="G1105" s="11">
        <f t="shared" si="673"/>
        <v>26</v>
      </c>
      <c r="H1105" s="12"/>
      <c r="I1105" s="12">
        <f>0.18+(20*C1105/1000)</f>
        <v>0.33999999999999997</v>
      </c>
      <c r="J1105" s="22"/>
      <c r="K1105" s="22"/>
      <c r="L1105" s="12">
        <f t="shared" si="672"/>
        <v>0.33999999999999997</v>
      </c>
      <c r="M1105" s="12">
        <f t="shared" si="642"/>
        <v>17.68</v>
      </c>
      <c r="N1105" s="12">
        <f t="shared" si="573"/>
        <v>0</v>
      </c>
      <c r="O1105" s="12">
        <f t="shared" si="574"/>
        <v>0</v>
      </c>
      <c r="P1105" s="12">
        <f t="shared" si="575"/>
        <v>0</v>
      </c>
      <c r="Q1105" s="12">
        <f t="shared" si="576"/>
        <v>0</v>
      </c>
      <c r="R1105" s="12">
        <f t="shared" si="577"/>
        <v>0</v>
      </c>
    </row>
    <row r="1106" spans="1:19" x14ac:dyDescent="0.25">
      <c r="A1106" s="26"/>
      <c r="B1106" s="25" t="s">
        <v>208</v>
      </c>
      <c r="C1106" s="15">
        <v>8</v>
      </c>
      <c r="D1106" s="16">
        <v>200</v>
      </c>
      <c r="E1106" s="15">
        <v>2</v>
      </c>
      <c r="F1106" s="11">
        <v>1</v>
      </c>
      <c r="G1106" s="11">
        <f t="shared" si="673"/>
        <v>13</v>
      </c>
      <c r="H1106" s="12"/>
      <c r="I1106" s="12">
        <f>2*(0.18+0.751)+24*C1106/1000</f>
        <v>2.0540000000000003</v>
      </c>
      <c r="J1106" s="22"/>
      <c r="K1106" s="22"/>
      <c r="L1106" s="12">
        <f t="shared" si="672"/>
        <v>2.0540000000000003</v>
      </c>
      <c r="M1106" s="12">
        <f t="shared" si="642"/>
        <v>53.4</v>
      </c>
      <c r="N1106" s="12">
        <f t="shared" si="573"/>
        <v>0</v>
      </c>
      <c r="O1106" s="12">
        <f t="shared" si="574"/>
        <v>0</v>
      </c>
      <c r="P1106" s="12">
        <f t="shared" si="575"/>
        <v>0</v>
      </c>
      <c r="Q1106" s="12">
        <f t="shared" si="576"/>
        <v>0</v>
      </c>
      <c r="R1106" s="12">
        <f t="shared" si="577"/>
        <v>0</v>
      </c>
    </row>
    <row r="1107" spans="1:19" x14ac:dyDescent="0.25">
      <c r="A1107" s="26"/>
      <c r="B1107" s="25" t="s">
        <v>177</v>
      </c>
      <c r="C1107" s="15">
        <v>8</v>
      </c>
      <c r="D1107" s="16">
        <v>400</v>
      </c>
      <c r="E1107" s="15">
        <v>2</v>
      </c>
      <c r="F1107" s="11">
        <v>1</v>
      </c>
      <c r="G1107" s="11">
        <f t="shared" si="673"/>
        <v>7</v>
      </c>
      <c r="H1107" s="12"/>
      <c r="I1107" s="12">
        <f>0.18+(20*C1107/1000)</f>
        <v>0.33999999999999997</v>
      </c>
      <c r="J1107" s="22"/>
      <c r="K1107" s="22"/>
      <c r="L1107" s="12">
        <f t="shared" si="672"/>
        <v>0.33999999999999997</v>
      </c>
      <c r="M1107" s="12">
        <f t="shared" si="642"/>
        <v>4.76</v>
      </c>
      <c r="N1107" s="12">
        <f t="shared" si="573"/>
        <v>0</v>
      </c>
      <c r="O1107" s="12">
        <f t="shared" si="574"/>
        <v>0</v>
      </c>
      <c r="P1107" s="12">
        <f t="shared" si="575"/>
        <v>0</v>
      </c>
      <c r="Q1107" s="12">
        <f t="shared" si="576"/>
        <v>0</v>
      </c>
      <c r="R1107" s="12">
        <f t="shared" si="577"/>
        <v>0</v>
      </c>
    </row>
    <row r="1108" spans="1:19" x14ac:dyDescent="0.25">
      <c r="A1108" s="26"/>
      <c r="B1108" s="45" t="s">
        <v>248</v>
      </c>
      <c r="C1108" s="15">
        <v>16</v>
      </c>
      <c r="D1108" s="16"/>
      <c r="E1108" s="15">
        <v>2</v>
      </c>
      <c r="F1108" s="11">
        <v>1</v>
      </c>
      <c r="G1108" s="11">
        <v>8</v>
      </c>
      <c r="H1108" s="12"/>
      <c r="I1108" s="12">
        <f t="shared" ref="I1108:I1110" si="674">106.2-103.25</f>
        <v>2.9500000000000028</v>
      </c>
      <c r="J1108" s="22"/>
      <c r="K1108" s="22">
        <f t="shared" ref="K1108:K1110" si="675">0.5*40*C1108/1000</f>
        <v>0.32</v>
      </c>
      <c r="L1108" s="12">
        <f t="shared" si="672"/>
        <v>3.2700000000000027</v>
      </c>
      <c r="M1108" s="12">
        <f t="shared" si="642"/>
        <v>0</v>
      </c>
      <c r="N1108" s="12">
        <f t="shared" si="573"/>
        <v>0</v>
      </c>
      <c r="O1108" s="12">
        <f t="shared" si="574"/>
        <v>0</v>
      </c>
      <c r="P1108" s="12">
        <f t="shared" si="575"/>
        <v>52.32</v>
      </c>
      <c r="Q1108" s="12">
        <f t="shared" si="576"/>
        <v>0</v>
      </c>
      <c r="R1108" s="12">
        <f t="shared" si="577"/>
        <v>0</v>
      </c>
    </row>
    <row r="1109" spans="1:19" x14ac:dyDescent="0.25">
      <c r="A1109" s="26"/>
      <c r="B1109" s="45"/>
      <c r="C1109" s="15">
        <v>12</v>
      </c>
      <c r="D1109" s="16"/>
      <c r="E1109" s="15">
        <v>2</v>
      </c>
      <c r="F1109" s="11">
        <v>1</v>
      </c>
      <c r="G1109" s="11">
        <v>8</v>
      </c>
      <c r="H1109" s="12"/>
      <c r="I1109" s="12">
        <f t="shared" si="674"/>
        <v>2.9500000000000028</v>
      </c>
      <c r="J1109" s="22"/>
      <c r="K1109" s="22">
        <f t="shared" si="675"/>
        <v>0.24</v>
      </c>
      <c r="L1109" s="12">
        <f t="shared" si="672"/>
        <v>3.1900000000000031</v>
      </c>
      <c r="M1109" s="12">
        <f t="shared" si="642"/>
        <v>0</v>
      </c>
      <c r="N1109" s="12">
        <f t="shared" si="573"/>
        <v>0</v>
      </c>
      <c r="O1109" s="12">
        <f t="shared" si="574"/>
        <v>51.04</v>
      </c>
      <c r="P1109" s="12">
        <f t="shared" si="575"/>
        <v>0</v>
      </c>
      <c r="Q1109" s="12">
        <f t="shared" si="576"/>
        <v>0</v>
      </c>
      <c r="R1109" s="12">
        <f t="shared" si="577"/>
        <v>0</v>
      </c>
    </row>
    <row r="1110" spans="1:19" x14ac:dyDescent="0.25">
      <c r="A1110" s="26"/>
      <c r="B1110" s="45"/>
      <c r="C1110" s="15">
        <v>10</v>
      </c>
      <c r="D1110" s="16"/>
      <c r="E1110" s="15">
        <v>2</v>
      </c>
      <c r="F1110" s="11">
        <v>1</v>
      </c>
      <c r="G1110" s="11">
        <v>26</v>
      </c>
      <c r="H1110" s="12"/>
      <c r="I1110" s="12">
        <f t="shared" si="674"/>
        <v>2.9500000000000028</v>
      </c>
      <c r="J1110" s="22"/>
      <c r="K1110" s="22">
        <f t="shared" si="675"/>
        <v>0.2</v>
      </c>
      <c r="L1110" s="12">
        <f t="shared" si="672"/>
        <v>3.150000000000003</v>
      </c>
      <c r="M1110" s="12">
        <f t="shared" si="642"/>
        <v>0</v>
      </c>
      <c r="N1110" s="12">
        <f t="shared" si="573"/>
        <v>163.80000000000001</v>
      </c>
      <c r="O1110" s="12">
        <f t="shared" si="574"/>
        <v>0</v>
      </c>
      <c r="P1110" s="12">
        <f t="shared" si="575"/>
        <v>0</v>
      </c>
      <c r="Q1110" s="12">
        <f t="shared" si="576"/>
        <v>0</v>
      </c>
      <c r="R1110" s="12">
        <f t="shared" si="577"/>
        <v>0</v>
      </c>
    </row>
    <row r="1111" spans="1:19" x14ac:dyDescent="0.25">
      <c r="A1111" s="26"/>
      <c r="B1111" s="25" t="s">
        <v>172</v>
      </c>
      <c r="C1111" s="15"/>
      <c r="D1111" s="16"/>
      <c r="E1111" s="15"/>
      <c r="F1111" s="11"/>
      <c r="G1111" s="11"/>
      <c r="H1111" s="12"/>
      <c r="I1111" s="12"/>
      <c r="J1111" s="22"/>
      <c r="K1111" s="22"/>
      <c r="L1111" s="12">
        <f t="shared" si="672"/>
        <v>0</v>
      </c>
      <c r="M1111" s="12">
        <f t="shared" si="642"/>
        <v>0</v>
      </c>
      <c r="N1111" s="12">
        <f t="shared" si="573"/>
        <v>0</v>
      </c>
      <c r="O1111" s="12">
        <f t="shared" si="574"/>
        <v>0</v>
      </c>
      <c r="P1111" s="12">
        <f t="shared" si="575"/>
        <v>0</v>
      </c>
      <c r="Q1111" s="12">
        <f t="shared" si="576"/>
        <v>0</v>
      </c>
      <c r="R1111" s="12">
        <f t="shared" si="577"/>
        <v>0</v>
      </c>
    </row>
    <row r="1112" spans="1:19" x14ac:dyDescent="0.25">
      <c r="A1112" s="26"/>
      <c r="B1112" s="25" t="s">
        <v>289</v>
      </c>
      <c r="C1112" s="15">
        <v>8</v>
      </c>
      <c r="D1112" s="16">
        <v>100</v>
      </c>
      <c r="E1112" s="15">
        <v>2</v>
      </c>
      <c r="F1112" s="11">
        <v>2</v>
      </c>
      <c r="G1112" s="11">
        <f t="shared" ref="G1112:G1115" si="676">+ROUND(2450/D1112+1,0)</f>
        <v>26</v>
      </c>
      <c r="H1112" s="12"/>
      <c r="I1112" s="12">
        <f>2*(0.14+0.383)+24*C1112/1000</f>
        <v>1.238</v>
      </c>
      <c r="J1112" s="22"/>
      <c r="K1112" s="22"/>
      <c r="L1112" s="12">
        <f t="shared" si="672"/>
        <v>1.238</v>
      </c>
      <c r="M1112" s="12">
        <f t="shared" si="642"/>
        <v>128.75</v>
      </c>
      <c r="N1112" s="12">
        <f t="shared" si="573"/>
        <v>0</v>
      </c>
      <c r="O1112" s="12">
        <f t="shared" si="574"/>
        <v>0</v>
      </c>
      <c r="P1112" s="12">
        <f t="shared" si="575"/>
        <v>0</v>
      </c>
      <c r="Q1112" s="12">
        <f t="shared" si="576"/>
        <v>0</v>
      </c>
      <c r="R1112" s="12">
        <f t="shared" si="577"/>
        <v>0</v>
      </c>
    </row>
    <row r="1113" spans="1:19" x14ac:dyDescent="0.25">
      <c r="A1113" s="26"/>
      <c r="B1113" s="25" t="s">
        <v>287</v>
      </c>
      <c r="C1113" s="15">
        <v>8</v>
      </c>
      <c r="D1113" s="16">
        <v>100</v>
      </c>
      <c r="E1113" s="15">
        <v>2</v>
      </c>
      <c r="F1113" s="11">
        <v>2</v>
      </c>
      <c r="G1113" s="11">
        <f t="shared" si="676"/>
        <v>26</v>
      </c>
      <c r="H1113" s="12"/>
      <c r="I1113" s="12">
        <f>2*(0.14+0.133)+24*C1113/1000</f>
        <v>0.73799999999999999</v>
      </c>
      <c r="J1113" s="22"/>
      <c r="K1113" s="22"/>
      <c r="L1113" s="12">
        <f t="shared" si="672"/>
        <v>0.73799999999999999</v>
      </c>
      <c r="M1113" s="12">
        <f t="shared" si="642"/>
        <v>76.75</v>
      </c>
      <c r="N1113" s="12">
        <f t="shared" si="573"/>
        <v>0</v>
      </c>
      <c r="O1113" s="12">
        <f t="shared" si="574"/>
        <v>0</v>
      </c>
      <c r="P1113" s="12">
        <f t="shared" si="575"/>
        <v>0</v>
      </c>
      <c r="Q1113" s="12">
        <f t="shared" si="576"/>
        <v>0</v>
      </c>
      <c r="R1113" s="12">
        <f t="shared" si="577"/>
        <v>0</v>
      </c>
    </row>
    <row r="1114" spans="1:19" x14ac:dyDescent="0.25">
      <c r="A1114" s="26"/>
      <c r="B1114" s="25" t="s">
        <v>290</v>
      </c>
      <c r="C1114" s="15">
        <v>8</v>
      </c>
      <c r="D1114" s="16">
        <v>200</v>
      </c>
      <c r="E1114" s="15">
        <v>2</v>
      </c>
      <c r="F1114" s="11">
        <v>1</v>
      </c>
      <c r="G1114" s="11">
        <f t="shared" si="676"/>
        <v>13</v>
      </c>
      <c r="H1114" s="12"/>
      <c r="I1114" s="12">
        <f>2*(0.14+2.661)+24*C1114/1000</f>
        <v>5.7940000000000005</v>
      </c>
      <c r="J1114" s="22"/>
      <c r="K1114" s="22"/>
      <c r="L1114" s="12">
        <f t="shared" ref="L1114:L1115" si="677">SUM(H1114:J1114)+K1114</f>
        <v>5.7940000000000005</v>
      </c>
      <c r="M1114" s="12">
        <f t="shared" si="642"/>
        <v>150.63999999999999</v>
      </c>
      <c r="N1114" s="12">
        <f t="shared" si="573"/>
        <v>0</v>
      </c>
      <c r="O1114" s="12">
        <f t="shared" si="574"/>
        <v>0</v>
      </c>
      <c r="P1114" s="12">
        <f t="shared" si="575"/>
        <v>0</v>
      </c>
      <c r="Q1114" s="12">
        <f t="shared" si="576"/>
        <v>0</v>
      </c>
      <c r="R1114" s="12">
        <f t="shared" si="577"/>
        <v>0</v>
      </c>
    </row>
    <row r="1115" spans="1:19" x14ac:dyDescent="0.25">
      <c r="A1115" s="26"/>
      <c r="B1115" s="25" t="s">
        <v>177</v>
      </c>
      <c r="C1115" s="15">
        <v>8</v>
      </c>
      <c r="D1115" s="16">
        <v>400</v>
      </c>
      <c r="E1115" s="15">
        <v>2</v>
      </c>
      <c r="F1115" s="11">
        <v>6</v>
      </c>
      <c r="G1115" s="11">
        <f t="shared" si="676"/>
        <v>7</v>
      </c>
      <c r="H1115" s="12"/>
      <c r="I1115" s="12">
        <f>0.14+(20*C1115/1000)</f>
        <v>0.30000000000000004</v>
      </c>
      <c r="J1115" s="22"/>
      <c r="K1115" s="22"/>
      <c r="L1115" s="12">
        <f t="shared" si="677"/>
        <v>0.30000000000000004</v>
      </c>
      <c r="M1115" s="12">
        <f t="shared" si="642"/>
        <v>25.2</v>
      </c>
      <c r="N1115" s="12">
        <f t="shared" si="573"/>
        <v>0</v>
      </c>
      <c r="O1115" s="12">
        <f t="shared" si="574"/>
        <v>0</v>
      </c>
      <c r="P1115" s="12">
        <f t="shared" si="575"/>
        <v>0</v>
      </c>
      <c r="Q1115" s="12">
        <f t="shared" si="576"/>
        <v>0</v>
      </c>
      <c r="R1115" s="12">
        <f t="shared" si="577"/>
        <v>0</v>
      </c>
    </row>
    <row r="1116" spans="1:19" x14ac:dyDescent="0.25">
      <c r="A1116" s="26"/>
      <c r="B1116" s="25"/>
      <c r="C1116" s="15"/>
      <c r="D1116" s="16"/>
      <c r="E1116" s="15"/>
      <c r="F1116" s="11"/>
      <c r="G1116" s="11"/>
      <c r="H1116" s="12"/>
      <c r="I1116" s="12"/>
      <c r="J1116" s="22"/>
      <c r="K1116" s="22"/>
      <c r="L1116" s="12">
        <f t="shared" ref="L1116" si="678">SUM(H1116:J1116)+K1116</f>
        <v>0</v>
      </c>
      <c r="M1116" s="12">
        <f t="shared" ref="M1116" si="679">+ROUND(IF(C1116=8,PRODUCT(E1116,F1116,G1116,L1116),0),2)</f>
        <v>0</v>
      </c>
      <c r="N1116" s="12">
        <f t="shared" si="573"/>
        <v>0</v>
      </c>
      <c r="O1116" s="12">
        <f t="shared" si="574"/>
        <v>0</v>
      </c>
      <c r="P1116" s="12">
        <f t="shared" si="575"/>
        <v>0</v>
      </c>
      <c r="Q1116" s="12">
        <f t="shared" si="576"/>
        <v>0</v>
      </c>
      <c r="R1116" s="12">
        <f t="shared" si="577"/>
        <v>0</v>
      </c>
    </row>
    <row r="1117" spans="1:19" x14ac:dyDescent="0.25">
      <c r="A1117" s="32"/>
      <c r="B1117" s="45" t="s">
        <v>728</v>
      </c>
      <c r="C1117" s="33"/>
      <c r="D1117" s="34"/>
      <c r="E1117" s="33"/>
      <c r="F1117" s="35"/>
      <c r="G1117" s="35"/>
      <c r="H1117" s="36"/>
      <c r="I1117" s="36"/>
      <c r="J1117" s="36"/>
      <c r="K1117" s="36"/>
      <c r="L1117" s="36"/>
      <c r="M1117" s="37">
        <f>SUM(M929:M1116)*0.395</f>
        <v>4001.5237999999995</v>
      </c>
      <c r="N1117" s="37">
        <f>SUM(N929:N1116)*0.617</f>
        <v>5683.6188999999968</v>
      </c>
      <c r="O1117" s="37">
        <f>SUM(O929:O1116)*0.889</f>
        <v>4129.0849600000001</v>
      </c>
      <c r="P1117" s="37">
        <f>SUM(P929:P1116)*1.58</f>
        <v>4443.2760000000017</v>
      </c>
      <c r="Q1117" s="37">
        <f>SUM(Q929:Q1116)*2.46</f>
        <v>131.85599999999999</v>
      </c>
      <c r="R1117" s="37">
        <f>SUM(R929:R1116)*3.85</f>
        <v>0</v>
      </c>
      <c r="S1117" s="50">
        <f>SUM(M1117:R1117)</f>
        <v>18389.359659999998</v>
      </c>
    </row>
    <row r="1118" spans="1:19" x14ac:dyDescent="0.25">
      <c r="C1118" s="3"/>
      <c r="D1118" s="3"/>
      <c r="E1118" s="3"/>
      <c r="F1118" s="3"/>
      <c r="G1118" s="3"/>
      <c r="M1118" s="27"/>
      <c r="N1118" s="27"/>
      <c r="O1118" s="27"/>
      <c r="P1118" s="27"/>
      <c r="Q1118" s="27"/>
      <c r="R1118" s="27"/>
    </row>
    <row r="1119" spans="1:19" x14ac:dyDescent="0.25">
      <c r="C1119" s="3"/>
      <c r="D1119" s="3"/>
      <c r="E1119" s="3"/>
      <c r="F1119" s="3"/>
      <c r="G1119" s="3"/>
      <c r="M1119" s="27"/>
    </row>
  </sheetData>
  <mergeCells count="11">
    <mergeCell ref="F2:F3"/>
    <mergeCell ref="M2:R2"/>
    <mergeCell ref="A2:A3"/>
    <mergeCell ref="B2:B3"/>
    <mergeCell ref="C2:C3"/>
    <mergeCell ref="D2:D3"/>
    <mergeCell ref="E2:E3"/>
    <mergeCell ref="G2:G3"/>
    <mergeCell ref="H2:J2"/>
    <mergeCell ref="K2:K3"/>
    <mergeCell ref="L2:L3"/>
  </mergeCells>
  <conditionalFormatting sqref="M364:R364 M5:R179 M181:R181 M367:R489 M550:R674">
    <cfRule type="cellIs" dxfId="1250" priority="26" operator="greaterThan">
      <formula>0</formula>
    </cfRule>
  </conditionalFormatting>
  <conditionalFormatting sqref="M182:R182">
    <cfRule type="cellIs" dxfId="1249" priority="25" operator="greaterThan">
      <formula>0</formula>
    </cfRule>
  </conditionalFormatting>
  <conditionalFormatting sqref="M490:R491">
    <cfRule type="cellIs" dxfId="1248" priority="21" operator="greaterThan">
      <formula>0</formula>
    </cfRule>
  </conditionalFormatting>
  <conditionalFormatting sqref="M548:R548">
    <cfRule type="cellIs" dxfId="1247" priority="23" operator="greaterThan">
      <formula>0</formula>
    </cfRule>
  </conditionalFormatting>
  <conditionalFormatting sqref="M492:R547">
    <cfRule type="cellIs" dxfId="1246" priority="22" operator="greaterThan">
      <formula>0</formula>
    </cfRule>
  </conditionalFormatting>
  <conditionalFormatting sqref="M735:R735">
    <cfRule type="cellIs" dxfId="1245" priority="19" operator="greaterThan">
      <formula>0</formula>
    </cfRule>
  </conditionalFormatting>
  <conditionalFormatting sqref="M677:R711 M713:R734">
    <cfRule type="cellIs" dxfId="1244" priority="18" operator="greaterThan">
      <formula>0</formula>
    </cfRule>
  </conditionalFormatting>
  <conditionalFormatting sqref="M675:R676">
    <cfRule type="cellIs" dxfId="1243" priority="17" operator="greaterThan">
      <formula>0</formula>
    </cfRule>
  </conditionalFormatting>
  <conditionalFormatting sqref="M712:R712">
    <cfRule type="cellIs" dxfId="1242" priority="16" operator="greaterThan">
      <formula>0</formula>
    </cfRule>
  </conditionalFormatting>
  <conditionalFormatting sqref="M737:R863">
    <cfRule type="cellIs" dxfId="1241" priority="15" operator="greaterThan">
      <formula>0</formula>
    </cfRule>
  </conditionalFormatting>
  <conditionalFormatting sqref="M925:R925">
    <cfRule type="cellIs" dxfId="1240" priority="14" operator="greaterThan">
      <formula>0</formula>
    </cfRule>
  </conditionalFormatting>
  <conditionalFormatting sqref="M866:R871 M903:R924 M873:R901">
    <cfRule type="cellIs" dxfId="1239" priority="13" operator="greaterThan">
      <formula>0</formula>
    </cfRule>
  </conditionalFormatting>
  <conditionalFormatting sqref="M864:R865">
    <cfRule type="cellIs" dxfId="1238" priority="12" operator="greaterThan">
      <formula>0</formula>
    </cfRule>
  </conditionalFormatting>
  <conditionalFormatting sqref="M902:R902">
    <cfRule type="cellIs" dxfId="1237" priority="11" operator="greaterThan">
      <formula>0</formula>
    </cfRule>
  </conditionalFormatting>
  <conditionalFormatting sqref="M872:R872">
    <cfRule type="cellIs" dxfId="1236" priority="10" operator="greaterThan">
      <formula>0</formula>
    </cfRule>
  </conditionalFormatting>
  <conditionalFormatting sqref="M928:R1054">
    <cfRule type="cellIs" dxfId="1235" priority="9" operator="greaterThan">
      <formula>0</formula>
    </cfRule>
  </conditionalFormatting>
  <conditionalFormatting sqref="M1116:R1116">
    <cfRule type="cellIs" dxfId="1234" priority="8" operator="greaterThan">
      <formula>0</formula>
    </cfRule>
  </conditionalFormatting>
  <conditionalFormatting sqref="M1057:R1062 M1094:R1115 M1064:R1092">
    <cfRule type="cellIs" dxfId="1233" priority="7" operator="greaterThan">
      <formula>0</formula>
    </cfRule>
  </conditionalFormatting>
  <conditionalFormatting sqref="M1055:R1056">
    <cfRule type="cellIs" dxfId="1232" priority="6" operator="greaterThan">
      <formula>0</formula>
    </cfRule>
  </conditionalFormatting>
  <conditionalFormatting sqref="M1093:R1093">
    <cfRule type="cellIs" dxfId="1231" priority="5" operator="greaterThan">
      <formula>0</formula>
    </cfRule>
  </conditionalFormatting>
  <conditionalFormatting sqref="M1063:R1063">
    <cfRule type="cellIs" dxfId="1230" priority="4" operator="greaterThan">
      <formula>0</formula>
    </cfRule>
  </conditionalFormatting>
  <conditionalFormatting sqref="M305:R306">
    <cfRule type="cellIs" dxfId="1229" priority="1" operator="greaterThan">
      <formula>0</formula>
    </cfRule>
  </conditionalFormatting>
  <conditionalFormatting sqref="M363:R363">
    <cfRule type="cellIs" dxfId="1228" priority="3" operator="greaterThan">
      <formula>0</formula>
    </cfRule>
  </conditionalFormatting>
  <conditionalFormatting sqref="M183:R304 M307:R362">
    <cfRule type="cellIs" dxfId="1227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V1168"/>
  <sheetViews>
    <sheetView zoomScale="85" zoomScaleNormal="85" workbookViewId="0">
      <pane ySplit="3" topLeftCell="A9" activePane="bottomLeft" state="frozen"/>
      <selection pane="bottomLeft" activeCell="E24" sqref="E24:E26"/>
    </sheetView>
  </sheetViews>
  <sheetFormatPr defaultRowHeight="15" x14ac:dyDescent="0.25"/>
  <cols>
    <col min="1" max="1" width="9.140625" style="3"/>
    <col min="2" max="2" width="29.28515625" style="3" customWidth="1"/>
    <col min="3" max="3" width="6.85546875" style="41" customWidth="1"/>
    <col min="4" max="4" width="6.85546875" style="42" customWidth="1"/>
    <col min="5" max="5" width="7.7109375" style="41" customWidth="1"/>
    <col min="6" max="6" width="9.140625" style="41"/>
    <col min="7" max="7" width="8.7109375" style="41" customWidth="1"/>
    <col min="8" max="9" width="8.7109375" style="3" customWidth="1"/>
    <col min="10" max="10" width="8.7109375" style="99" customWidth="1"/>
    <col min="11" max="12" width="8.7109375" style="3" customWidth="1"/>
    <col min="13" max="14" width="12.28515625" style="3" bestFit="1" customWidth="1"/>
    <col min="15" max="16384" width="9.140625" style="3"/>
  </cols>
  <sheetData>
    <row r="1" spans="1:18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97"/>
      <c r="K1" s="2"/>
      <c r="L1" s="2"/>
      <c r="M1" s="2"/>
      <c r="N1" s="2"/>
      <c r="O1" s="2"/>
      <c r="P1" s="2"/>
      <c r="Q1" s="2"/>
      <c r="R1" s="2"/>
    </row>
    <row r="2" spans="1:18" x14ac:dyDescent="0.25">
      <c r="A2" s="133" t="s">
        <v>1</v>
      </c>
      <c r="B2" s="133" t="s">
        <v>284</v>
      </c>
      <c r="C2" s="131" t="s">
        <v>3</v>
      </c>
      <c r="D2" s="131" t="s">
        <v>4</v>
      </c>
      <c r="E2" s="131" t="s">
        <v>5</v>
      </c>
      <c r="F2" s="131" t="s">
        <v>5</v>
      </c>
      <c r="G2" s="131" t="s">
        <v>6</v>
      </c>
      <c r="H2" s="135" t="s">
        <v>7</v>
      </c>
      <c r="I2" s="135"/>
      <c r="J2" s="135"/>
      <c r="K2" s="133" t="s">
        <v>21</v>
      </c>
      <c r="L2" s="133" t="s">
        <v>8</v>
      </c>
      <c r="M2" s="136" t="s">
        <v>9</v>
      </c>
      <c r="N2" s="136"/>
      <c r="O2" s="136"/>
      <c r="P2" s="136"/>
      <c r="Q2" s="136"/>
      <c r="R2" s="136"/>
    </row>
    <row r="3" spans="1:18" x14ac:dyDescent="0.25">
      <c r="A3" s="134"/>
      <c r="B3" s="134"/>
      <c r="C3" s="132"/>
      <c r="D3" s="132"/>
      <c r="E3" s="132"/>
      <c r="F3" s="132"/>
      <c r="G3" s="132"/>
      <c r="H3" s="4" t="s">
        <v>10</v>
      </c>
      <c r="I3" s="4" t="s">
        <v>11</v>
      </c>
      <c r="J3" s="4" t="s">
        <v>12</v>
      </c>
      <c r="K3" s="134"/>
      <c r="L3" s="134"/>
      <c r="M3" s="71" t="s">
        <v>13</v>
      </c>
      <c r="N3" s="71" t="s">
        <v>14</v>
      </c>
      <c r="O3" s="71" t="s">
        <v>15</v>
      </c>
      <c r="P3" s="71" t="s">
        <v>16</v>
      </c>
      <c r="Q3" s="71" t="s">
        <v>17</v>
      </c>
      <c r="R3" s="6" t="s">
        <v>18</v>
      </c>
    </row>
    <row r="4" spans="1:18" x14ac:dyDescent="0.25">
      <c r="A4" s="7"/>
      <c r="B4" s="8" t="s">
        <v>430</v>
      </c>
      <c r="C4" s="9"/>
      <c r="D4" s="10"/>
      <c r="E4" s="9"/>
      <c r="F4" s="11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3"/>
    </row>
    <row r="5" spans="1:18" x14ac:dyDescent="0.25">
      <c r="A5" s="26" t="s">
        <v>436</v>
      </c>
      <c r="B5" s="48" t="s">
        <v>431</v>
      </c>
      <c r="C5" s="15"/>
      <c r="D5" s="16"/>
      <c r="E5" s="15"/>
      <c r="F5" s="11"/>
      <c r="G5" s="11"/>
      <c r="H5" s="12"/>
      <c r="I5" s="12"/>
      <c r="J5" s="47"/>
      <c r="K5" s="47"/>
      <c r="L5" s="72">
        <f>SUM(H5:J5)+K5</f>
        <v>0</v>
      </c>
      <c r="M5" s="72">
        <f t="shared" ref="M5:M1122" si="0">+ROUND(IF(C5=8,PRODUCT(E5,F5,G5,L5),0),2)</f>
        <v>0</v>
      </c>
      <c r="N5" s="72">
        <f t="shared" ref="N5:N1122" si="1">+ROUND(IF(C5=10,PRODUCT(E5,F5,G5,L5),0),2)</f>
        <v>0</v>
      </c>
      <c r="O5" s="72">
        <f t="shared" ref="O5:O1122" si="2">+ROUND(IF(C5=12,PRODUCT(E5,F5,G5,L5),0),2)</f>
        <v>0</v>
      </c>
      <c r="P5" s="72">
        <f t="shared" ref="P5:P1122" si="3">+ROUND(IF(C5=16,PRODUCT(E5,F5,G5,L5),0),2)</f>
        <v>0</v>
      </c>
      <c r="Q5" s="72">
        <f t="shared" ref="Q5:Q1122" si="4">+ROUND(IF(C5=20,PRODUCT(E5,F5,G5,L5),0),2)</f>
        <v>0</v>
      </c>
      <c r="R5" s="72">
        <f t="shared" ref="R5:R1122" si="5">+ROUND(IF(C5=25,PRODUCT(E5,F5,G5,L5),0),2)</f>
        <v>0</v>
      </c>
    </row>
    <row r="6" spans="1:18" x14ac:dyDescent="0.25">
      <c r="A6" s="26"/>
      <c r="B6" s="25" t="s">
        <v>385</v>
      </c>
      <c r="C6" s="15">
        <v>16</v>
      </c>
      <c r="D6" s="16"/>
      <c r="E6" s="15">
        <v>2</v>
      </c>
      <c r="F6" s="11">
        <v>1</v>
      </c>
      <c r="G6" s="11">
        <v>2</v>
      </c>
      <c r="H6" s="95">
        <f>0.58+8*$C6/1000</f>
        <v>0.70799999999999996</v>
      </c>
      <c r="I6" s="95">
        <f>6.125</f>
        <v>6.125</v>
      </c>
      <c r="J6" s="95">
        <f>0.58+8*$C6/1000</f>
        <v>0.70799999999999996</v>
      </c>
      <c r="K6" s="22"/>
      <c r="L6" s="72">
        <f>SUM(H6:J6)+K6</f>
        <v>7.5410000000000004</v>
      </c>
      <c r="M6" s="72">
        <f t="shared" si="0"/>
        <v>0</v>
      </c>
      <c r="N6" s="72">
        <f t="shared" si="1"/>
        <v>0</v>
      </c>
      <c r="O6" s="72">
        <f t="shared" si="2"/>
        <v>0</v>
      </c>
      <c r="P6" s="72">
        <f t="shared" si="3"/>
        <v>30.16</v>
      </c>
      <c r="Q6" s="72">
        <f t="shared" si="4"/>
        <v>0</v>
      </c>
      <c r="R6" s="72">
        <f t="shared" si="5"/>
        <v>0</v>
      </c>
    </row>
    <row r="7" spans="1:18" x14ac:dyDescent="0.25">
      <c r="A7" s="26"/>
      <c r="B7" s="25" t="s">
        <v>432</v>
      </c>
      <c r="C7" s="15">
        <v>20</v>
      </c>
      <c r="D7" s="16"/>
      <c r="E7" s="15">
        <v>2</v>
      </c>
      <c r="F7" s="11">
        <v>1</v>
      </c>
      <c r="G7" s="11">
        <v>2</v>
      </c>
      <c r="H7" s="95">
        <f>0.72+8*$C7/1000</f>
        <v>0.88</v>
      </c>
      <c r="I7" s="95">
        <f>6.125</f>
        <v>6.125</v>
      </c>
      <c r="J7" s="95">
        <f>0.72+8*$C7/1000</f>
        <v>0.88</v>
      </c>
      <c r="K7" s="22"/>
      <c r="L7" s="72">
        <f t="shared" ref="L7:L1122" si="6">SUM(H7:J7)+K7</f>
        <v>7.8849999999999998</v>
      </c>
      <c r="M7" s="72">
        <f t="shared" si="0"/>
        <v>0</v>
      </c>
      <c r="N7" s="72">
        <f t="shared" si="1"/>
        <v>0</v>
      </c>
      <c r="O7" s="72">
        <f t="shared" si="2"/>
        <v>0</v>
      </c>
      <c r="P7" s="72">
        <f t="shared" si="3"/>
        <v>0</v>
      </c>
      <c r="Q7" s="72">
        <f t="shared" si="4"/>
        <v>31.54</v>
      </c>
      <c r="R7" s="72">
        <f t="shared" si="5"/>
        <v>0</v>
      </c>
    </row>
    <row r="8" spans="1:18" x14ac:dyDescent="0.25">
      <c r="A8" s="26"/>
      <c r="B8" s="25" t="s">
        <v>433</v>
      </c>
      <c r="C8" s="15">
        <v>12</v>
      </c>
      <c r="D8" s="16"/>
      <c r="E8" s="15">
        <v>2</v>
      </c>
      <c r="F8" s="11">
        <v>1</v>
      </c>
      <c r="G8" s="11">
        <v>2</v>
      </c>
      <c r="H8" s="95">
        <f>0.44+8*$C8/1000</f>
        <v>0.53600000000000003</v>
      </c>
      <c r="I8" s="95">
        <v>0.85</v>
      </c>
      <c r="J8" s="100"/>
      <c r="K8" s="22"/>
      <c r="L8" s="72">
        <f t="shared" si="6"/>
        <v>1.3860000000000001</v>
      </c>
      <c r="M8" s="72">
        <f t="shared" si="0"/>
        <v>0</v>
      </c>
      <c r="N8" s="72">
        <f t="shared" si="1"/>
        <v>0</v>
      </c>
      <c r="O8" s="72">
        <f t="shared" si="2"/>
        <v>5.54</v>
      </c>
      <c r="P8" s="72">
        <f t="shared" si="3"/>
        <v>0</v>
      </c>
      <c r="Q8" s="72">
        <f t="shared" si="4"/>
        <v>0</v>
      </c>
      <c r="R8" s="72">
        <f t="shared" si="5"/>
        <v>0</v>
      </c>
    </row>
    <row r="9" spans="1:18" x14ac:dyDescent="0.25">
      <c r="A9" s="26"/>
      <c r="B9" s="25" t="s">
        <v>434</v>
      </c>
      <c r="C9" s="15">
        <v>8</v>
      </c>
      <c r="D9" s="16">
        <v>100</v>
      </c>
      <c r="E9" s="15">
        <v>2</v>
      </c>
      <c r="F9" s="11">
        <v>1</v>
      </c>
      <c r="G9" s="11">
        <f>+ROUND(2/0.1,0)</f>
        <v>20</v>
      </c>
      <c r="H9" s="95"/>
      <c r="I9" s="95">
        <f>2*(0.15+0.45)+16*C9/1000</f>
        <v>1.3279999999999998</v>
      </c>
      <c r="J9" s="100"/>
      <c r="K9" s="47"/>
      <c r="L9" s="72">
        <f>SUM(H9:J9)+K9</f>
        <v>1.3279999999999998</v>
      </c>
      <c r="M9" s="72">
        <f t="shared" si="0"/>
        <v>53.12</v>
      </c>
      <c r="N9" s="72">
        <f t="shared" si="1"/>
        <v>0</v>
      </c>
      <c r="O9" s="72">
        <f t="shared" si="2"/>
        <v>0</v>
      </c>
      <c r="P9" s="72">
        <f t="shared" si="3"/>
        <v>0</v>
      </c>
      <c r="Q9" s="72">
        <f t="shared" si="4"/>
        <v>0</v>
      </c>
      <c r="R9" s="72">
        <f t="shared" si="5"/>
        <v>0</v>
      </c>
    </row>
    <row r="10" spans="1:18" x14ac:dyDescent="0.25">
      <c r="A10" s="26"/>
      <c r="B10" s="25"/>
      <c r="C10" s="15">
        <v>8</v>
      </c>
      <c r="D10" s="16">
        <v>150</v>
      </c>
      <c r="E10" s="15">
        <v>2</v>
      </c>
      <c r="F10" s="11">
        <v>1</v>
      </c>
      <c r="G10" s="11">
        <f>+ROUND(1.025/0.15+1,0)</f>
        <v>8</v>
      </c>
      <c r="H10" s="95"/>
      <c r="I10" s="95">
        <f t="shared" ref="I10:I12" si="7">2*(0.15+0.45)+16*C10/1000</f>
        <v>1.3279999999999998</v>
      </c>
      <c r="J10" s="100"/>
      <c r="K10" s="22"/>
      <c r="L10" s="72">
        <f>SUM(H10:J10)+K10</f>
        <v>1.3279999999999998</v>
      </c>
      <c r="M10" s="72">
        <f t="shared" si="0"/>
        <v>21.25</v>
      </c>
      <c r="N10" s="72">
        <f t="shared" si="1"/>
        <v>0</v>
      </c>
      <c r="O10" s="72">
        <f t="shared" si="2"/>
        <v>0</v>
      </c>
      <c r="P10" s="72">
        <f t="shared" si="3"/>
        <v>0</v>
      </c>
      <c r="Q10" s="72">
        <f t="shared" si="4"/>
        <v>0</v>
      </c>
      <c r="R10" s="72">
        <f t="shared" si="5"/>
        <v>0</v>
      </c>
    </row>
    <row r="11" spans="1:18" x14ac:dyDescent="0.25">
      <c r="A11" s="26"/>
      <c r="B11" s="25" t="s">
        <v>434</v>
      </c>
      <c r="C11" s="15">
        <v>8</v>
      </c>
      <c r="D11" s="16">
        <v>100</v>
      </c>
      <c r="E11" s="15">
        <v>2</v>
      </c>
      <c r="F11" s="11">
        <v>1</v>
      </c>
      <c r="G11" s="11">
        <f>+ROUND(2/0.1,0)</f>
        <v>20</v>
      </c>
      <c r="H11" s="95"/>
      <c r="I11" s="95">
        <f t="shared" si="7"/>
        <v>1.3279999999999998</v>
      </c>
      <c r="J11" s="100"/>
      <c r="K11" s="22"/>
      <c r="L11" s="72">
        <f t="shared" ref="L11" si="8">SUM(H11:J11)+K11</f>
        <v>1.3279999999999998</v>
      </c>
      <c r="M11" s="72">
        <f t="shared" si="0"/>
        <v>53.12</v>
      </c>
      <c r="N11" s="72">
        <f t="shared" si="1"/>
        <v>0</v>
      </c>
      <c r="O11" s="72">
        <f t="shared" si="2"/>
        <v>0</v>
      </c>
      <c r="P11" s="72">
        <f t="shared" si="3"/>
        <v>0</v>
      </c>
      <c r="Q11" s="72">
        <f t="shared" si="4"/>
        <v>0</v>
      </c>
      <c r="R11" s="72">
        <f t="shared" si="5"/>
        <v>0</v>
      </c>
    </row>
    <row r="12" spans="1:18" x14ac:dyDescent="0.25">
      <c r="A12" s="26"/>
      <c r="B12" s="25"/>
      <c r="C12" s="15">
        <v>8</v>
      </c>
      <c r="D12" s="16">
        <v>150</v>
      </c>
      <c r="E12" s="15">
        <v>2</v>
      </c>
      <c r="F12" s="11">
        <v>1</v>
      </c>
      <c r="G12" s="11">
        <f>+ROUND(0.8/0.15+1,0)</f>
        <v>6</v>
      </c>
      <c r="H12" s="95"/>
      <c r="I12" s="95">
        <f t="shared" si="7"/>
        <v>1.3279999999999998</v>
      </c>
      <c r="J12" s="100"/>
      <c r="K12" s="47"/>
      <c r="L12" s="72">
        <f t="shared" ref="L12:L40" si="9">SUM(H12:J12)+K12</f>
        <v>1.3279999999999998</v>
      </c>
      <c r="M12" s="72">
        <f t="shared" si="0"/>
        <v>15.94</v>
      </c>
      <c r="N12" s="72">
        <f t="shared" si="1"/>
        <v>0</v>
      </c>
      <c r="O12" s="72">
        <f t="shared" si="2"/>
        <v>0</v>
      </c>
      <c r="P12" s="72">
        <f t="shared" si="3"/>
        <v>0</v>
      </c>
      <c r="Q12" s="72">
        <f t="shared" si="4"/>
        <v>0</v>
      </c>
      <c r="R12" s="72">
        <f t="shared" si="5"/>
        <v>0</v>
      </c>
    </row>
    <row r="13" spans="1:18" x14ac:dyDescent="0.25">
      <c r="A13" s="26" t="s">
        <v>436</v>
      </c>
      <c r="B13" s="48" t="s">
        <v>435</v>
      </c>
      <c r="C13" s="15"/>
      <c r="D13" s="16"/>
      <c r="E13" s="15"/>
      <c r="F13" s="11"/>
      <c r="G13" s="11"/>
      <c r="H13" s="95"/>
      <c r="I13" s="95"/>
      <c r="J13" s="100"/>
      <c r="K13" s="22"/>
      <c r="L13" s="72">
        <f t="shared" si="9"/>
        <v>0</v>
      </c>
      <c r="M13" s="72">
        <f t="shared" si="0"/>
        <v>0</v>
      </c>
      <c r="N13" s="72">
        <f t="shared" si="1"/>
        <v>0</v>
      </c>
      <c r="O13" s="72">
        <f t="shared" si="2"/>
        <v>0</v>
      </c>
      <c r="P13" s="72">
        <f t="shared" si="3"/>
        <v>0</v>
      </c>
      <c r="Q13" s="72">
        <f t="shared" si="4"/>
        <v>0</v>
      </c>
      <c r="R13" s="72">
        <f t="shared" si="5"/>
        <v>0</v>
      </c>
    </row>
    <row r="14" spans="1:18" x14ac:dyDescent="0.25">
      <c r="A14" s="26"/>
      <c r="B14" s="25" t="s">
        <v>385</v>
      </c>
      <c r="C14" s="15">
        <v>16</v>
      </c>
      <c r="D14" s="16"/>
      <c r="E14" s="15">
        <v>2</v>
      </c>
      <c r="F14" s="11">
        <v>1</v>
      </c>
      <c r="G14" s="11">
        <v>2</v>
      </c>
      <c r="H14" s="95">
        <f>0.58+8*$C14/1000</f>
        <v>0.70799999999999996</v>
      </c>
      <c r="I14" s="95">
        <v>3.3</v>
      </c>
      <c r="J14" s="95">
        <f>((0.79)/3)+0.1</f>
        <v>0.3633333333333334</v>
      </c>
      <c r="K14" s="22"/>
      <c r="L14" s="72">
        <f>SUM(H14:J14)+K14</f>
        <v>4.3713333333333333</v>
      </c>
      <c r="M14" s="72">
        <f t="shared" ref="M14:M18" si="10">+ROUND(IF(C14=8,PRODUCT(E14,F14,G14,L14),0),2)</f>
        <v>0</v>
      </c>
      <c r="N14" s="72">
        <f t="shared" ref="N14:N18" si="11">+ROUND(IF(C14=10,PRODUCT(E14,F14,G14,L14),0),2)</f>
        <v>0</v>
      </c>
      <c r="O14" s="72">
        <f t="shared" ref="O14:O18" si="12">+ROUND(IF(C14=12,PRODUCT(E14,F14,G14,L14),0),2)</f>
        <v>0</v>
      </c>
      <c r="P14" s="72">
        <f t="shared" ref="P14:P18" si="13">+ROUND(IF(C14=16,PRODUCT(E14,F14,G14,L14),0),2)</f>
        <v>17.489999999999998</v>
      </c>
      <c r="Q14" s="72">
        <f t="shared" ref="Q14:Q18" si="14">+ROUND(IF(C14=20,PRODUCT(E14,F14,G14,L14),0),2)</f>
        <v>0</v>
      </c>
      <c r="R14" s="72">
        <f t="shared" ref="R14:R18" si="15">+ROUND(IF(C14=25,PRODUCT(E14,F14,G14,L14),0),2)</f>
        <v>0</v>
      </c>
    </row>
    <row r="15" spans="1:18" x14ac:dyDescent="0.25">
      <c r="A15" s="26"/>
      <c r="B15" s="25" t="s">
        <v>432</v>
      </c>
      <c r="C15" s="15">
        <v>20</v>
      </c>
      <c r="D15" s="16"/>
      <c r="E15" s="15">
        <v>2</v>
      </c>
      <c r="F15" s="11">
        <v>1</v>
      </c>
      <c r="G15" s="11">
        <v>2</v>
      </c>
      <c r="H15" s="95">
        <f>0.72+8*$C15/1000</f>
        <v>0.88</v>
      </c>
      <c r="I15" s="95">
        <v>3.3</v>
      </c>
      <c r="J15" s="95">
        <f>((0.98)/3)+0.1</f>
        <v>0.42666666666666664</v>
      </c>
      <c r="K15" s="22"/>
      <c r="L15" s="72">
        <f t="shared" ref="L15" si="16">SUM(H15:J15)+K15</f>
        <v>4.6066666666666665</v>
      </c>
      <c r="M15" s="72">
        <f t="shared" si="10"/>
        <v>0</v>
      </c>
      <c r="N15" s="72">
        <f t="shared" si="11"/>
        <v>0</v>
      </c>
      <c r="O15" s="72">
        <f t="shared" si="12"/>
        <v>0</v>
      </c>
      <c r="P15" s="72">
        <f t="shared" si="13"/>
        <v>0</v>
      </c>
      <c r="Q15" s="72">
        <f t="shared" si="14"/>
        <v>18.43</v>
      </c>
      <c r="R15" s="72">
        <f t="shared" si="15"/>
        <v>0</v>
      </c>
    </row>
    <row r="16" spans="1:18" x14ac:dyDescent="0.25">
      <c r="A16" s="26"/>
      <c r="B16" s="25" t="s">
        <v>434</v>
      </c>
      <c r="C16" s="15">
        <v>8</v>
      </c>
      <c r="D16" s="16">
        <v>100</v>
      </c>
      <c r="E16" s="15">
        <v>2</v>
      </c>
      <c r="F16" s="11">
        <v>1</v>
      </c>
      <c r="G16" s="11">
        <f>+ROUND(2/0.1,0)</f>
        <v>20</v>
      </c>
      <c r="H16" s="95"/>
      <c r="I16" s="95">
        <f>2*(0.15+0.45)+16*C16/1000</f>
        <v>1.3279999999999998</v>
      </c>
      <c r="J16" s="100"/>
      <c r="K16" s="47"/>
      <c r="L16" s="72">
        <f>SUM(H16:J16)+K16</f>
        <v>1.3279999999999998</v>
      </c>
      <c r="M16" s="72">
        <f t="shared" si="10"/>
        <v>53.12</v>
      </c>
      <c r="N16" s="72">
        <f t="shared" si="11"/>
        <v>0</v>
      </c>
      <c r="O16" s="72">
        <f t="shared" si="12"/>
        <v>0</v>
      </c>
      <c r="P16" s="72">
        <f t="shared" si="13"/>
        <v>0</v>
      </c>
      <c r="Q16" s="72">
        <f t="shared" si="14"/>
        <v>0</v>
      </c>
      <c r="R16" s="72">
        <f t="shared" si="15"/>
        <v>0</v>
      </c>
    </row>
    <row r="17" spans="1:18" x14ac:dyDescent="0.25">
      <c r="A17" s="26"/>
      <c r="B17" s="25"/>
      <c r="C17" s="15">
        <v>8</v>
      </c>
      <c r="D17" s="16">
        <v>150</v>
      </c>
      <c r="E17" s="15">
        <v>2</v>
      </c>
      <c r="F17" s="11">
        <v>1</v>
      </c>
      <c r="G17" s="11">
        <f>+ROUND(1.3/0.15+1,0)</f>
        <v>10</v>
      </c>
      <c r="H17" s="95"/>
      <c r="I17" s="95">
        <f>2*(0.15+0.45)+16*C17/1000</f>
        <v>1.3279999999999998</v>
      </c>
      <c r="J17" s="100"/>
      <c r="K17" s="22"/>
      <c r="L17" s="72">
        <f>SUM(H17:J17)+K17</f>
        <v>1.3279999999999998</v>
      </c>
      <c r="M17" s="72">
        <f t="shared" si="10"/>
        <v>26.56</v>
      </c>
      <c r="N17" s="72">
        <f t="shared" si="11"/>
        <v>0</v>
      </c>
      <c r="O17" s="72">
        <f t="shared" si="12"/>
        <v>0</v>
      </c>
      <c r="P17" s="72">
        <f t="shared" si="13"/>
        <v>0</v>
      </c>
      <c r="Q17" s="72">
        <f t="shared" si="14"/>
        <v>0</v>
      </c>
      <c r="R17" s="72">
        <f t="shared" si="15"/>
        <v>0</v>
      </c>
    </row>
    <row r="18" spans="1:18" x14ac:dyDescent="0.25">
      <c r="A18" s="26" t="s">
        <v>437</v>
      </c>
      <c r="B18" s="48" t="s">
        <v>438</v>
      </c>
      <c r="C18" s="15"/>
      <c r="D18" s="16"/>
      <c r="E18" s="15"/>
      <c r="F18" s="11"/>
      <c r="G18" s="11"/>
      <c r="H18" s="95"/>
      <c r="I18" s="95"/>
      <c r="J18" s="100"/>
      <c r="K18" s="22"/>
      <c r="L18" s="72">
        <f t="shared" ref="L18" si="17">SUM(H18:J18)+K18</f>
        <v>0</v>
      </c>
      <c r="M18" s="72">
        <f t="shared" si="10"/>
        <v>0</v>
      </c>
      <c r="N18" s="72">
        <f t="shared" si="11"/>
        <v>0</v>
      </c>
      <c r="O18" s="72">
        <f t="shared" si="12"/>
        <v>0</v>
      </c>
      <c r="P18" s="72">
        <f t="shared" si="13"/>
        <v>0</v>
      </c>
      <c r="Q18" s="72">
        <f t="shared" si="14"/>
        <v>0</v>
      </c>
      <c r="R18" s="72">
        <f t="shared" si="15"/>
        <v>0</v>
      </c>
    </row>
    <row r="19" spans="1:18" x14ac:dyDescent="0.25">
      <c r="A19" s="26"/>
      <c r="B19" s="25" t="s">
        <v>385</v>
      </c>
      <c r="C19" s="15">
        <v>12</v>
      </c>
      <c r="D19" s="16"/>
      <c r="E19" s="15">
        <v>2</v>
      </c>
      <c r="F19" s="11">
        <v>1</v>
      </c>
      <c r="G19" s="11">
        <v>2</v>
      </c>
      <c r="H19" s="95">
        <f>0.36+8*$C19/1000</f>
        <v>0.45599999999999996</v>
      </c>
      <c r="I19" s="95">
        <v>1.395</v>
      </c>
      <c r="J19" s="95">
        <f>0.36+8*$C19/1000</f>
        <v>0.45599999999999996</v>
      </c>
      <c r="K19" s="22"/>
      <c r="L19" s="72">
        <f>SUM(H19:J19)+K19</f>
        <v>2.3069999999999999</v>
      </c>
      <c r="M19" s="72">
        <f t="shared" ref="M19:M23" si="18">+ROUND(IF(C19=8,PRODUCT(E19,F19,G19,L19),0),2)</f>
        <v>0</v>
      </c>
      <c r="N19" s="72">
        <f t="shared" ref="N19:N23" si="19">+ROUND(IF(C19=10,PRODUCT(E19,F19,G19,L19),0),2)</f>
        <v>0</v>
      </c>
      <c r="O19" s="72">
        <f t="shared" ref="O19:O23" si="20">+ROUND(IF(C19=12,PRODUCT(E19,F19,G19,L19),0),2)</f>
        <v>9.23</v>
      </c>
      <c r="P19" s="72">
        <f t="shared" ref="P19:P23" si="21">+ROUND(IF(C19=16,PRODUCT(E19,F19,G19,L19),0),2)</f>
        <v>0</v>
      </c>
      <c r="Q19" s="72">
        <f t="shared" ref="Q19:Q23" si="22">+ROUND(IF(C19=20,PRODUCT(E19,F19,G19,L19),0),2)</f>
        <v>0</v>
      </c>
      <c r="R19" s="72">
        <f t="shared" ref="R19:R23" si="23">+ROUND(IF(C19=25,PRODUCT(E19,F19,G19,L19),0),2)</f>
        <v>0</v>
      </c>
    </row>
    <row r="20" spans="1:18" x14ac:dyDescent="0.25">
      <c r="A20" s="26"/>
      <c r="B20" s="25" t="s">
        <v>432</v>
      </c>
      <c r="C20" s="15">
        <v>12</v>
      </c>
      <c r="D20" s="16"/>
      <c r="E20" s="15">
        <v>2</v>
      </c>
      <c r="F20" s="11">
        <v>1</v>
      </c>
      <c r="G20" s="11">
        <v>2</v>
      </c>
      <c r="H20" s="95">
        <f>0.36+8*$C20/1000</f>
        <v>0.45599999999999996</v>
      </c>
      <c r="I20" s="95">
        <v>1.395</v>
      </c>
      <c r="J20" s="95">
        <f>0.36+8*$C20/1000</f>
        <v>0.45599999999999996</v>
      </c>
      <c r="K20" s="22"/>
      <c r="L20" s="72">
        <f t="shared" ref="L20" si="24">SUM(H20:J20)+K20</f>
        <v>2.3069999999999999</v>
      </c>
      <c r="M20" s="72">
        <f t="shared" si="18"/>
        <v>0</v>
      </c>
      <c r="N20" s="72">
        <f t="shared" si="19"/>
        <v>0</v>
      </c>
      <c r="O20" s="72">
        <f t="shared" si="20"/>
        <v>9.23</v>
      </c>
      <c r="P20" s="72">
        <f t="shared" si="21"/>
        <v>0</v>
      </c>
      <c r="Q20" s="72">
        <f t="shared" si="22"/>
        <v>0</v>
      </c>
      <c r="R20" s="72">
        <f t="shared" si="23"/>
        <v>0</v>
      </c>
    </row>
    <row r="21" spans="1:18" x14ac:dyDescent="0.25">
      <c r="A21" s="26"/>
      <c r="B21" s="25" t="s">
        <v>434</v>
      </c>
      <c r="C21" s="15">
        <v>8</v>
      </c>
      <c r="D21" s="16">
        <v>150</v>
      </c>
      <c r="E21" s="15">
        <v>2</v>
      </c>
      <c r="F21" s="11">
        <v>1</v>
      </c>
      <c r="G21" s="11">
        <f>+ROUND(1.395/0.15+1,0)</f>
        <v>10</v>
      </c>
      <c r="H21" s="95"/>
      <c r="I21" s="95">
        <f>2*(0.05+0.3)+16*C21/1000</f>
        <v>0.82799999999999996</v>
      </c>
      <c r="J21" s="100"/>
      <c r="K21" s="47"/>
      <c r="L21" s="72">
        <f>SUM(H21:J21)+K21</f>
        <v>0.82799999999999996</v>
      </c>
      <c r="M21" s="72">
        <f t="shared" si="18"/>
        <v>16.559999999999999</v>
      </c>
      <c r="N21" s="72">
        <f t="shared" si="19"/>
        <v>0</v>
      </c>
      <c r="O21" s="72">
        <f t="shared" si="20"/>
        <v>0</v>
      </c>
      <c r="P21" s="72">
        <f t="shared" si="21"/>
        <v>0</v>
      </c>
      <c r="Q21" s="72">
        <f t="shared" si="22"/>
        <v>0</v>
      </c>
      <c r="R21" s="72">
        <f t="shared" si="23"/>
        <v>0</v>
      </c>
    </row>
    <row r="22" spans="1:18" x14ac:dyDescent="0.25">
      <c r="A22" s="26"/>
      <c r="B22" s="25"/>
      <c r="C22" s="15"/>
      <c r="D22" s="16"/>
      <c r="E22" s="15"/>
      <c r="F22" s="11"/>
      <c r="G22" s="11"/>
      <c r="H22" s="95"/>
      <c r="I22" s="95"/>
      <c r="J22" s="100"/>
      <c r="K22" s="47"/>
      <c r="L22" s="72"/>
      <c r="M22" s="72"/>
      <c r="N22" s="72"/>
      <c r="O22" s="72"/>
      <c r="P22" s="72"/>
      <c r="Q22" s="72"/>
      <c r="R22" s="72"/>
    </row>
    <row r="23" spans="1:18" x14ac:dyDescent="0.25">
      <c r="A23" s="26" t="s">
        <v>439</v>
      </c>
      <c r="B23" s="48" t="s">
        <v>440</v>
      </c>
      <c r="C23" s="15"/>
      <c r="D23" s="16"/>
      <c r="E23" s="15"/>
      <c r="F23" s="11"/>
      <c r="G23" s="11"/>
      <c r="H23" s="95"/>
      <c r="I23" s="95"/>
      <c r="J23" s="100"/>
      <c r="K23" s="22"/>
      <c r="L23" s="72">
        <f t="shared" ref="L23" si="25">SUM(H23:J23)+K23</f>
        <v>0</v>
      </c>
      <c r="M23" s="72">
        <f t="shared" si="18"/>
        <v>0</v>
      </c>
      <c r="N23" s="72">
        <f t="shared" si="19"/>
        <v>0</v>
      </c>
      <c r="O23" s="72">
        <f t="shared" si="20"/>
        <v>0</v>
      </c>
      <c r="P23" s="72">
        <f t="shared" si="21"/>
        <v>0</v>
      </c>
      <c r="Q23" s="72">
        <f t="shared" si="22"/>
        <v>0</v>
      </c>
      <c r="R23" s="72">
        <f t="shared" si="23"/>
        <v>0</v>
      </c>
    </row>
    <row r="24" spans="1:18" x14ac:dyDescent="0.25">
      <c r="A24" s="26"/>
      <c r="B24" s="25" t="s">
        <v>385</v>
      </c>
      <c r="C24" s="15">
        <v>16</v>
      </c>
      <c r="D24" s="16"/>
      <c r="E24" s="15">
        <v>4</v>
      </c>
      <c r="F24" s="11">
        <v>1</v>
      </c>
      <c r="G24" s="11">
        <v>2</v>
      </c>
      <c r="H24" s="95">
        <f>0.58+8*$C24/1000</f>
        <v>0.70799999999999996</v>
      </c>
      <c r="I24" s="95">
        <v>1.395</v>
      </c>
      <c r="J24" s="95">
        <f>0.58+8*$C24/1000</f>
        <v>0.70799999999999996</v>
      </c>
      <c r="K24" s="22"/>
      <c r="L24" s="72">
        <f>SUM(H24:J24)+K24</f>
        <v>2.8109999999999999</v>
      </c>
      <c r="M24" s="72">
        <f t="shared" ref="M24:M27" si="26">+ROUND(IF(C24=8,PRODUCT(E24,F24,G24,L24),0),2)</f>
        <v>0</v>
      </c>
      <c r="N24" s="72">
        <f t="shared" ref="N24:N27" si="27">+ROUND(IF(C24=10,PRODUCT(E24,F24,G24,L24),0),2)</f>
        <v>0</v>
      </c>
      <c r="O24" s="72">
        <f t="shared" ref="O24:O27" si="28">+ROUND(IF(C24=12,PRODUCT(E24,F24,G24,L24),0),2)</f>
        <v>0</v>
      </c>
      <c r="P24" s="72">
        <f t="shared" ref="P24:P27" si="29">+ROUND(IF(C24=16,PRODUCT(E24,F24,G24,L24),0),2)</f>
        <v>22.49</v>
      </c>
      <c r="Q24" s="72">
        <f t="shared" ref="Q24:Q27" si="30">+ROUND(IF(C24=20,PRODUCT(E24,F24,G24,L24),0),2)</f>
        <v>0</v>
      </c>
      <c r="R24" s="72">
        <f t="shared" ref="R24:R27" si="31">+ROUND(IF(C24=25,PRODUCT(E24,F24,G24,L24),0),2)</f>
        <v>0</v>
      </c>
    </row>
    <row r="25" spans="1:18" x14ac:dyDescent="0.25">
      <c r="A25" s="26"/>
      <c r="B25" s="25" t="s">
        <v>432</v>
      </c>
      <c r="C25" s="15">
        <v>16</v>
      </c>
      <c r="D25" s="16"/>
      <c r="E25" s="15">
        <v>4</v>
      </c>
      <c r="F25" s="11">
        <v>1</v>
      </c>
      <c r="G25" s="11">
        <v>2</v>
      </c>
      <c r="H25" s="95">
        <f>0.58+8*$C25/1000</f>
        <v>0.70799999999999996</v>
      </c>
      <c r="I25" s="95">
        <v>1.395</v>
      </c>
      <c r="J25" s="95">
        <f>0.58+8*$C25/1000</f>
        <v>0.70799999999999996</v>
      </c>
      <c r="K25" s="22"/>
      <c r="L25" s="72">
        <f t="shared" ref="L25" si="32">SUM(H25:J25)+K25</f>
        <v>2.8109999999999999</v>
      </c>
      <c r="M25" s="72">
        <f t="shared" si="26"/>
        <v>0</v>
      </c>
      <c r="N25" s="72">
        <f t="shared" si="27"/>
        <v>0</v>
      </c>
      <c r="O25" s="72">
        <f t="shared" si="28"/>
        <v>0</v>
      </c>
      <c r="P25" s="72">
        <f t="shared" si="29"/>
        <v>22.49</v>
      </c>
      <c r="Q25" s="72">
        <f t="shared" si="30"/>
        <v>0</v>
      </c>
      <c r="R25" s="72">
        <f t="shared" si="31"/>
        <v>0</v>
      </c>
    </row>
    <row r="26" spans="1:18" x14ac:dyDescent="0.25">
      <c r="A26" s="26"/>
      <c r="B26" s="25" t="s">
        <v>434</v>
      </c>
      <c r="C26" s="15">
        <v>8</v>
      </c>
      <c r="D26" s="16">
        <v>100</v>
      </c>
      <c r="E26" s="15">
        <v>4</v>
      </c>
      <c r="F26" s="11">
        <v>1</v>
      </c>
      <c r="G26" s="11">
        <f>+ROUND(1.395/0.1+1,0)</f>
        <v>15</v>
      </c>
      <c r="H26" s="95"/>
      <c r="I26" s="95">
        <f>2*(0.15+0.3)+16*C26/1000</f>
        <v>1.028</v>
      </c>
      <c r="J26" s="100"/>
      <c r="K26" s="47"/>
      <c r="L26" s="72">
        <f>SUM(H26:J26)+K26</f>
        <v>1.028</v>
      </c>
      <c r="M26" s="72">
        <f t="shared" si="26"/>
        <v>61.68</v>
      </c>
      <c r="N26" s="72">
        <f t="shared" si="27"/>
        <v>0</v>
      </c>
      <c r="O26" s="72">
        <f t="shared" si="28"/>
        <v>0</v>
      </c>
      <c r="P26" s="72">
        <f t="shared" si="29"/>
        <v>0</v>
      </c>
      <c r="Q26" s="72">
        <f t="shared" si="30"/>
        <v>0</v>
      </c>
      <c r="R26" s="72">
        <f t="shared" si="31"/>
        <v>0</v>
      </c>
    </row>
    <row r="27" spans="1:18" x14ac:dyDescent="0.25">
      <c r="A27" s="26" t="s">
        <v>442</v>
      </c>
      <c r="B27" s="48" t="s">
        <v>441</v>
      </c>
      <c r="C27" s="15"/>
      <c r="D27" s="16"/>
      <c r="E27" s="15"/>
      <c r="F27" s="11"/>
      <c r="G27" s="11"/>
      <c r="H27" s="95"/>
      <c r="I27" s="95"/>
      <c r="J27" s="100"/>
      <c r="K27" s="22"/>
      <c r="L27" s="72">
        <f t="shared" ref="L27" si="33">SUM(H27:J27)+K27</f>
        <v>0</v>
      </c>
      <c r="M27" s="72">
        <f t="shared" si="26"/>
        <v>0</v>
      </c>
      <c r="N27" s="72">
        <f t="shared" si="27"/>
        <v>0</v>
      </c>
      <c r="O27" s="72">
        <f t="shared" si="28"/>
        <v>0</v>
      </c>
      <c r="P27" s="72">
        <f t="shared" si="29"/>
        <v>0</v>
      </c>
      <c r="Q27" s="72">
        <f t="shared" si="30"/>
        <v>0</v>
      </c>
      <c r="R27" s="72">
        <f t="shared" si="31"/>
        <v>0</v>
      </c>
    </row>
    <row r="28" spans="1:18" x14ac:dyDescent="0.25">
      <c r="A28" s="26"/>
      <c r="B28" s="25" t="s">
        <v>385</v>
      </c>
      <c r="C28" s="15">
        <v>16</v>
      </c>
      <c r="D28" s="16"/>
      <c r="E28" s="15">
        <v>2</v>
      </c>
      <c r="F28" s="11">
        <v>1</v>
      </c>
      <c r="G28" s="11">
        <v>2</v>
      </c>
      <c r="H28" s="95">
        <f>0.58+8*$C28/1000</f>
        <v>0.70799999999999996</v>
      </c>
      <c r="I28" s="95">
        <v>6.875</v>
      </c>
      <c r="J28" s="95">
        <f>((0.79)/3)+0.1</f>
        <v>0.3633333333333334</v>
      </c>
      <c r="K28" s="22"/>
      <c r="L28" s="72">
        <f>SUM(H28:J28)+K28</f>
        <v>7.9463333333333335</v>
      </c>
      <c r="M28" s="72">
        <f t="shared" ref="M28:M38" si="34">+ROUND(IF(C28=8,PRODUCT(E28,F28,G28,L28),0),2)</f>
        <v>0</v>
      </c>
      <c r="N28" s="72">
        <f t="shared" ref="N28:N38" si="35">+ROUND(IF(C28=10,PRODUCT(E28,F28,G28,L28),0),2)</f>
        <v>0</v>
      </c>
      <c r="O28" s="72">
        <f t="shared" ref="O28:O38" si="36">+ROUND(IF(C28=12,PRODUCT(E28,F28,G28,L28),0),2)</f>
        <v>0</v>
      </c>
      <c r="P28" s="72">
        <f t="shared" ref="P28:P38" si="37">+ROUND(IF(C28=16,PRODUCT(E28,F28,G28,L28),0),2)</f>
        <v>31.79</v>
      </c>
      <c r="Q28" s="72">
        <f t="shared" ref="Q28:Q38" si="38">+ROUND(IF(C28=20,PRODUCT(E28,F28,G28,L28),0),2)</f>
        <v>0</v>
      </c>
      <c r="R28" s="72">
        <f t="shared" ref="R28:R38" si="39">+ROUND(IF(C28=25,PRODUCT(E28,F28,G28,L28),0),2)</f>
        <v>0</v>
      </c>
    </row>
    <row r="29" spans="1:18" x14ac:dyDescent="0.25">
      <c r="A29" s="26"/>
      <c r="B29" s="25" t="s">
        <v>432</v>
      </c>
      <c r="C29" s="15">
        <v>16</v>
      </c>
      <c r="D29" s="16"/>
      <c r="E29" s="15">
        <v>2</v>
      </c>
      <c r="F29" s="11">
        <v>1</v>
      </c>
      <c r="G29" s="11">
        <v>2</v>
      </c>
      <c r="H29" s="95">
        <f>0.58+8*$C29/1000</f>
        <v>0.70799999999999996</v>
      </c>
      <c r="I29" s="95">
        <v>6.875</v>
      </c>
      <c r="J29" s="95">
        <f>((0.79)/3)+0.1</f>
        <v>0.3633333333333334</v>
      </c>
      <c r="K29" s="22"/>
      <c r="L29" s="72">
        <f t="shared" ref="L29" si="40">SUM(H29:J29)+K29</f>
        <v>7.9463333333333335</v>
      </c>
      <c r="M29" s="72">
        <f t="shared" si="34"/>
        <v>0</v>
      </c>
      <c r="N29" s="72">
        <f t="shared" si="35"/>
        <v>0</v>
      </c>
      <c r="O29" s="72">
        <f t="shared" si="36"/>
        <v>0</v>
      </c>
      <c r="P29" s="72">
        <f t="shared" si="37"/>
        <v>31.79</v>
      </c>
      <c r="Q29" s="72">
        <f t="shared" si="38"/>
        <v>0</v>
      </c>
      <c r="R29" s="72">
        <f t="shared" si="39"/>
        <v>0</v>
      </c>
    </row>
    <row r="30" spans="1:18" x14ac:dyDescent="0.25">
      <c r="A30" s="26"/>
      <c r="B30" s="25" t="s">
        <v>434</v>
      </c>
      <c r="C30" s="15">
        <v>8</v>
      </c>
      <c r="D30" s="16">
        <v>100</v>
      </c>
      <c r="E30" s="15">
        <v>2</v>
      </c>
      <c r="F30" s="11">
        <v>1</v>
      </c>
      <c r="G30" s="11">
        <f>+ROUND(1.8/0.1,0)</f>
        <v>18</v>
      </c>
      <c r="H30" s="95"/>
      <c r="I30" s="95">
        <f>2*(0.15+0.4)+16*C30/1000</f>
        <v>1.2280000000000002</v>
      </c>
      <c r="J30" s="100"/>
      <c r="K30" s="47"/>
      <c r="L30" s="72">
        <f>SUM(H30:J30)+K30</f>
        <v>1.2280000000000002</v>
      </c>
      <c r="M30" s="72">
        <f t="shared" si="34"/>
        <v>44.21</v>
      </c>
      <c r="N30" s="72">
        <f t="shared" si="35"/>
        <v>0</v>
      </c>
      <c r="O30" s="72">
        <f t="shared" si="36"/>
        <v>0</v>
      </c>
      <c r="P30" s="72">
        <f t="shared" si="37"/>
        <v>0</v>
      </c>
      <c r="Q30" s="72">
        <f t="shared" si="38"/>
        <v>0</v>
      </c>
      <c r="R30" s="72">
        <f t="shared" si="39"/>
        <v>0</v>
      </c>
    </row>
    <row r="31" spans="1:18" x14ac:dyDescent="0.25">
      <c r="A31" s="26"/>
      <c r="B31" s="25"/>
      <c r="C31" s="15">
        <v>8</v>
      </c>
      <c r="D31" s="16">
        <v>150</v>
      </c>
      <c r="E31" s="15">
        <v>2</v>
      </c>
      <c r="F31" s="11">
        <v>1</v>
      </c>
      <c r="G31" s="11">
        <f>+ROUND(1.775/0.15+1,0)</f>
        <v>13</v>
      </c>
      <c r="H31" s="95"/>
      <c r="I31" s="95">
        <f>2*(0.15+0.4)+16*C31/1000</f>
        <v>1.2280000000000002</v>
      </c>
      <c r="J31" s="100"/>
      <c r="K31" s="22"/>
      <c r="L31" s="72">
        <f>SUM(H31:J31)+K31</f>
        <v>1.2280000000000002</v>
      </c>
      <c r="M31" s="72">
        <f t="shared" si="34"/>
        <v>31.93</v>
      </c>
      <c r="N31" s="72">
        <f t="shared" si="35"/>
        <v>0</v>
      </c>
      <c r="O31" s="72">
        <f t="shared" si="36"/>
        <v>0</v>
      </c>
      <c r="P31" s="72">
        <f t="shared" si="37"/>
        <v>0</v>
      </c>
      <c r="Q31" s="72">
        <f t="shared" si="38"/>
        <v>0</v>
      </c>
      <c r="R31" s="72">
        <f t="shared" si="39"/>
        <v>0</v>
      </c>
    </row>
    <row r="32" spans="1:18" x14ac:dyDescent="0.25">
      <c r="A32" s="26"/>
      <c r="B32" s="25" t="s">
        <v>434</v>
      </c>
      <c r="C32" s="15">
        <v>8</v>
      </c>
      <c r="D32" s="16">
        <v>100</v>
      </c>
      <c r="E32" s="15">
        <v>2</v>
      </c>
      <c r="F32" s="11">
        <v>1</v>
      </c>
      <c r="G32" s="11">
        <f>+ROUND(1.8/0.1,0)</f>
        <v>18</v>
      </c>
      <c r="H32" s="95"/>
      <c r="I32" s="95">
        <f>2*(0.15+0.4)+16*C32/1000</f>
        <v>1.2280000000000002</v>
      </c>
      <c r="J32" s="100"/>
      <c r="K32" s="22"/>
      <c r="L32" s="72">
        <f t="shared" ref="L32" si="41">SUM(H32:J32)+K32</f>
        <v>1.2280000000000002</v>
      </c>
      <c r="M32" s="72">
        <f t="shared" si="34"/>
        <v>44.21</v>
      </c>
      <c r="N32" s="72">
        <f t="shared" si="35"/>
        <v>0</v>
      </c>
      <c r="O32" s="72">
        <f t="shared" si="36"/>
        <v>0</v>
      </c>
      <c r="P32" s="72">
        <f t="shared" si="37"/>
        <v>0</v>
      </c>
      <c r="Q32" s="72">
        <f t="shared" si="38"/>
        <v>0</v>
      </c>
      <c r="R32" s="72">
        <f t="shared" si="39"/>
        <v>0</v>
      </c>
    </row>
    <row r="33" spans="1:18" x14ac:dyDescent="0.25">
      <c r="A33" s="26"/>
      <c r="B33" s="25"/>
      <c r="C33" s="15">
        <v>8</v>
      </c>
      <c r="D33" s="16">
        <v>150</v>
      </c>
      <c r="E33" s="15">
        <v>2</v>
      </c>
      <c r="F33" s="11">
        <v>1</v>
      </c>
      <c r="G33" s="11">
        <f>+ROUND(1.3/0.15+1,0)</f>
        <v>10</v>
      </c>
      <c r="H33" s="95"/>
      <c r="I33" s="95">
        <f>2*(0.15+0.4)+16*C33/1000</f>
        <v>1.2280000000000002</v>
      </c>
      <c r="J33" s="100"/>
      <c r="K33" s="47"/>
      <c r="L33" s="72">
        <f t="shared" ref="L33:L34" si="42">SUM(H33:J33)+K33</f>
        <v>1.2280000000000002</v>
      </c>
      <c r="M33" s="72">
        <f t="shared" si="34"/>
        <v>24.56</v>
      </c>
      <c r="N33" s="72">
        <f t="shared" si="35"/>
        <v>0</v>
      </c>
      <c r="O33" s="72">
        <f t="shared" si="36"/>
        <v>0</v>
      </c>
      <c r="P33" s="72">
        <f t="shared" si="37"/>
        <v>0</v>
      </c>
      <c r="Q33" s="72">
        <f t="shared" si="38"/>
        <v>0</v>
      </c>
      <c r="R33" s="72">
        <f t="shared" si="39"/>
        <v>0</v>
      </c>
    </row>
    <row r="34" spans="1:18" x14ac:dyDescent="0.25">
      <c r="A34" s="26" t="s">
        <v>444</v>
      </c>
      <c r="B34" s="48" t="s">
        <v>443</v>
      </c>
      <c r="C34" s="15"/>
      <c r="D34" s="16"/>
      <c r="E34" s="15"/>
      <c r="F34" s="11"/>
      <c r="G34" s="11"/>
      <c r="H34" s="95"/>
      <c r="I34" s="95"/>
      <c r="J34" s="100"/>
      <c r="K34" s="22"/>
      <c r="L34" s="72">
        <f t="shared" si="42"/>
        <v>0</v>
      </c>
      <c r="M34" s="72">
        <f t="shared" si="34"/>
        <v>0</v>
      </c>
      <c r="N34" s="72">
        <f t="shared" si="35"/>
        <v>0</v>
      </c>
      <c r="O34" s="72">
        <f t="shared" si="36"/>
        <v>0</v>
      </c>
      <c r="P34" s="72">
        <f t="shared" si="37"/>
        <v>0</v>
      </c>
      <c r="Q34" s="72">
        <f t="shared" si="38"/>
        <v>0</v>
      </c>
      <c r="R34" s="72">
        <f t="shared" si="39"/>
        <v>0</v>
      </c>
    </row>
    <row r="35" spans="1:18" x14ac:dyDescent="0.25">
      <c r="A35" s="26"/>
      <c r="B35" s="25" t="s">
        <v>385</v>
      </c>
      <c r="C35" s="15">
        <v>16</v>
      </c>
      <c r="D35" s="16"/>
      <c r="E35" s="15">
        <v>2</v>
      </c>
      <c r="F35" s="11">
        <v>1</v>
      </c>
      <c r="G35" s="11">
        <v>2</v>
      </c>
      <c r="H35" s="95">
        <f>0.58+8*$C35/1000</f>
        <v>0.70799999999999996</v>
      </c>
      <c r="I35" s="95">
        <f>3.16</f>
        <v>3.16</v>
      </c>
      <c r="J35" s="95">
        <f>0.58+8*$C35/1000</f>
        <v>0.70799999999999996</v>
      </c>
      <c r="K35" s="22"/>
      <c r="L35" s="72">
        <f>SUM(H35:J35)+K35</f>
        <v>4.5760000000000005</v>
      </c>
      <c r="M35" s="72">
        <f t="shared" si="34"/>
        <v>0</v>
      </c>
      <c r="N35" s="72">
        <f t="shared" si="35"/>
        <v>0</v>
      </c>
      <c r="O35" s="72">
        <f t="shared" si="36"/>
        <v>0</v>
      </c>
      <c r="P35" s="72">
        <f t="shared" si="37"/>
        <v>18.3</v>
      </c>
      <c r="Q35" s="72">
        <f t="shared" si="38"/>
        <v>0</v>
      </c>
      <c r="R35" s="72">
        <f t="shared" si="39"/>
        <v>0</v>
      </c>
    </row>
    <row r="36" spans="1:18" x14ac:dyDescent="0.25">
      <c r="A36" s="26"/>
      <c r="B36" s="25" t="s">
        <v>432</v>
      </c>
      <c r="C36" s="15">
        <v>16</v>
      </c>
      <c r="D36" s="16"/>
      <c r="E36" s="15">
        <v>2</v>
      </c>
      <c r="F36" s="11">
        <v>1</v>
      </c>
      <c r="G36" s="11">
        <v>2</v>
      </c>
      <c r="H36" s="95">
        <f t="shared" ref="H36:J36" si="43">0.58+8*$C36/1000</f>
        <v>0.70799999999999996</v>
      </c>
      <c r="I36" s="95">
        <f>3.16</f>
        <v>3.16</v>
      </c>
      <c r="J36" s="95">
        <f t="shared" si="43"/>
        <v>0.70799999999999996</v>
      </c>
      <c r="K36" s="22"/>
      <c r="L36" s="72">
        <f t="shared" ref="L36" si="44">SUM(H36:J36)+K36</f>
        <v>4.5760000000000005</v>
      </c>
      <c r="M36" s="72">
        <f t="shared" si="34"/>
        <v>0</v>
      </c>
      <c r="N36" s="72">
        <f t="shared" si="35"/>
        <v>0</v>
      </c>
      <c r="O36" s="72">
        <f t="shared" si="36"/>
        <v>0</v>
      </c>
      <c r="P36" s="72">
        <f t="shared" si="37"/>
        <v>18.3</v>
      </c>
      <c r="Q36" s="72">
        <f t="shared" si="38"/>
        <v>0</v>
      </c>
      <c r="R36" s="72">
        <f t="shared" si="39"/>
        <v>0</v>
      </c>
    </row>
    <row r="37" spans="1:18" x14ac:dyDescent="0.25">
      <c r="A37" s="26"/>
      <c r="B37" s="25" t="s">
        <v>433</v>
      </c>
      <c r="C37" s="15">
        <v>12</v>
      </c>
      <c r="D37" s="16"/>
      <c r="E37" s="15">
        <v>2</v>
      </c>
      <c r="F37" s="11">
        <v>1</v>
      </c>
      <c r="G37" s="11">
        <v>2</v>
      </c>
      <c r="H37" s="95">
        <f>0.44+8*$C37/1000</f>
        <v>0.53600000000000003</v>
      </c>
      <c r="I37" s="95">
        <f>3.16</f>
        <v>3.16</v>
      </c>
      <c r="J37" s="100"/>
      <c r="K37" s="22"/>
      <c r="L37" s="72">
        <f t="shared" ref="L37" si="45">SUM(H37:J37)+K37</f>
        <v>3.6960000000000002</v>
      </c>
      <c r="M37" s="72">
        <f t="shared" ref="M37" si="46">+ROUND(IF(C37=8,PRODUCT(E37,F37,G37,L37),0),2)</f>
        <v>0</v>
      </c>
      <c r="N37" s="72">
        <f t="shared" ref="N37" si="47">+ROUND(IF(C37=10,PRODUCT(E37,F37,G37,L37),0),2)</f>
        <v>0</v>
      </c>
      <c r="O37" s="72">
        <f t="shared" ref="O37" si="48">+ROUND(IF(C37=12,PRODUCT(E37,F37,G37,L37),0),2)</f>
        <v>14.78</v>
      </c>
      <c r="P37" s="72">
        <f t="shared" ref="P37" si="49">+ROUND(IF(C37=16,PRODUCT(E37,F37,G37,L37),0),2)</f>
        <v>0</v>
      </c>
      <c r="Q37" s="72">
        <f t="shared" ref="Q37" si="50">+ROUND(IF(C37=20,PRODUCT(E37,F37,G37,L37),0),2)</f>
        <v>0</v>
      </c>
      <c r="R37" s="72">
        <f t="shared" ref="R37" si="51">+ROUND(IF(C37=25,PRODUCT(E37,F37,G37,L37),0),2)</f>
        <v>0</v>
      </c>
    </row>
    <row r="38" spans="1:18" x14ac:dyDescent="0.25">
      <c r="A38" s="26"/>
      <c r="B38" s="25" t="s">
        <v>434</v>
      </c>
      <c r="C38" s="15">
        <v>8</v>
      </c>
      <c r="D38" s="16">
        <v>100</v>
      </c>
      <c r="E38" s="15">
        <v>2</v>
      </c>
      <c r="F38" s="11">
        <v>1</v>
      </c>
      <c r="G38" s="11">
        <f>+ROUND(1.58/0.1,0)</f>
        <v>16</v>
      </c>
      <c r="H38" s="95"/>
      <c r="I38" s="95">
        <f>2*(0.18+0.3)+16*C38/1000</f>
        <v>1.0880000000000001</v>
      </c>
      <c r="J38" s="100"/>
      <c r="K38" s="47"/>
      <c r="L38" s="72">
        <f>SUM(H38:J38)+K38</f>
        <v>1.0880000000000001</v>
      </c>
      <c r="M38" s="72">
        <f t="shared" si="34"/>
        <v>34.82</v>
      </c>
      <c r="N38" s="72">
        <f t="shared" si="35"/>
        <v>0</v>
      </c>
      <c r="O38" s="72">
        <f t="shared" si="36"/>
        <v>0</v>
      </c>
      <c r="P38" s="72">
        <f t="shared" si="37"/>
        <v>0</v>
      </c>
      <c r="Q38" s="72">
        <f t="shared" si="38"/>
        <v>0</v>
      </c>
      <c r="R38" s="72">
        <f t="shared" si="39"/>
        <v>0</v>
      </c>
    </row>
    <row r="39" spans="1:18" x14ac:dyDescent="0.25">
      <c r="A39" s="26"/>
      <c r="B39" s="25"/>
      <c r="C39" s="15">
        <v>8</v>
      </c>
      <c r="D39" s="16">
        <v>150</v>
      </c>
      <c r="E39" s="15">
        <v>2</v>
      </c>
      <c r="F39" s="11">
        <v>1</v>
      </c>
      <c r="G39" s="11">
        <f>+ROUND(1.58/0.15+1,0)</f>
        <v>12</v>
      </c>
      <c r="H39" s="95"/>
      <c r="I39" s="95">
        <f>2*(0.18+0.3)+16*C39/1000</f>
        <v>1.0880000000000001</v>
      </c>
      <c r="J39" s="100"/>
      <c r="K39" s="22"/>
      <c r="L39" s="72">
        <f t="shared" si="9"/>
        <v>1.0880000000000001</v>
      </c>
      <c r="M39" s="72">
        <f t="shared" si="0"/>
        <v>26.11</v>
      </c>
      <c r="N39" s="72">
        <f t="shared" si="1"/>
        <v>0</v>
      </c>
      <c r="O39" s="72">
        <f t="shared" si="2"/>
        <v>0</v>
      </c>
      <c r="P39" s="72">
        <f t="shared" si="3"/>
        <v>0</v>
      </c>
      <c r="Q39" s="72">
        <f t="shared" si="4"/>
        <v>0</v>
      </c>
      <c r="R39" s="72">
        <f t="shared" si="5"/>
        <v>0</v>
      </c>
    </row>
    <row r="40" spans="1:18" x14ac:dyDescent="0.25">
      <c r="A40" s="26" t="s">
        <v>442</v>
      </c>
      <c r="B40" s="48" t="s">
        <v>445</v>
      </c>
      <c r="C40" s="15"/>
      <c r="D40" s="16"/>
      <c r="E40" s="15"/>
      <c r="F40" s="11"/>
      <c r="G40" s="11"/>
      <c r="H40" s="95"/>
      <c r="I40" s="95"/>
      <c r="J40" s="100"/>
      <c r="K40" s="22"/>
      <c r="L40" s="72">
        <f t="shared" si="9"/>
        <v>0</v>
      </c>
      <c r="M40" s="72">
        <f t="shared" si="0"/>
        <v>0</v>
      </c>
      <c r="N40" s="72">
        <f t="shared" si="1"/>
        <v>0</v>
      </c>
      <c r="O40" s="72">
        <f t="shared" si="2"/>
        <v>0</v>
      </c>
      <c r="P40" s="72">
        <f t="shared" si="3"/>
        <v>0</v>
      </c>
      <c r="Q40" s="72">
        <f t="shared" si="4"/>
        <v>0</v>
      </c>
      <c r="R40" s="72">
        <f t="shared" si="5"/>
        <v>0</v>
      </c>
    </row>
    <row r="41" spans="1:18" x14ac:dyDescent="0.25">
      <c r="A41" s="26"/>
      <c r="B41" s="25" t="s">
        <v>385</v>
      </c>
      <c r="C41" s="15">
        <v>16</v>
      </c>
      <c r="D41" s="16"/>
      <c r="E41" s="15">
        <v>2</v>
      </c>
      <c r="F41" s="11">
        <v>1</v>
      </c>
      <c r="G41" s="11">
        <v>2</v>
      </c>
      <c r="H41" s="95">
        <f>((0.79)/3)+0.1</f>
        <v>0.3633333333333334</v>
      </c>
      <c r="I41" s="95">
        <v>2.7</v>
      </c>
      <c r="J41" s="95">
        <f>0.58+8*$C41/1000</f>
        <v>0.70799999999999996</v>
      </c>
      <c r="K41" s="22"/>
      <c r="L41" s="72">
        <f>SUM(H41:J41)+K41</f>
        <v>3.7713333333333336</v>
      </c>
      <c r="M41" s="72">
        <f t="shared" si="0"/>
        <v>0</v>
      </c>
      <c r="N41" s="72">
        <f t="shared" si="1"/>
        <v>0</v>
      </c>
      <c r="O41" s="72">
        <f t="shared" si="2"/>
        <v>0</v>
      </c>
      <c r="P41" s="72">
        <f t="shared" si="3"/>
        <v>15.09</v>
      </c>
      <c r="Q41" s="72">
        <f t="shared" si="4"/>
        <v>0</v>
      </c>
      <c r="R41" s="72">
        <f t="shared" si="5"/>
        <v>0</v>
      </c>
    </row>
    <row r="42" spans="1:18" x14ac:dyDescent="0.25">
      <c r="A42" s="26"/>
      <c r="B42" s="25" t="s">
        <v>432</v>
      </c>
      <c r="C42" s="15">
        <v>16</v>
      </c>
      <c r="D42" s="16"/>
      <c r="E42" s="15">
        <v>2</v>
      </c>
      <c r="F42" s="11">
        <v>1</v>
      </c>
      <c r="G42" s="11">
        <v>2</v>
      </c>
      <c r="H42" s="95">
        <f>((0.79)/3)+0.1</f>
        <v>0.3633333333333334</v>
      </c>
      <c r="I42" s="95">
        <v>2.7</v>
      </c>
      <c r="J42" s="95">
        <f t="shared" ref="J42" si="52">0.58+8*$C42/1000</f>
        <v>0.70799999999999996</v>
      </c>
      <c r="K42" s="22"/>
      <c r="L42" s="72">
        <f t="shared" ref="L42" si="53">SUM(H42:J42)+K42</f>
        <v>3.7713333333333336</v>
      </c>
      <c r="M42" s="72">
        <f t="shared" si="0"/>
        <v>0</v>
      </c>
      <c r="N42" s="72">
        <f t="shared" si="1"/>
        <v>0</v>
      </c>
      <c r="O42" s="72">
        <f t="shared" si="2"/>
        <v>0</v>
      </c>
      <c r="P42" s="72">
        <f t="shared" si="3"/>
        <v>15.09</v>
      </c>
      <c r="Q42" s="72">
        <f t="shared" si="4"/>
        <v>0</v>
      </c>
      <c r="R42" s="72">
        <f t="shared" si="5"/>
        <v>0</v>
      </c>
    </row>
    <row r="43" spans="1:18" x14ac:dyDescent="0.25">
      <c r="A43" s="26"/>
      <c r="B43" s="25" t="s">
        <v>434</v>
      </c>
      <c r="C43" s="15">
        <v>8</v>
      </c>
      <c r="D43" s="16">
        <v>100</v>
      </c>
      <c r="E43" s="15">
        <v>2</v>
      </c>
      <c r="F43" s="11">
        <v>1</v>
      </c>
      <c r="G43" s="11">
        <f>+ROUND(1.8/0.1,0)</f>
        <v>18</v>
      </c>
      <c r="H43" s="95"/>
      <c r="I43" s="95">
        <f>2*(0.15+0.4)+16*C43/1000</f>
        <v>1.2280000000000002</v>
      </c>
      <c r="J43" s="100"/>
      <c r="K43" s="47"/>
      <c r="L43" s="72">
        <f>SUM(H43:J43)+K43</f>
        <v>1.2280000000000002</v>
      </c>
      <c r="M43" s="72">
        <f t="shared" si="0"/>
        <v>44.21</v>
      </c>
      <c r="N43" s="72">
        <f t="shared" si="1"/>
        <v>0</v>
      </c>
      <c r="O43" s="72">
        <f t="shared" si="2"/>
        <v>0</v>
      </c>
      <c r="P43" s="72">
        <f t="shared" si="3"/>
        <v>0</v>
      </c>
      <c r="Q43" s="72">
        <f t="shared" si="4"/>
        <v>0</v>
      </c>
      <c r="R43" s="72">
        <f t="shared" si="5"/>
        <v>0</v>
      </c>
    </row>
    <row r="44" spans="1:18" x14ac:dyDescent="0.25">
      <c r="A44" s="26"/>
      <c r="B44" s="25"/>
      <c r="C44" s="15">
        <v>8</v>
      </c>
      <c r="D44" s="16">
        <v>150</v>
      </c>
      <c r="E44" s="15">
        <v>2</v>
      </c>
      <c r="F44" s="11">
        <v>1</v>
      </c>
      <c r="G44" s="11">
        <f>+ROUND(0.9/0.15+1,0)</f>
        <v>7</v>
      </c>
      <c r="H44" s="95"/>
      <c r="I44" s="95">
        <f>2*(0.15+0.4)+16*C44/1000</f>
        <v>1.2280000000000002</v>
      </c>
      <c r="J44" s="100"/>
      <c r="K44" s="22"/>
      <c r="L44" s="72">
        <f t="shared" ref="L44:L45" si="54">SUM(H44:J44)+K44</f>
        <v>1.2280000000000002</v>
      </c>
      <c r="M44" s="72">
        <f t="shared" ref="M44:M49" si="55">+ROUND(IF(C44=8,PRODUCT(E44,F44,G44,L44),0),2)</f>
        <v>17.190000000000001</v>
      </c>
      <c r="N44" s="72">
        <f t="shared" ref="N44:N49" si="56">+ROUND(IF(C44=10,PRODUCT(E44,F44,G44,L44),0),2)</f>
        <v>0</v>
      </c>
      <c r="O44" s="72">
        <f t="shared" ref="O44:O49" si="57">+ROUND(IF(C44=12,PRODUCT(E44,F44,G44,L44),0),2)</f>
        <v>0</v>
      </c>
      <c r="P44" s="72">
        <f t="shared" ref="P44:P49" si="58">+ROUND(IF(C44=16,PRODUCT(E44,F44,G44,L44),0),2)</f>
        <v>0</v>
      </c>
      <c r="Q44" s="72">
        <f t="shared" ref="Q44:Q49" si="59">+ROUND(IF(C44=20,PRODUCT(E44,F44,G44,L44),0),2)</f>
        <v>0</v>
      </c>
      <c r="R44" s="72">
        <f t="shared" ref="R44:R49" si="60">+ROUND(IF(C44=25,PRODUCT(E44,F44,G44,L44),0),2)</f>
        <v>0</v>
      </c>
    </row>
    <row r="45" spans="1:18" x14ac:dyDescent="0.25">
      <c r="A45" s="26" t="s">
        <v>436</v>
      </c>
      <c r="B45" s="48" t="s">
        <v>446</v>
      </c>
      <c r="C45" s="15"/>
      <c r="D45" s="16"/>
      <c r="E45" s="15"/>
      <c r="F45" s="11"/>
      <c r="G45" s="11"/>
      <c r="H45" s="95"/>
      <c r="I45" s="95"/>
      <c r="J45" s="100"/>
      <c r="K45" s="22"/>
      <c r="L45" s="72">
        <f t="shared" si="54"/>
        <v>0</v>
      </c>
      <c r="M45" s="72">
        <f t="shared" si="55"/>
        <v>0</v>
      </c>
      <c r="N45" s="72">
        <f t="shared" si="56"/>
        <v>0</v>
      </c>
      <c r="O45" s="72">
        <f t="shared" si="57"/>
        <v>0</v>
      </c>
      <c r="P45" s="72">
        <f t="shared" si="58"/>
        <v>0</v>
      </c>
      <c r="Q45" s="72">
        <f t="shared" si="59"/>
        <v>0</v>
      </c>
      <c r="R45" s="72">
        <f t="shared" si="60"/>
        <v>0</v>
      </c>
    </row>
    <row r="46" spans="1:18" x14ac:dyDescent="0.25">
      <c r="A46" s="26"/>
      <c r="B46" s="25" t="s">
        <v>385</v>
      </c>
      <c r="C46" s="15">
        <v>16</v>
      </c>
      <c r="D46" s="16"/>
      <c r="E46" s="15">
        <v>2</v>
      </c>
      <c r="F46" s="11">
        <v>1</v>
      </c>
      <c r="G46" s="11">
        <v>2</v>
      </c>
      <c r="H46" s="95">
        <f>0.58+8*$C46/1000</f>
        <v>0.70799999999999996</v>
      </c>
      <c r="I46" s="95">
        <v>2.875</v>
      </c>
      <c r="J46" s="95">
        <f>0.58+8*$C46/1000</f>
        <v>0.70799999999999996</v>
      </c>
      <c r="K46" s="22"/>
      <c r="L46" s="72">
        <f>SUM(H46:J46)+K46</f>
        <v>4.2910000000000004</v>
      </c>
      <c r="M46" s="72">
        <f t="shared" si="55"/>
        <v>0</v>
      </c>
      <c r="N46" s="72">
        <f t="shared" si="56"/>
        <v>0</v>
      </c>
      <c r="O46" s="72">
        <f t="shared" si="57"/>
        <v>0</v>
      </c>
      <c r="P46" s="72">
        <f t="shared" si="58"/>
        <v>17.16</v>
      </c>
      <c r="Q46" s="72">
        <f t="shared" si="59"/>
        <v>0</v>
      </c>
      <c r="R46" s="72">
        <f t="shared" si="60"/>
        <v>0</v>
      </c>
    </row>
    <row r="47" spans="1:18" x14ac:dyDescent="0.25">
      <c r="A47" s="26"/>
      <c r="B47" s="25" t="s">
        <v>385</v>
      </c>
      <c r="C47" s="15">
        <v>16</v>
      </c>
      <c r="D47" s="16"/>
      <c r="E47" s="15">
        <v>2</v>
      </c>
      <c r="F47" s="11">
        <v>1</v>
      </c>
      <c r="G47" s="11">
        <v>2</v>
      </c>
      <c r="H47" s="95">
        <v>0.57999999999999996</v>
      </c>
      <c r="I47" s="95">
        <v>2.93</v>
      </c>
      <c r="J47" s="95">
        <f>((0.79)/3)+0.1</f>
        <v>0.3633333333333334</v>
      </c>
      <c r="K47" s="22"/>
      <c r="L47" s="72">
        <f>SUM(H47:J47)+K47</f>
        <v>3.8733333333333335</v>
      </c>
      <c r="M47" s="72">
        <f t="shared" ref="M47" si="61">+ROUND(IF(C47=8,PRODUCT(E47,F47,G47,L47),0),2)</f>
        <v>0</v>
      </c>
      <c r="N47" s="72">
        <f t="shared" ref="N47" si="62">+ROUND(IF(C47=10,PRODUCT(E47,F47,G47,L47),0),2)</f>
        <v>0</v>
      </c>
      <c r="O47" s="72">
        <f t="shared" ref="O47" si="63">+ROUND(IF(C47=12,PRODUCT(E47,F47,G47,L47),0),2)</f>
        <v>0</v>
      </c>
      <c r="P47" s="72">
        <f t="shared" ref="P47" si="64">+ROUND(IF(C47=16,PRODUCT(E47,F47,G47,L47),0),2)</f>
        <v>15.49</v>
      </c>
      <c r="Q47" s="72">
        <f t="shared" ref="Q47" si="65">+ROUND(IF(C47=20,PRODUCT(E47,F47,G47,L47),0),2)</f>
        <v>0</v>
      </c>
      <c r="R47" s="72">
        <f t="shared" ref="R47" si="66">+ROUND(IF(C47=25,PRODUCT(E47,F47,G47,L47),0),2)</f>
        <v>0</v>
      </c>
    </row>
    <row r="48" spans="1:18" x14ac:dyDescent="0.25">
      <c r="A48" s="26"/>
      <c r="B48" s="25" t="s">
        <v>432</v>
      </c>
      <c r="C48" s="15">
        <v>16</v>
      </c>
      <c r="D48" s="16"/>
      <c r="E48" s="15">
        <v>2</v>
      </c>
      <c r="F48" s="11">
        <v>1</v>
      </c>
      <c r="G48" s="11">
        <v>2</v>
      </c>
      <c r="H48" s="95">
        <f>0.58+8*$C48/1000</f>
        <v>0.70799999999999996</v>
      </c>
      <c r="I48" s="95">
        <v>6.4050000000000002</v>
      </c>
      <c r="J48" s="95">
        <f>((0.79)/3)+0.1</f>
        <v>0.3633333333333334</v>
      </c>
      <c r="K48" s="22"/>
      <c r="L48" s="72">
        <f t="shared" ref="L48" si="67">SUM(H48:J48)+K48</f>
        <v>7.4763333333333337</v>
      </c>
      <c r="M48" s="72">
        <f t="shared" si="55"/>
        <v>0</v>
      </c>
      <c r="N48" s="72">
        <f t="shared" si="56"/>
        <v>0</v>
      </c>
      <c r="O48" s="72">
        <f t="shared" si="57"/>
        <v>0</v>
      </c>
      <c r="P48" s="72">
        <f t="shared" si="58"/>
        <v>29.91</v>
      </c>
      <c r="Q48" s="72">
        <f t="shared" si="59"/>
        <v>0</v>
      </c>
      <c r="R48" s="72">
        <f t="shared" si="60"/>
        <v>0</v>
      </c>
    </row>
    <row r="49" spans="1:18" x14ac:dyDescent="0.25">
      <c r="A49" s="26"/>
      <c r="B49" s="25" t="s">
        <v>448</v>
      </c>
      <c r="C49" s="15">
        <v>8</v>
      </c>
      <c r="D49" s="16">
        <v>100</v>
      </c>
      <c r="E49" s="15">
        <v>2</v>
      </c>
      <c r="F49" s="11">
        <v>1</v>
      </c>
      <c r="G49" s="11">
        <f>+ROUND(2/0.1,0)</f>
        <v>20</v>
      </c>
      <c r="H49" s="95"/>
      <c r="I49" s="95">
        <f>2*(0.15+0.45)+16*C49/1000</f>
        <v>1.3279999999999998</v>
      </c>
      <c r="J49" s="100"/>
      <c r="K49" s="47"/>
      <c r="L49" s="72">
        <f>SUM(H49:J49)+K49</f>
        <v>1.3279999999999998</v>
      </c>
      <c r="M49" s="72">
        <f t="shared" si="55"/>
        <v>53.12</v>
      </c>
      <c r="N49" s="72">
        <f t="shared" si="56"/>
        <v>0</v>
      </c>
      <c r="O49" s="72">
        <f t="shared" si="57"/>
        <v>0</v>
      </c>
      <c r="P49" s="72">
        <f t="shared" si="58"/>
        <v>0</v>
      </c>
      <c r="Q49" s="72">
        <f t="shared" si="59"/>
        <v>0</v>
      </c>
      <c r="R49" s="72">
        <f t="shared" si="60"/>
        <v>0</v>
      </c>
    </row>
    <row r="50" spans="1:18" x14ac:dyDescent="0.25">
      <c r="A50" s="26"/>
      <c r="B50" s="25"/>
      <c r="C50" s="15">
        <v>8</v>
      </c>
      <c r="D50" s="16">
        <v>150</v>
      </c>
      <c r="E50" s="15">
        <v>2</v>
      </c>
      <c r="F50" s="11">
        <v>1</v>
      </c>
      <c r="G50" s="11">
        <f>+ROUND(0.875/0.15+1,0)</f>
        <v>7</v>
      </c>
      <c r="H50" s="95"/>
      <c r="I50" s="95">
        <f t="shared" ref="I50:I52" si="68">2*(0.15+0.45)+16*C50/1000</f>
        <v>1.3279999999999998</v>
      </c>
      <c r="J50" s="100"/>
      <c r="K50" s="22"/>
      <c r="L50" s="72">
        <f t="shared" ref="L50" si="69">SUM(H50:J50)+K50</f>
        <v>1.3279999999999998</v>
      </c>
      <c r="M50" s="72">
        <f t="shared" ref="M50:M51" si="70">+ROUND(IF(C50=8,PRODUCT(E50,F50,G50,L50),0),2)</f>
        <v>18.59</v>
      </c>
      <c r="N50" s="72">
        <f t="shared" ref="N50:N51" si="71">+ROUND(IF(C50=10,PRODUCT(E50,F50,G50,L50),0),2)</f>
        <v>0</v>
      </c>
      <c r="O50" s="72">
        <f t="shared" ref="O50:O51" si="72">+ROUND(IF(C50=12,PRODUCT(E50,F50,G50,L50),0),2)</f>
        <v>0</v>
      </c>
      <c r="P50" s="72">
        <f t="shared" ref="P50:P51" si="73">+ROUND(IF(C50=16,PRODUCT(E50,F50,G50,L50),0),2)</f>
        <v>0</v>
      </c>
      <c r="Q50" s="72">
        <f t="shared" ref="Q50:Q51" si="74">+ROUND(IF(C50=20,PRODUCT(E50,F50,G50,L50),0),2)</f>
        <v>0</v>
      </c>
      <c r="R50" s="72">
        <f t="shared" ref="R50:R51" si="75">+ROUND(IF(C50=25,PRODUCT(E50,F50,G50,L50),0),2)</f>
        <v>0</v>
      </c>
    </row>
    <row r="51" spans="1:18" x14ac:dyDescent="0.25">
      <c r="A51" s="26"/>
      <c r="B51" s="25" t="s">
        <v>447</v>
      </c>
      <c r="C51" s="15">
        <v>8</v>
      </c>
      <c r="D51" s="16">
        <v>100</v>
      </c>
      <c r="E51" s="15">
        <v>2</v>
      </c>
      <c r="F51" s="11">
        <v>1</v>
      </c>
      <c r="G51" s="11">
        <f>+ROUND(2/0.1,0)</f>
        <v>20</v>
      </c>
      <c r="H51" s="95"/>
      <c r="I51" s="95">
        <f t="shared" si="68"/>
        <v>1.3279999999999998</v>
      </c>
      <c r="J51" s="100"/>
      <c r="K51" s="47"/>
      <c r="L51" s="72">
        <f>SUM(H51:J51)+K51</f>
        <v>1.3279999999999998</v>
      </c>
      <c r="M51" s="72">
        <f t="shared" si="70"/>
        <v>53.12</v>
      </c>
      <c r="N51" s="72">
        <f t="shared" si="71"/>
        <v>0</v>
      </c>
      <c r="O51" s="72">
        <f t="shared" si="72"/>
        <v>0</v>
      </c>
      <c r="P51" s="72">
        <f t="shared" si="73"/>
        <v>0</v>
      </c>
      <c r="Q51" s="72">
        <f t="shared" si="74"/>
        <v>0</v>
      </c>
      <c r="R51" s="72">
        <f t="shared" si="75"/>
        <v>0</v>
      </c>
    </row>
    <row r="52" spans="1:18" x14ac:dyDescent="0.25">
      <c r="A52" s="26"/>
      <c r="B52" s="25"/>
      <c r="C52" s="15">
        <v>8</v>
      </c>
      <c r="D52" s="16">
        <v>150</v>
      </c>
      <c r="E52" s="15">
        <v>2</v>
      </c>
      <c r="F52" s="11">
        <v>1</v>
      </c>
      <c r="G52" s="11">
        <f>+ROUND(0.93/0.15+1,0)</f>
        <v>7</v>
      </c>
      <c r="H52" s="95"/>
      <c r="I52" s="95">
        <f t="shared" si="68"/>
        <v>1.3279999999999998</v>
      </c>
      <c r="J52" s="100"/>
      <c r="K52" s="22"/>
      <c r="L52" s="72">
        <f t="shared" ref="L52:L53" si="76">SUM(H52:J52)+K52</f>
        <v>1.3279999999999998</v>
      </c>
      <c r="M52" s="72">
        <f t="shared" ref="M52:M59" si="77">+ROUND(IF(C52=8,PRODUCT(E52,F52,G52,L52),0),2)</f>
        <v>18.59</v>
      </c>
      <c r="N52" s="72">
        <f t="shared" ref="N52:N59" si="78">+ROUND(IF(C52=10,PRODUCT(E52,F52,G52,L52),0),2)</f>
        <v>0</v>
      </c>
      <c r="O52" s="72">
        <f t="shared" ref="O52:O59" si="79">+ROUND(IF(C52=12,PRODUCT(E52,F52,G52,L52),0),2)</f>
        <v>0</v>
      </c>
      <c r="P52" s="72">
        <f t="shared" ref="P52:P59" si="80">+ROUND(IF(C52=16,PRODUCT(E52,F52,G52,L52),0),2)</f>
        <v>0</v>
      </c>
      <c r="Q52" s="72">
        <f t="shared" ref="Q52:Q59" si="81">+ROUND(IF(C52=20,PRODUCT(E52,F52,G52,L52),0),2)</f>
        <v>0</v>
      </c>
      <c r="R52" s="72">
        <f t="shared" ref="R52:R59" si="82">+ROUND(IF(C52=25,PRODUCT(E52,F52,G52,L52),0),2)</f>
        <v>0</v>
      </c>
    </row>
    <row r="53" spans="1:18" x14ac:dyDescent="0.25">
      <c r="A53" s="26" t="s">
        <v>436</v>
      </c>
      <c r="B53" s="48" t="s">
        <v>449</v>
      </c>
      <c r="C53" s="15"/>
      <c r="D53" s="16"/>
      <c r="E53" s="15"/>
      <c r="F53" s="11"/>
      <c r="G53" s="11"/>
      <c r="H53" s="95"/>
      <c r="I53" s="95"/>
      <c r="J53" s="100"/>
      <c r="K53" s="22"/>
      <c r="L53" s="72">
        <f t="shared" si="76"/>
        <v>0</v>
      </c>
      <c r="M53" s="72">
        <f t="shared" si="77"/>
        <v>0</v>
      </c>
      <c r="N53" s="72">
        <f t="shared" si="78"/>
        <v>0</v>
      </c>
      <c r="O53" s="72">
        <f t="shared" si="79"/>
        <v>0</v>
      </c>
      <c r="P53" s="72">
        <f t="shared" si="80"/>
        <v>0</v>
      </c>
      <c r="Q53" s="72">
        <f t="shared" si="81"/>
        <v>0</v>
      </c>
      <c r="R53" s="72">
        <f t="shared" si="82"/>
        <v>0</v>
      </c>
    </row>
    <row r="54" spans="1:18" x14ac:dyDescent="0.25">
      <c r="A54" s="26"/>
      <c r="B54" s="25" t="s">
        <v>385</v>
      </c>
      <c r="C54" s="15">
        <v>16</v>
      </c>
      <c r="D54" s="16"/>
      <c r="E54" s="15">
        <v>2</v>
      </c>
      <c r="F54" s="11">
        <v>1</v>
      </c>
      <c r="G54" s="11">
        <v>2</v>
      </c>
      <c r="H54" s="95">
        <f>0.58+8*$C54/1000</f>
        <v>0.70799999999999996</v>
      </c>
      <c r="I54" s="95">
        <v>4.6900000000000004</v>
      </c>
      <c r="J54" s="95">
        <f>0.58+8*$C54/1000</f>
        <v>0.70799999999999996</v>
      </c>
      <c r="K54" s="22"/>
      <c r="L54" s="72">
        <f>SUM(H54:J54)+K54</f>
        <v>6.1060000000000008</v>
      </c>
      <c r="M54" s="72">
        <f t="shared" si="77"/>
        <v>0</v>
      </c>
      <c r="N54" s="72">
        <f t="shared" si="78"/>
        <v>0</v>
      </c>
      <c r="O54" s="72">
        <f t="shared" si="79"/>
        <v>0</v>
      </c>
      <c r="P54" s="72">
        <f t="shared" si="80"/>
        <v>24.42</v>
      </c>
      <c r="Q54" s="72">
        <f t="shared" si="81"/>
        <v>0</v>
      </c>
      <c r="R54" s="72">
        <f t="shared" si="82"/>
        <v>0</v>
      </c>
    </row>
    <row r="55" spans="1:18" x14ac:dyDescent="0.25">
      <c r="A55" s="26"/>
      <c r="B55" s="25" t="s">
        <v>432</v>
      </c>
      <c r="C55" s="15">
        <v>16</v>
      </c>
      <c r="D55" s="16"/>
      <c r="E55" s="15">
        <v>2</v>
      </c>
      <c r="F55" s="11">
        <v>1</v>
      </c>
      <c r="G55" s="11">
        <v>2</v>
      </c>
      <c r="H55" s="95">
        <f>0.58+8*$C55/1000</f>
        <v>0.70799999999999996</v>
      </c>
      <c r="I55" s="95">
        <v>4.6900000000000004</v>
      </c>
      <c r="J55" s="95">
        <f>0.58+8*$C55/1000</f>
        <v>0.70799999999999996</v>
      </c>
      <c r="K55" s="22"/>
      <c r="L55" s="72">
        <f t="shared" ref="L55" si="83">SUM(H55:J55)+K55</f>
        <v>6.1060000000000008</v>
      </c>
      <c r="M55" s="72">
        <f t="shared" si="77"/>
        <v>0</v>
      </c>
      <c r="N55" s="72">
        <f t="shared" si="78"/>
        <v>0</v>
      </c>
      <c r="O55" s="72">
        <f t="shared" si="79"/>
        <v>0</v>
      </c>
      <c r="P55" s="72">
        <f t="shared" si="80"/>
        <v>24.42</v>
      </c>
      <c r="Q55" s="72">
        <f t="shared" si="81"/>
        <v>0</v>
      </c>
      <c r="R55" s="72">
        <f t="shared" si="82"/>
        <v>0</v>
      </c>
    </row>
    <row r="56" spans="1:18" x14ac:dyDescent="0.25">
      <c r="A56" s="26"/>
      <c r="B56" s="25" t="s">
        <v>450</v>
      </c>
      <c r="C56" s="15">
        <v>12</v>
      </c>
      <c r="D56" s="16"/>
      <c r="E56" s="15">
        <v>2</v>
      </c>
      <c r="F56" s="11">
        <v>1</v>
      </c>
      <c r="G56" s="11">
        <v>2</v>
      </c>
      <c r="H56" s="95"/>
      <c r="I56" s="95">
        <f>4.69-1.4</f>
        <v>3.2900000000000005</v>
      </c>
      <c r="J56" s="100"/>
      <c r="K56" s="22"/>
      <c r="L56" s="72">
        <f t="shared" ref="L56" si="84">SUM(H56:J56)+K56</f>
        <v>3.2900000000000005</v>
      </c>
      <c r="M56" s="72">
        <f t="shared" ref="M56" si="85">+ROUND(IF(C56=8,PRODUCT(E56,F56,G56,L56),0),2)</f>
        <v>0</v>
      </c>
      <c r="N56" s="72">
        <f t="shared" ref="N56" si="86">+ROUND(IF(C56=10,PRODUCT(E56,F56,G56,L56),0),2)</f>
        <v>0</v>
      </c>
      <c r="O56" s="72">
        <f t="shared" ref="O56" si="87">+ROUND(IF(C56=12,PRODUCT(E56,F56,G56,L56),0),2)</f>
        <v>13.16</v>
      </c>
      <c r="P56" s="72">
        <f t="shared" ref="P56" si="88">+ROUND(IF(C56=16,PRODUCT(E56,F56,G56,L56),0),2)</f>
        <v>0</v>
      </c>
      <c r="Q56" s="72">
        <f t="shared" ref="Q56" si="89">+ROUND(IF(C56=20,PRODUCT(E56,F56,G56,L56),0),2)</f>
        <v>0</v>
      </c>
      <c r="R56" s="72">
        <f t="shared" ref="R56" si="90">+ROUND(IF(C56=25,PRODUCT(E56,F56,G56,L56),0),2)</f>
        <v>0</v>
      </c>
    </row>
    <row r="57" spans="1:18" x14ac:dyDescent="0.25">
      <c r="A57" s="26"/>
      <c r="B57" s="25" t="s">
        <v>433</v>
      </c>
      <c r="C57" s="15">
        <v>16</v>
      </c>
      <c r="D57" s="16"/>
      <c r="E57" s="15">
        <v>2</v>
      </c>
      <c r="F57" s="11">
        <v>1</v>
      </c>
      <c r="G57" s="11">
        <v>4</v>
      </c>
      <c r="H57" s="95">
        <f>0.58+8*$C57/1000</f>
        <v>0.70799999999999996</v>
      </c>
      <c r="I57" s="95">
        <f>1.4</f>
        <v>1.4</v>
      </c>
      <c r="J57" s="100"/>
      <c r="K57" s="22"/>
      <c r="L57" s="72">
        <f t="shared" ref="L57" si="91">SUM(H57:J57)+K57</f>
        <v>2.1079999999999997</v>
      </c>
      <c r="M57" s="72">
        <f t="shared" ref="M57" si="92">+ROUND(IF(C57=8,PRODUCT(E57,F57,G57,L57),0),2)</f>
        <v>0</v>
      </c>
      <c r="N57" s="72">
        <f t="shared" ref="N57" si="93">+ROUND(IF(C57=10,PRODUCT(E57,F57,G57,L57),0),2)</f>
        <v>0</v>
      </c>
      <c r="O57" s="72">
        <f t="shared" ref="O57" si="94">+ROUND(IF(C57=12,PRODUCT(E57,F57,G57,L57),0),2)</f>
        <v>0</v>
      </c>
      <c r="P57" s="72">
        <f t="shared" ref="P57" si="95">+ROUND(IF(C57=16,PRODUCT(E57,F57,G57,L57),0),2)</f>
        <v>16.86</v>
      </c>
      <c r="Q57" s="72">
        <f t="shared" ref="Q57" si="96">+ROUND(IF(C57=20,PRODUCT(E57,F57,G57,L57),0),2)</f>
        <v>0</v>
      </c>
      <c r="R57" s="72">
        <f t="shared" ref="R57" si="97">+ROUND(IF(C57=25,PRODUCT(E57,F57,G57,L57),0),2)</f>
        <v>0</v>
      </c>
    </row>
    <row r="58" spans="1:18" x14ac:dyDescent="0.25">
      <c r="A58" s="26"/>
      <c r="B58" s="25" t="s">
        <v>434</v>
      </c>
      <c r="C58" s="15">
        <v>8</v>
      </c>
      <c r="D58" s="16">
        <v>100</v>
      </c>
      <c r="E58" s="15">
        <v>2</v>
      </c>
      <c r="F58" s="11">
        <v>1</v>
      </c>
      <c r="G58" s="11">
        <f>+ROUND(2.345/0.1,0)</f>
        <v>23</v>
      </c>
      <c r="H58" s="95"/>
      <c r="I58" s="95">
        <f>2*(0.15+0.45)+16*C58/1000</f>
        <v>1.3279999999999998</v>
      </c>
      <c r="J58" s="100"/>
      <c r="K58" s="47"/>
      <c r="L58" s="72">
        <f>SUM(H58:J58)+K58</f>
        <v>1.3279999999999998</v>
      </c>
      <c r="M58" s="72">
        <f t="shared" si="77"/>
        <v>61.09</v>
      </c>
      <c r="N58" s="72">
        <f t="shared" si="78"/>
        <v>0</v>
      </c>
      <c r="O58" s="72">
        <f t="shared" si="79"/>
        <v>0</v>
      </c>
      <c r="P58" s="72">
        <f t="shared" si="80"/>
        <v>0</v>
      </c>
      <c r="Q58" s="72">
        <f t="shared" si="81"/>
        <v>0</v>
      </c>
      <c r="R58" s="72">
        <f t="shared" si="82"/>
        <v>0</v>
      </c>
    </row>
    <row r="59" spans="1:18" x14ac:dyDescent="0.25">
      <c r="A59" s="26"/>
      <c r="B59" s="25"/>
      <c r="C59" s="15">
        <v>8</v>
      </c>
      <c r="D59" s="16">
        <v>150</v>
      </c>
      <c r="E59" s="15">
        <v>2</v>
      </c>
      <c r="F59" s="11">
        <v>1</v>
      </c>
      <c r="G59" s="11">
        <f>+ROUND(2.345/0.15+1,0)</f>
        <v>17</v>
      </c>
      <c r="H59" s="95"/>
      <c r="I59" s="95">
        <f t="shared" ref="I59" si="98">2*(0.15+0.45)+16*C59/1000</f>
        <v>1.3279999999999998</v>
      </c>
      <c r="J59" s="100"/>
      <c r="K59" s="22"/>
      <c r="L59" s="72">
        <f t="shared" ref="L59" si="99">SUM(H59:J59)+K59</f>
        <v>1.3279999999999998</v>
      </c>
      <c r="M59" s="72">
        <f t="shared" si="77"/>
        <v>45.15</v>
      </c>
      <c r="N59" s="72">
        <f t="shared" si="78"/>
        <v>0</v>
      </c>
      <c r="O59" s="72">
        <f t="shared" si="79"/>
        <v>0</v>
      </c>
      <c r="P59" s="72">
        <f t="shared" si="80"/>
        <v>0</v>
      </c>
      <c r="Q59" s="72">
        <f t="shared" si="81"/>
        <v>0</v>
      </c>
      <c r="R59" s="72">
        <f t="shared" si="82"/>
        <v>0</v>
      </c>
    </row>
    <row r="60" spans="1:18" x14ac:dyDescent="0.25">
      <c r="A60" s="26" t="s">
        <v>436</v>
      </c>
      <c r="B60" s="48" t="s">
        <v>451</v>
      </c>
      <c r="C60" s="15"/>
      <c r="D60" s="16"/>
      <c r="E60" s="15"/>
      <c r="F60" s="11"/>
      <c r="G60" s="11"/>
      <c r="H60" s="95"/>
      <c r="I60" s="95"/>
      <c r="J60" s="100"/>
      <c r="K60" s="22"/>
      <c r="L60" s="72">
        <f t="shared" ref="L60" si="100">SUM(H60:J60)+K60</f>
        <v>0</v>
      </c>
      <c r="M60" s="72">
        <f t="shared" ref="M60:M72" si="101">+ROUND(IF(C60=8,PRODUCT(E60,F60,G60,L60),0),2)</f>
        <v>0</v>
      </c>
      <c r="N60" s="72">
        <f t="shared" ref="N60:N72" si="102">+ROUND(IF(C60=10,PRODUCT(E60,F60,G60,L60),0),2)</f>
        <v>0</v>
      </c>
      <c r="O60" s="72">
        <f t="shared" ref="O60:O72" si="103">+ROUND(IF(C60=12,PRODUCT(E60,F60,G60,L60),0),2)</f>
        <v>0</v>
      </c>
      <c r="P60" s="72">
        <f t="shared" ref="P60:P72" si="104">+ROUND(IF(C60=16,PRODUCT(E60,F60,G60,L60),0),2)</f>
        <v>0</v>
      </c>
      <c r="Q60" s="72">
        <f t="shared" ref="Q60:Q72" si="105">+ROUND(IF(C60=20,PRODUCT(E60,F60,G60,L60),0),2)</f>
        <v>0</v>
      </c>
      <c r="R60" s="72">
        <f t="shared" ref="R60:R72" si="106">+ROUND(IF(C60=25,PRODUCT(E60,F60,G60,L60),0),2)</f>
        <v>0</v>
      </c>
    </row>
    <row r="61" spans="1:18" x14ac:dyDescent="0.25">
      <c r="A61" s="26"/>
      <c r="B61" s="25" t="s">
        <v>385</v>
      </c>
      <c r="C61" s="15">
        <v>20</v>
      </c>
      <c r="D61" s="16"/>
      <c r="E61" s="15">
        <v>2</v>
      </c>
      <c r="F61" s="96">
        <v>0.5</v>
      </c>
      <c r="G61" s="11">
        <v>2</v>
      </c>
      <c r="H61" s="95">
        <f>((0.98)/3)+0.1</f>
        <v>0.42666666666666664</v>
      </c>
      <c r="I61" s="95">
        <v>6.3</v>
      </c>
      <c r="J61" s="95">
        <f>((0.98)/3)+0.1</f>
        <v>0.42666666666666664</v>
      </c>
      <c r="K61" s="22"/>
      <c r="L61" s="72">
        <f>SUM(H61:J61)+K61</f>
        <v>7.1533333333333333</v>
      </c>
      <c r="M61" s="72">
        <f t="shared" si="101"/>
        <v>0</v>
      </c>
      <c r="N61" s="72">
        <f t="shared" si="102"/>
        <v>0</v>
      </c>
      <c r="O61" s="72">
        <f t="shared" si="103"/>
        <v>0</v>
      </c>
      <c r="P61" s="72">
        <f t="shared" si="104"/>
        <v>0</v>
      </c>
      <c r="Q61" s="72">
        <f t="shared" si="105"/>
        <v>14.31</v>
      </c>
      <c r="R61" s="72">
        <f t="shared" si="106"/>
        <v>0</v>
      </c>
    </row>
    <row r="62" spans="1:18" x14ac:dyDescent="0.25">
      <c r="A62" s="26"/>
      <c r="B62" s="25" t="s">
        <v>432</v>
      </c>
      <c r="C62" s="15">
        <v>25</v>
      </c>
      <c r="D62" s="16"/>
      <c r="E62" s="15">
        <v>2</v>
      </c>
      <c r="F62" s="96">
        <v>0.5</v>
      </c>
      <c r="G62" s="11">
        <v>2</v>
      </c>
      <c r="H62" s="95">
        <f>((1.225)/3)+0.1</f>
        <v>0.50833333333333341</v>
      </c>
      <c r="I62" s="95">
        <v>6.3</v>
      </c>
      <c r="J62" s="95">
        <f>((1.225)/3)+0.1</f>
        <v>0.50833333333333341</v>
      </c>
      <c r="K62" s="22"/>
      <c r="L62" s="72">
        <f t="shared" ref="L62:L63" si="107">SUM(H62:J62)+K62</f>
        <v>7.3166666666666673</v>
      </c>
      <c r="M62" s="72">
        <f t="shared" si="101"/>
        <v>0</v>
      </c>
      <c r="N62" s="72">
        <f t="shared" si="102"/>
        <v>0</v>
      </c>
      <c r="O62" s="72">
        <f t="shared" si="103"/>
        <v>0</v>
      </c>
      <c r="P62" s="72">
        <f t="shared" si="104"/>
        <v>0</v>
      </c>
      <c r="Q62" s="72">
        <f t="shared" si="105"/>
        <v>0</v>
      </c>
      <c r="R62" s="72">
        <f t="shared" si="106"/>
        <v>14.63</v>
      </c>
    </row>
    <row r="63" spans="1:18" x14ac:dyDescent="0.25">
      <c r="A63" s="26"/>
      <c r="B63" s="25" t="s">
        <v>450</v>
      </c>
      <c r="C63" s="15">
        <v>12</v>
      </c>
      <c r="D63" s="16"/>
      <c r="E63" s="15">
        <v>2</v>
      </c>
      <c r="F63" s="96">
        <v>0.5</v>
      </c>
      <c r="G63" s="11">
        <v>2</v>
      </c>
      <c r="H63" s="95"/>
      <c r="I63" s="95">
        <f>6.3-1.2</f>
        <v>5.0999999999999996</v>
      </c>
      <c r="J63" s="100"/>
      <c r="K63" s="22"/>
      <c r="L63" s="72">
        <f t="shared" si="107"/>
        <v>5.0999999999999996</v>
      </c>
      <c r="M63" s="72">
        <f t="shared" si="101"/>
        <v>0</v>
      </c>
      <c r="N63" s="72">
        <f t="shared" si="102"/>
        <v>0</v>
      </c>
      <c r="O63" s="72">
        <f t="shared" si="103"/>
        <v>10.199999999999999</v>
      </c>
      <c r="P63" s="72">
        <f t="shared" si="104"/>
        <v>0</v>
      </c>
      <c r="Q63" s="72">
        <f t="shared" si="105"/>
        <v>0</v>
      </c>
      <c r="R63" s="72">
        <f t="shared" si="106"/>
        <v>0</v>
      </c>
    </row>
    <row r="64" spans="1:18" x14ac:dyDescent="0.25">
      <c r="A64" s="26"/>
      <c r="B64" s="25" t="s">
        <v>448</v>
      </c>
      <c r="C64" s="15">
        <v>8</v>
      </c>
      <c r="D64" s="16">
        <v>100</v>
      </c>
      <c r="E64" s="15">
        <v>2</v>
      </c>
      <c r="F64" s="96">
        <v>0.5</v>
      </c>
      <c r="G64" s="11">
        <f>+ROUND(3.15/0.1,0)</f>
        <v>32</v>
      </c>
      <c r="H64" s="95"/>
      <c r="I64" s="95">
        <f>2*(0.15+0.45)+16*C64/1000</f>
        <v>1.3279999999999998</v>
      </c>
      <c r="J64" s="100"/>
      <c r="K64" s="47"/>
      <c r="L64" s="72">
        <f>SUM(H64:J64)+K64</f>
        <v>1.3279999999999998</v>
      </c>
      <c r="M64" s="72">
        <f t="shared" si="101"/>
        <v>42.5</v>
      </c>
      <c r="N64" s="72">
        <f t="shared" si="102"/>
        <v>0</v>
      </c>
      <c r="O64" s="72">
        <f t="shared" si="103"/>
        <v>0</v>
      </c>
      <c r="P64" s="72">
        <f t="shared" si="104"/>
        <v>0</v>
      </c>
      <c r="Q64" s="72">
        <f t="shared" si="105"/>
        <v>0</v>
      </c>
      <c r="R64" s="72">
        <f t="shared" si="106"/>
        <v>0</v>
      </c>
    </row>
    <row r="65" spans="1:18" x14ac:dyDescent="0.25">
      <c r="A65" s="26"/>
      <c r="B65" s="25"/>
      <c r="C65" s="15">
        <v>8</v>
      </c>
      <c r="D65" s="16">
        <v>150</v>
      </c>
      <c r="E65" s="15">
        <v>2</v>
      </c>
      <c r="F65" s="96">
        <v>0.5</v>
      </c>
      <c r="G65" s="11">
        <f>+ROUND(3.15/0.15+1,0)</f>
        <v>22</v>
      </c>
      <c r="H65" s="95"/>
      <c r="I65" s="95">
        <f>2*(0.15+0.45)+16*C65/1000</f>
        <v>1.3279999999999998</v>
      </c>
      <c r="J65" s="100"/>
      <c r="K65" s="22"/>
      <c r="L65" s="72">
        <f t="shared" ref="L65:L66" si="108">SUM(H65:J65)+K65</f>
        <v>1.3279999999999998</v>
      </c>
      <c r="M65" s="72">
        <f t="shared" si="101"/>
        <v>29.22</v>
      </c>
      <c r="N65" s="72">
        <f t="shared" si="102"/>
        <v>0</v>
      </c>
      <c r="O65" s="72">
        <f t="shared" si="103"/>
        <v>0</v>
      </c>
      <c r="P65" s="72">
        <f t="shared" si="104"/>
        <v>0</v>
      </c>
      <c r="Q65" s="72">
        <f t="shared" si="105"/>
        <v>0</v>
      </c>
      <c r="R65" s="72">
        <f t="shared" si="106"/>
        <v>0</v>
      </c>
    </row>
    <row r="66" spans="1:18" x14ac:dyDescent="0.25">
      <c r="A66" s="26" t="s">
        <v>442</v>
      </c>
      <c r="B66" s="48" t="s">
        <v>753</v>
      </c>
      <c r="C66" s="15"/>
      <c r="D66" s="16"/>
      <c r="E66" s="15"/>
      <c r="F66" s="11"/>
      <c r="G66" s="11"/>
      <c r="H66" s="95"/>
      <c r="I66" s="95"/>
      <c r="J66" s="100"/>
      <c r="K66" s="22"/>
      <c r="L66" s="72">
        <f t="shared" si="108"/>
        <v>0</v>
      </c>
      <c r="M66" s="72">
        <f t="shared" si="101"/>
        <v>0</v>
      </c>
      <c r="N66" s="72">
        <f t="shared" si="102"/>
        <v>0</v>
      </c>
      <c r="O66" s="72">
        <f t="shared" si="103"/>
        <v>0</v>
      </c>
      <c r="P66" s="72">
        <f t="shared" si="104"/>
        <v>0</v>
      </c>
      <c r="Q66" s="72">
        <f t="shared" si="105"/>
        <v>0</v>
      </c>
      <c r="R66" s="72">
        <f t="shared" si="106"/>
        <v>0</v>
      </c>
    </row>
    <row r="67" spans="1:18" x14ac:dyDescent="0.25">
      <c r="A67" s="26"/>
      <c r="B67" s="25" t="s">
        <v>385</v>
      </c>
      <c r="C67" s="15">
        <v>16</v>
      </c>
      <c r="D67" s="16"/>
      <c r="E67" s="15">
        <v>4</v>
      </c>
      <c r="F67" s="11">
        <v>1</v>
      </c>
      <c r="G67" s="11">
        <v>2</v>
      </c>
      <c r="H67" s="95">
        <f>0.58+8*$C67/1000</f>
        <v>0.70799999999999996</v>
      </c>
      <c r="I67" s="95">
        <v>4.6900000000000004</v>
      </c>
      <c r="J67" s="95">
        <f>0.58+8*$C67/1000</f>
        <v>0.70799999999999996</v>
      </c>
      <c r="K67" s="22"/>
      <c r="L67" s="72">
        <f>SUM(H67:J67)+K67</f>
        <v>6.1060000000000008</v>
      </c>
      <c r="M67" s="72">
        <f t="shared" si="101"/>
        <v>0</v>
      </c>
      <c r="N67" s="72">
        <f t="shared" si="102"/>
        <v>0</v>
      </c>
      <c r="O67" s="72">
        <f t="shared" si="103"/>
        <v>0</v>
      </c>
      <c r="P67" s="72">
        <f t="shared" si="104"/>
        <v>48.85</v>
      </c>
      <c r="Q67" s="72">
        <f t="shared" si="105"/>
        <v>0</v>
      </c>
      <c r="R67" s="72">
        <f t="shared" si="106"/>
        <v>0</v>
      </c>
    </row>
    <row r="68" spans="1:18" x14ac:dyDescent="0.25">
      <c r="A68" s="26"/>
      <c r="B68" s="25" t="s">
        <v>432</v>
      </c>
      <c r="C68" s="15">
        <v>16</v>
      </c>
      <c r="D68" s="16"/>
      <c r="E68" s="15">
        <v>4</v>
      </c>
      <c r="F68" s="11">
        <v>1</v>
      </c>
      <c r="G68" s="11">
        <v>2</v>
      </c>
      <c r="H68" s="95">
        <f>0.58+8*$C68/1000</f>
        <v>0.70799999999999996</v>
      </c>
      <c r="I68" s="95">
        <v>4.6900000000000004</v>
      </c>
      <c r="J68" s="95">
        <f>0.58+8*$C68/1000</f>
        <v>0.70799999999999996</v>
      </c>
      <c r="K68" s="22"/>
      <c r="L68" s="72">
        <f t="shared" ref="L68" si="109">SUM(H68:J68)+K68</f>
        <v>6.1060000000000008</v>
      </c>
      <c r="M68" s="72">
        <f t="shared" si="101"/>
        <v>0</v>
      </c>
      <c r="N68" s="72">
        <f t="shared" si="102"/>
        <v>0</v>
      </c>
      <c r="O68" s="72">
        <f t="shared" si="103"/>
        <v>0</v>
      </c>
      <c r="P68" s="72">
        <f t="shared" si="104"/>
        <v>48.85</v>
      </c>
      <c r="Q68" s="72">
        <f t="shared" si="105"/>
        <v>0</v>
      </c>
      <c r="R68" s="72">
        <f t="shared" si="106"/>
        <v>0</v>
      </c>
    </row>
    <row r="69" spans="1:18" x14ac:dyDescent="0.25">
      <c r="A69" s="26"/>
      <c r="B69" s="25" t="s">
        <v>450</v>
      </c>
      <c r="C69" s="15">
        <v>12</v>
      </c>
      <c r="D69" s="16"/>
      <c r="E69" s="15">
        <v>4</v>
      </c>
      <c r="F69" s="11">
        <v>1</v>
      </c>
      <c r="G69" s="11">
        <v>2</v>
      </c>
      <c r="H69" s="95"/>
      <c r="I69" s="95">
        <f>4.69-0.9</f>
        <v>3.7900000000000005</v>
      </c>
      <c r="J69" s="100"/>
      <c r="K69" s="22"/>
      <c r="L69" s="72">
        <f t="shared" ref="L69" si="110">SUM(H69:J69)+K69</f>
        <v>3.7900000000000005</v>
      </c>
      <c r="M69" s="72">
        <f t="shared" si="101"/>
        <v>0</v>
      </c>
      <c r="N69" s="72">
        <f t="shared" si="102"/>
        <v>0</v>
      </c>
      <c r="O69" s="72">
        <f t="shared" si="103"/>
        <v>30.32</v>
      </c>
      <c r="P69" s="72">
        <f t="shared" si="104"/>
        <v>0</v>
      </c>
      <c r="Q69" s="72">
        <f t="shared" si="105"/>
        <v>0</v>
      </c>
      <c r="R69" s="72">
        <f t="shared" si="106"/>
        <v>0</v>
      </c>
    </row>
    <row r="70" spans="1:18" x14ac:dyDescent="0.25">
      <c r="A70" s="26"/>
      <c r="B70" s="25" t="s">
        <v>433</v>
      </c>
      <c r="C70" s="15">
        <v>12</v>
      </c>
      <c r="D70" s="16"/>
      <c r="E70" s="15">
        <v>4</v>
      </c>
      <c r="F70" s="11">
        <v>1</v>
      </c>
      <c r="G70" s="11">
        <v>4</v>
      </c>
      <c r="H70" s="95">
        <f>0.44+8*$C70/1000</f>
        <v>0.53600000000000003</v>
      </c>
      <c r="I70" s="95">
        <v>1.4</v>
      </c>
      <c r="J70" s="100"/>
      <c r="K70" s="22"/>
      <c r="L70" s="72">
        <f t="shared" ref="L70" si="111">SUM(H70:J70)+K70</f>
        <v>1.9359999999999999</v>
      </c>
      <c r="M70" s="72">
        <f t="shared" si="101"/>
        <v>0</v>
      </c>
      <c r="N70" s="72">
        <f t="shared" si="102"/>
        <v>0</v>
      </c>
      <c r="O70" s="72">
        <f t="shared" si="103"/>
        <v>30.98</v>
      </c>
      <c r="P70" s="72">
        <f t="shared" si="104"/>
        <v>0</v>
      </c>
      <c r="Q70" s="72">
        <f t="shared" si="105"/>
        <v>0</v>
      </c>
      <c r="R70" s="72">
        <f t="shared" si="106"/>
        <v>0</v>
      </c>
    </row>
    <row r="71" spans="1:18" x14ac:dyDescent="0.25">
      <c r="A71" s="26"/>
      <c r="B71" s="25" t="s">
        <v>434</v>
      </c>
      <c r="C71" s="15">
        <v>8</v>
      </c>
      <c r="D71" s="16">
        <v>100</v>
      </c>
      <c r="E71" s="15">
        <v>4</v>
      </c>
      <c r="F71" s="11">
        <v>1</v>
      </c>
      <c r="G71" s="11">
        <f>+ROUND(2.345/0.1,0)</f>
        <v>23</v>
      </c>
      <c r="H71" s="95"/>
      <c r="I71" s="95">
        <f>2*(0.15+0.45)+16*C71/1000</f>
        <v>1.3279999999999998</v>
      </c>
      <c r="J71" s="100"/>
      <c r="K71" s="47"/>
      <c r="L71" s="72">
        <f>SUM(H71:J71)+K71</f>
        <v>1.3279999999999998</v>
      </c>
      <c r="M71" s="72">
        <f t="shared" si="101"/>
        <v>122.18</v>
      </c>
      <c r="N71" s="72">
        <f t="shared" si="102"/>
        <v>0</v>
      </c>
      <c r="O71" s="72">
        <f t="shared" si="103"/>
        <v>0</v>
      </c>
      <c r="P71" s="72">
        <f t="shared" si="104"/>
        <v>0</v>
      </c>
      <c r="Q71" s="72">
        <f t="shared" si="105"/>
        <v>0</v>
      </c>
      <c r="R71" s="72">
        <f t="shared" si="106"/>
        <v>0</v>
      </c>
    </row>
    <row r="72" spans="1:18" x14ac:dyDescent="0.25">
      <c r="A72" s="26"/>
      <c r="B72" s="25"/>
      <c r="C72" s="15">
        <v>8</v>
      </c>
      <c r="D72" s="16">
        <v>150</v>
      </c>
      <c r="E72" s="15">
        <v>4</v>
      </c>
      <c r="F72" s="11">
        <v>1</v>
      </c>
      <c r="G72" s="11">
        <f>+ROUND(2.345/0.15+1,0)</f>
        <v>17</v>
      </c>
      <c r="H72" s="95"/>
      <c r="I72" s="95">
        <f>2*(0.15+0.45)+16*C72/1000</f>
        <v>1.3279999999999998</v>
      </c>
      <c r="J72" s="100"/>
      <c r="K72" s="22"/>
      <c r="L72" s="72">
        <f t="shared" ref="L72" si="112">SUM(H72:J72)+K72</f>
        <v>1.3279999999999998</v>
      </c>
      <c r="M72" s="72">
        <f t="shared" si="101"/>
        <v>90.3</v>
      </c>
      <c r="N72" s="72">
        <f t="shared" si="102"/>
        <v>0</v>
      </c>
      <c r="O72" s="72">
        <f t="shared" si="103"/>
        <v>0</v>
      </c>
      <c r="P72" s="72">
        <f t="shared" si="104"/>
        <v>0</v>
      </c>
      <c r="Q72" s="72">
        <f t="shared" si="105"/>
        <v>0</v>
      </c>
      <c r="R72" s="72">
        <f t="shared" si="106"/>
        <v>0</v>
      </c>
    </row>
    <row r="73" spans="1:18" x14ac:dyDescent="0.25">
      <c r="A73" s="26" t="s">
        <v>442</v>
      </c>
      <c r="B73" s="48" t="s">
        <v>751</v>
      </c>
      <c r="C73" s="15"/>
      <c r="D73" s="16"/>
      <c r="E73" s="15"/>
      <c r="F73" s="11"/>
      <c r="G73" s="11"/>
      <c r="H73" s="95"/>
      <c r="I73" s="95"/>
      <c r="J73" s="100"/>
      <c r="K73" s="22"/>
      <c r="L73" s="72">
        <f t="shared" ref="L73" si="113">SUM(H73:J73)+K73</f>
        <v>0</v>
      </c>
      <c r="M73" s="72">
        <f t="shared" ref="M73:M87" si="114">+ROUND(IF(C73=8,PRODUCT(E73,F73,G73,L73),0),2)</f>
        <v>0</v>
      </c>
      <c r="N73" s="72">
        <f t="shared" ref="N73:N87" si="115">+ROUND(IF(C73=10,PRODUCT(E73,F73,G73,L73),0),2)</f>
        <v>0</v>
      </c>
      <c r="O73" s="72">
        <f t="shared" ref="O73:O87" si="116">+ROUND(IF(C73=12,PRODUCT(E73,F73,G73,L73),0),2)</f>
        <v>0</v>
      </c>
      <c r="P73" s="72">
        <f t="shared" ref="P73:P87" si="117">+ROUND(IF(C73=16,PRODUCT(E73,F73,G73,L73),0),2)</f>
        <v>0</v>
      </c>
      <c r="Q73" s="72">
        <f t="shared" ref="Q73:Q87" si="118">+ROUND(IF(C73=20,PRODUCT(E73,F73,G73,L73),0),2)</f>
        <v>0</v>
      </c>
      <c r="R73" s="72">
        <f t="shared" ref="R73:R87" si="119">+ROUND(IF(C73=25,PRODUCT(E73,F73,G73,L73),0),2)</f>
        <v>0</v>
      </c>
    </row>
    <row r="74" spans="1:18" x14ac:dyDescent="0.25">
      <c r="A74" s="26"/>
      <c r="B74" s="25" t="s">
        <v>385</v>
      </c>
      <c r="C74" s="15">
        <v>16</v>
      </c>
      <c r="D74" s="16"/>
      <c r="E74" s="15">
        <v>2</v>
      </c>
      <c r="F74" s="96">
        <v>0.5</v>
      </c>
      <c r="G74" s="11">
        <v>2</v>
      </c>
      <c r="H74" s="95">
        <f>0.58+8*$C74/1000</f>
        <v>0.70799999999999996</v>
      </c>
      <c r="I74" s="95">
        <v>11.75</v>
      </c>
      <c r="J74" s="95">
        <f>0.58+8*$C74/1000</f>
        <v>0.70799999999999996</v>
      </c>
      <c r="K74" s="101">
        <v>0.79</v>
      </c>
      <c r="L74" s="72">
        <f>SUM(H74:J74)+K74</f>
        <v>13.956</v>
      </c>
      <c r="M74" s="72">
        <f t="shared" si="114"/>
        <v>0</v>
      </c>
      <c r="N74" s="72">
        <f t="shared" si="115"/>
        <v>0</v>
      </c>
      <c r="O74" s="72">
        <f t="shared" si="116"/>
        <v>0</v>
      </c>
      <c r="P74" s="72">
        <f t="shared" si="117"/>
        <v>27.91</v>
      </c>
      <c r="Q74" s="72">
        <f t="shared" si="118"/>
        <v>0</v>
      </c>
      <c r="R74" s="72">
        <f t="shared" si="119"/>
        <v>0</v>
      </c>
    </row>
    <row r="75" spans="1:18" x14ac:dyDescent="0.25">
      <c r="A75" s="26"/>
      <c r="B75" s="25" t="s">
        <v>432</v>
      </c>
      <c r="C75" s="15">
        <v>16</v>
      </c>
      <c r="D75" s="16"/>
      <c r="E75" s="15">
        <v>2</v>
      </c>
      <c r="F75" s="96">
        <v>0.5</v>
      </c>
      <c r="G75" s="11">
        <v>2</v>
      </c>
      <c r="H75" s="95">
        <f>0.58+8*$C75/1000</f>
        <v>0.70799999999999996</v>
      </c>
      <c r="I75" s="95">
        <v>11.75</v>
      </c>
      <c r="J75" s="95">
        <f>0.58+8*$C75/1000</f>
        <v>0.70799999999999996</v>
      </c>
      <c r="K75" s="101">
        <v>0.79</v>
      </c>
      <c r="L75" s="72">
        <f t="shared" ref="L75" si="120">SUM(H75:J75)+K75</f>
        <v>13.956</v>
      </c>
      <c r="M75" s="72">
        <f t="shared" si="114"/>
        <v>0</v>
      </c>
      <c r="N75" s="72">
        <f t="shared" si="115"/>
        <v>0</v>
      </c>
      <c r="O75" s="72">
        <f t="shared" si="116"/>
        <v>0</v>
      </c>
      <c r="P75" s="72">
        <f t="shared" si="117"/>
        <v>27.91</v>
      </c>
      <c r="Q75" s="72">
        <f t="shared" si="118"/>
        <v>0</v>
      </c>
      <c r="R75" s="72">
        <f t="shared" si="119"/>
        <v>0</v>
      </c>
    </row>
    <row r="76" spans="1:18" x14ac:dyDescent="0.25">
      <c r="A76" s="26"/>
      <c r="B76" s="25" t="s">
        <v>450</v>
      </c>
      <c r="C76" s="15">
        <v>12</v>
      </c>
      <c r="D76" s="16"/>
      <c r="E76" s="15">
        <v>2</v>
      </c>
      <c r="F76" s="96">
        <v>0.5</v>
      </c>
      <c r="G76" s="11">
        <v>4</v>
      </c>
      <c r="H76" s="95"/>
      <c r="I76" s="95">
        <f>5.76-0.55-0.85</f>
        <v>4.3600000000000003</v>
      </c>
      <c r="J76" s="100"/>
      <c r="K76" s="22"/>
      <c r="L76" s="72">
        <f t="shared" ref="L76" si="121">SUM(H76:J76)+K76</f>
        <v>4.3600000000000003</v>
      </c>
      <c r="M76" s="72">
        <f t="shared" si="114"/>
        <v>0</v>
      </c>
      <c r="N76" s="72">
        <f t="shared" si="115"/>
        <v>0</v>
      </c>
      <c r="O76" s="72">
        <f t="shared" si="116"/>
        <v>17.440000000000001</v>
      </c>
      <c r="P76" s="72">
        <f t="shared" si="117"/>
        <v>0</v>
      </c>
      <c r="Q76" s="72">
        <f t="shared" si="118"/>
        <v>0</v>
      </c>
      <c r="R76" s="72">
        <f t="shared" si="119"/>
        <v>0</v>
      </c>
    </row>
    <row r="77" spans="1:18" x14ac:dyDescent="0.25">
      <c r="A77" s="26"/>
      <c r="B77" s="25" t="s">
        <v>433</v>
      </c>
      <c r="C77" s="15">
        <v>12</v>
      </c>
      <c r="D77" s="16"/>
      <c r="E77" s="15">
        <v>2</v>
      </c>
      <c r="F77" s="96">
        <v>0.5</v>
      </c>
      <c r="G77" s="11">
        <v>2</v>
      </c>
      <c r="H77" s="95"/>
      <c r="I77" s="95">
        <f>1.8+1.8+0.23</f>
        <v>3.83</v>
      </c>
      <c r="J77" s="100"/>
      <c r="K77" s="22"/>
      <c r="L77" s="72">
        <f t="shared" ref="L77" si="122">SUM(H77:J77)+K77</f>
        <v>3.83</v>
      </c>
      <c r="M77" s="72">
        <f t="shared" si="114"/>
        <v>0</v>
      </c>
      <c r="N77" s="72">
        <f t="shared" si="115"/>
        <v>0</v>
      </c>
      <c r="O77" s="72">
        <f t="shared" si="116"/>
        <v>7.66</v>
      </c>
      <c r="P77" s="72">
        <f t="shared" si="117"/>
        <v>0</v>
      </c>
      <c r="Q77" s="72">
        <f t="shared" si="118"/>
        <v>0</v>
      </c>
      <c r="R77" s="72">
        <f t="shared" si="119"/>
        <v>0</v>
      </c>
    </row>
    <row r="78" spans="1:18" x14ac:dyDescent="0.25">
      <c r="A78" s="26"/>
      <c r="B78" s="25" t="s">
        <v>433</v>
      </c>
      <c r="C78" s="15">
        <v>12</v>
      </c>
      <c r="D78" s="16"/>
      <c r="E78" s="15">
        <v>2</v>
      </c>
      <c r="F78" s="96">
        <v>0.5</v>
      </c>
      <c r="G78" s="11">
        <v>4</v>
      </c>
      <c r="H78" s="95">
        <f>0.44+8*$C78/1000</f>
        <v>0.53600000000000003</v>
      </c>
      <c r="I78" s="95">
        <f>1.8</f>
        <v>1.8</v>
      </c>
      <c r="J78" s="100"/>
      <c r="K78" s="22"/>
      <c r="L78" s="72">
        <f t="shared" ref="L78" si="123">SUM(H78:J78)+K78</f>
        <v>2.3360000000000003</v>
      </c>
      <c r="M78" s="72">
        <f t="shared" ref="M78" si="124">+ROUND(IF(C78=8,PRODUCT(E78,F78,G78,L78),0),2)</f>
        <v>0</v>
      </c>
      <c r="N78" s="72">
        <f t="shared" ref="N78" si="125">+ROUND(IF(C78=10,PRODUCT(E78,F78,G78,L78),0),2)</f>
        <v>0</v>
      </c>
      <c r="O78" s="72">
        <f t="shared" ref="O78" si="126">+ROUND(IF(C78=12,PRODUCT(E78,F78,G78,L78),0),2)</f>
        <v>9.34</v>
      </c>
      <c r="P78" s="72">
        <f t="shared" ref="P78" si="127">+ROUND(IF(C78=16,PRODUCT(E78,F78,G78,L78),0),2)</f>
        <v>0</v>
      </c>
      <c r="Q78" s="72">
        <f t="shared" ref="Q78" si="128">+ROUND(IF(C78=20,PRODUCT(E78,F78,G78,L78),0),2)</f>
        <v>0</v>
      </c>
      <c r="R78" s="72">
        <f t="shared" ref="R78" si="129">+ROUND(IF(C78=25,PRODUCT(E78,F78,G78,L78),0),2)</f>
        <v>0</v>
      </c>
    </row>
    <row r="79" spans="1:18" x14ac:dyDescent="0.25">
      <c r="A79" s="26"/>
      <c r="B79" s="25" t="s">
        <v>434</v>
      </c>
      <c r="C79" s="15">
        <v>8</v>
      </c>
      <c r="D79" s="16">
        <v>100</v>
      </c>
      <c r="E79" s="15">
        <v>2</v>
      </c>
      <c r="F79" s="96">
        <v>0.5</v>
      </c>
      <c r="G79" s="11">
        <f>+ROUND(2.89/0.1,0)*2</f>
        <v>58</v>
      </c>
      <c r="H79" s="95"/>
      <c r="I79" s="95">
        <f>2*(0.15+0.4)+16*C79/1000</f>
        <v>1.2280000000000002</v>
      </c>
      <c r="J79" s="100"/>
      <c r="K79" s="47"/>
      <c r="L79" s="72">
        <f>SUM(H79:J79)+K79</f>
        <v>1.2280000000000002</v>
      </c>
      <c r="M79" s="72">
        <f t="shared" si="114"/>
        <v>71.22</v>
      </c>
      <c r="N79" s="72">
        <f t="shared" si="115"/>
        <v>0</v>
      </c>
      <c r="O79" s="72">
        <f t="shared" si="116"/>
        <v>0</v>
      </c>
      <c r="P79" s="72">
        <f t="shared" si="117"/>
        <v>0</v>
      </c>
      <c r="Q79" s="72">
        <f t="shared" si="118"/>
        <v>0</v>
      </c>
      <c r="R79" s="72">
        <f t="shared" si="119"/>
        <v>0</v>
      </c>
    </row>
    <row r="80" spans="1:18" x14ac:dyDescent="0.25">
      <c r="A80" s="26"/>
      <c r="B80" s="25"/>
      <c r="C80" s="15">
        <v>8</v>
      </c>
      <c r="D80" s="16">
        <v>150</v>
      </c>
      <c r="E80" s="15">
        <v>2</v>
      </c>
      <c r="F80" s="96">
        <v>0.5</v>
      </c>
      <c r="G80" s="11">
        <f>+ROUND(2.89/0.15+1,0)*2</f>
        <v>40</v>
      </c>
      <c r="H80" s="95"/>
      <c r="I80" s="95">
        <f>2*(0.15+0.4)+16*C80/1000</f>
        <v>1.2280000000000002</v>
      </c>
      <c r="J80" s="100"/>
      <c r="K80" s="22"/>
      <c r="L80" s="72">
        <f t="shared" ref="L80:L81" si="130">SUM(H80:J80)+K80</f>
        <v>1.2280000000000002</v>
      </c>
      <c r="M80" s="72">
        <f t="shared" si="114"/>
        <v>49.12</v>
      </c>
      <c r="N80" s="72">
        <f t="shared" si="115"/>
        <v>0</v>
      </c>
      <c r="O80" s="72">
        <f t="shared" si="116"/>
        <v>0</v>
      </c>
      <c r="P80" s="72">
        <f t="shared" si="117"/>
        <v>0</v>
      </c>
      <c r="Q80" s="72">
        <f t="shared" si="118"/>
        <v>0</v>
      </c>
      <c r="R80" s="72">
        <f t="shared" si="119"/>
        <v>0</v>
      </c>
    </row>
    <row r="81" spans="1:18" x14ac:dyDescent="0.25">
      <c r="A81" s="26" t="s">
        <v>442</v>
      </c>
      <c r="B81" s="48" t="s">
        <v>452</v>
      </c>
      <c r="C81" s="15"/>
      <c r="D81" s="16"/>
      <c r="E81" s="15"/>
      <c r="F81" s="11"/>
      <c r="G81" s="11"/>
      <c r="H81" s="95"/>
      <c r="I81" s="95"/>
      <c r="J81" s="100"/>
      <c r="K81" s="22"/>
      <c r="L81" s="72">
        <f t="shared" si="130"/>
        <v>0</v>
      </c>
      <c r="M81" s="72">
        <f t="shared" si="114"/>
        <v>0</v>
      </c>
      <c r="N81" s="72">
        <f t="shared" si="115"/>
        <v>0</v>
      </c>
      <c r="O81" s="72">
        <f t="shared" si="116"/>
        <v>0</v>
      </c>
      <c r="P81" s="72">
        <f t="shared" si="117"/>
        <v>0</v>
      </c>
      <c r="Q81" s="72">
        <f t="shared" si="118"/>
        <v>0</v>
      </c>
      <c r="R81" s="72">
        <f t="shared" si="119"/>
        <v>0</v>
      </c>
    </row>
    <row r="82" spans="1:18" x14ac:dyDescent="0.25">
      <c r="A82" s="26"/>
      <c r="B82" s="25" t="s">
        <v>385</v>
      </c>
      <c r="C82" s="15">
        <v>16</v>
      </c>
      <c r="D82" s="16"/>
      <c r="E82" s="15">
        <v>2</v>
      </c>
      <c r="F82" s="11">
        <v>1</v>
      </c>
      <c r="G82" s="11">
        <v>2</v>
      </c>
      <c r="H82" s="95">
        <f>((0.79)/3)+0.1</f>
        <v>0.3633333333333334</v>
      </c>
      <c r="I82" s="95">
        <v>4.1050000000000004</v>
      </c>
      <c r="J82" s="95">
        <f>0.58+8*$C82/1000</f>
        <v>0.70799999999999996</v>
      </c>
      <c r="K82" s="22"/>
      <c r="L82" s="72">
        <f>SUM(H82:J82)+K82</f>
        <v>5.1763333333333339</v>
      </c>
      <c r="M82" s="72">
        <f t="shared" si="114"/>
        <v>0</v>
      </c>
      <c r="N82" s="72">
        <f t="shared" si="115"/>
        <v>0</v>
      </c>
      <c r="O82" s="72">
        <f t="shared" si="116"/>
        <v>0</v>
      </c>
      <c r="P82" s="72">
        <f t="shared" si="117"/>
        <v>20.71</v>
      </c>
      <c r="Q82" s="72">
        <f t="shared" si="118"/>
        <v>0</v>
      </c>
      <c r="R82" s="72">
        <f t="shared" si="119"/>
        <v>0</v>
      </c>
    </row>
    <row r="83" spans="1:18" x14ac:dyDescent="0.25">
      <c r="A83" s="26"/>
      <c r="B83" s="25" t="s">
        <v>385</v>
      </c>
      <c r="C83" s="15">
        <v>16</v>
      </c>
      <c r="D83" s="16"/>
      <c r="E83" s="15">
        <v>2</v>
      </c>
      <c r="F83" s="11">
        <v>1</v>
      </c>
      <c r="G83" s="11">
        <v>2</v>
      </c>
      <c r="H83" s="95">
        <v>0.79</v>
      </c>
      <c r="I83" s="95">
        <v>1.6</v>
      </c>
      <c r="J83" s="95">
        <f>0.58+8*$C83/1000</f>
        <v>0.70799999999999996</v>
      </c>
      <c r="K83" s="22"/>
      <c r="L83" s="72">
        <f>SUM(H83:J83)+K83</f>
        <v>3.0979999999999999</v>
      </c>
      <c r="M83" s="72">
        <f t="shared" si="114"/>
        <v>0</v>
      </c>
      <c r="N83" s="72">
        <f t="shared" si="115"/>
        <v>0</v>
      </c>
      <c r="O83" s="72">
        <f t="shared" si="116"/>
        <v>0</v>
      </c>
      <c r="P83" s="72">
        <f t="shared" si="117"/>
        <v>12.39</v>
      </c>
      <c r="Q83" s="72">
        <f t="shared" si="118"/>
        <v>0</v>
      </c>
      <c r="R83" s="72">
        <f t="shared" si="119"/>
        <v>0</v>
      </c>
    </row>
    <row r="84" spans="1:18" x14ac:dyDescent="0.25">
      <c r="A84" s="26"/>
      <c r="B84" s="25" t="s">
        <v>432</v>
      </c>
      <c r="C84" s="15">
        <v>16</v>
      </c>
      <c r="D84" s="16"/>
      <c r="E84" s="15">
        <v>2</v>
      </c>
      <c r="F84" s="11">
        <v>1</v>
      </c>
      <c r="G84" s="11">
        <v>2</v>
      </c>
      <c r="H84" s="95">
        <f>((0.79)/3)+0.1</f>
        <v>0.3633333333333334</v>
      </c>
      <c r="I84" s="95">
        <v>5.9349999999999996</v>
      </c>
      <c r="J84" s="95">
        <f>0.58+8*$C84/1000</f>
        <v>0.70799999999999996</v>
      </c>
      <c r="K84" s="22"/>
      <c r="L84" s="72">
        <f t="shared" ref="L84" si="131">SUM(H84:J84)+K84</f>
        <v>7.0063333333333331</v>
      </c>
      <c r="M84" s="72">
        <f t="shared" si="114"/>
        <v>0</v>
      </c>
      <c r="N84" s="72">
        <f t="shared" si="115"/>
        <v>0</v>
      </c>
      <c r="O84" s="72">
        <f t="shared" si="116"/>
        <v>0</v>
      </c>
      <c r="P84" s="72">
        <f t="shared" si="117"/>
        <v>28.03</v>
      </c>
      <c r="Q84" s="72">
        <f t="shared" si="118"/>
        <v>0</v>
      </c>
      <c r="R84" s="72">
        <f t="shared" si="119"/>
        <v>0</v>
      </c>
    </row>
    <row r="85" spans="1:18" x14ac:dyDescent="0.25">
      <c r="A85" s="26"/>
      <c r="B85" s="25" t="s">
        <v>453</v>
      </c>
      <c r="C85" s="15">
        <v>8</v>
      </c>
      <c r="D85" s="16">
        <v>100</v>
      </c>
      <c r="E85" s="15">
        <v>2</v>
      </c>
      <c r="F85" s="11">
        <v>1</v>
      </c>
      <c r="G85" s="11">
        <f>+ROUND(2.05/0.1,0)</f>
        <v>21</v>
      </c>
      <c r="H85" s="95"/>
      <c r="I85" s="95">
        <f>2*(0.15+0.4)+16*C85/1000</f>
        <v>1.2280000000000002</v>
      </c>
      <c r="J85" s="100"/>
      <c r="K85" s="47"/>
      <c r="L85" s="72">
        <f>SUM(H85:J85)+K85</f>
        <v>1.2280000000000002</v>
      </c>
      <c r="M85" s="72">
        <f t="shared" si="114"/>
        <v>51.58</v>
      </c>
      <c r="N85" s="72">
        <f t="shared" si="115"/>
        <v>0</v>
      </c>
      <c r="O85" s="72">
        <f t="shared" si="116"/>
        <v>0</v>
      </c>
      <c r="P85" s="72">
        <f t="shared" si="117"/>
        <v>0</v>
      </c>
      <c r="Q85" s="72">
        <f t="shared" si="118"/>
        <v>0</v>
      </c>
      <c r="R85" s="72">
        <f t="shared" si="119"/>
        <v>0</v>
      </c>
    </row>
    <row r="86" spans="1:18" x14ac:dyDescent="0.25">
      <c r="A86" s="26"/>
      <c r="B86" s="25"/>
      <c r="C86" s="15">
        <v>8</v>
      </c>
      <c r="D86" s="16">
        <v>150</v>
      </c>
      <c r="E86" s="15">
        <v>2</v>
      </c>
      <c r="F86" s="11">
        <v>1</v>
      </c>
      <c r="G86" s="11">
        <f>+ROUND(2.05/0.15+1,0)</f>
        <v>15</v>
      </c>
      <c r="H86" s="95"/>
      <c r="I86" s="95">
        <f>2*(0.15+0.4)+16*C86/1000</f>
        <v>1.2280000000000002</v>
      </c>
      <c r="J86" s="100"/>
      <c r="K86" s="22"/>
      <c r="L86" s="72">
        <f t="shared" ref="L86" si="132">SUM(H86:J86)+K86</f>
        <v>1.2280000000000002</v>
      </c>
      <c r="M86" s="72">
        <f t="shared" si="114"/>
        <v>36.840000000000003</v>
      </c>
      <c r="N86" s="72">
        <f t="shared" si="115"/>
        <v>0</v>
      </c>
      <c r="O86" s="72">
        <f t="shared" si="116"/>
        <v>0</v>
      </c>
      <c r="P86" s="72">
        <f t="shared" si="117"/>
        <v>0</v>
      </c>
      <c r="Q86" s="72">
        <f t="shared" si="118"/>
        <v>0</v>
      </c>
      <c r="R86" s="72">
        <f t="shared" si="119"/>
        <v>0</v>
      </c>
    </row>
    <row r="87" spans="1:18" x14ac:dyDescent="0.25">
      <c r="A87" s="26"/>
      <c r="B87" s="25" t="s">
        <v>447</v>
      </c>
      <c r="C87" s="15">
        <v>8</v>
      </c>
      <c r="D87" s="16">
        <v>100</v>
      </c>
      <c r="E87" s="15">
        <v>2</v>
      </c>
      <c r="F87" s="11">
        <v>1</v>
      </c>
      <c r="G87" s="11">
        <f>+ROUND(1.6/0.1+1,0)</f>
        <v>17</v>
      </c>
      <c r="H87" s="95"/>
      <c r="I87" s="95">
        <f>2*(0.15+0.3)+24*C87/1000</f>
        <v>1.0919999999999999</v>
      </c>
      <c r="J87" s="100"/>
      <c r="K87" s="47"/>
      <c r="L87" s="72">
        <f>SUM(H87:J87)+K87</f>
        <v>1.0919999999999999</v>
      </c>
      <c r="M87" s="72">
        <f t="shared" si="114"/>
        <v>37.130000000000003</v>
      </c>
      <c r="N87" s="72">
        <f t="shared" si="115"/>
        <v>0</v>
      </c>
      <c r="O87" s="72">
        <f t="shared" si="116"/>
        <v>0</v>
      </c>
      <c r="P87" s="72">
        <f t="shared" si="117"/>
        <v>0</v>
      </c>
      <c r="Q87" s="72">
        <f t="shared" si="118"/>
        <v>0</v>
      </c>
      <c r="R87" s="72">
        <f t="shared" si="119"/>
        <v>0</v>
      </c>
    </row>
    <row r="88" spans="1:18" x14ac:dyDescent="0.25">
      <c r="A88" s="26" t="s">
        <v>442</v>
      </c>
      <c r="B88" s="48" t="s">
        <v>454</v>
      </c>
      <c r="C88" s="15"/>
      <c r="D88" s="16"/>
      <c r="E88" s="15"/>
      <c r="F88" s="11"/>
      <c r="G88" s="11"/>
      <c r="H88" s="95"/>
      <c r="I88" s="95"/>
      <c r="J88" s="100"/>
      <c r="K88" s="22"/>
      <c r="L88" s="72">
        <f t="shared" ref="L88" si="133">SUM(H88:J88)+K88</f>
        <v>0</v>
      </c>
      <c r="M88" s="72">
        <f t="shared" ref="M88:M97" si="134">+ROUND(IF(C88=8,PRODUCT(E88,F88,G88,L88),0),2)</f>
        <v>0</v>
      </c>
      <c r="N88" s="72">
        <f t="shared" ref="N88:N97" si="135">+ROUND(IF(C88=10,PRODUCT(E88,F88,G88,L88),0),2)</f>
        <v>0</v>
      </c>
      <c r="O88" s="72">
        <f t="shared" ref="O88:O97" si="136">+ROUND(IF(C88=12,PRODUCT(E88,F88,G88,L88),0),2)</f>
        <v>0</v>
      </c>
      <c r="P88" s="72">
        <f t="shared" ref="P88:P97" si="137">+ROUND(IF(C88=16,PRODUCT(E88,F88,G88,L88),0),2)</f>
        <v>0</v>
      </c>
      <c r="Q88" s="72">
        <f t="shared" ref="Q88:Q97" si="138">+ROUND(IF(C88=20,PRODUCT(E88,F88,G88,L88),0),2)</f>
        <v>0</v>
      </c>
      <c r="R88" s="72">
        <f t="shared" ref="R88:R97" si="139">+ROUND(IF(C88=25,PRODUCT(E88,F88,G88,L88),0),2)</f>
        <v>0</v>
      </c>
    </row>
    <row r="89" spans="1:18" x14ac:dyDescent="0.25">
      <c r="A89" s="26"/>
      <c r="B89" s="25" t="s">
        <v>385</v>
      </c>
      <c r="C89" s="15">
        <v>20</v>
      </c>
      <c r="D89" s="16"/>
      <c r="E89" s="15">
        <v>2</v>
      </c>
      <c r="F89" s="11">
        <v>1</v>
      </c>
      <c r="G89" s="11">
        <v>2</v>
      </c>
      <c r="H89" s="95">
        <f>0.72+8*$C89/1000</f>
        <v>0.88</v>
      </c>
      <c r="I89" s="95">
        <v>4.9050000000000002</v>
      </c>
      <c r="J89" s="95">
        <f>((0.98)/3)+0.1</f>
        <v>0.42666666666666664</v>
      </c>
      <c r="K89" s="22"/>
      <c r="L89" s="72">
        <f>SUM(H89:J89)+K89</f>
        <v>6.2116666666666669</v>
      </c>
      <c r="M89" s="72">
        <f t="shared" si="134"/>
        <v>0</v>
      </c>
      <c r="N89" s="72">
        <f t="shared" si="135"/>
        <v>0</v>
      </c>
      <c r="O89" s="72">
        <f t="shared" si="136"/>
        <v>0</v>
      </c>
      <c r="P89" s="72">
        <f t="shared" si="137"/>
        <v>0</v>
      </c>
      <c r="Q89" s="72">
        <f t="shared" si="138"/>
        <v>24.85</v>
      </c>
      <c r="R89" s="72">
        <f t="shared" si="139"/>
        <v>0</v>
      </c>
    </row>
    <row r="90" spans="1:18" x14ac:dyDescent="0.25">
      <c r="A90" s="26"/>
      <c r="B90" s="25" t="s">
        <v>432</v>
      </c>
      <c r="C90" s="15">
        <v>16</v>
      </c>
      <c r="D90" s="16"/>
      <c r="E90" s="15">
        <v>2</v>
      </c>
      <c r="F90" s="11">
        <v>1</v>
      </c>
      <c r="G90" s="11">
        <v>2</v>
      </c>
      <c r="H90" s="95">
        <f>0.58+8*$C90/1000</f>
        <v>0.70799999999999996</v>
      </c>
      <c r="I90" s="95">
        <v>4.9050000000000002</v>
      </c>
      <c r="J90" s="95">
        <f>((0.79)/3)+0.1</f>
        <v>0.3633333333333334</v>
      </c>
      <c r="K90" s="22"/>
      <c r="L90" s="72">
        <f t="shared" ref="L90" si="140">SUM(H90:J90)+K90</f>
        <v>5.9763333333333337</v>
      </c>
      <c r="M90" s="72">
        <f t="shared" si="134"/>
        <v>0</v>
      </c>
      <c r="N90" s="72">
        <f t="shared" si="135"/>
        <v>0</v>
      </c>
      <c r="O90" s="72">
        <f t="shared" si="136"/>
        <v>0</v>
      </c>
      <c r="P90" s="72">
        <f t="shared" si="137"/>
        <v>23.91</v>
      </c>
      <c r="Q90" s="72">
        <f t="shared" si="138"/>
        <v>0</v>
      </c>
      <c r="R90" s="72">
        <f t="shared" si="139"/>
        <v>0</v>
      </c>
    </row>
    <row r="91" spans="1:18" x14ac:dyDescent="0.25">
      <c r="A91" s="26"/>
      <c r="B91" s="25" t="s">
        <v>433</v>
      </c>
      <c r="C91" s="15">
        <v>16</v>
      </c>
      <c r="D91" s="16"/>
      <c r="E91" s="15">
        <v>2</v>
      </c>
      <c r="F91" s="11">
        <v>1</v>
      </c>
      <c r="G91" s="11">
        <v>2</v>
      </c>
      <c r="H91" s="95"/>
      <c r="I91" s="95">
        <f>0.8+1.185+0.8</f>
        <v>2.7850000000000001</v>
      </c>
      <c r="J91" s="100"/>
      <c r="K91" s="22"/>
      <c r="L91" s="72">
        <f t="shared" ref="L91" si="141">SUM(H91:J91)+K91</f>
        <v>2.7850000000000001</v>
      </c>
      <c r="M91" s="72">
        <f t="shared" si="134"/>
        <v>0</v>
      </c>
      <c r="N91" s="72">
        <f t="shared" si="135"/>
        <v>0</v>
      </c>
      <c r="O91" s="72">
        <f t="shared" si="136"/>
        <v>0</v>
      </c>
      <c r="P91" s="72">
        <f t="shared" si="137"/>
        <v>11.14</v>
      </c>
      <c r="Q91" s="72">
        <f t="shared" si="138"/>
        <v>0</v>
      </c>
      <c r="R91" s="72">
        <f t="shared" si="139"/>
        <v>0</v>
      </c>
    </row>
    <row r="92" spans="1:18" x14ac:dyDescent="0.25">
      <c r="A92" s="26"/>
      <c r="B92" s="25" t="s">
        <v>453</v>
      </c>
      <c r="C92" s="15">
        <v>8</v>
      </c>
      <c r="D92" s="16">
        <v>100</v>
      </c>
      <c r="E92" s="15">
        <v>2</v>
      </c>
      <c r="F92" s="11">
        <v>1</v>
      </c>
      <c r="G92" s="11">
        <f>+ROUND(2.22/0.1+1,0)</f>
        <v>23</v>
      </c>
      <c r="H92" s="95"/>
      <c r="I92" s="95">
        <f>2*(0.15+0.4)+16*C92/1000</f>
        <v>1.2280000000000002</v>
      </c>
      <c r="J92" s="100"/>
      <c r="K92" s="47"/>
      <c r="L92" s="72">
        <f>SUM(H92:J92)+K92</f>
        <v>1.2280000000000002</v>
      </c>
      <c r="M92" s="72">
        <f t="shared" si="134"/>
        <v>56.49</v>
      </c>
      <c r="N92" s="72">
        <f t="shared" si="135"/>
        <v>0</v>
      </c>
      <c r="O92" s="72">
        <f t="shared" si="136"/>
        <v>0</v>
      </c>
      <c r="P92" s="72">
        <f t="shared" si="137"/>
        <v>0</v>
      </c>
      <c r="Q92" s="72">
        <f t="shared" si="138"/>
        <v>0</v>
      </c>
      <c r="R92" s="72">
        <f t="shared" si="139"/>
        <v>0</v>
      </c>
    </row>
    <row r="93" spans="1:18" x14ac:dyDescent="0.25">
      <c r="A93" s="26"/>
      <c r="B93" s="25" t="s">
        <v>453</v>
      </c>
      <c r="C93" s="15">
        <v>10</v>
      </c>
      <c r="D93" s="16">
        <v>100</v>
      </c>
      <c r="E93" s="15">
        <v>2</v>
      </c>
      <c r="F93" s="11">
        <v>1</v>
      </c>
      <c r="G93" s="11">
        <f>+ROUND(1.5/0.1+1,0)</f>
        <v>16</v>
      </c>
      <c r="H93" s="95"/>
      <c r="I93" s="95">
        <f>2*(0.15+0.4)+16*C93/1000</f>
        <v>1.26</v>
      </c>
      <c r="J93" s="100"/>
      <c r="K93" s="47"/>
      <c r="L93" s="72">
        <f>SUM(H93:J93)+K93</f>
        <v>1.26</v>
      </c>
      <c r="M93" s="72">
        <f t="shared" si="134"/>
        <v>0</v>
      </c>
      <c r="N93" s="72">
        <f t="shared" si="135"/>
        <v>40.32</v>
      </c>
      <c r="O93" s="72">
        <f t="shared" si="136"/>
        <v>0</v>
      </c>
      <c r="P93" s="72">
        <f t="shared" si="137"/>
        <v>0</v>
      </c>
      <c r="Q93" s="72">
        <f t="shared" si="138"/>
        <v>0</v>
      </c>
      <c r="R93" s="72">
        <f t="shared" si="139"/>
        <v>0</v>
      </c>
    </row>
    <row r="94" spans="1:18" x14ac:dyDescent="0.25">
      <c r="A94" s="26" t="s">
        <v>436</v>
      </c>
      <c r="B94" s="48" t="s">
        <v>455</v>
      </c>
      <c r="C94" s="15"/>
      <c r="D94" s="16"/>
      <c r="E94" s="15"/>
      <c r="F94" s="11"/>
      <c r="G94" s="11"/>
      <c r="H94" s="95"/>
      <c r="I94" s="95"/>
      <c r="J94" s="100"/>
      <c r="K94" s="22"/>
      <c r="L94" s="72">
        <f t="shared" ref="L94" si="142">SUM(H94:J94)+K94</f>
        <v>0</v>
      </c>
      <c r="M94" s="72">
        <f t="shared" si="134"/>
        <v>0</v>
      </c>
      <c r="N94" s="72">
        <f t="shared" si="135"/>
        <v>0</v>
      </c>
      <c r="O94" s="72">
        <f t="shared" si="136"/>
        <v>0</v>
      </c>
      <c r="P94" s="72">
        <f t="shared" si="137"/>
        <v>0</v>
      </c>
      <c r="Q94" s="72">
        <f t="shared" si="138"/>
        <v>0</v>
      </c>
      <c r="R94" s="72">
        <f t="shared" si="139"/>
        <v>0</v>
      </c>
    </row>
    <row r="95" spans="1:18" x14ac:dyDescent="0.25">
      <c r="A95" s="26"/>
      <c r="B95" s="25" t="s">
        <v>385</v>
      </c>
      <c r="C95" s="15">
        <v>16</v>
      </c>
      <c r="D95" s="16"/>
      <c r="E95" s="15">
        <v>2</v>
      </c>
      <c r="F95" s="11">
        <v>1</v>
      </c>
      <c r="G95" s="11">
        <v>2</v>
      </c>
      <c r="H95" s="95">
        <f>0.58+8*$C95/1000</f>
        <v>0.70799999999999996</v>
      </c>
      <c r="I95" s="95">
        <v>3.1150000000000002</v>
      </c>
      <c r="J95" s="95">
        <f>0.58+8*$C95/1000</f>
        <v>0.70799999999999996</v>
      </c>
      <c r="K95" s="22"/>
      <c r="L95" s="72">
        <f>SUM(H95:J95)+K95</f>
        <v>4.5310000000000006</v>
      </c>
      <c r="M95" s="72">
        <f t="shared" si="134"/>
        <v>0</v>
      </c>
      <c r="N95" s="72">
        <f t="shared" si="135"/>
        <v>0</v>
      </c>
      <c r="O95" s="72">
        <f t="shared" si="136"/>
        <v>0</v>
      </c>
      <c r="P95" s="72">
        <f t="shared" si="137"/>
        <v>18.12</v>
      </c>
      <c r="Q95" s="72">
        <f t="shared" si="138"/>
        <v>0</v>
      </c>
      <c r="R95" s="72">
        <f t="shared" si="139"/>
        <v>0</v>
      </c>
    </row>
    <row r="96" spans="1:18" x14ac:dyDescent="0.25">
      <c r="A96" s="26"/>
      <c r="B96" s="25" t="s">
        <v>432</v>
      </c>
      <c r="C96" s="15">
        <v>16</v>
      </c>
      <c r="D96" s="16"/>
      <c r="E96" s="15">
        <v>2</v>
      </c>
      <c r="F96" s="11">
        <v>1</v>
      </c>
      <c r="G96" s="11">
        <v>2</v>
      </c>
      <c r="H96" s="95">
        <f>0.58+8*$C96/1000</f>
        <v>0.70799999999999996</v>
      </c>
      <c r="I96" s="95">
        <v>3.1150000000000002</v>
      </c>
      <c r="J96" s="95">
        <f>0.58+8*$C96/1000</f>
        <v>0.70799999999999996</v>
      </c>
      <c r="K96" s="22"/>
      <c r="L96" s="72">
        <f t="shared" ref="L96" si="143">SUM(H96:J96)+K96</f>
        <v>4.5310000000000006</v>
      </c>
      <c r="M96" s="72">
        <f t="shared" si="134"/>
        <v>0</v>
      </c>
      <c r="N96" s="72">
        <f t="shared" si="135"/>
        <v>0</v>
      </c>
      <c r="O96" s="72">
        <f t="shared" si="136"/>
        <v>0</v>
      </c>
      <c r="P96" s="72">
        <f t="shared" si="137"/>
        <v>18.12</v>
      </c>
      <c r="Q96" s="72">
        <f t="shared" si="138"/>
        <v>0</v>
      </c>
      <c r="R96" s="72">
        <f t="shared" si="139"/>
        <v>0</v>
      </c>
    </row>
    <row r="97" spans="1:18" x14ac:dyDescent="0.25">
      <c r="A97" s="26"/>
      <c r="B97" s="25" t="s">
        <v>448</v>
      </c>
      <c r="C97" s="15">
        <v>8</v>
      </c>
      <c r="D97" s="16">
        <v>100</v>
      </c>
      <c r="E97" s="15">
        <v>2</v>
      </c>
      <c r="F97" s="11">
        <v>1</v>
      </c>
      <c r="G97" s="11">
        <f>+ROUND(3.115/0.1+1,0)</f>
        <v>32</v>
      </c>
      <c r="H97" s="95"/>
      <c r="I97" s="95">
        <f>2*(0.15+0.45)+16*C97/1000</f>
        <v>1.3279999999999998</v>
      </c>
      <c r="J97" s="100"/>
      <c r="K97" s="47"/>
      <c r="L97" s="72">
        <f>SUM(H97:J97)+K97</f>
        <v>1.3279999999999998</v>
      </c>
      <c r="M97" s="72">
        <f t="shared" si="134"/>
        <v>84.99</v>
      </c>
      <c r="N97" s="72">
        <f t="shared" si="135"/>
        <v>0</v>
      </c>
      <c r="O97" s="72">
        <f t="shared" si="136"/>
        <v>0</v>
      </c>
      <c r="P97" s="72">
        <f t="shared" si="137"/>
        <v>0</v>
      </c>
      <c r="Q97" s="72">
        <f t="shared" si="138"/>
        <v>0</v>
      </c>
      <c r="R97" s="72">
        <f t="shared" si="139"/>
        <v>0</v>
      </c>
    </row>
    <row r="98" spans="1:18" x14ac:dyDescent="0.25">
      <c r="A98" s="26" t="s">
        <v>436</v>
      </c>
      <c r="B98" s="48" t="s">
        <v>456</v>
      </c>
      <c r="C98" s="15"/>
      <c r="D98" s="16"/>
      <c r="E98" s="15"/>
      <c r="F98" s="11"/>
      <c r="G98" s="11"/>
      <c r="H98" s="95"/>
      <c r="I98" s="95"/>
      <c r="J98" s="100"/>
      <c r="K98" s="22"/>
      <c r="L98" s="72">
        <f t="shared" ref="L98" si="144">SUM(H98:J98)+K98</f>
        <v>0</v>
      </c>
      <c r="M98" s="72">
        <f t="shared" ref="M98:M108" si="145">+ROUND(IF(C98=8,PRODUCT(E98,F98,G98,L98),0),2)</f>
        <v>0</v>
      </c>
      <c r="N98" s="72">
        <f t="shared" ref="N98:N108" si="146">+ROUND(IF(C98=10,PRODUCT(E98,F98,G98,L98),0),2)</f>
        <v>0</v>
      </c>
      <c r="O98" s="72">
        <f t="shared" ref="O98:O108" si="147">+ROUND(IF(C98=12,PRODUCT(E98,F98,G98,L98),0),2)</f>
        <v>0</v>
      </c>
      <c r="P98" s="72">
        <f t="shared" ref="P98:P108" si="148">+ROUND(IF(C98=16,PRODUCT(E98,F98,G98,L98),0),2)</f>
        <v>0</v>
      </c>
      <c r="Q98" s="72">
        <f t="shared" ref="Q98:Q108" si="149">+ROUND(IF(C98=20,PRODUCT(E98,F98,G98,L98),0),2)</f>
        <v>0</v>
      </c>
      <c r="R98" s="72">
        <f t="shared" ref="R98:R108" si="150">+ROUND(IF(C98=25,PRODUCT(E98,F98,G98,L98),0),2)</f>
        <v>0</v>
      </c>
    </row>
    <row r="99" spans="1:18" x14ac:dyDescent="0.25">
      <c r="A99" s="26"/>
      <c r="B99" s="25" t="s">
        <v>385</v>
      </c>
      <c r="C99" s="15">
        <v>16</v>
      </c>
      <c r="D99" s="16"/>
      <c r="E99" s="15">
        <v>6</v>
      </c>
      <c r="F99" s="11">
        <v>1</v>
      </c>
      <c r="G99" s="11">
        <v>2</v>
      </c>
      <c r="H99" s="95">
        <f>0.58+8*$C99/1000</f>
        <v>0.70799999999999996</v>
      </c>
      <c r="I99" s="95">
        <v>6.6849999999999996</v>
      </c>
      <c r="J99" s="95">
        <f>((0.79)/3)+0.1</f>
        <v>0.3633333333333334</v>
      </c>
      <c r="K99" s="22"/>
      <c r="L99" s="72">
        <f>SUM(H99:J99)+K99</f>
        <v>7.7563333333333331</v>
      </c>
      <c r="M99" s="72">
        <f t="shared" si="145"/>
        <v>0</v>
      </c>
      <c r="N99" s="72">
        <f t="shared" si="146"/>
        <v>0</v>
      </c>
      <c r="O99" s="72">
        <f t="shared" si="147"/>
        <v>0</v>
      </c>
      <c r="P99" s="72">
        <f t="shared" si="148"/>
        <v>93.08</v>
      </c>
      <c r="Q99" s="72">
        <f t="shared" si="149"/>
        <v>0</v>
      </c>
      <c r="R99" s="72">
        <f t="shared" si="150"/>
        <v>0</v>
      </c>
    </row>
    <row r="100" spans="1:18" x14ac:dyDescent="0.25">
      <c r="A100" s="26"/>
      <c r="B100" s="25" t="s">
        <v>385</v>
      </c>
      <c r="C100" s="15">
        <v>16</v>
      </c>
      <c r="D100" s="16"/>
      <c r="E100" s="15">
        <v>6</v>
      </c>
      <c r="F100" s="11">
        <v>1</v>
      </c>
      <c r="G100" s="11">
        <v>2</v>
      </c>
      <c r="H100" s="95">
        <f>0.79+10*$C100/1000</f>
        <v>0.95000000000000007</v>
      </c>
      <c r="I100" s="95">
        <v>1.02</v>
      </c>
      <c r="J100" s="95">
        <f>0.58+8*$C100/1000</f>
        <v>0.70799999999999996</v>
      </c>
      <c r="K100" s="22"/>
      <c r="L100" s="72">
        <f>SUM(H100:J100)+K100</f>
        <v>2.6779999999999999</v>
      </c>
      <c r="M100" s="72">
        <f t="shared" ref="M100" si="151">+ROUND(IF(C100=8,PRODUCT(E100,F100,G100,L100),0),2)</f>
        <v>0</v>
      </c>
      <c r="N100" s="72">
        <f t="shared" ref="N100" si="152">+ROUND(IF(C100=10,PRODUCT(E100,F100,G100,L100),0),2)</f>
        <v>0</v>
      </c>
      <c r="O100" s="72">
        <f t="shared" ref="O100" si="153">+ROUND(IF(C100=12,PRODUCT(E100,F100,G100,L100),0),2)</f>
        <v>0</v>
      </c>
      <c r="P100" s="72">
        <f t="shared" ref="P100" si="154">+ROUND(IF(C100=16,PRODUCT(E100,F100,G100,L100),0),2)</f>
        <v>32.14</v>
      </c>
      <c r="Q100" s="72">
        <f t="shared" ref="Q100" si="155">+ROUND(IF(C100=20,PRODUCT(E100,F100,G100,L100),0),2)</f>
        <v>0</v>
      </c>
      <c r="R100" s="72">
        <f t="shared" ref="R100" si="156">+ROUND(IF(C100=25,PRODUCT(E100,F100,G100,L100),0),2)</f>
        <v>0</v>
      </c>
    </row>
    <row r="101" spans="1:18" x14ac:dyDescent="0.25">
      <c r="A101" s="26"/>
      <c r="B101" s="25" t="s">
        <v>432</v>
      </c>
      <c r="C101" s="15">
        <v>16</v>
      </c>
      <c r="D101" s="16"/>
      <c r="E101" s="15">
        <v>6</v>
      </c>
      <c r="F101" s="11">
        <v>1</v>
      </c>
      <c r="G101" s="11">
        <v>2</v>
      </c>
      <c r="H101" s="95">
        <f>0.58+8*$C101/1000</f>
        <v>0.70799999999999996</v>
      </c>
      <c r="I101" s="95">
        <v>7.9050000000000002</v>
      </c>
      <c r="J101" s="95">
        <f>0.58+8*$C101/1000</f>
        <v>0.70799999999999996</v>
      </c>
      <c r="K101" s="22"/>
      <c r="L101" s="72">
        <f t="shared" ref="L101" si="157">SUM(H101:J101)+K101</f>
        <v>9.3209999999999997</v>
      </c>
      <c r="M101" s="72">
        <f t="shared" si="145"/>
        <v>0</v>
      </c>
      <c r="N101" s="72">
        <f t="shared" si="146"/>
        <v>0</v>
      </c>
      <c r="O101" s="72">
        <f t="shared" si="147"/>
        <v>0</v>
      </c>
      <c r="P101" s="72">
        <f t="shared" si="148"/>
        <v>111.85</v>
      </c>
      <c r="Q101" s="72">
        <f t="shared" si="149"/>
        <v>0</v>
      </c>
      <c r="R101" s="72">
        <f t="shared" si="150"/>
        <v>0</v>
      </c>
    </row>
    <row r="102" spans="1:18" x14ac:dyDescent="0.25">
      <c r="A102" s="26"/>
      <c r="B102" s="25" t="s">
        <v>450</v>
      </c>
      <c r="C102" s="15">
        <v>16</v>
      </c>
      <c r="D102" s="16"/>
      <c r="E102" s="15">
        <v>6</v>
      </c>
      <c r="F102" s="11">
        <v>1</v>
      </c>
      <c r="G102" s="11">
        <v>2</v>
      </c>
      <c r="H102" s="95">
        <f>0.79+10*$C102/1000</f>
        <v>0.95000000000000007</v>
      </c>
      <c r="I102" s="95">
        <v>1.02</v>
      </c>
      <c r="J102" s="95">
        <f>0.58+8*$C102/1000</f>
        <v>0.70799999999999996</v>
      </c>
      <c r="K102" s="22"/>
      <c r="L102" s="72">
        <f>SUM(H102:J102)+K102</f>
        <v>2.6779999999999999</v>
      </c>
      <c r="M102" s="72">
        <f t="shared" si="145"/>
        <v>0</v>
      </c>
      <c r="N102" s="72">
        <f t="shared" si="146"/>
        <v>0</v>
      </c>
      <c r="O102" s="72">
        <f t="shared" si="147"/>
        <v>0</v>
      </c>
      <c r="P102" s="72">
        <f t="shared" si="148"/>
        <v>32.14</v>
      </c>
      <c r="Q102" s="72">
        <f t="shared" si="149"/>
        <v>0</v>
      </c>
      <c r="R102" s="72">
        <f t="shared" si="150"/>
        <v>0</v>
      </c>
    </row>
    <row r="103" spans="1:18" x14ac:dyDescent="0.25">
      <c r="A103" s="26"/>
      <c r="B103" s="25" t="s">
        <v>450</v>
      </c>
      <c r="C103" s="15">
        <v>12</v>
      </c>
      <c r="D103" s="16"/>
      <c r="E103" s="15">
        <v>6</v>
      </c>
      <c r="F103" s="11">
        <v>1</v>
      </c>
      <c r="G103" s="11">
        <v>2</v>
      </c>
      <c r="H103" s="95"/>
      <c r="I103" s="95">
        <f>3.15-0.65</f>
        <v>2.5</v>
      </c>
      <c r="J103" s="95">
        <f>((0.59)/3)+0.1</f>
        <v>0.29666666666666663</v>
      </c>
      <c r="K103" s="22"/>
      <c r="L103" s="72">
        <f>SUM(H103:J103)+K103</f>
        <v>2.7966666666666669</v>
      </c>
      <c r="M103" s="72">
        <f t="shared" si="145"/>
        <v>0</v>
      </c>
      <c r="N103" s="72">
        <f t="shared" si="146"/>
        <v>0</v>
      </c>
      <c r="O103" s="72">
        <f t="shared" si="147"/>
        <v>33.56</v>
      </c>
      <c r="P103" s="72">
        <f t="shared" si="148"/>
        <v>0</v>
      </c>
      <c r="Q103" s="72">
        <f t="shared" si="149"/>
        <v>0</v>
      </c>
      <c r="R103" s="72">
        <f t="shared" si="150"/>
        <v>0</v>
      </c>
    </row>
    <row r="104" spans="1:18" x14ac:dyDescent="0.25">
      <c r="A104" s="26"/>
      <c r="B104" s="25" t="s">
        <v>433</v>
      </c>
      <c r="C104" s="15">
        <v>12</v>
      </c>
      <c r="D104" s="16"/>
      <c r="E104" s="15">
        <v>6</v>
      </c>
      <c r="F104" s="11">
        <v>1</v>
      </c>
      <c r="G104" s="11">
        <v>2</v>
      </c>
      <c r="H104" s="95"/>
      <c r="I104" s="95">
        <f>1.3+0.2+0.9</f>
        <v>2.4</v>
      </c>
      <c r="J104" s="100"/>
      <c r="K104" s="22"/>
      <c r="L104" s="72">
        <f t="shared" ref="L104" si="158">SUM(H104:J104)+K104</f>
        <v>2.4</v>
      </c>
      <c r="M104" s="72">
        <f t="shared" si="145"/>
        <v>0</v>
      </c>
      <c r="N104" s="72">
        <f t="shared" si="146"/>
        <v>0</v>
      </c>
      <c r="O104" s="72">
        <f t="shared" si="147"/>
        <v>28.8</v>
      </c>
      <c r="P104" s="72">
        <f t="shared" si="148"/>
        <v>0</v>
      </c>
      <c r="Q104" s="72">
        <f t="shared" si="149"/>
        <v>0</v>
      </c>
      <c r="R104" s="72">
        <f t="shared" si="150"/>
        <v>0</v>
      </c>
    </row>
    <row r="105" spans="1:18" x14ac:dyDescent="0.25">
      <c r="A105" s="26"/>
      <c r="B105" s="25" t="s">
        <v>433</v>
      </c>
      <c r="C105" s="15">
        <v>16</v>
      </c>
      <c r="D105" s="16"/>
      <c r="E105" s="15">
        <v>6</v>
      </c>
      <c r="F105" s="11">
        <v>1</v>
      </c>
      <c r="G105" s="11">
        <v>2</v>
      </c>
      <c r="H105" s="95">
        <f>0.58+8*$C105/1000</f>
        <v>0.70799999999999996</v>
      </c>
      <c r="I105" s="95">
        <v>1.3</v>
      </c>
      <c r="J105" s="100"/>
      <c r="K105" s="22"/>
      <c r="L105" s="72">
        <f t="shared" ref="L105" si="159">SUM(H105:J105)+K105</f>
        <v>2.008</v>
      </c>
      <c r="M105" s="72">
        <f t="shared" ref="M105" si="160">+ROUND(IF(C105=8,PRODUCT(E105,F105,G105,L105),0),2)</f>
        <v>0</v>
      </c>
      <c r="N105" s="72">
        <f t="shared" ref="N105" si="161">+ROUND(IF(C105=10,PRODUCT(E105,F105,G105,L105),0),2)</f>
        <v>0</v>
      </c>
      <c r="O105" s="72">
        <f t="shared" ref="O105" si="162">+ROUND(IF(C105=12,PRODUCT(E105,F105,G105,L105),0),2)</f>
        <v>0</v>
      </c>
      <c r="P105" s="72">
        <f t="shared" ref="P105" si="163">+ROUND(IF(C105=16,PRODUCT(E105,F105,G105,L105),0),2)</f>
        <v>24.1</v>
      </c>
      <c r="Q105" s="72">
        <f t="shared" ref="Q105" si="164">+ROUND(IF(C105=20,PRODUCT(E105,F105,G105,L105),0),2)</f>
        <v>0</v>
      </c>
      <c r="R105" s="72">
        <f t="shared" ref="R105" si="165">+ROUND(IF(C105=25,PRODUCT(E105,F105,G105,L105),0),2)</f>
        <v>0</v>
      </c>
    </row>
    <row r="106" spans="1:18" x14ac:dyDescent="0.25">
      <c r="A106" s="26"/>
      <c r="B106" s="25" t="s">
        <v>448</v>
      </c>
      <c r="C106" s="15">
        <v>8</v>
      </c>
      <c r="D106" s="16">
        <v>100</v>
      </c>
      <c r="E106" s="15">
        <v>6</v>
      </c>
      <c r="F106" s="11">
        <v>1</v>
      </c>
      <c r="G106" s="11">
        <f>+ROUND(3.342/0.1+1,0)</f>
        <v>34</v>
      </c>
      <c r="H106" s="95"/>
      <c r="I106" s="95">
        <f>2*(0.15+0.45)+24*C106/1000</f>
        <v>1.3919999999999999</v>
      </c>
      <c r="J106" s="100"/>
      <c r="K106" s="47"/>
      <c r="L106" s="72">
        <f>SUM(H106:J106)+K106</f>
        <v>1.3919999999999999</v>
      </c>
      <c r="M106" s="72">
        <f t="shared" si="145"/>
        <v>283.97000000000003</v>
      </c>
      <c r="N106" s="72">
        <f t="shared" si="146"/>
        <v>0</v>
      </c>
      <c r="O106" s="72">
        <f t="shared" si="147"/>
        <v>0</v>
      </c>
      <c r="P106" s="72">
        <f t="shared" si="148"/>
        <v>0</v>
      </c>
      <c r="Q106" s="72">
        <f t="shared" si="149"/>
        <v>0</v>
      </c>
      <c r="R106" s="72">
        <f t="shared" si="150"/>
        <v>0</v>
      </c>
    </row>
    <row r="107" spans="1:18" x14ac:dyDescent="0.25">
      <c r="A107" s="26"/>
      <c r="B107" s="25"/>
      <c r="C107" s="15">
        <v>8</v>
      </c>
      <c r="D107" s="16">
        <v>150</v>
      </c>
      <c r="E107" s="15">
        <v>6</v>
      </c>
      <c r="F107" s="11">
        <v>1</v>
      </c>
      <c r="G107" s="11">
        <f>+ROUND(3.342/0.15+1,0)</f>
        <v>23</v>
      </c>
      <c r="H107" s="95"/>
      <c r="I107" s="95">
        <f>2*(0.15+0.45)+24*C107/1000</f>
        <v>1.3919999999999999</v>
      </c>
      <c r="J107" s="100"/>
      <c r="K107" s="47"/>
      <c r="L107" s="72">
        <f t="shared" ref="L107" si="166">SUM(H107:J107)+K107</f>
        <v>1.3919999999999999</v>
      </c>
      <c r="M107" s="72">
        <f t="shared" ref="M107" si="167">+ROUND(IF(C107=8,PRODUCT(E107,F107,G107,L107),0),2)</f>
        <v>192.1</v>
      </c>
      <c r="N107" s="72">
        <f t="shared" ref="N107" si="168">+ROUND(IF(C107=10,PRODUCT(E107,F107,G107,L107),0),2)</f>
        <v>0</v>
      </c>
      <c r="O107" s="72">
        <f t="shared" ref="O107" si="169">+ROUND(IF(C107=12,PRODUCT(E107,F107,G107,L107),0),2)</f>
        <v>0</v>
      </c>
      <c r="P107" s="72">
        <f t="shared" ref="P107" si="170">+ROUND(IF(C107=16,PRODUCT(E107,F107,G107,L107),0),2)</f>
        <v>0</v>
      </c>
      <c r="Q107" s="72">
        <f t="shared" ref="Q107" si="171">+ROUND(IF(C107=20,PRODUCT(E107,F107,G107,L107),0),2)</f>
        <v>0</v>
      </c>
      <c r="R107" s="72">
        <f t="shared" ref="R107" si="172">+ROUND(IF(C107=25,PRODUCT(E107,F107,G107,L107),0),2)</f>
        <v>0</v>
      </c>
    </row>
    <row r="108" spans="1:18" x14ac:dyDescent="0.25">
      <c r="A108" s="26"/>
      <c r="B108" s="25" t="s">
        <v>447</v>
      </c>
      <c r="C108" s="15">
        <v>8</v>
      </c>
      <c r="D108" s="16">
        <v>100</v>
      </c>
      <c r="E108" s="15">
        <v>6</v>
      </c>
      <c r="F108" s="11">
        <v>1</v>
      </c>
      <c r="G108" s="11">
        <f>+ROUND(1.02/0.1+1,0)</f>
        <v>11</v>
      </c>
      <c r="H108" s="95"/>
      <c r="I108" s="95">
        <f>2*(0.15+0.3)+16*C108/1000</f>
        <v>1.028</v>
      </c>
      <c r="J108" s="100"/>
      <c r="K108" s="47"/>
      <c r="L108" s="72">
        <f>SUM(H108:J108)+K108</f>
        <v>1.028</v>
      </c>
      <c r="M108" s="72">
        <f t="shared" si="145"/>
        <v>67.849999999999994</v>
      </c>
      <c r="N108" s="72">
        <f t="shared" si="146"/>
        <v>0</v>
      </c>
      <c r="O108" s="72">
        <f t="shared" si="147"/>
        <v>0</v>
      </c>
      <c r="P108" s="72">
        <f t="shared" si="148"/>
        <v>0</v>
      </c>
      <c r="Q108" s="72">
        <f t="shared" si="149"/>
        <v>0</v>
      </c>
      <c r="R108" s="72">
        <f t="shared" si="150"/>
        <v>0</v>
      </c>
    </row>
    <row r="109" spans="1:18" x14ac:dyDescent="0.25">
      <c r="A109" s="26"/>
      <c r="B109" s="25" t="s">
        <v>448</v>
      </c>
      <c r="C109" s="15">
        <v>8</v>
      </c>
      <c r="D109" s="16">
        <v>100</v>
      </c>
      <c r="E109" s="15">
        <v>6</v>
      </c>
      <c r="F109" s="11">
        <v>1</v>
      </c>
      <c r="G109" s="11">
        <f>+ROUND(2/0.1,0)</f>
        <v>20</v>
      </c>
      <c r="H109" s="95"/>
      <c r="I109" s="95">
        <f>2*(0.15+0.45)+16*C109/1000</f>
        <v>1.3279999999999998</v>
      </c>
      <c r="J109" s="100"/>
      <c r="K109" s="47"/>
      <c r="L109" s="72">
        <f>SUM(H109:J109)+K109</f>
        <v>1.3279999999999998</v>
      </c>
      <c r="M109" s="72">
        <f t="shared" ref="M109:M116" si="173">+ROUND(IF(C109=8,PRODUCT(E109,F109,G109,L109),0),2)</f>
        <v>159.36000000000001</v>
      </c>
      <c r="N109" s="72">
        <f t="shared" ref="N109:N116" si="174">+ROUND(IF(C109=10,PRODUCT(E109,F109,G109,L109),0),2)</f>
        <v>0</v>
      </c>
      <c r="O109" s="72">
        <f t="shared" ref="O109:O116" si="175">+ROUND(IF(C109=12,PRODUCT(E109,F109,G109,L109),0),2)</f>
        <v>0</v>
      </c>
      <c r="P109" s="72">
        <f t="shared" ref="P109:P116" si="176">+ROUND(IF(C109=16,PRODUCT(E109,F109,G109,L109),0),2)</f>
        <v>0</v>
      </c>
      <c r="Q109" s="72">
        <f t="shared" ref="Q109:Q116" si="177">+ROUND(IF(C109=20,PRODUCT(E109,F109,G109,L109),0),2)</f>
        <v>0</v>
      </c>
      <c r="R109" s="72">
        <f t="shared" ref="R109:R116" si="178">+ROUND(IF(C109=25,PRODUCT(E109,F109,G109,L109),0),2)</f>
        <v>0</v>
      </c>
    </row>
    <row r="110" spans="1:18" x14ac:dyDescent="0.25">
      <c r="A110" s="26"/>
      <c r="B110" s="25"/>
      <c r="C110" s="15">
        <v>8</v>
      </c>
      <c r="D110" s="16">
        <v>150</v>
      </c>
      <c r="E110" s="15">
        <v>6</v>
      </c>
      <c r="F110" s="11">
        <v>1</v>
      </c>
      <c r="G110" s="11">
        <f>+ROUND(1.15/0.15+1,0)</f>
        <v>9</v>
      </c>
      <c r="H110" s="95"/>
      <c r="I110" s="95">
        <f>2*(0.15+0.45)+16*C110/1000</f>
        <v>1.3279999999999998</v>
      </c>
      <c r="J110" s="100"/>
      <c r="K110" s="47"/>
      <c r="L110" s="72">
        <f t="shared" ref="L110:L111" si="179">SUM(H110:J110)+K110</f>
        <v>1.3279999999999998</v>
      </c>
      <c r="M110" s="72">
        <f t="shared" si="173"/>
        <v>71.709999999999994</v>
      </c>
      <c r="N110" s="72">
        <f t="shared" si="174"/>
        <v>0</v>
      </c>
      <c r="O110" s="72">
        <f t="shared" si="175"/>
        <v>0</v>
      </c>
      <c r="P110" s="72">
        <f t="shared" si="176"/>
        <v>0</v>
      </c>
      <c r="Q110" s="72">
        <f t="shared" si="177"/>
        <v>0</v>
      </c>
      <c r="R110" s="72">
        <f t="shared" si="178"/>
        <v>0</v>
      </c>
    </row>
    <row r="111" spans="1:18" x14ac:dyDescent="0.25">
      <c r="A111" s="26" t="s">
        <v>436</v>
      </c>
      <c r="B111" s="48" t="s">
        <v>457</v>
      </c>
      <c r="C111" s="15"/>
      <c r="D111" s="16"/>
      <c r="E111" s="15"/>
      <c r="F111" s="11"/>
      <c r="G111" s="11"/>
      <c r="H111" s="95"/>
      <c r="I111" s="95"/>
      <c r="J111" s="100"/>
      <c r="K111" s="22"/>
      <c r="L111" s="72">
        <f t="shared" si="179"/>
        <v>0</v>
      </c>
      <c r="M111" s="72">
        <f t="shared" si="173"/>
        <v>0</v>
      </c>
      <c r="N111" s="72">
        <f t="shared" si="174"/>
        <v>0</v>
      </c>
      <c r="O111" s="72">
        <f t="shared" si="175"/>
        <v>0</v>
      </c>
      <c r="P111" s="72">
        <f t="shared" si="176"/>
        <v>0</v>
      </c>
      <c r="Q111" s="72">
        <f t="shared" si="177"/>
        <v>0</v>
      </c>
      <c r="R111" s="72">
        <f t="shared" si="178"/>
        <v>0</v>
      </c>
    </row>
    <row r="112" spans="1:18" x14ac:dyDescent="0.25">
      <c r="A112" s="26"/>
      <c r="B112" s="25" t="s">
        <v>385</v>
      </c>
      <c r="C112" s="15">
        <v>16</v>
      </c>
      <c r="D112" s="16"/>
      <c r="E112" s="15">
        <v>2</v>
      </c>
      <c r="F112" s="11">
        <v>1</v>
      </c>
      <c r="G112" s="11">
        <v>2</v>
      </c>
      <c r="H112" s="95">
        <f>0.58+8*$C112/1000</f>
        <v>0.70799999999999996</v>
      </c>
      <c r="I112" s="95">
        <v>3.2149999999999999</v>
      </c>
      <c r="J112" s="95">
        <f>((0.79)/3)+0.1</f>
        <v>0.3633333333333334</v>
      </c>
      <c r="K112" s="22"/>
      <c r="L112" s="72">
        <f>SUM(H112:J112)+K112</f>
        <v>4.2863333333333333</v>
      </c>
      <c r="M112" s="72">
        <f t="shared" si="173"/>
        <v>0</v>
      </c>
      <c r="N112" s="72">
        <f t="shared" si="174"/>
        <v>0</v>
      </c>
      <c r="O112" s="72">
        <f t="shared" si="175"/>
        <v>0</v>
      </c>
      <c r="P112" s="72">
        <f t="shared" si="176"/>
        <v>17.149999999999999</v>
      </c>
      <c r="Q112" s="72">
        <f t="shared" si="177"/>
        <v>0</v>
      </c>
      <c r="R112" s="72">
        <f t="shared" si="178"/>
        <v>0</v>
      </c>
    </row>
    <row r="113" spans="1:18" x14ac:dyDescent="0.25">
      <c r="A113" s="26"/>
      <c r="B113" s="25" t="s">
        <v>432</v>
      </c>
      <c r="C113" s="15">
        <v>16</v>
      </c>
      <c r="D113" s="16"/>
      <c r="E113" s="15">
        <v>2</v>
      </c>
      <c r="F113" s="11">
        <v>1</v>
      </c>
      <c r="G113" s="11">
        <v>2</v>
      </c>
      <c r="H113" s="95">
        <f>0.58+8*$C113/1000</f>
        <v>0.70799999999999996</v>
      </c>
      <c r="I113" s="95">
        <v>3.2149999999999999</v>
      </c>
      <c r="J113" s="95">
        <f>((0.79)/3)+0.1</f>
        <v>0.3633333333333334</v>
      </c>
      <c r="K113" s="22"/>
      <c r="L113" s="72">
        <f t="shared" ref="L113:L114" si="180">SUM(H113:J113)+K113</f>
        <v>4.2863333333333333</v>
      </c>
      <c r="M113" s="72">
        <f t="shared" si="173"/>
        <v>0</v>
      </c>
      <c r="N113" s="72">
        <f t="shared" si="174"/>
        <v>0</v>
      </c>
      <c r="O113" s="72">
        <f t="shared" si="175"/>
        <v>0</v>
      </c>
      <c r="P113" s="72">
        <f t="shared" si="176"/>
        <v>17.149999999999999</v>
      </c>
      <c r="Q113" s="72">
        <f t="shared" si="177"/>
        <v>0</v>
      </c>
      <c r="R113" s="72">
        <f t="shared" si="178"/>
        <v>0</v>
      </c>
    </row>
    <row r="114" spans="1:18" x14ac:dyDescent="0.25">
      <c r="A114" s="26"/>
      <c r="B114" s="25" t="s">
        <v>433</v>
      </c>
      <c r="C114" s="15">
        <v>12</v>
      </c>
      <c r="D114" s="16"/>
      <c r="E114" s="15">
        <v>2</v>
      </c>
      <c r="F114" s="11">
        <v>1</v>
      </c>
      <c r="G114" s="11">
        <v>2</v>
      </c>
      <c r="H114" s="95"/>
      <c r="I114" s="95">
        <v>0.9</v>
      </c>
      <c r="J114" s="95">
        <f>0.44+8*$C114/1000</f>
        <v>0.53600000000000003</v>
      </c>
      <c r="K114" s="22"/>
      <c r="L114" s="72">
        <f t="shared" si="180"/>
        <v>1.4359999999999999</v>
      </c>
      <c r="M114" s="72">
        <f t="shared" si="173"/>
        <v>0</v>
      </c>
      <c r="N114" s="72">
        <f t="shared" si="174"/>
        <v>0</v>
      </c>
      <c r="O114" s="72">
        <f t="shared" si="175"/>
        <v>5.74</v>
      </c>
      <c r="P114" s="72">
        <f t="shared" si="176"/>
        <v>0</v>
      </c>
      <c r="Q114" s="72">
        <f t="shared" si="177"/>
        <v>0</v>
      </c>
      <c r="R114" s="72">
        <f t="shared" si="178"/>
        <v>0</v>
      </c>
    </row>
    <row r="115" spans="1:18" x14ac:dyDescent="0.25">
      <c r="A115" s="26"/>
      <c r="B115" s="25" t="s">
        <v>448</v>
      </c>
      <c r="C115" s="15">
        <v>8</v>
      </c>
      <c r="D115" s="16">
        <v>100</v>
      </c>
      <c r="E115" s="15">
        <v>2</v>
      </c>
      <c r="F115" s="11">
        <v>1</v>
      </c>
      <c r="G115" s="11">
        <f>+ROUND(2/0.1,0)</f>
        <v>20</v>
      </c>
      <c r="H115" s="95"/>
      <c r="I115" s="95">
        <f>2*(0.15+0.45)+16*C115/1000</f>
        <v>1.3279999999999998</v>
      </c>
      <c r="J115" s="100"/>
      <c r="K115" s="47"/>
      <c r="L115" s="72">
        <f>SUM(H115:J115)+K115</f>
        <v>1.3279999999999998</v>
      </c>
      <c r="M115" s="72">
        <f t="shared" si="173"/>
        <v>53.12</v>
      </c>
      <c r="N115" s="72">
        <f t="shared" si="174"/>
        <v>0</v>
      </c>
      <c r="O115" s="72">
        <f t="shared" si="175"/>
        <v>0</v>
      </c>
      <c r="P115" s="72">
        <f t="shared" si="176"/>
        <v>0</v>
      </c>
      <c r="Q115" s="72">
        <f t="shared" si="177"/>
        <v>0</v>
      </c>
      <c r="R115" s="72">
        <f t="shared" si="178"/>
        <v>0</v>
      </c>
    </row>
    <row r="116" spans="1:18" x14ac:dyDescent="0.25">
      <c r="A116" s="26"/>
      <c r="B116" s="25"/>
      <c r="C116" s="15">
        <v>8</v>
      </c>
      <c r="D116" s="16">
        <v>150</v>
      </c>
      <c r="E116" s="15">
        <v>2</v>
      </c>
      <c r="F116" s="11">
        <v>1</v>
      </c>
      <c r="G116" s="11">
        <f>+ROUND(1.215/0.15+1,0)</f>
        <v>9</v>
      </c>
      <c r="H116" s="95"/>
      <c r="I116" s="95">
        <f>2*(0.15+0.45)+16*C116/1000</f>
        <v>1.3279999999999998</v>
      </c>
      <c r="J116" s="100"/>
      <c r="K116" s="22"/>
      <c r="L116" s="72">
        <f t="shared" ref="L116:L117" si="181">SUM(H116:J116)+K116</f>
        <v>1.3279999999999998</v>
      </c>
      <c r="M116" s="72">
        <f t="shared" si="173"/>
        <v>23.9</v>
      </c>
      <c r="N116" s="72">
        <f t="shared" si="174"/>
        <v>0</v>
      </c>
      <c r="O116" s="72">
        <f t="shared" si="175"/>
        <v>0</v>
      </c>
      <c r="P116" s="72">
        <f t="shared" si="176"/>
        <v>0</v>
      </c>
      <c r="Q116" s="72">
        <f t="shared" si="177"/>
        <v>0</v>
      </c>
      <c r="R116" s="72">
        <f t="shared" si="178"/>
        <v>0</v>
      </c>
    </row>
    <row r="117" spans="1:18" x14ac:dyDescent="0.25">
      <c r="A117" s="26" t="s">
        <v>459</v>
      </c>
      <c r="B117" s="48" t="s">
        <v>458</v>
      </c>
      <c r="C117" s="15"/>
      <c r="D117" s="16"/>
      <c r="E117" s="15"/>
      <c r="F117" s="11"/>
      <c r="G117" s="11"/>
      <c r="H117" s="95"/>
      <c r="I117" s="95"/>
      <c r="J117" s="100"/>
      <c r="K117" s="22"/>
      <c r="L117" s="72">
        <f t="shared" si="181"/>
        <v>0</v>
      </c>
      <c r="M117" s="72">
        <f t="shared" ref="M117:M122" si="182">+ROUND(IF(C117=8,PRODUCT(E117,F117,G117,L117),0),2)</f>
        <v>0</v>
      </c>
      <c r="N117" s="72">
        <f t="shared" ref="N117:N122" si="183">+ROUND(IF(C117=10,PRODUCT(E117,F117,G117,L117),0),2)</f>
        <v>0</v>
      </c>
      <c r="O117" s="72">
        <f t="shared" ref="O117:O122" si="184">+ROUND(IF(C117=12,PRODUCT(E117,F117,G117,L117),0),2)</f>
        <v>0</v>
      </c>
      <c r="P117" s="72">
        <f t="shared" ref="P117:P122" si="185">+ROUND(IF(C117=16,PRODUCT(E117,F117,G117,L117),0),2)</f>
        <v>0</v>
      </c>
      <c r="Q117" s="72">
        <f t="shared" ref="Q117:Q122" si="186">+ROUND(IF(C117=20,PRODUCT(E117,F117,G117,L117),0),2)</f>
        <v>0</v>
      </c>
      <c r="R117" s="72">
        <f t="shared" ref="R117:R122" si="187">+ROUND(IF(C117=25,PRODUCT(E117,F117,G117,L117),0),2)</f>
        <v>0</v>
      </c>
    </row>
    <row r="118" spans="1:18" x14ac:dyDescent="0.25">
      <c r="A118" s="26"/>
      <c r="B118" s="25" t="s">
        <v>385</v>
      </c>
      <c r="C118" s="15">
        <v>25</v>
      </c>
      <c r="D118" s="16"/>
      <c r="E118" s="15">
        <v>2</v>
      </c>
      <c r="F118" s="11">
        <v>1</v>
      </c>
      <c r="G118" s="11">
        <v>2</v>
      </c>
      <c r="H118" s="95">
        <f>0.9+8*$C118/1000</f>
        <v>1.1000000000000001</v>
      </c>
      <c r="I118" s="95">
        <v>2.76</v>
      </c>
      <c r="J118" s="95">
        <f>0.9+8*$C118/1000</f>
        <v>1.1000000000000001</v>
      </c>
      <c r="K118" s="22"/>
      <c r="L118" s="72">
        <f>SUM(H118:J118)+K118</f>
        <v>4.96</v>
      </c>
      <c r="M118" s="72">
        <f t="shared" si="182"/>
        <v>0</v>
      </c>
      <c r="N118" s="72">
        <f t="shared" si="183"/>
        <v>0</v>
      </c>
      <c r="O118" s="72">
        <f t="shared" si="184"/>
        <v>0</v>
      </c>
      <c r="P118" s="72">
        <f t="shared" si="185"/>
        <v>0</v>
      </c>
      <c r="Q118" s="72">
        <f t="shared" si="186"/>
        <v>0</v>
      </c>
      <c r="R118" s="72">
        <f t="shared" si="187"/>
        <v>19.84</v>
      </c>
    </row>
    <row r="119" spans="1:18" x14ac:dyDescent="0.25">
      <c r="A119" s="26"/>
      <c r="B119" s="25" t="s">
        <v>432</v>
      </c>
      <c r="C119" s="15">
        <v>25</v>
      </c>
      <c r="D119" s="16"/>
      <c r="E119" s="15">
        <v>2</v>
      </c>
      <c r="F119" s="11">
        <v>1</v>
      </c>
      <c r="G119" s="11">
        <v>2</v>
      </c>
      <c r="H119" s="95">
        <f>0.9+8*$C119/1000</f>
        <v>1.1000000000000001</v>
      </c>
      <c r="I119" s="95">
        <v>2.76</v>
      </c>
      <c r="J119" s="95">
        <f>0.9+8*$C119/1000</f>
        <v>1.1000000000000001</v>
      </c>
      <c r="K119" s="22"/>
      <c r="L119" s="72">
        <f>SUM(H119:J119)+K119</f>
        <v>4.96</v>
      </c>
      <c r="M119" s="72">
        <f t="shared" ref="M119" si="188">+ROUND(IF(C119=8,PRODUCT(E119,F119,G119,L119),0),2)</f>
        <v>0</v>
      </c>
      <c r="N119" s="72">
        <f t="shared" ref="N119" si="189">+ROUND(IF(C119=10,PRODUCT(E119,F119,G119,L119),0),2)</f>
        <v>0</v>
      </c>
      <c r="O119" s="72">
        <f t="shared" ref="O119" si="190">+ROUND(IF(C119=12,PRODUCT(E119,F119,G119,L119),0),2)</f>
        <v>0</v>
      </c>
      <c r="P119" s="72">
        <f t="shared" ref="P119" si="191">+ROUND(IF(C119=16,PRODUCT(E119,F119,G119,L119),0),2)</f>
        <v>0</v>
      </c>
      <c r="Q119" s="72">
        <f t="shared" ref="Q119" si="192">+ROUND(IF(C119=20,PRODUCT(E119,F119,G119,L119),0),2)</f>
        <v>0</v>
      </c>
      <c r="R119" s="72">
        <f t="shared" ref="R119" si="193">+ROUND(IF(C119=25,PRODUCT(E119,F119,G119,L119),0),2)</f>
        <v>19.84</v>
      </c>
    </row>
    <row r="120" spans="1:18" x14ac:dyDescent="0.25">
      <c r="A120" s="26"/>
      <c r="B120" s="25" t="s">
        <v>433</v>
      </c>
      <c r="C120" s="15">
        <v>12</v>
      </c>
      <c r="D120" s="16"/>
      <c r="E120" s="15">
        <v>2</v>
      </c>
      <c r="F120" s="11">
        <v>1</v>
      </c>
      <c r="G120" s="11">
        <v>2</v>
      </c>
      <c r="H120" s="95">
        <f>0.44+8*$C120/1000</f>
        <v>0.53600000000000003</v>
      </c>
      <c r="I120" s="95">
        <v>2.76</v>
      </c>
      <c r="J120" s="95">
        <f>0.44+8*$C120/1000</f>
        <v>0.53600000000000003</v>
      </c>
      <c r="K120" s="22"/>
      <c r="L120" s="72">
        <f t="shared" ref="L120" si="194">SUM(H120:J120)+K120</f>
        <v>3.8319999999999999</v>
      </c>
      <c r="M120" s="72">
        <f t="shared" si="182"/>
        <v>0</v>
      </c>
      <c r="N120" s="72">
        <f t="shared" si="183"/>
        <v>0</v>
      </c>
      <c r="O120" s="72">
        <f t="shared" si="184"/>
        <v>15.33</v>
      </c>
      <c r="P120" s="72">
        <f t="shared" si="185"/>
        <v>0</v>
      </c>
      <c r="Q120" s="72">
        <f t="shared" si="186"/>
        <v>0</v>
      </c>
      <c r="R120" s="72">
        <f t="shared" si="187"/>
        <v>0</v>
      </c>
    </row>
    <row r="121" spans="1:18" x14ac:dyDescent="0.25">
      <c r="A121" s="26"/>
      <c r="B121" s="25" t="s">
        <v>448</v>
      </c>
      <c r="C121" s="15">
        <v>10</v>
      </c>
      <c r="D121" s="16">
        <v>100</v>
      </c>
      <c r="E121" s="15">
        <v>2</v>
      </c>
      <c r="F121" s="11">
        <v>1</v>
      </c>
      <c r="G121" s="11">
        <f>+ROUND(2/0.1,0)</f>
        <v>20</v>
      </c>
      <c r="H121" s="95"/>
      <c r="I121" s="95">
        <f>2*(0.18+0.45)+16*C121/1000</f>
        <v>1.42</v>
      </c>
      <c r="J121" s="100"/>
      <c r="K121" s="47"/>
      <c r="L121" s="72">
        <f>SUM(H121:J121)+K121</f>
        <v>1.42</v>
      </c>
      <c r="M121" s="72">
        <f t="shared" si="182"/>
        <v>0</v>
      </c>
      <c r="N121" s="72">
        <f t="shared" si="183"/>
        <v>56.8</v>
      </c>
      <c r="O121" s="72">
        <f t="shared" si="184"/>
        <v>0</v>
      </c>
      <c r="P121" s="72">
        <f t="shared" si="185"/>
        <v>0</v>
      </c>
      <c r="Q121" s="72">
        <f t="shared" si="186"/>
        <v>0</v>
      </c>
      <c r="R121" s="72">
        <f t="shared" si="187"/>
        <v>0</v>
      </c>
    </row>
    <row r="122" spans="1:18" x14ac:dyDescent="0.25">
      <c r="A122" s="26"/>
      <c r="B122" s="25"/>
      <c r="C122" s="15">
        <v>10</v>
      </c>
      <c r="D122" s="16">
        <v>150</v>
      </c>
      <c r="E122" s="15">
        <v>2</v>
      </c>
      <c r="F122" s="11">
        <v>1</v>
      </c>
      <c r="G122" s="11">
        <f>+ROUND(0.76/0.15+1,0)</f>
        <v>6</v>
      </c>
      <c r="H122" s="95"/>
      <c r="I122" s="95">
        <f>2*(0.18+0.45)+16*C122/1000</f>
        <v>1.42</v>
      </c>
      <c r="J122" s="100"/>
      <c r="K122" s="22"/>
      <c r="L122" s="72">
        <f t="shared" ref="L122:L123" si="195">SUM(H122:J122)+K122</f>
        <v>1.42</v>
      </c>
      <c r="M122" s="72">
        <f t="shared" si="182"/>
        <v>0</v>
      </c>
      <c r="N122" s="72">
        <f t="shared" si="183"/>
        <v>17.04</v>
      </c>
      <c r="O122" s="72">
        <f t="shared" si="184"/>
        <v>0</v>
      </c>
      <c r="P122" s="72">
        <f t="shared" si="185"/>
        <v>0</v>
      </c>
      <c r="Q122" s="72">
        <f t="shared" si="186"/>
        <v>0</v>
      </c>
      <c r="R122" s="72">
        <f t="shared" si="187"/>
        <v>0</v>
      </c>
    </row>
    <row r="123" spans="1:18" x14ac:dyDescent="0.25">
      <c r="A123" s="26" t="s">
        <v>442</v>
      </c>
      <c r="B123" s="48" t="s">
        <v>460</v>
      </c>
      <c r="C123" s="15"/>
      <c r="D123" s="16"/>
      <c r="E123" s="15"/>
      <c r="F123" s="11"/>
      <c r="G123" s="11"/>
      <c r="H123" s="95"/>
      <c r="I123" s="95"/>
      <c r="J123" s="100"/>
      <c r="K123" s="22"/>
      <c r="L123" s="72">
        <f t="shared" si="195"/>
        <v>0</v>
      </c>
      <c r="M123" s="72">
        <f t="shared" ref="M123:M133" si="196">+ROUND(IF(C123=8,PRODUCT(E123,F123,G123,L123),0),2)</f>
        <v>0</v>
      </c>
      <c r="N123" s="72">
        <f t="shared" ref="N123:N133" si="197">+ROUND(IF(C123=10,PRODUCT(E123,F123,G123,L123),0),2)</f>
        <v>0</v>
      </c>
      <c r="O123" s="72">
        <f t="shared" ref="O123:O133" si="198">+ROUND(IF(C123=12,PRODUCT(E123,F123,G123,L123),0),2)</f>
        <v>0</v>
      </c>
      <c r="P123" s="72">
        <f t="shared" ref="P123:P133" si="199">+ROUND(IF(C123=16,PRODUCT(E123,F123,G123,L123),0),2)</f>
        <v>0</v>
      </c>
      <c r="Q123" s="72">
        <f t="shared" ref="Q123:Q133" si="200">+ROUND(IF(C123=20,PRODUCT(E123,F123,G123,L123),0),2)</f>
        <v>0</v>
      </c>
      <c r="R123" s="72">
        <f t="shared" ref="R123:R133" si="201">+ROUND(IF(C123=25,PRODUCT(E123,F123,G123,L123),0),2)</f>
        <v>0</v>
      </c>
    </row>
    <row r="124" spans="1:18" x14ac:dyDescent="0.25">
      <c r="A124" s="26"/>
      <c r="B124" s="25" t="s">
        <v>385</v>
      </c>
      <c r="C124" s="15">
        <v>16</v>
      </c>
      <c r="D124" s="16"/>
      <c r="E124" s="15">
        <v>2</v>
      </c>
      <c r="F124" s="11">
        <v>1</v>
      </c>
      <c r="G124" s="11">
        <v>2</v>
      </c>
      <c r="H124" s="95">
        <f>0.58+8*$C124/1000</f>
        <v>0.70799999999999996</v>
      </c>
      <c r="I124" s="95">
        <v>6.79</v>
      </c>
      <c r="J124" s="95">
        <f>((0.79)/3)+0.1</f>
        <v>0.3633333333333334</v>
      </c>
      <c r="K124" s="22"/>
      <c r="L124" s="72">
        <f>SUM(H124:J124)+K124</f>
        <v>7.8613333333333335</v>
      </c>
      <c r="M124" s="72">
        <f t="shared" si="196"/>
        <v>0</v>
      </c>
      <c r="N124" s="72">
        <f t="shared" si="197"/>
        <v>0</v>
      </c>
      <c r="O124" s="72">
        <f t="shared" si="198"/>
        <v>0</v>
      </c>
      <c r="P124" s="72">
        <f t="shared" si="199"/>
        <v>31.45</v>
      </c>
      <c r="Q124" s="72">
        <f t="shared" si="200"/>
        <v>0</v>
      </c>
      <c r="R124" s="72">
        <f t="shared" si="201"/>
        <v>0</v>
      </c>
    </row>
    <row r="125" spans="1:18" x14ac:dyDescent="0.25">
      <c r="A125" s="26"/>
      <c r="B125" s="25" t="s">
        <v>432</v>
      </c>
      <c r="C125" s="15">
        <v>16</v>
      </c>
      <c r="D125" s="16"/>
      <c r="E125" s="15">
        <v>2</v>
      </c>
      <c r="F125" s="11">
        <v>1</v>
      </c>
      <c r="G125" s="11">
        <v>2</v>
      </c>
      <c r="H125" s="95">
        <f>0.58+8*$C125/1000</f>
        <v>0.70799999999999996</v>
      </c>
      <c r="I125" s="95">
        <v>6.79</v>
      </c>
      <c r="J125" s="95">
        <f>((0.79)/3)+0.1</f>
        <v>0.3633333333333334</v>
      </c>
      <c r="K125" s="22"/>
      <c r="L125" s="72">
        <f t="shared" ref="L125" si="202">SUM(H125:J125)+K125</f>
        <v>7.8613333333333335</v>
      </c>
      <c r="M125" s="72">
        <f t="shared" si="196"/>
        <v>0</v>
      </c>
      <c r="N125" s="72">
        <f t="shared" si="197"/>
        <v>0</v>
      </c>
      <c r="O125" s="72">
        <f t="shared" si="198"/>
        <v>0</v>
      </c>
      <c r="P125" s="72">
        <f t="shared" si="199"/>
        <v>31.45</v>
      </c>
      <c r="Q125" s="72">
        <f t="shared" si="200"/>
        <v>0</v>
      </c>
      <c r="R125" s="72">
        <f t="shared" si="201"/>
        <v>0</v>
      </c>
    </row>
    <row r="126" spans="1:18" x14ac:dyDescent="0.25">
      <c r="A126" s="26"/>
      <c r="B126" s="25" t="s">
        <v>450</v>
      </c>
      <c r="C126" s="15">
        <v>12</v>
      </c>
      <c r="D126" s="16"/>
      <c r="E126" s="15">
        <v>2</v>
      </c>
      <c r="F126" s="11">
        <v>1</v>
      </c>
      <c r="G126" s="11">
        <v>2</v>
      </c>
      <c r="H126" s="95"/>
      <c r="I126" s="95">
        <f>6.79-1.2</f>
        <v>5.59</v>
      </c>
      <c r="J126" s="100"/>
      <c r="K126" s="22"/>
      <c r="L126" s="72">
        <f t="shared" ref="L126" si="203">SUM(H126:J126)+K126</f>
        <v>5.59</v>
      </c>
      <c r="M126" s="72">
        <f t="shared" si="196"/>
        <v>0</v>
      </c>
      <c r="N126" s="72">
        <f t="shared" si="197"/>
        <v>0</v>
      </c>
      <c r="O126" s="72">
        <f t="shared" si="198"/>
        <v>22.36</v>
      </c>
      <c r="P126" s="72">
        <f t="shared" si="199"/>
        <v>0</v>
      </c>
      <c r="Q126" s="72">
        <f t="shared" si="200"/>
        <v>0</v>
      </c>
      <c r="R126" s="72">
        <f t="shared" si="201"/>
        <v>0</v>
      </c>
    </row>
    <row r="127" spans="1:18" x14ac:dyDescent="0.25">
      <c r="A127" s="26"/>
      <c r="B127" s="25" t="s">
        <v>433</v>
      </c>
      <c r="C127" s="15">
        <v>16</v>
      </c>
      <c r="D127" s="16"/>
      <c r="E127" s="15">
        <v>2</v>
      </c>
      <c r="F127" s="11">
        <v>1</v>
      </c>
      <c r="G127" s="11">
        <v>2</v>
      </c>
      <c r="H127" s="95"/>
      <c r="I127" s="95">
        <v>2</v>
      </c>
      <c r="J127" s="95">
        <f>0.58+8*$C127/1000</f>
        <v>0.70799999999999996</v>
      </c>
      <c r="K127" s="22"/>
      <c r="L127" s="72">
        <f t="shared" ref="L127" si="204">SUM(H127:J127)+K127</f>
        <v>2.7080000000000002</v>
      </c>
      <c r="M127" s="72">
        <f t="shared" ref="M127" si="205">+ROUND(IF(C127=8,PRODUCT(E127,F127,G127,L127),0),2)</f>
        <v>0</v>
      </c>
      <c r="N127" s="72">
        <f t="shared" ref="N127" si="206">+ROUND(IF(C127=10,PRODUCT(E127,F127,G127,L127),0),2)</f>
        <v>0</v>
      </c>
      <c r="O127" s="72">
        <f t="shared" ref="O127" si="207">+ROUND(IF(C127=12,PRODUCT(E127,F127,G127,L127),0),2)</f>
        <v>0</v>
      </c>
      <c r="P127" s="72">
        <f t="shared" ref="P127" si="208">+ROUND(IF(C127=16,PRODUCT(E127,F127,G127,L127),0),2)</f>
        <v>10.83</v>
      </c>
      <c r="Q127" s="72">
        <f t="shared" ref="Q127" si="209">+ROUND(IF(C127=20,PRODUCT(E127,F127,G127,L127),0),2)</f>
        <v>0</v>
      </c>
      <c r="R127" s="72">
        <f t="shared" ref="R127" si="210">+ROUND(IF(C127=25,PRODUCT(E127,F127,G127,L127),0),2)</f>
        <v>0</v>
      </c>
    </row>
    <row r="128" spans="1:18" x14ac:dyDescent="0.25">
      <c r="A128" s="26"/>
      <c r="B128" s="25" t="s">
        <v>453</v>
      </c>
      <c r="C128" s="15">
        <v>8</v>
      </c>
      <c r="D128" s="16">
        <v>100</v>
      </c>
      <c r="E128" s="15">
        <v>2</v>
      </c>
      <c r="F128" s="11">
        <v>1</v>
      </c>
      <c r="G128" s="11">
        <f>+ROUND(3.395/0.1,0)</f>
        <v>34</v>
      </c>
      <c r="H128" s="95"/>
      <c r="I128" s="95">
        <f>2*(0.15+0.4)+16*C128/1000</f>
        <v>1.2280000000000002</v>
      </c>
      <c r="J128" s="100"/>
      <c r="K128" s="47"/>
      <c r="L128" s="72">
        <f>SUM(H128:J128)+K128</f>
        <v>1.2280000000000002</v>
      </c>
      <c r="M128" s="72">
        <f t="shared" si="196"/>
        <v>83.5</v>
      </c>
      <c r="N128" s="72">
        <f t="shared" si="197"/>
        <v>0</v>
      </c>
      <c r="O128" s="72">
        <f t="shared" si="198"/>
        <v>0</v>
      </c>
      <c r="P128" s="72">
        <f t="shared" si="199"/>
        <v>0</v>
      </c>
      <c r="Q128" s="72">
        <f t="shared" si="200"/>
        <v>0</v>
      </c>
      <c r="R128" s="72">
        <f t="shared" si="201"/>
        <v>0</v>
      </c>
    </row>
    <row r="129" spans="1:18" x14ac:dyDescent="0.25">
      <c r="A129" s="26"/>
      <c r="B129" s="25"/>
      <c r="C129" s="15">
        <v>8</v>
      </c>
      <c r="D129" s="16">
        <v>150</v>
      </c>
      <c r="E129" s="15">
        <v>2</v>
      </c>
      <c r="F129" s="11">
        <v>1</v>
      </c>
      <c r="G129" s="11">
        <f>+ROUND(3.395/0.15+1,0)</f>
        <v>24</v>
      </c>
      <c r="H129" s="95"/>
      <c r="I129" s="95">
        <f>2*(0.15+0.4)+16*C129/1000</f>
        <v>1.2280000000000002</v>
      </c>
      <c r="J129" s="100"/>
      <c r="K129" s="22"/>
      <c r="L129" s="72">
        <f t="shared" ref="L129:L130" si="211">SUM(H129:J129)+K129</f>
        <v>1.2280000000000002</v>
      </c>
      <c r="M129" s="72">
        <f t="shared" si="196"/>
        <v>58.94</v>
      </c>
      <c r="N129" s="72">
        <f t="shared" si="197"/>
        <v>0</v>
      </c>
      <c r="O129" s="72">
        <f t="shared" si="198"/>
        <v>0</v>
      </c>
      <c r="P129" s="72">
        <f t="shared" si="199"/>
        <v>0</v>
      </c>
      <c r="Q129" s="72">
        <f t="shared" si="200"/>
        <v>0</v>
      </c>
      <c r="R129" s="72">
        <f t="shared" si="201"/>
        <v>0</v>
      </c>
    </row>
    <row r="130" spans="1:18" x14ac:dyDescent="0.25">
      <c r="A130" s="26" t="s">
        <v>444</v>
      </c>
      <c r="B130" s="48" t="s">
        <v>461</v>
      </c>
      <c r="C130" s="15"/>
      <c r="D130" s="16"/>
      <c r="E130" s="15"/>
      <c r="F130" s="11"/>
      <c r="G130" s="11"/>
      <c r="H130" s="95"/>
      <c r="I130" s="95"/>
      <c r="J130" s="100"/>
      <c r="K130" s="22"/>
      <c r="L130" s="72">
        <f t="shared" si="211"/>
        <v>0</v>
      </c>
      <c r="M130" s="72">
        <f t="shared" si="196"/>
        <v>0</v>
      </c>
      <c r="N130" s="72">
        <f t="shared" si="197"/>
        <v>0</v>
      </c>
      <c r="O130" s="72">
        <f t="shared" si="198"/>
        <v>0</v>
      </c>
      <c r="P130" s="72">
        <f t="shared" si="199"/>
        <v>0</v>
      </c>
      <c r="Q130" s="72">
        <f t="shared" si="200"/>
        <v>0</v>
      </c>
      <c r="R130" s="72">
        <f t="shared" si="201"/>
        <v>0</v>
      </c>
    </row>
    <row r="131" spans="1:18" x14ac:dyDescent="0.25">
      <c r="A131" s="26"/>
      <c r="B131" s="25" t="s">
        <v>385</v>
      </c>
      <c r="C131" s="15">
        <v>16</v>
      </c>
      <c r="D131" s="16"/>
      <c r="E131" s="15">
        <v>2</v>
      </c>
      <c r="F131" s="96">
        <v>0.5</v>
      </c>
      <c r="G131" s="11">
        <v>2</v>
      </c>
      <c r="H131" s="95">
        <f>((0.79)/3)+0.1</f>
        <v>0.3633333333333334</v>
      </c>
      <c r="I131" s="95">
        <v>5.05</v>
      </c>
      <c r="J131" s="95">
        <f>((0.79)/3)+0.1</f>
        <v>0.3633333333333334</v>
      </c>
      <c r="K131" s="22"/>
      <c r="L131" s="72">
        <f>SUM(H131:J131)+K131</f>
        <v>5.7766666666666664</v>
      </c>
      <c r="M131" s="72">
        <f t="shared" si="196"/>
        <v>0</v>
      </c>
      <c r="N131" s="72">
        <f t="shared" si="197"/>
        <v>0</v>
      </c>
      <c r="O131" s="72">
        <f t="shared" si="198"/>
        <v>0</v>
      </c>
      <c r="P131" s="72">
        <f t="shared" si="199"/>
        <v>11.55</v>
      </c>
      <c r="Q131" s="72">
        <f t="shared" si="200"/>
        <v>0</v>
      </c>
      <c r="R131" s="72">
        <f t="shared" si="201"/>
        <v>0</v>
      </c>
    </row>
    <row r="132" spans="1:18" x14ac:dyDescent="0.25">
      <c r="A132" s="26"/>
      <c r="B132" s="25" t="s">
        <v>432</v>
      </c>
      <c r="C132" s="15">
        <v>20</v>
      </c>
      <c r="D132" s="16"/>
      <c r="E132" s="15">
        <v>2</v>
      </c>
      <c r="F132" s="96">
        <v>0.5</v>
      </c>
      <c r="G132" s="11">
        <v>2</v>
      </c>
      <c r="H132" s="95">
        <f>((0.98)/3)+0.1</f>
        <v>0.42666666666666664</v>
      </c>
      <c r="I132" s="95">
        <v>5.05</v>
      </c>
      <c r="J132" s="95">
        <f>((0.98)/3)+0.1</f>
        <v>0.42666666666666664</v>
      </c>
      <c r="K132" s="22"/>
      <c r="L132" s="72">
        <f t="shared" ref="L132" si="212">SUM(H132:J132)+K132</f>
        <v>5.9033333333333333</v>
      </c>
      <c r="M132" s="72">
        <f t="shared" si="196"/>
        <v>0</v>
      </c>
      <c r="N132" s="72">
        <f t="shared" si="197"/>
        <v>0</v>
      </c>
      <c r="O132" s="72">
        <f t="shared" si="198"/>
        <v>0</v>
      </c>
      <c r="P132" s="72">
        <f t="shared" si="199"/>
        <v>0</v>
      </c>
      <c r="Q132" s="72">
        <f t="shared" si="200"/>
        <v>11.81</v>
      </c>
      <c r="R132" s="72">
        <f t="shared" si="201"/>
        <v>0</v>
      </c>
    </row>
    <row r="133" spans="1:18" x14ac:dyDescent="0.25">
      <c r="A133" s="26"/>
      <c r="B133" s="25" t="s">
        <v>462</v>
      </c>
      <c r="C133" s="15">
        <v>8</v>
      </c>
      <c r="D133" s="16">
        <v>100</v>
      </c>
      <c r="E133" s="15">
        <v>2</v>
      </c>
      <c r="F133" s="96">
        <v>0.5</v>
      </c>
      <c r="G133" s="11">
        <f>+ROUND(4.82/0.1+2,0)</f>
        <v>50</v>
      </c>
      <c r="H133" s="95"/>
      <c r="I133" s="95">
        <f>2*(0.18+0.3)+16*C133/1000</f>
        <v>1.0880000000000001</v>
      </c>
      <c r="J133" s="100"/>
      <c r="K133" s="47"/>
      <c r="L133" s="72">
        <f>SUM(H133:J133)+K133</f>
        <v>1.0880000000000001</v>
      </c>
      <c r="M133" s="72">
        <f t="shared" si="196"/>
        <v>54.4</v>
      </c>
      <c r="N133" s="72">
        <f t="shared" si="197"/>
        <v>0</v>
      </c>
      <c r="O133" s="72">
        <f t="shared" si="198"/>
        <v>0</v>
      </c>
      <c r="P133" s="72">
        <f t="shared" si="199"/>
        <v>0</v>
      </c>
      <c r="Q133" s="72">
        <f t="shared" si="200"/>
        <v>0</v>
      </c>
      <c r="R133" s="72">
        <f t="shared" si="201"/>
        <v>0</v>
      </c>
    </row>
    <row r="134" spans="1:18" x14ac:dyDescent="0.25">
      <c r="A134" s="26" t="s">
        <v>498</v>
      </c>
      <c r="B134" s="48" t="s">
        <v>752</v>
      </c>
      <c r="C134" s="15"/>
      <c r="D134" s="16"/>
      <c r="E134" s="15"/>
      <c r="F134" s="11"/>
      <c r="G134" s="11"/>
      <c r="H134" s="95"/>
      <c r="I134" s="95"/>
      <c r="J134" s="100"/>
      <c r="K134" s="22"/>
      <c r="L134" s="72">
        <f t="shared" ref="L134" si="213">SUM(H134:J134)+K134</f>
        <v>0</v>
      </c>
      <c r="M134" s="72">
        <f t="shared" ref="M134:M140" si="214">+ROUND(IF(C134=8,PRODUCT(E134,F134,G134,L134),0),2)</f>
        <v>0</v>
      </c>
      <c r="N134" s="72">
        <f t="shared" ref="N134:N140" si="215">+ROUND(IF(C134=10,PRODUCT(E134,F134,G134,L134),0),2)</f>
        <v>0</v>
      </c>
      <c r="O134" s="72">
        <f t="shared" ref="O134:O140" si="216">+ROUND(IF(C134=12,PRODUCT(E134,F134,G134,L134),0),2)</f>
        <v>0</v>
      </c>
      <c r="P134" s="72">
        <f t="shared" ref="P134:P140" si="217">+ROUND(IF(C134=16,PRODUCT(E134,F134,G134,L134),0),2)</f>
        <v>0</v>
      </c>
      <c r="Q134" s="72">
        <f t="shared" ref="Q134:Q140" si="218">+ROUND(IF(C134=20,PRODUCT(E134,F134,G134,L134),0),2)</f>
        <v>0</v>
      </c>
      <c r="R134" s="72">
        <f t="shared" ref="R134:R140" si="219">+ROUND(IF(C134=25,PRODUCT(E134,F134,G134,L134),0),2)</f>
        <v>0</v>
      </c>
    </row>
    <row r="135" spans="1:18" x14ac:dyDescent="0.25">
      <c r="A135" s="26"/>
      <c r="B135" s="25" t="s">
        <v>385</v>
      </c>
      <c r="C135" s="15">
        <v>16</v>
      </c>
      <c r="D135" s="16"/>
      <c r="E135" s="15">
        <v>2</v>
      </c>
      <c r="F135" s="96">
        <v>0.5</v>
      </c>
      <c r="G135" s="11">
        <v>2</v>
      </c>
      <c r="H135" s="95">
        <f>0.58+8*$C135/1000</f>
        <v>0.70799999999999996</v>
      </c>
      <c r="I135" s="95">
        <v>11.75</v>
      </c>
      <c r="J135" s="95">
        <f>0.58+8*$C135/1000</f>
        <v>0.70799999999999996</v>
      </c>
      <c r="K135" s="22"/>
      <c r="L135" s="72">
        <f>SUM(H135:J135)+K135</f>
        <v>13.166</v>
      </c>
      <c r="M135" s="72">
        <f t="shared" si="214"/>
        <v>0</v>
      </c>
      <c r="N135" s="72">
        <f t="shared" si="215"/>
        <v>0</v>
      </c>
      <c r="O135" s="72">
        <f t="shared" si="216"/>
        <v>0</v>
      </c>
      <c r="P135" s="72">
        <f t="shared" si="217"/>
        <v>26.33</v>
      </c>
      <c r="Q135" s="72">
        <f t="shared" si="218"/>
        <v>0</v>
      </c>
      <c r="R135" s="72">
        <f t="shared" si="219"/>
        <v>0</v>
      </c>
    </row>
    <row r="136" spans="1:18" x14ac:dyDescent="0.25">
      <c r="A136" s="26"/>
      <c r="B136" s="25" t="s">
        <v>432</v>
      </c>
      <c r="C136" s="15">
        <v>16</v>
      </c>
      <c r="D136" s="16"/>
      <c r="E136" s="15">
        <v>2</v>
      </c>
      <c r="F136" s="96">
        <v>0.5</v>
      </c>
      <c r="G136" s="11">
        <v>2</v>
      </c>
      <c r="H136" s="95">
        <f>0.58+8*$C136/1000</f>
        <v>0.70799999999999996</v>
      </c>
      <c r="I136" s="95">
        <v>11.75</v>
      </c>
      <c r="J136" s="95">
        <f>0.58+8*$C136/1000</f>
        <v>0.70799999999999996</v>
      </c>
      <c r="K136" s="22"/>
      <c r="L136" s="72">
        <f t="shared" ref="L136" si="220">SUM(H136:J136)+K136</f>
        <v>13.166</v>
      </c>
      <c r="M136" s="72">
        <f t="shared" si="214"/>
        <v>0</v>
      </c>
      <c r="N136" s="72">
        <f t="shared" si="215"/>
        <v>0</v>
      </c>
      <c r="O136" s="72">
        <f t="shared" si="216"/>
        <v>0</v>
      </c>
      <c r="P136" s="72">
        <f t="shared" si="217"/>
        <v>26.33</v>
      </c>
      <c r="Q136" s="72">
        <f t="shared" si="218"/>
        <v>0</v>
      </c>
      <c r="R136" s="72">
        <f t="shared" si="219"/>
        <v>0</v>
      </c>
    </row>
    <row r="137" spans="1:18" x14ac:dyDescent="0.25">
      <c r="A137" s="26"/>
      <c r="B137" s="25" t="s">
        <v>450</v>
      </c>
      <c r="C137" s="15">
        <v>12</v>
      </c>
      <c r="D137" s="16"/>
      <c r="E137" s="15">
        <v>2</v>
      </c>
      <c r="F137" s="96">
        <v>0.5</v>
      </c>
      <c r="G137" s="11">
        <v>4</v>
      </c>
      <c r="H137" s="95"/>
      <c r="I137" s="95">
        <f>5.76-0.55-0.85</f>
        <v>4.3600000000000003</v>
      </c>
      <c r="J137" s="95"/>
      <c r="K137" s="22"/>
      <c r="L137" s="72">
        <f t="shared" ref="L137" si="221">SUM(H137:J137)+K137</f>
        <v>4.3600000000000003</v>
      </c>
      <c r="M137" s="72">
        <f t="shared" ref="M137" si="222">+ROUND(IF(C137=8,PRODUCT(E137,F137,G137,L137),0),2)</f>
        <v>0</v>
      </c>
      <c r="N137" s="72">
        <f t="shared" ref="N137" si="223">+ROUND(IF(C137=10,PRODUCT(E137,F137,G137,L137),0),2)</f>
        <v>0</v>
      </c>
      <c r="O137" s="72">
        <f t="shared" ref="O137" si="224">+ROUND(IF(C137=12,PRODUCT(E137,F137,G137,L137),0),2)</f>
        <v>17.440000000000001</v>
      </c>
      <c r="P137" s="72">
        <f t="shared" ref="P137" si="225">+ROUND(IF(C137=16,PRODUCT(E137,F137,G137,L137),0),2)</f>
        <v>0</v>
      </c>
      <c r="Q137" s="72">
        <f t="shared" ref="Q137" si="226">+ROUND(IF(C137=20,PRODUCT(E137,F137,G137,L137),0),2)</f>
        <v>0</v>
      </c>
      <c r="R137" s="72">
        <f t="shared" ref="R137" si="227">+ROUND(IF(C137=25,PRODUCT(E137,F137,G137,L137),0),2)</f>
        <v>0</v>
      </c>
    </row>
    <row r="138" spans="1:18" x14ac:dyDescent="0.25">
      <c r="A138" s="26"/>
      <c r="B138" s="25" t="s">
        <v>433</v>
      </c>
      <c r="C138" s="15">
        <v>12</v>
      </c>
      <c r="D138" s="16"/>
      <c r="E138" s="15">
        <v>2</v>
      </c>
      <c r="F138" s="96">
        <v>0.5</v>
      </c>
      <c r="G138" s="11">
        <v>2</v>
      </c>
      <c r="H138" s="95"/>
      <c r="I138" s="95">
        <f>1.8+0.23+1.8</f>
        <v>3.83</v>
      </c>
      <c r="J138" s="95"/>
      <c r="K138" s="22"/>
      <c r="L138" s="72">
        <f t="shared" ref="L138" si="228">SUM(H138:J138)+K138</f>
        <v>3.83</v>
      </c>
      <c r="M138" s="72">
        <f t="shared" ref="M138" si="229">+ROUND(IF(C138=8,PRODUCT(E138,F138,G138,L138),0),2)</f>
        <v>0</v>
      </c>
      <c r="N138" s="72">
        <f t="shared" ref="N138" si="230">+ROUND(IF(C138=10,PRODUCT(E138,F138,G138,L138),0),2)</f>
        <v>0</v>
      </c>
      <c r="O138" s="72">
        <f t="shared" ref="O138" si="231">+ROUND(IF(C138=12,PRODUCT(E138,F138,G138,L138),0),2)</f>
        <v>7.66</v>
      </c>
      <c r="P138" s="72">
        <f t="shared" ref="P138" si="232">+ROUND(IF(C138=16,PRODUCT(E138,F138,G138,L138),0),2)</f>
        <v>0</v>
      </c>
      <c r="Q138" s="72">
        <f t="shared" ref="Q138" si="233">+ROUND(IF(C138=20,PRODUCT(E138,F138,G138,L138),0),2)</f>
        <v>0</v>
      </c>
      <c r="R138" s="72">
        <f t="shared" ref="R138" si="234">+ROUND(IF(C138=25,PRODUCT(E138,F138,G138,L138),0),2)</f>
        <v>0</v>
      </c>
    </row>
    <row r="139" spans="1:18" x14ac:dyDescent="0.25">
      <c r="A139" s="26"/>
      <c r="B139" s="25" t="s">
        <v>433</v>
      </c>
      <c r="C139" s="15">
        <v>12</v>
      </c>
      <c r="D139" s="16"/>
      <c r="E139" s="15">
        <v>2</v>
      </c>
      <c r="F139" s="96">
        <v>0.5</v>
      </c>
      <c r="G139" s="11">
        <v>4</v>
      </c>
      <c r="H139" s="95">
        <f>0.59+8*$C139/1000</f>
        <v>0.68599999999999994</v>
      </c>
      <c r="I139" s="95">
        <v>1.8</v>
      </c>
      <c r="J139" s="95"/>
      <c r="K139" s="22"/>
      <c r="L139" s="72">
        <f t="shared" ref="L139" si="235">SUM(H139:J139)+K139</f>
        <v>2.4859999999999998</v>
      </c>
      <c r="M139" s="72">
        <f t="shared" ref="M139" si="236">+ROUND(IF(C139=8,PRODUCT(E139,F139,G139,L139),0),2)</f>
        <v>0</v>
      </c>
      <c r="N139" s="72">
        <f t="shared" ref="N139" si="237">+ROUND(IF(C139=10,PRODUCT(E139,F139,G139,L139),0),2)</f>
        <v>0</v>
      </c>
      <c r="O139" s="72">
        <f t="shared" ref="O139" si="238">+ROUND(IF(C139=12,PRODUCT(E139,F139,G139,L139),0),2)</f>
        <v>9.94</v>
      </c>
      <c r="P139" s="72">
        <f t="shared" ref="P139" si="239">+ROUND(IF(C139=16,PRODUCT(E139,F139,G139,L139),0),2)</f>
        <v>0</v>
      </c>
      <c r="Q139" s="72">
        <f t="shared" ref="Q139" si="240">+ROUND(IF(C139=20,PRODUCT(E139,F139,G139,L139),0),2)</f>
        <v>0</v>
      </c>
      <c r="R139" s="72">
        <f t="shared" ref="R139" si="241">+ROUND(IF(C139=25,PRODUCT(E139,F139,G139,L139),0),2)</f>
        <v>0</v>
      </c>
    </row>
    <row r="140" spans="1:18" x14ac:dyDescent="0.25">
      <c r="A140" s="26"/>
      <c r="B140" s="25" t="s">
        <v>462</v>
      </c>
      <c r="C140" s="15">
        <v>8</v>
      </c>
      <c r="D140" s="16">
        <v>100</v>
      </c>
      <c r="E140" s="15">
        <v>2</v>
      </c>
      <c r="F140" s="96">
        <v>0.5</v>
      </c>
      <c r="G140" s="11">
        <f>+ROUND(2.88/0.1+1,0)*2</f>
        <v>60</v>
      </c>
      <c r="H140" s="95"/>
      <c r="I140" s="95">
        <f>2*(0.18+0.4)+16*C140/1000</f>
        <v>1.2880000000000003</v>
      </c>
      <c r="J140" s="100"/>
      <c r="K140" s="47"/>
      <c r="L140" s="72">
        <f>SUM(H140:J140)+K140</f>
        <v>1.2880000000000003</v>
      </c>
      <c r="M140" s="72">
        <f t="shared" si="214"/>
        <v>77.28</v>
      </c>
      <c r="N140" s="72">
        <f t="shared" si="215"/>
        <v>0</v>
      </c>
      <c r="O140" s="72">
        <f t="shared" si="216"/>
        <v>0</v>
      </c>
      <c r="P140" s="72">
        <f t="shared" si="217"/>
        <v>0</v>
      </c>
      <c r="Q140" s="72">
        <f t="shared" si="218"/>
        <v>0</v>
      </c>
      <c r="R140" s="72">
        <f t="shared" si="219"/>
        <v>0</v>
      </c>
    </row>
    <row r="141" spans="1:18" x14ac:dyDescent="0.25">
      <c r="A141" s="26"/>
      <c r="B141" s="25" t="s">
        <v>462</v>
      </c>
      <c r="C141" s="15">
        <v>8</v>
      </c>
      <c r="D141" s="16">
        <v>150</v>
      </c>
      <c r="E141" s="15">
        <v>2</v>
      </c>
      <c r="F141" s="96">
        <v>0.5</v>
      </c>
      <c r="G141" s="11">
        <f>+ROUND(2.88/0.5+1,0)*2</f>
        <v>14</v>
      </c>
      <c r="H141" s="95"/>
      <c r="I141" s="95">
        <f>2*(0.18+0.4)+16*C141/1000</f>
        <v>1.2880000000000003</v>
      </c>
      <c r="J141" s="100"/>
      <c r="K141" s="47"/>
      <c r="L141" s="72">
        <f>SUM(H141:J141)+K141</f>
        <v>1.2880000000000003</v>
      </c>
      <c r="M141" s="72">
        <f t="shared" ref="M141" si="242">+ROUND(IF(C141=8,PRODUCT(E141,F141,G141,L141),0),2)</f>
        <v>18.03</v>
      </c>
      <c r="N141" s="72">
        <f t="shared" ref="N141" si="243">+ROUND(IF(C141=10,PRODUCT(E141,F141,G141,L141),0),2)</f>
        <v>0</v>
      </c>
      <c r="O141" s="72">
        <f t="shared" ref="O141" si="244">+ROUND(IF(C141=12,PRODUCT(E141,F141,G141,L141),0),2)</f>
        <v>0</v>
      </c>
      <c r="P141" s="72">
        <f t="shared" ref="P141" si="245">+ROUND(IF(C141=16,PRODUCT(E141,F141,G141,L141),0),2)</f>
        <v>0</v>
      </c>
      <c r="Q141" s="72">
        <f t="shared" ref="Q141" si="246">+ROUND(IF(C141=20,PRODUCT(E141,F141,G141,L141),0),2)</f>
        <v>0</v>
      </c>
      <c r="R141" s="72">
        <f t="shared" ref="R141" si="247">+ROUND(IF(C141=25,PRODUCT(E141,F141,G141,L141),0),2)</f>
        <v>0</v>
      </c>
    </row>
    <row r="142" spans="1:18" x14ac:dyDescent="0.25">
      <c r="A142" s="26" t="s">
        <v>442</v>
      </c>
      <c r="B142" s="48" t="s">
        <v>463</v>
      </c>
      <c r="C142" s="15"/>
      <c r="D142" s="16"/>
      <c r="E142" s="15"/>
      <c r="F142" s="11"/>
      <c r="G142" s="11"/>
      <c r="H142" s="95"/>
      <c r="I142" s="95"/>
      <c r="J142" s="100"/>
      <c r="K142" s="22"/>
      <c r="L142" s="72">
        <f t="shared" ref="L142" si="248">SUM(H142:J142)+K142</f>
        <v>0</v>
      </c>
      <c r="M142" s="72">
        <f t="shared" ref="M142:M145" si="249">+ROUND(IF(C142=8,PRODUCT(E142,F142,G142,L142),0),2)</f>
        <v>0</v>
      </c>
      <c r="N142" s="72">
        <f t="shared" ref="N142:N145" si="250">+ROUND(IF(C142=10,PRODUCT(E142,F142,G142,L142),0),2)</f>
        <v>0</v>
      </c>
      <c r="O142" s="72">
        <f t="shared" ref="O142:O145" si="251">+ROUND(IF(C142=12,PRODUCT(E142,F142,G142,L142),0),2)</f>
        <v>0</v>
      </c>
      <c r="P142" s="72">
        <f t="shared" ref="P142:P145" si="252">+ROUND(IF(C142=16,PRODUCT(E142,F142,G142,L142),0),2)</f>
        <v>0</v>
      </c>
      <c r="Q142" s="72">
        <f t="shared" ref="Q142:Q145" si="253">+ROUND(IF(C142=20,PRODUCT(E142,F142,G142,L142),0),2)</f>
        <v>0</v>
      </c>
      <c r="R142" s="72">
        <f t="shared" ref="R142:R145" si="254">+ROUND(IF(C142=25,PRODUCT(E142,F142,G142,L142),0),2)</f>
        <v>0</v>
      </c>
    </row>
    <row r="143" spans="1:18" x14ac:dyDescent="0.25">
      <c r="A143" s="26"/>
      <c r="B143" s="25" t="s">
        <v>385</v>
      </c>
      <c r="C143" s="15">
        <v>16</v>
      </c>
      <c r="D143" s="16"/>
      <c r="E143" s="15">
        <v>2</v>
      </c>
      <c r="F143" s="11">
        <v>1</v>
      </c>
      <c r="G143" s="11">
        <v>2</v>
      </c>
      <c r="H143" s="95">
        <f>0.58+8*$C143/1000</f>
        <v>0.70799999999999996</v>
      </c>
      <c r="I143" s="95">
        <v>2.2200000000000002</v>
      </c>
      <c r="J143" s="95">
        <f>0.58+8*$C143/1000</f>
        <v>0.70799999999999996</v>
      </c>
      <c r="K143" s="22"/>
      <c r="L143" s="72">
        <f>SUM(H143:J143)+K143</f>
        <v>3.6360000000000001</v>
      </c>
      <c r="M143" s="72">
        <f t="shared" si="249"/>
        <v>0</v>
      </c>
      <c r="N143" s="72">
        <f t="shared" si="250"/>
        <v>0</v>
      </c>
      <c r="O143" s="72">
        <f t="shared" si="251"/>
        <v>0</v>
      </c>
      <c r="P143" s="72">
        <f t="shared" si="252"/>
        <v>14.54</v>
      </c>
      <c r="Q143" s="72">
        <f t="shared" si="253"/>
        <v>0</v>
      </c>
      <c r="R143" s="72">
        <f t="shared" si="254"/>
        <v>0</v>
      </c>
    </row>
    <row r="144" spans="1:18" x14ac:dyDescent="0.25">
      <c r="A144" s="26"/>
      <c r="B144" s="25" t="s">
        <v>432</v>
      </c>
      <c r="C144" s="15">
        <v>20</v>
      </c>
      <c r="D144" s="16"/>
      <c r="E144" s="15">
        <v>2</v>
      </c>
      <c r="F144" s="11">
        <v>1</v>
      </c>
      <c r="G144" s="11">
        <v>2</v>
      </c>
      <c r="H144" s="95">
        <f>0.72+8*$C144/1000</f>
        <v>0.88</v>
      </c>
      <c r="I144" s="95">
        <v>2.2200000000000002</v>
      </c>
      <c r="J144" s="95">
        <f>0.72+8*$C144/1000</f>
        <v>0.88</v>
      </c>
      <c r="K144" s="22"/>
      <c r="L144" s="72">
        <f t="shared" ref="L144" si="255">SUM(H144:J144)+K144</f>
        <v>3.98</v>
      </c>
      <c r="M144" s="72">
        <f t="shared" si="249"/>
        <v>0</v>
      </c>
      <c r="N144" s="72">
        <f t="shared" si="250"/>
        <v>0</v>
      </c>
      <c r="O144" s="72">
        <f t="shared" si="251"/>
        <v>0</v>
      </c>
      <c r="P144" s="72">
        <f t="shared" si="252"/>
        <v>0</v>
      </c>
      <c r="Q144" s="72">
        <f t="shared" si="253"/>
        <v>15.92</v>
      </c>
      <c r="R144" s="72">
        <f t="shared" si="254"/>
        <v>0</v>
      </c>
    </row>
    <row r="145" spans="1:18" x14ac:dyDescent="0.25">
      <c r="A145" s="26"/>
      <c r="B145" s="25" t="s">
        <v>462</v>
      </c>
      <c r="C145" s="15">
        <v>8</v>
      </c>
      <c r="D145" s="16">
        <v>100</v>
      </c>
      <c r="E145" s="15">
        <v>2</v>
      </c>
      <c r="F145" s="11">
        <v>1</v>
      </c>
      <c r="G145" s="11">
        <f>+ROUND(2.22/0.1+1,0)</f>
        <v>23</v>
      </c>
      <c r="H145" s="95"/>
      <c r="I145" s="95">
        <f>2*(0.15+0.4)+16*C145/1000</f>
        <v>1.2280000000000002</v>
      </c>
      <c r="J145" s="100"/>
      <c r="K145" s="47"/>
      <c r="L145" s="72">
        <f>SUM(H145:J145)+K145</f>
        <v>1.2280000000000002</v>
      </c>
      <c r="M145" s="72">
        <f t="shared" si="249"/>
        <v>56.49</v>
      </c>
      <c r="N145" s="72">
        <f t="shared" si="250"/>
        <v>0</v>
      </c>
      <c r="O145" s="72">
        <f t="shared" si="251"/>
        <v>0</v>
      </c>
      <c r="P145" s="72">
        <f t="shared" si="252"/>
        <v>0</v>
      </c>
      <c r="Q145" s="72">
        <f t="shared" si="253"/>
        <v>0</v>
      </c>
      <c r="R145" s="72">
        <f t="shared" si="254"/>
        <v>0</v>
      </c>
    </row>
    <row r="146" spans="1:18" x14ac:dyDescent="0.25">
      <c r="A146" s="26" t="s">
        <v>442</v>
      </c>
      <c r="B146" s="48" t="s">
        <v>464</v>
      </c>
      <c r="C146" s="15"/>
      <c r="D146" s="16"/>
      <c r="E146" s="15"/>
      <c r="F146" s="11"/>
      <c r="G146" s="11"/>
      <c r="H146" s="95"/>
      <c r="I146" s="95"/>
      <c r="J146" s="100"/>
      <c r="K146" s="22"/>
      <c r="L146" s="72">
        <f t="shared" ref="L146" si="256">SUM(H146:J146)+K146</f>
        <v>0</v>
      </c>
      <c r="M146" s="72">
        <f t="shared" si="0"/>
        <v>0</v>
      </c>
      <c r="N146" s="72">
        <f t="shared" si="1"/>
        <v>0</v>
      </c>
      <c r="O146" s="72">
        <f t="shared" si="2"/>
        <v>0</v>
      </c>
      <c r="P146" s="72">
        <f t="shared" si="3"/>
        <v>0</v>
      </c>
      <c r="Q146" s="72">
        <f t="shared" si="4"/>
        <v>0</v>
      </c>
      <c r="R146" s="72">
        <f t="shared" si="5"/>
        <v>0</v>
      </c>
    </row>
    <row r="147" spans="1:18" x14ac:dyDescent="0.25">
      <c r="A147" s="26"/>
      <c r="B147" s="25" t="s">
        <v>385</v>
      </c>
      <c r="C147" s="15">
        <v>16</v>
      </c>
      <c r="D147" s="16"/>
      <c r="E147" s="15">
        <v>2</v>
      </c>
      <c r="F147" s="11">
        <v>1</v>
      </c>
      <c r="G147" s="11">
        <v>2</v>
      </c>
      <c r="H147" s="95">
        <f>0.58+8*$C147/1000</f>
        <v>0.70799999999999996</v>
      </c>
      <c r="I147" s="95">
        <v>5.63</v>
      </c>
      <c r="J147" s="95">
        <f>0.58+8*$C147/1000</f>
        <v>0.70799999999999996</v>
      </c>
      <c r="K147" s="22"/>
      <c r="L147" s="72">
        <f>SUM(H147:J147)+K147</f>
        <v>7.0460000000000003</v>
      </c>
      <c r="M147" s="72">
        <f t="shared" si="0"/>
        <v>0</v>
      </c>
      <c r="N147" s="72">
        <f t="shared" si="1"/>
        <v>0</v>
      </c>
      <c r="O147" s="72">
        <f t="shared" si="2"/>
        <v>0</v>
      </c>
      <c r="P147" s="72">
        <f t="shared" si="3"/>
        <v>28.18</v>
      </c>
      <c r="Q147" s="72">
        <f t="shared" si="4"/>
        <v>0</v>
      </c>
      <c r="R147" s="72">
        <f t="shared" si="5"/>
        <v>0</v>
      </c>
    </row>
    <row r="148" spans="1:18" x14ac:dyDescent="0.25">
      <c r="A148" s="26"/>
      <c r="B148" s="25" t="s">
        <v>432</v>
      </c>
      <c r="C148" s="15">
        <v>16</v>
      </c>
      <c r="D148" s="16"/>
      <c r="E148" s="15">
        <v>2</v>
      </c>
      <c r="F148" s="11">
        <v>1</v>
      </c>
      <c r="G148" s="11">
        <v>2</v>
      </c>
      <c r="H148" s="95">
        <f>0.58+8*$C148/1000</f>
        <v>0.70799999999999996</v>
      </c>
      <c r="I148" s="95">
        <v>5.63</v>
      </c>
      <c r="J148" s="95">
        <f>0.58+8*$C148/1000</f>
        <v>0.70799999999999996</v>
      </c>
      <c r="K148" s="22"/>
      <c r="L148" s="72">
        <f t="shared" ref="L148" si="257">SUM(H148:J148)+K148</f>
        <v>7.0460000000000003</v>
      </c>
      <c r="M148" s="72">
        <f t="shared" si="0"/>
        <v>0</v>
      </c>
      <c r="N148" s="72">
        <f t="shared" si="1"/>
        <v>0</v>
      </c>
      <c r="O148" s="72">
        <f t="shared" si="2"/>
        <v>0</v>
      </c>
      <c r="P148" s="72">
        <f t="shared" si="3"/>
        <v>28.18</v>
      </c>
      <c r="Q148" s="72">
        <f t="shared" si="4"/>
        <v>0</v>
      </c>
      <c r="R148" s="72">
        <f t="shared" si="5"/>
        <v>0</v>
      </c>
    </row>
    <row r="149" spans="1:18" x14ac:dyDescent="0.25">
      <c r="A149" s="26"/>
      <c r="B149" s="25" t="s">
        <v>450</v>
      </c>
      <c r="C149" s="15">
        <v>12</v>
      </c>
      <c r="D149" s="16"/>
      <c r="E149" s="15">
        <v>2</v>
      </c>
      <c r="F149" s="11">
        <v>1</v>
      </c>
      <c r="G149" s="11">
        <v>2</v>
      </c>
      <c r="H149" s="95"/>
      <c r="I149" s="95">
        <f>5.63-1.1</f>
        <v>4.5299999999999994</v>
      </c>
      <c r="J149" s="100"/>
      <c r="K149" s="22"/>
      <c r="L149" s="72">
        <f t="shared" ref="L149:L150" si="258">SUM(H149:J149)+K149</f>
        <v>4.5299999999999994</v>
      </c>
      <c r="M149" s="72">
        <f t="shared" si="0"/>
        <v>0</v>
      </c>
      <c r="N149" s="72">
        <f t="shared" si="1"/>
        <v>0</v>
      </c>
      <c r="O149" s="72">
        <f t="shared" si="2"/>
        <v>18.12</v>
      </c>
      <c r="P149" s="72">
        <f t="shared" si="3"/>
        <v>0</v>
      </c>
      <c r="Q149" s="72">
        <f t="shared" si="4"/>
        <v>0</v>
      </c>
      <c r="R149" s="72">
        <f t="shared" si="5"/>
        <v>0</v>
      </c>
    </row>
    <row r="150" spans="1:18" x14ac:dyDescent="0.25">
      <c r="A150" s="26"/>
      <c r="B150" s="25" t="s">
        <v>433</v>
      </c>
      <c r="C150" s="15">
        <v>12</v>
      </c>
      <c r="D150" s="16"/>
      <c r="E150" s="15">
        <v>2</v>
      </c>
      <c r="F150" s="11">
        <v>1</v>
      </c>
      <c r="G150" s="11">
        <v>4</v>
      </c>
      <c r="H150" s="95">
        <f>0.44+8*$C150/1000</f>
        <v>0.53600000000000003</v>
      </c>
      <c r="I150" s="95">
        <v>1.6</v>
      </c>
      <c r="J150" s="100"/>
      <c r="K150" s="22"/>
      <c r="L150" s="72">
        <f t="shared" si="258"/>
        <v>2.1360000000000001</v>
      </c>
      <c r="M150" s="72">
        <f t="shared" si="0"/>
        <v>0</v>
      </c>
      <c r="N150" s="72">
        <f t="shared" si="1"/>
        <v>0</v>
      </c>
      <c r="O150" s="72">
        <f t="shared" si="2"/>
        <v>17.09</v>
      </c>
      <c r="P150" s="72">
        <f t="shared" si="3"/>
        <v>0</v>
      </c>
      <c r="Q150" s="72">
        <f t="shared" si="4"/>
        <v>0</v>
      </c>
      <c r="R150" s="72">
        <f t="shared" si="5"/>
        <v>0</v>
      </c>
    </row>
    <row r="151" spans="1:18" x14ac:dyDescent="0.25">
      <c r="A151" s="26"/>
      <c r="B151" s="25" t="s">
        <v>453</v>
      </c>
      <c r="C151" s="15">
        <v>8</v>
      </c>
      <c r="D151" s="16">
        <v>100</v>
      </c>
      <c r="E151" s="15">
        <v>2</v>
      </c>
      <c r="F151" s="11">
        <v>1</v>
      </c>
      <c r="G151" s="11">
        <f>+ROUND(2.815/0.1,0)</f>
        <v>28</v>
      </c>
      <c r="H151" s="95"/>
      <c r="I151" s="95">
        <f>2*(0.15+0.4)+16*C151/1000</f>
        <v>1.2280000000000002</v>
      </c>
      <c r="J151" s="100"/>
      <c r="K151" s="47"/>
      <c r="L151" s="72">
        <f t="shared" ref="L151" si="259">SUM(H151:J151)+K151</f>
        <v>1.2280000000000002</v>
      </c>
      <c r="M151" s="72">
        <f t="shared" ref="M151" si="260">+ROUND(IF(C151=8,PRODUCT(E151,F151,G151,L151),0),2)</f>
        <v>68.77</v>
      </c>
      <c r="N151" s="72">
        <f t="shared" ref="N151" si="261">+ROUND(IF(C151=10,PRODUCT(E151,F151,G151,L151),0),2)</f>
        <v>0</v>
      </c>
      <c r="O151" s="72">
        <f t="shared" ref="O151" si="262">+ROUND(IF(C151=12,PRODUCT(E151,F151,G151,L151),0),2)</f>
        <v>0</v>
      </c>
      <c r="P151" s="72">
        <f t="shared" ref="P151" si="263">+ROUND(IF(C151=16,PRODUCT(E151,F151,G151,L151),0),2)</f>
        <v>0</v>
      </c>
      <c r="Q151" s="72">
        <f t="shared" ref="Q151" si="264">+ROUND(IF(C151=20,PRODUCT(E151,F151,G151,L151),0),2)</f>
        <v>0</v>
      </c>
      <c r="R151" s="72">
        <f t="shared" ref="R151" si="265">+ROUND(IF(C151=25,PRODUCT(E151,F151,G151,L151),0),2)</f>
        <v>0</v>
      </c>
    </row>
    <row r="152" spans="1:18" x14ac:dyDescent="0.25">
      <c r="A152" s="26"/>
      <c r="B152" s="25"/>
      <c r="C152" s="15">
        <v>8</v>
      </c>
      <c r="D152" s="16">
        <v>150</v>
      </c>
      <c r="E152" s="15">
        <v>2</v>
      </c>
      <c r="F152" s="11">
        <v>1</v>
      </c>
      <c r="G152" s="11">
        <f>+ROUND(2.815/0.15+1,0)</f>
        <v>20</v>
      </c>
      <c r="H152" s="95"/>
      <c r="I152" s="95">
        <f>2*(0.15+0.4)+16*C152/1000</f>
        <v>1.2280000000000002</v>
      </c>
      <c r="J152" s="100"/>
      <c r="K152" s="47"/>
      <c r="L152" s="72">
        <f t="shared" ref="L152" si="266">SUM(H152:J152)+K152</f>
        <v>1.2280000000000002</v>
      </c>
      <c r="M152" s="72">
        <f t="shared" ref="M152:M161" si="267">+ROUND(IF(C152=8,PRODUCT(E152,F152,G152,L152),0),2)</f>
        <v>49.12</v>
      </c>
      <c r="N152" s="72">
        <f t="shared" ref="N152:N161" si="268">+ROUND(IF(C152=10,PRODUCT(E152,F152,G152,L152),0),2)</f>
        <v>0</v>
      </c>
      <c r="O152" s="72">
        <f t="shared" ref="O152:O161" si="269">+ROUND(IF(C152=12,PRODUCT(E152,F152,G152,L152),0),2)</f>
        <v>0</v>
      </c>
      <c r="P152" s="72">
        <f t="shared" ref="P152:P161" si="270">+ROUND(IF(C152=16,PRODUCT(E152,F152,G152,L152),0),2)</f>
        <v>0</v>
      </c>
      <c r="Q152" s="72">
        <f t="shared" ref="Q152:Q161" si="271">+ROUND(IF(C152=20,PRODUCT(E152,F152,G152,L152),0),2)</f>
        <v>0</v>
      </c>
      <c r="R152" s="72">
        <f t="shared" ref="R152:R161" si="272">+ROUND(IF(C152=25,PRODUCT(E152,F152,G152,L152),0),2)</f>
        <v>0</v>
      </c>
    </row>
    <row r="153" spans="1:18" x14ac:dyDescent="0.25">
      <c r="A153" s="26" t="s">
        <v>442</v>
      </c>
      <c r="B153" s="48" t="s">
        <v>465</v>
      </c>
      <c r="C153" s="15"/>
      <c r="D153" s="16"/>
      <c r="E153" s="15"/>
      <c r="F153" s="11"/>
      <c r="G153" s="11"/>
      <c r="H153" s="95"/>
      <c r="I153" s="95"/>
      <c r="J153" s="100"/>
      <c r="K153" s="22"/>
      <c r="L153" s="72">
        <f t="shared" ref="L153" si="273">SUM(H153:J153)+K153</f>
        <v>0</v>
      </c>
      <c r="M153" s="72">
        <f t="shared" si="267"/>
        <v>0</v>
      </c>
      <c r="N153" s="72">
        <f t="shared" si="268"/>
        <v>0</v>
      </c>
      <c r="O153" s="72">
        <f t="shared" si="269"/>
        <v>0</v>
      </c>
      <c r="P153" s="72">
        <f t="shared" si="270"/>
        <v>0</v>
      </c>
      <c r="Q153" s="72">
        <f t="shared" si="271"/>
        <v>0</v>
      </c>
      <c r="R153" s="72">
        <f t="shared" si="272"/>
        <v>0</v>
      </c>
    </row>
    <row r="154" spans="1:18" x14ac:dyDescent="0.25">
      <c r="A154" s="26"/>
      <c r="B154" s="25" t="s">
        <v>385</v>
      </c>
      <c r="C154" s="15">
        <v>16</v>
      </c>
      <c r="D154" s="16"/>
      <c r="E154" s="15">
        <v>2</v>
      </c>
      <c r="F154" s="11">
        <v>1</v>
      </c>
      <c r="G154" s="11">
        <v>2</v>
      </c>
      <c r="H154" s="95">
        <f>((0.79)/3)+0.1</f>
        <v>0.3633333333333334</v>
      </c>
      <c r="I154" s="95">
        <v>9.8149999999999995</v>
      </c>
      <c r="J154" s="95">
        <f>((0.79)/3)+0.1</f>
        <v>0.3633333333333334</v>
      </c>
      <c r="K154" s="22"/>
      <c r="L154" s="72">
        <f>SUM(H154:J154)+K154</f>
        <v>10.541666666666666</v>
      </c>
      <c r="M154" s="72">
        <f t="shared" si="267"/>
        <v>0</v>
      </c>
      <c r="N154" s="72">
        <f t="shared" si="268"/>
        <v>0</v>
      </c>
      <c r="O154" s="72">
        <f t="shared" si="269"/>
        <v>0</v>
      </c>
      <c r="P154" s="72">
        <f t="shared" si="270"/>
        <v>42.17</v>
      </c>
      <c r="Q154" s="72">
        <f t="shared" si="271"/>
        <v>0</v>
      </c>
      <c r="R154" s="72">
        <f t="shared" si="272"/>
        <v>0</v>
      </c>
    </row>
    <row r="155" spans="1:18" x14ac:dyDescent="0.25">
      <c r="A155" s="26"/>
      <c r="B155" s="25" t="s">
        <v>432</v>
      </c>
      <c r="C155" s="15">
        <v>16</v>
      </c>
      <c r="D155" s="16"/>
      <c r="E155" s="15">
        <v>2</v>
      </c>
      <c r="F155" s="11">
        <v>1</v>
      </c>
      <c r="G155" s="11">
        <v>2</v>
      </c>
      <c r="H155" s="95">
        <f>((0.79)/3)+0.1</f>
        <v>0.3633333333333334</v>
      </c>
      <c r="I155" s="95">
        <v>9.8149999999999995</v>
      </c>
      <c r="J155" s="95">
        <f>((0.79)/3)+0.1</f>
        <v>0.3633333333333334</v>
      </c>
      <c r="K155" s="22"/>
      <c r="L155" s="72">
        <f t="shared" ref="L155" si="274">SUM(H155:J155)+K155</f>
        <v>10.541666666666666</v>
      </c>
      <c r="M155" s="72">
        <f t="shared" si="267"/>
        <v>0</v>
      </c>
      <c r="N155" s="72">
        <f t="shared" si="268"/>
        <v>0</v>
      </c>
      <c r="O155" s="72">
        <f t="shared" si="269"/>
        <v>0</v>
      </c>
      <c r="P155" s="72">
        <f t="shared" si="270"/>
        <v>42.17</v>
      </c>
      <c r="Q155" s="72">
        <f t="shared" si="271"/>
        <v>0</v>
      </c>
      <c r="R155" s="72">
        <f t="shared" si="272"/>
        <v>0</v>
      </c>
    </row>
    <row r="156" spans="1:18" x14ac:dyDescent="0.25">
      <c r="A156" s="26"/>
      <c r="B156" s="25" t="s">
        <v>450</v>
      </c>
      <c r="C156" s="15">
        <v>12</v>
      </c>
      <c r="D156" s="16"/>
      <c r="E156" s="15">
        <v>2</v>
      </c>
      <c r="F156" s="11">
        <v>1</v>
      </c>
      <c r="G156" s="11">
        <v>2</v>
      </c>
      <c r="H156" s="95"/>
      <c r="I156" s="95">
        <f>5.63-1.6</f>
        <v>4.0299999999999994</v>
      </c>
      <c r="J156" s="100"/>
      <c r="K156" s="22"/>
      <c r="L156" s="72">
        <f t="shared" ref="L156:L157" si="275">SUM(H156:J156)+K156</f>
        <v>4.0299999999999994</v>
      </c>
      <c r="M156" s="72">
        <f t="shared" si="267"/>
        <v>0</v>
      </c>
      <c r="N156" s="72">
        <f t="shared" si="268"/>
        <v>0</v>
      </c>
      <c r="O156" s="72">
        <f t="shared" si="269"/>
        <v>16.12</v>
      </c>
      <c r="P156" s="72">
        <f t="shared" si="270"/>
        <v>0</v>
      </c>
      <c r="Q156" s="72">
        <f t="shared" si="271"/>
        <v>0</v>
      </c>
      <c r="R156" s="72">
        <f t="shared" si="272"/>
        <v>0</v>
      </c>
    </row>
    <row r="157" spans="1:18" x14ac:dyDescent="0.25">
      <c r="A157" s="26"/>
      <c r="B157" s="25" t="s">
        <v>433</v>
      </c>
      <c r="C157" s="15">
        <v>12</v>
      </c>
      <c r="D157" s="16"/>
      <c r="E157" s="15">
        <v>2</v>
      </c>
      <c r="F157" s="11">
        <v>1</v>
      </c>
      <c r="G157" s="11">
        <v>2</v>
      </c>
      <c r="H157" s="95"/>
      <c r="I157" s="95">
        <f>0.6+0.2+1.6</f>
        <v>2.4000000000000004</v>
      </c>
      <c r="J157" s="100"/>
      <c r="K157" s="22"/>
      <c r="L157" s="72">
        <f t="shared" si="275"/>
        <v>2.4000000000000004</v>
      </c>
      <c r="M157" s="72">
        <f t="shared" si="267"/>
        <v>0</v>
      </c>
      <c r="N157" s="72">
        <f t="shared" si="268"/>
        <v>0</v>
      </c>
      <c r="O157" s="72">
        <f t="shared" si="269"/>
        <v>9.6</v>
      </c>
      <c r="P157" s="72">
        <f t="shared" si="270"/>
        <v>0</v>
      </c>
      <c r="Q157" s="72">
        <f t="shared" si="271"/>
        <v>0</v>
      </c>
      <c r="R157" s="72">
        <f t="shared" si="272"/>
        <v>0</v>
      </c>
    </row>
    <row r="158" spans="1:18" x14ac:dyDescent="0.25">
      <c r="A158" s="26"/>
      <c r="B158" s="25"/>
      <c r="C158" s="15">
        <v>12</v>
      </c>
      <c r="D158" s="16"/>
      <c r="E158" s="15">
        <v>2</v>
      </c>
      <c r="F158" s="11">
        <v>1</v>
      </c>
      <c r="G158" s="11">
        <v>2</v>
      </c>
      <c r="H158" s="95"/>
      <c r="I158" s="95">
        <f>0.4+0.23+1.6</f>
        <v>2.23</v>
      </c>
      <c r="J158" s="100"/>
      <c r="K158" s="22"/>
      <c r="L158" s="72">
        <f t="shared" ref="L158" si="276">SUM(H158:J158)+K158</f>
        <v>2.23</v>
      </c>
      <c r="M158" s="72">
        <f t="shared" si="267"/>
        <v>0</v>
      </c>
      <c r="N158" s="72">
        <f t="shared" si="268"/>
        <v>0</v>
      </c>
      <c r="O158" s="72">
        <f t="shared" si="269"/>
        <v>8.92</v>
      </c>
      <c r="P158" s="72">
        <f t="shared" si="270"/>
        <v>0</v>
      </c>
      <c r="Q158" s="72">
        <f t="shared" si="271"/>
        <v>0</v>
      </c>
      <c r="R158" s="72">
        <f t="shared" si="272"/>
        <v>0</v>
      </c>
    </row>
    <row r="159" spans="1:18" x14ac:dyDescent="0.25">
      <c r="A159" s="26"/>
      <c r="B159" s="25"/>
      <c r="C159" s="15">
        <v>12</v>
      </c>
      <c r="D159" s="16"/>
      <c r="E159" s="15">
        <v>2</v>
      </c>
      <c r="F159" s="11">
        <v>1</v>
      </c>
      <c r="G159" s="11">
        <v>2</v>
      </c>
      <c r="H159" s="95"/>
      <c r="I159" s="95">
        <f>1.2-0.03</f>
        <v>1.17</v>
      </c>
      <c r="J159" s="100">
        <v>0.3</v>
      </c>
      <c r="K159" s="22"/>
      <c r="L159" s="72">
        <f t="shared" ref="L159" si="277">SUM(H159:J159)+K159</f>
        <v>1.47</v>
      </c>
      <c r="M159" s="72">
        <f t="shared" ref="M159" si="278">+ROUND(IF(C159=8,PRODUCT(E159,F159,G159,L159),0),2)</f>
        <v>0</v>
      </c>
      <c r="N159" s="72">
        <f t="shared" ref="N159" si="279">+ROUND(IF(C159=10,PRODUCT(E159,F159,G159,L159),0),2)</f>
        <v>0</v>
      </c>
      <c r="O159" s="72">
        <f t="shared" ref="O159" si="280">+ROUND(IF(C159=12,PRODUCT(E159,F159,G159,L159),0),2)</f>
        <v>5.88</v>
      </c>
      <c r="P159" s="72">
        <f t="shared" ref="P159" si="281">+ROUND(IF(C159=16,PRODUCT(E159,F159,G159,L159),0),2)</f>
        <v>0</v>
      </c>
      <c r="Q159" s="72">
        <f t="shared" ref="Q159" si="282">+ROUND(IF(C159=20,PRODUCT(E159,F159,G159,L159),0),2)</f>
        <v>0</v>
      </c>
      <c r="R159" s="72">
        <f t="shared" ref="R159" si="283">+ROUND(IF(C159=25,PRODUCT(E159,F159,G159,L159),0),2)</f>
        <v>0</v>
      </c>
    </row>
    <row r="160" spans="1:18" x14ac:dyDescent="0.25">
      <c r="A160" s="26"/>
      <c r="B160" s="25" t="s">
        <v>448</v>
      </c>
      <c r="C160" s="15">
        <v>8</v>
      </c>
      <c r="D160" s="16">
        <v>100</v>
      </c>
      <c r="E160" s="15">
        <v>2</v>
      </c>
      <c r="F160" s="11">
        <v>1</v>
      </c>
      <c r="G160" s="11">
        <f>+ROUND(1.5/0.1+1,0)</f>
        <v>16</v>
      </c>
      <c r="H160" s="95"/>
      <c r="I160" s="95">
        <f>2*(0.15+0.45)+16*C160/1000</f>
        <v>1.3279999999999998</v>
      </c>
      <c r="J160" s="100"/>
      <c r="K160" s="47"/>
      <c r="L160" s="72">
        <f>SUM(H160:J160)+K160</f>
        <v>1.3279999999999998</v>
      </c>
      <c r="M160" s="72">
        <f>+ROUND(IF(C160=8,PRODUCT(E160,F160,G160,L160),0),2)</f>
        <v>42.5</v>
      </c>
      <c r="N160" s="72">
        <f>+ROUND(IF(C160=10,PRODUCT(E160,F160,G160,L160),0),2)</f>
        <v>0</v>
      </c>
      <c r="O160" s="72">
        <f>+ROUND(IF(C160=12,PRODUCT(E160,F160,G160,L160),0),2)</f>
        <v>0</v>
      </c>
      <c r="P160" s="72">
        <f>+ROUND(IF(C160=16,PRODUCT(E160,F160,G160,L160),0),2)</f>
        <v>0</v>
      </c>
      <c r="Q160" s="72">
        <f>+ROUND(IF(C160=20,PRODUCT(E160,F160,G160,L160),0),2)</f>
        <v>0</v>
      </c>
      <c r="R160" s="72">
        <f>+ROUND(IF(C160=25,PRODUCT(E160,F160,G160,L160),0),2)</f>
        <v>0</v>
      </c>
    </row>
    <row r="161" spans="1:18" x14ac:dyDescent="0.25">
      <c r="A161" s="26"/>
      <c r="B161" s="25" t="s">
        <v>453</v>
      </c>
      <c r="C161" s="15">
        <v>8</v>
      </c>
      <c r="D161" s="16">
        <v>100</v>
      </c>
      <c r="E161" s="15">
        <v>2</v>
      </c>
      <c r="F161" s="11">
        <v>1</v>
      </c>
      <c r="G161" s="11">
        <f>+ROUND(2.815/0.1,0)</f>
        <v>28</v>
      </c>
      <c r="H161" s="95"/>
      <c r="I161" s="95">
        <f>2*(0.15+0.4)+16*C161/1000</f>
        <v>1.2280000000000002</v>
      </c>
      <c r="J161" s="100"/>
      <c r="K161" s="47"/>
      <c r="L161" s="72">
        <f t="shared" ref="L161:L162" si="284">SUM(H161:J161)+K161</f>
        <v>1.2280000000000002</v>
      </c>
      <c r="M161" s="72">
        <f t="shared" si="267"/>
        <v>68.77</v>
      </c>
      <c r="N161" s="72">
        <f t="shared" si="268"/>
        <v>0</v>
      </c>
      <c r="O161" s="72">
        <f t="shared" si="269"/>
        <v>0</v>
      </c>
      <c r="P161" s="72">
        <f t="shared" si="270"/>
        <v>0</v>
      </c>
      <c r="Q161" s="72">
        <f t="shared" si="271"/>
        <v>0</v>
      </c>
      <c r="R161" s="72">
        <f t="shared" si="272"/>
        <v>0</v>
      </c>
    </row>
    <row r="162" spans="1:18" x14ac:dyDescent="0.25">
      <c r="A162" s="26"/>
      <c r="B162" s="25"/>
      <c r="C162" s="15">
        <v>8</v>
      </c>
      <c r="D162" s="16">
        <v>150</v>
      </c>
      <c r="E162" s="15">
        <v>2</v>
      </c>
      <c r="F162" s="11">
        <v>1</v>
      </c>
      <c r="G162" s="11">
        <f>+ROUND(2.815/0.15+1,0)</f>
        <v>20</v>
      </c>
      <c r="H162" s="95"/>
      <c r="I162" s="95">
        <f>2*(0.15+0.4)+16*C162/1000</f>
        <v>1.2280000000000002</v>
      </c>
      <c r="J162" s="100"/>
      <c r="K162" s="47"/>
      <c r="L162" s="72">
        <f t="shared" si="284"/>
        <v>1.2280000000000002</v>
      </c>
      <c r="M162" s="72">
        <f t="shared" ref="M162" si="285">+ROUND(IF(C162=8,PRODUCT(E162,F162,G162,L162),0),2)</f>
        <v>49.12</v>
      </c>
      <c r="N162" s="72">
        <f t="shared" ref="N162" si="286">+ROUND(IF(C162=10,PRODUCT(E162,F162,G162,L162),0),2)</f>
        <v>0</v>
      </c>
      <c r="O162" s="72">
        <f t="shared" ref="O162" si="287">+ROUND(IF(C162=12,PRODUCT(E162,F162,G162,L162),0),2)</f>
        <v>0</v>
      </c>
      <c r="P162" s="72">
        <f t="shared" ref="P162" si="288">+ROUND(IF(C162=16,PRODUCT(E162,F162,G162,L162),0),2)</f>
        <v>0</v>
      </c>
      <c r="Q162" s="72">
        <f t="shared" ref="Q162" si="289">+ROUND(IF(C162=20,PRODUCT(E162,F162,G162,L162),0),2)</f>
        <v>0</v>
      </c>
      <c r="R162" s="72">
        <f t="shared" ref="R162" si="290">+ROUND(IF(C162=25,PRODUCT(E162,F162,G162,L162),0),2)</f>
        <v>0</v>
      </c>
    </row>
    <row r="163" spans="1:18" x14ac:dyDescent="0.25">
      <c r="A163" s="26"/>
      <c r="B163" s="25"/>
      <c r="C163" s="15">
        <v>8</v>
      </c>
      <c r="D163" s="16">
        <v>100</v>
      </c>
      <c r="E163" s="15">
        <v>2</v>
      </c>
      <c r="F163" s="11">
        <v>1</v>
      </c>
      <c r="G163" s="11">
        <f>+ROUND(2.085/0.1+1,0)</f>
        <v>22</v>
      </c>
      <c r="H163" s="95"/>
      <c r="I163" s="95">
        <f>2*(0.15+0.4)+16*C163/1000</f>
        <v>1.2280000000000002</v>
      </c>
      <c r="J163" s="100"/>
      <c r="K163" s="47"/>
      <c r="L163" s="72">
        <f t="shared" ref="L163:L214" si="291">SUM(H163:J163)+K163</f>
        <v>1.2280000000000002</v>
      </c>
      <c r="M163" s="72">
        <f t="shared" si="0"/>
        <v>54.03</v>
      </c>
      <c r="N163" s="72">
        <f t="shared" si="1"/>
        <v>0</v>
      </c>
      <c r="O163" s="72">
        <f t="shared" si="2"/>
        <v>0</v>
      </c>
      <c r="P163" s="72">
        <f t="shared" si="3"/>
        <v>0</v>
      </c>
      <c r="Q163" s="72">
        <f t="shared" si="4"/>
        <v>0</v>
      </c>
      <c r="R163" s="72">
        <f t="shared" si="5"/>
        <v>0</v>
      </c>
    </row>
    <row r="164" spans="1:18" x14ac:dyDescent="0.25">
      <c r="A164" s="26" t="s">
        <v>467</v>
      </c>
      <c r="B164" s="48" t="s">
        <v>466</v>
      </c>
      <c r="C164" s="15"/>
      <c r="D164" s="16"/>
      <c r="E164" s="15"/>
      <c r="F164" s="11"/>
      <c r="G164" s="11"/>
      <c r="H164" s="95"/>
      <c r="I164" s="95"/>
      <c r="J164" s="100"/>
      <c r="K164" s="22"/>
      <c r="L164" s="72">
        <f t="shared" ref="L164" si="292">SUM(H164:J164)+K164</f>
        <v>0</v>
      </c>
      <c r="M164" s="72">
        <f t="shared" si="0"/>
        <v>0</v>
      </c>
      <c r="N164" s="72">
        <f t="shared" si="1"/>
        <v>0</v>
      </c>
      <c r="O164" s="72">
        <f t="shared" si="2"/>
        <v>0</v>
      </c>
      <c r="P164" s="72">
        <f t="shared" si="3"/>
        <v>0</v>
      </c>
      <c r="Q164" s="72">
        <f t="shared" si="4"/>
        <v>0</v>
      </c>
      <c r="R164" s="72">
        <f t="shared" si="5"/>
        <v>0</v>
      </c>
    </row>
    <row r="165" spans="1:18" x14ac:dyDescent="0.25">
      <c r="A165" s="26"/>
      <c r="B165" s="25" t="s">
        <v>385</v>
      </c>
      <c r="C165" s="15">
        <v>16</v>
      </c>
      <c r="D165" s="16"/>
      <c r="E165" s="15">
        <v>6</v>
      </c>
      <c r="F165" s="11">
        <v>1</v>
      </c>
      <c r="G165" s="11">
        <v>2</v>
      </c>
      <c r="H165" s="95">
        <f>0.58+8*$C165/1000</f>
        <v>0.70799999999999996</v>
      </c>
      <c r="I165" s="95">
        <v>8.2550000000000008</v>
      </c>
      <c r="J165" s="95">
        <f>0.58+8*$C165/1000</f>
        <v>0.70799999999999996</v>
      </c>
      <c r="K165" s="22"/>
      <c r="L165" s="72">
        <f>SUM(H165:J165)+K165</f>
        <v>9.6710000000000012</v>
      </c>
      <c r="M165" s="72">
        <f t="shared" si="0"/>
        <v>0</v>
      </c>
      <c r="N165" s="72">
        <f t="shared" si="1"/>
        <v>0</v>
      </c>
      <c r="O165" s="72">
        <f t="shared" si="2"/>
        <v>0</v>
      </c>
      <c r="P165" s="72">
        <f t="shared" si="3"/>
        <v>116.05</v>
      </c>
      <c r="Q165" s="72">
        <f t="shared" si="4"/>
        <v>0</v>
      </c>
      <c r="R165" s="72">
        <f t="shared" si="5"/>
        <v>0</v>
      </c>
    </row>
    <row r="166" spans="1:18" x14ac:dyDescent="0.25">
      <c r="A166" s="26"/>
      <c r="B166" s="25" t="s">
        <v>432</v>
      </c>
      <c r="C166" s="15">
        <v>16</v>
      </c>
      <c r="D166" s="16"/>
      <c r="E166" s="15">
        <v>6</v>
      </c>
      <c r="F166" s="11">
        <v>1</v>
      </c>
      <c r="G166" s="11">
        <v>2</v>
      </c>
      <c r="H166" s="95">
        <f>0.58+8*$C166/1000</f>
        <v>0.70799999999999996</v>
      </c>
      <c r="I166" s="95">
        <v>8.2550000000000008</v>
      </c>
      <c r="J166" s="95">
        <f>0.58+8*$C166/1000</f>
        <v>0.70799999999999996</v>
      </c>
      <c r="K166" s="22"/>
      <c r="L166" s="72">
        <f>SUM(H166:J166)+K166</f>
        <v>9.6710000000000012</v>
      </c>
      <c r="M166" s="72">
        <f t="shared" ref="M166" si="293">+ROUND(IF(C166=8,PRODUCT(E166,F166,G166,L166),0),2)</f>
        <v>0</v>
      </c>
      <c r="N166" s="72">
        <f t="shared" ref="N166" si="294">+ROUND(IF(C166=10,PRODUCT(E166,F166,G166,L166),0),2)</f>
        <v>0</v>
      </c>
      <c r="O166" s="72">
        <f t="shared" ref="O166" si="295">+ROUND(IF(C166=12,PRODUCT(E166,F166,G166,L166),0),2)</f>
        <v>0</v>
      </c>
      <c r="P166" s="72">
        <f t="shared" ref="P166" si="296">+ROUND(IF(C166=16,PRODUCT(E166,F166,G166,L166),0),2)</f>
        <v>116.05</v>
      </c>
      <c r="Q166" s="72">
        <f t="shared" ref="Q166" si="297">+ROUND(IF(C166=20,PRODUCT(E166,F166,G166,L166),0),2)</f>
        <v>0</v>
      </c>
      <c r="R166" s="72">
        <f t="shared" ref="R166" si="298">+ROUND(IF(C166=25,PRODUCT(E166,F166,G166,L166),0),2)</f>
        <v>0</v>
      </c>
    </row>
    <row r="167" spans="1:18" x14ac:dyDescent="0.25">
      <c r="A167" s="26"/>
      <c r="B167" s="25" t="s">
        <v>450</v>
      </c>
      <c r="C167" s="15">
        <v>12</v>
      </c>
      <c r="D167" s="16"/>
      <c r="E167" s="15">
        <v>6</v>
      </c>
      <c r="F167" s="11">
        <v>1</v>
      </c>
      <c r="G167" s="11">
        <v>2</v>
      </c>
      <c r="H167" s="95"/>
      <c r="I167" s="95">
        <f>4.72-0.45-0.7</f>
        <v>3.5699999999999994</v>
      </c>
      <c r="J167" s="100"/>
      <c r="K167" s="22"/>
      <c r="L167" s="72">
        <f t="shared" ref="L167" si="299">SUM(H167:J167)+K167</f>
        <v>3.5699999999999994</v>
      </c>
      <c r="M167" s="72">
        <f t="shared" si="0"/>
        <v>0</v>
      </c>
      <c r="N167" s="72">
        <f t="shared" si="1"/>
        <v>0</v>
      </c>
      <c r="O167" s="72">
        <f t="shared" si="2"/>
        <v>42.84</v>
      </c>
      <c r="P167" s="72">
        <f t="shared" si="3"/>
        <v>0</v>
      </c>
      <c r="Q167" s="72">
        <f t="shared" si="4"/>
        <v>0</v>
      </c>
      <c r="R167" s="72">
        <f t="shared" si="5"/>
        <v>0</v>
      </c>
    </row>
    <row r="168" spans="1:18" x14ac:dyDescent="0.25">
      <c r="A168" s="26"/>
      <c r="B168" s="25" t="s">
        <v>433</v>
      </c>
      <c r="C168" s="15">
        <v>16</v>
      </c>
      <c r="D168" s="16"/>
      <c r="E168" s="15">
        <v>6</v>
      </c>
      <c r="F168" s="11">
        <v>1</v>
      </c>
      <c r="G168" s="11">
        <v>2</v>
      </c>
      <c r="H168" s="95"/>
      <c r="I168" s="95">
        <f>1.4+0.2+0.9</f>
        <v>2.5</v>
      </c>
      <c r="J168" s="100"/>
      <c r="K168" s="22"/>
      <c r="L168" s="72">
        <f t="shared" ref="L168" si="300">SUM(H168:J168)+K168</f>
        <v>2.5</v>
      </c>
      <c r="M168" s="72">
        <f t="shared" ref="M168" si="301">+ROUND(IF(C168=8,PRODUCT(E168,F168,G168,L168),0),2)</f>
        <v>0</v>
      </c>
      <c r="N168" s="72">
        <f t="shared" ref="N168" si="302">+ROUND(IF(C168=10,PRODUCT(E168,F168,G168,L168),0),2)</f>
        <v>0</v>
      </c>
      <c r="O168" s="72">
        <f t="shared" ref="O168" si="303">+ROUND(IF(C168=12,PRODUCT(E168,F168,G168,L168),0),2)</f>
        <v>0</v>
      </c>
      <c r="P168" s="72">
        <f t="shared" ref="P168" si="304">+ROUND(IF(C168=16,PRODUCT(E168,F168,G168,L168),0),2)</f>
        <v>30</v>
      </c>
      <c r="Q168" s="72">
        <f t="shared" ref="Q168" si="305">+ROUND(IF(C168=20,PRODUCT(E168,F168,G168,L168),0),2)</f>
        <v>0</v>
      </c>
      <c r="R168" s="72">
        <f t="shared" ref="R168" si="306">+ROUND(IF(C168=25,PRODUCT(E168,F168,G168,L168),0),2)</f>
        <v>0</v>
      </c>
    </row>
    <row r="169" spans="1:18" x14ac:dyDescent="0.25">
      <c r="A169" s="26"/>
      <c r="B169" s="25" t="s">
        <v>433</v>
      </c>
      <c r="C169" s="15">
        <v>12</v>
      </c>
      <c r="D169" s="16"/>
      <c r="E169" s="15">
        <v>6</v>
      </c>
      <c r="F169" s="11">
        <v>1</v>
      </c>
      <c r="G169" s="11">
        <v>2</v>
      </c>
      <c r="H169" s="95">
        <f>0.44+8*$C169/1000</f>
        <v>0.53600000000000003</v>
      </c>
      <c r="I169" s="95">
        <v>1.4</v>
      </c>
      <c r="J169" s="100"/>
      <c r="K169" s="22"/>
      <c r="L169" s="72">
        <f t="shared" ref="L169" si="307">SUM(H169:J169)+K169</f>
        <v>1.9359999999999999</v>
      </c>
      <c r="M169" s="72">
        <f t="shared" ref="M169" si="308">+ROUND(IF(C169=8,PRODUCT(E169,F169,G169,L169),0),2)</f>
        <v>0</v>
      </c>
      <c r="N169" s="72">
        <f t="shared" ref="N169" si="309">+ROUND(IF(C169=10,PRODUCT(E169,F169,G169,L169),0),2)</f>
        <v>0</v>
      </c>
      <c r="O169" s="72">
        <f t="shared" ref="O169" si="310">+ROUND(IF(C169=12,PRODUCT(E169,F169,G169,L169),0),2)</f>
        <v>23.23</v>
      </c>
      <c r="P169" s="72">
        <f t="shared" ref="P169" si="311">+ROUND(IF(C169=16,PRODUCT(E169,F169,G169,L169),0),2)</f>
        <v>0</v>
      </c>
      <c r="Q169" s="72">
        <f t="shared" ref="Q169" si="312">+ROUND(IF(C169=20,PRODUCT(E169,F169,G169,L169),0),2)</f>
        <v>0</v>
      </c>
      <c r="R169" s="72">
        <f t="shared" ref="R169" si="313">+ROUND(IF(C169=25,PRODUCT(E169,F169,G169,L169),0),2)</f>
        <v>0</v>
      </c>
    </row>
    <row r="170" spans="1:18" x14ac:dyDescent="0.25">
      <c r="A170" s="26"/>
      <c r="B170" s="25" t="s">
        <v>448</v>
      </c>
      <c r="C170" s="15">
        <v>8</v>
      </c>
      <c r="D170" s="16">
        <v>100</v>
      </c>
      <c r="E170" s="15">
        <v>6</v>
      </c>
      <c r="F170" s="11">
        <v>1</v>
      </c>
      <c r="G170" s="11">
        <f>+ROUND(2.36/0.1,0)</f>
        <v>24</v>
      </c>
      <c r="H170" s="95"/>
      <c r="I170" s="95">
        <f>2*(0.15+0.45)+16*C170/1000</f>
        <v>1.3279999999999998</v>
      </c>
      <c r="J170" s="100"/>
      <c r="K170" s="47"/>
      <c r="L170" s="72">
        <f t="shared" ref="L170:L171" si="314">SUM(H170:J170)+K170</f>
        <v>1.3279999999999998</v>
      </c>
      <c r="M170" s="72">
        <f t="shared" si="0"/>
        <v>191.23</v>
      </c>
      <c r="N170" s="72">
        <f t="shared" si="1"/>
        <v>0</v>
      </c>
      <c r="O170" s="72">
        <f t="shared" si="2"/>
        <v>0</v>
      </c>
      <c r="P170" s="72">
        <f t="shared" si="3"/>
        <v>0</v>
      </c>
      <c r="Q170" s="72">
        <f t="shared" si="4"/>
        <v>0</v>
      </c>
      <c r="R170" s="72">
        <f t="shared" si="5"/>
        <v>0</v>
      </c>
    </row>
    <row r="171" spans="1:18" x14ac:dyDescent="0.25">
      <c r="A171" s="26"/>
      <c r="B171" s="25"/>
      <c r="C171" s="15">
        <v>8</v>
      </c>
      <c r="D171" s="16">
        <v>150</v>
      </c>
      <c r="E171" s="15">
        <v>6</v>
      </c>
      <c r="F171" s="11">
        <v>1</v>
      </c>
      <c r="G171" s="11">
        <f>+ROUND(2.36/0.15+1,0)</f>
        <v>17</v>
      </c>
      <c r="H171" s="95"/>
      <c r="I171" s="95">
        <f t="shared" ref="I171:I173" si="315">2*(0.15+0.45)+16*C171/1000</f>
        <v>1.3279999999999998</v>
      </c>
      <c r="J171" s="100"/>
      <c r="K171" s="47"/>
      <c r="L171" s="72">
        <f t="shared" si="314"/>
        <v>1.3279999999999998</v>
      </c>
      <c r="M171" s="72">
        <f t="shared" si="0"/>
        <v>135.46</v>
      </c>
      <c r="N171" s="72">
        <f t="shared" si="1"/>
        <v>0</v>
      </c>
      <c r="O171" s="72">
        <f t="shared" si="2"/>
        <v>0</v>
      </c>
      <c r="P171" s="72">
        <f t="shared" si="3"/>
        <v>0</v>
      </c>
      <c r="Q171" s="72">
        <f t="shared" si="4"/>
        <v>0</v>
      </c>
      <c r="R171" s="72">
        <f t="shared" si="5"/>
        <v>0</v>
      </c>
    </row>
    <row r="172" spans="1:18" x14ac:dyDescent="0.25">
      <c r="A172" s="26"/>
      <c r="B172" s="25" t="s">
        <v>448</v>
      </c>
      <c r="C172" s="15">
        <v>8</v>
      </c>
      <c r="D172" s="16">
        <v>100</v>
      </c>
      <c r="E172" s="15">
        <v>6</v>
      </c>
      <c r="F172" s="11">
        <v>1</v>
      </c>
      <c r="G172" s="11">
        <f>+ROUND(2/0.1,0)</f>
        <v>20</v>
      </c>
      <c r="H172" s="95"/>
      <c r="I172" s="95">
        <f t="shared" si="315"/>
        <v>1.3279999999999998</v>
      </c>
      <c r="J172" s="100"/>
      <c r="K172" s="47"/>
      <c r="L172" s="72">
        <f>SUM(H172:J172)+K172</f>
        <v>1.3279999999999998</v>
      </c>
      <c r="M172" s="72">
        <f t="shared" si="0"/>
        <v>159.36000000000001</v>
      </c>
      <c r="N172" s="72">
        <f t="shared" si="1"/>
        <v>0</v>
      </c>
      <c r="O172" s="72">
        <f t="shared" si="2"/>
        <v>0</v>
      </c>
      <c r="P172" s="72">
        <f t="shared" si="3"/>
        <v>0</v>
      </c>
      <c r="Q172" s="72">
        <f t="shared" si="4"/>
        <v>0</v>
      </c>
      <c r="R172" s="72">
        <f t="shared" si="5"/>
        <v>0</v>
      </c>
    </row>
    <row r="173" spans="1:18" x14ac:dyDescent="0.25">
      <c r="A173" s="26"/>
      <c r="B173" s="25"/>
      <c r="C173" s="15">
        <v>8</v>
      </c>
      <c r="D173" s="16">
        <v>100</v>
      </c>
      <c r="E173" s="15">
        <v>6</v>
      </c>
      <c r="F173" s="11">
        <v>1</v>
      </c>
      <c r="G173" s="11">
        <f>+ROUND(1.235/0.15+1,0)</f>
        <v>9</v>
      </c>
      <c r="H173" s="95"/>
      <c r="I173" s="95">
        <f t="shared" si="315"/>
        <v>1.3279999999999998</v>
      </c>
      <c r="J173" s="100"/>
      <c r="K173" s="47"/>
      <c r="L173" s="72">
        <f t="shared" ref="L173" si="316">SUM(H173:J173)+K173</f>
        <v>1.3279999999999998</v>
      </c>
      <c r="M173" s="72">
        <f t="shared" ref="M173:M182" si="317">+ROUND(IF(C173=8,PRODUCT(E173,F173,G173,L173),0),2)</f>
        <v>71.709999999999994</v>
      </c>
      <c r="N173" s="72">
        <f t="shared" ref="N173:N182" si="318">+ROUND(IF(C173=10,PRODUCT(E173,F173,G173,L173),0),2)</f>
        <v>0</v>
      </c>
      <c r="O173" s="72">
        <f t="shared" ref="O173:O182" si="319">+ROUND(IF(C173=12,PRODUCT(E173,F173,G173,L173),0),2)</f>
        <v>0</v>
      </c>
      <c r="P173" s="72">
        <f t="shared" ref="P173:P182" si="320">+ROUND(IF(C173=16,PRODUCT(E173,F173,G173,L173),0),2)</f>
        <v>0</v>
      </c>
      <c r="Q173" s="72">
        <f t="shared" ref="Q173:Q182" si="321">+ROUND(IF(C173=20,PRODUCT(E173,F173,G173,L173),0),2)</f>
        <v>0</v>
      </c>
      <c r="R173" s="72">
        <f t="shared" ref="R173:R182" si="322">+ROUND(IF(C173=25,PRODUCT(E173,F173,G173,L173),0),2)</f>
        <v>0</v>
      </c>
    </row>
    <row r="174" spans="1:18" x14ac:dyDescent="0.25">
      <c r="A174" s="26" t="s">
        <v>436</v>
      </c>
      <c r="B174" s="48" t="s">
        <v>468</v>
      </c>
      <c r="C174" s="15"/>
      <c r="D174" s="16"/>
      <c r="E174" s="15"/>
      <c r="F174" s="11"/>
      <c r="G174" s="11"/>
      <c r="H174" s="95"/>
      <c r="I174" s="95"/>
      <c r="J174" s="100"/>
      <c r="K174" s="22"/>
      <c r="L174" s="72">
        <f t="shared" ref="L174" si="323">SUM(H174:J174)+K174</f>
        <v>0</v>
      </c>
      <c r="M174" s="72">
        <f t="shared" si="317"/>
        <v>0</v>
      </c>
      <c r="N174" s="72">
        <f t="shared" si="318"/>
        <v>0</v>
      </c>
      <c r="O174" s="72">
        <f t="shared" si="319"/>
        <v>0</v>
      </c>
      <c r="P174" s="72">
        <f t="shared" si="320"/>
        <v>0</v>
      </c>
      <c r="Q174" s="72">
        <f t="shared" si="321"/>
        <v>0</v>
      </c>
      <c r="R174" s="72">
        <f t="shared" si="322"/>
        <v>0</v>
      </c>
    </row>
    <row r="175" spans="1:18" x14ac:dyDescent="0.25">
      <c r="A175" s="26"/>
      <c r="B175" s="25" t="s">
        <v>385</v>
      </c>
      <c r="C175" s="15">
        <v>16</v>
      </c>
      <c r="D175" s="16"/>
      <c r="E175" s="15">
        <v>6</v>
      </c>
      <c r="F175" s="11">
        <v>1</v>
      </c>
      <c r="G175" s="11">
        <v>2</v>
      </c>
      <c r="H175" s="95">
        <f>0.58+8*$C175/1000</f>
        <v>0.70799999999999996</v>
      </c>
      <c r="I175" s="95">
        <v>3.165</v>
      </c>
      <c r="J175" s="95">
        <f>0.58+8*$C175/1000</f>
        <v>0.70799999999999996</v>
      </c>
      <c r="K175" s="22"/>
      <c r="L175" s="72">
        <f>SUM(H175:J175)+K175</f>
        <v>4.5810000000000004</v>
      </c>
      <c r="M175" s="72">
        <f t="shared" si="317"/>
        <v>0</v>
      </c>
      <c r="N175" s="72">
        <f t="shared" si="318"/>
        <v>0</v>
      </c>
      <c r="O175" s="72">
        <f t="shared" si="319"/>
        <v>0</v>
      </c>
      <c r="P175" s="72">
        <f t="shared" si="320"/>
        <v>54.97</v>
      </c>
      <c r="Q175" s="72">
        <f t="shared" si="321"/>
        <v>0</v>
      </c>
      <c r="R175" s="72">
        <f t="shared" si="322"/>
        <v>0</v>
      </c>
    </row>
    <row r="176" spans="1:18" x14ac:dyDescent="0.25">
      <c r="A176" s="26"/>
      <c r="B176" s="25" t="s">
        <v>385</v>
      </c>
      <c r="C176" s="15">
        <v>16</v>
      </c>
      <c r="D176" s="16"/>
      <c r="E176" s="15">
        <v>6</v>
      </c>
      <c r="F176" s="11">
        <v>1</v>
      </c>
      <c r="G176" s="11">
        <v>2</v>
      </c>
      <c r="H176" s="95">
        <v>0.79</v>
      </c>
      <c r="I176" s="95">
        <v>2.58</v>
      </c>
      <c r="J176" s="95">
        <f>0.58+8*$C176/1000</f>
        <v>0.70799999999999996</v>
      </c>
      <c r="K176" s="22"/>
      <c r="L176" s="72">
        <f>SUM(H176:J176)+K176</f>
        <v>4.0780000000000003</v>
      </c>
      <c r="M176" s="72">
        <f t="shared" ref="M176" si="324">+ROUND(IF(C176=8,PRODUCT(E176,F176,G176,L176),0),2)</f>
        <v>0</v>
      </c>
      <c r="N176" s="72">
        <f t="shared" ref="N176" si="325">+ROUND(IF(C176=10,PRODUCT(E176,F176,G176,L176),0),2)</f>
        <v>0</v>
      </c>
      <c r="O176" s="72">
        <f t="shared" ref="O176" si="326">+ROUND(IF(C176=12,PRODUCT(E176,F176,G176,L176),0),2)</f>
        <v>0</v>
      </c>
      <c r="P176" s="72">
        <f t="shared" ref="P176" si="327">+ROUND(IF(C176=16,PRODUCT(E176,F176,G176,L176),0),2)</f>
        <v>48.94</v>
      </c>
      <c r="Q176" s="72">
        <f t="shared" ref="Q176" si="328">+ROUND(IF(C176=20,PRODUCT(E176,F176,G176,L176),0),2)</f>
        <v>0</v>
      </c>
      <c r="R176" s="72">
        <f t="shared" ref="R176" si="329">+ROUND(IF(C176=25,PRODUCT(E176,F176,G176,L176),0),2)</f>
        <v>0</v>
      </c>
    </row>
    <row r="177" spans="1:18" x14ac:dyDescent="0.25">
      <c r="A177" s="26"/>
      <c r="B177" s="25" t="s">
        <v>432</v>
      </c>
      <c r="C177" s="15">
        <v>16</v>
      </c>
      <c r="D177" s="16"/>
      <c r="E177" s="15">
        <v>6</v>
      </c>
      <c r="F177" s="11">
        <v>1</v>
      </c>
      <c r="G177" s="11">
        <v>2</v>
      </c>
      <c r="H177" s="95">
        <f>0.58+8*$C177/1000</f>
        <v>0.70799999999999996</v>
      </c>
      <c r="I177" s="95">
        <v>6.3449999999999998</v>
      </c>
      <c r="J177" s="95">
        <f>0.58+8*$C177/1000</f>
        <v>0.70799999999999996</v>
      </c>
      <c r="K177" s="22"/>
      <c r="L177" s="72">
        <f t="shared" ref="L177" si="330">SUM(H177:J177)+K177</f>
        <v>7.7610000000000001</v>
      </c>
      <c r="M177" s="72">
        <f t="shared" si="317"/>
        <v>0</v>
      </c>
      <c r="N177" s="72">
        <f t="shared" si="318"/>
        <v>0</v>
      </c>
      <c r="O177" s="72">
        <f t="shared" si="319"/>
        <v>0</v>
      </c>
      <c r="P177" s="72">
        <f t="shared" si="320"/>
        <v>93.13</v>
      </c>
      <c r="Q177" s="72">
        <f t="shared" si="321"/>
        <v>0</v>
      </c>
      <c r="R177" s="72">
        <f t="shared" si="322"/>
        <v>0</v>
      </c>
    </row>
    <row r="178" spans="1:18" x14ac:dyDescent="0.25">
      <c r="A178" s="26"/>
      <c r="B178" s="25" t="s">
        <v>433</v>
      </c>
      <c r="C178" s="15">
        <v>12</v>
      </c>
      <c r="D178" s="16"/>
      <c r="E178" s="15">
        <v>6</v>
      </c>
      <c r="F178" s="11">
        <v>1</v>
      </c>
      <c r="G178" s="11">
        <v>2</v>
      </c>
      <c r="H178" s="95"/>
      <c r="I178" s="95">
        <f>0.9+0.6+0.8</f>
        <v>2.2999999999999998</v>
      </c>
      <c r="J178" s="100"/>
      <c r="K178" s="22"/>
      <c r="L178" s="72">
        <f t="shared" ref="L178:L179" si="331">SUM(H178:J178)+K178</f>
        <v>2.2999999999999998</v>
      </c>
      <c r="M178" s="72">
        <f t="shared" si="317"/>
        <v>0</v>
      </c>
      <c r="N178" s="72">
        <f t="shared" si="318"/>
        <v>0</v>
      </c>
      <c r="O178" s="72">
        <f t="shared" si="319"/>
        <v>27.6</v>
      </c>
      <c r="P178" s="72">
        <f t="shared" si="320"/>
        <v>0</v>
      </c>
      <c r="Q178" s="72">
        <f t="shared" si="321"/>
        <v>0</v>
      </c>
      <c r="R178" s="72">
        <f t="shared" si="322"/>
        <v>0</v>
      </c>
    </row>
    <row r="179" spans="1:18" x14ac:dyDescent="0.25">
      <c r="A179" s="26"/>
      <c r="B179" s="25" t="s">
        <v>433</v>
      </c>
      <c r="C179" s="15">
        <v>12</v>
      </c>
      <c r="D179" s="16"/>
      <c r="E179" s="15">
        <v>6</v>
      </c>
      <c r="F179" s="11">
        <v>1</v>
      </c>
      <c r="G179" s="11">
        <v>2</v>
      </c>
      <c r="H179" s="95">
        <f>0.44+8*$C179/1000</f>
        <v>0.53600000000000003</v>
      </c>
      <c r="I179" s="95">
        <v>0.9</v>
      </c>
      <c r="J179" s="100"/>
      <c r="K179" s="22"/>
      <c r="L179" s="72">
        <f t="shared" si="331"/>
        <v>1.4359999999999999</v>
      </c>
      <c r="M179" s="72">
        <f t="shared" si="317"/>
        <v>0</v>
      </c>
      <c r="N179" s="72">
        <f t="shared" si="318"/>
        <v>0</v>
      </c>
      <c r="O179" s="72">
        <f t="shared" si="319"/>
        <v>17.23</v>
      </c>
      <c r="P179" s="72">
        <f t="shared" si="320"/>
        <v>0</v>
      </c>
      <c r="Q179" s="72">
        <f t="shared" si="321"/>
        <v>0</v>
      </c>
      <c r="R179" s="72">
        <f t="shared" si="322"/>
        <v>0</v>
      </c>
    </row>
    <row r="180" spans="1:18" x14ac:dyDescent="0.25">
      <c r="A180" s="26"/>
      <c r="B180" s="25" t="s">
        <v>433</v>
      </c>
      <c r="C180" s="15">
        <v>12</v>
      </c>
      <c r="D180" s="16"/>
      <c r="E180" s="15">
        <v>6</v>
      </c>
      <c r="F180" s="11">
        <v>1</v>
      </c>
      <c r="G180" s="11">
        <v>2</v>
      </c>
      <c r="H180" s="95">
        <f>0.44+8*$C180/1000</f>
        <v>0.53600000000000003</v>
      </c>
      <c r="I180" s="95">
        <v>0.8</v>
      </c>
      <c r="J180" s="100"/>
      <c r="K180" s="22"/>
      <c r="L180" s="72">
        <f t="shared" ref="L180" si="332">SUM(H180:J180)+K180</f>
        <v>1.3360000000000001</v>
      </c>
      <c r="M180" s="72">
        <f t="shared" ref="M180" si="333">+ROUND(IF(C180=8,PRODUCT(E180,F180,G180,L180),0),2)</f>
        <v>0</v>
      </c>
      <c r="N180" s="72">
        <f t="shared" ref="N180" si="334">+ROUND(IF(C180=10,PRODUCT(E180,F180,G180,L180),0),2)</f>
        <v>0</v>
      </c>
      <c r="O180" s="72">
        <f t="shared" ref="O180" si="335">+ROUND(IF(C180=12,PRODUCT(E180,F180,G180,L180),0),2)</f>
        <v>16.03</v>
      </c>
      <c r="P180" s="72">
        <f t="shared" ref="P180" si="336">+ROUND(IF(C180=16,PRODUCT(E180,F180,G180,L180),0),2)</f>
        <v>0</v>
      </c>
      <c r="Q180" s="72">
        <f t="shared" ref="Q180" si="337">+ROUND(IF(C180=20,PRODUCT(E180,F180,G180,L180),0),2)</f>
        <v>0</v>
      </c>
      <c r="R180" s="72">
        <f t="shared" ref="R180" si="338">+ROUND(IF(C180=25,PRODUCT(E180,F180,G180,L180),0),2)</f>
        <v>0</v>
      </c>
    </row>
    <row r="181" spans="1:18" x14ac:dyDescent="0.25">
      <c r="A181" s="26"/>
      <c r="B181" s="25" t="s">
        <v>448</v>
      </c>
      <c r="C181" s="15">
        <v>8</v>
      </c>
      <c r="D181" s="16">
        <v>100</v>
      </c>
      <c r="E181" s="15">
        <v>6</v>
      </c>
      <c r="F181" s="11">
        <v>1</v>
      </c>
      <c r="G181" s="11">
        <f>+ROUND(2/0.1,0)</f>
        <v>20</v>
      </c>
      <c r="H181" s="95"/>
      <c r="I181" s="95">
        <f>2*(0.15+0.45)+16*C181/1000</f>
        <v>1.3279999999999998</v>
      </c>
      <c r="J181" s="100"/>
      <c r="K181" s="47"/>
      <c r="L181" s="72">
        <f t="shared" ref="L181:L182" si="339">SUM(H181:J181)+K181</f>
        <v>1.3279999999999998</v>
      </c>
      <c r="M181" s="72">
        <f t="shared" si="317"/>
        <v>159.36000000000001</v>
      </c>
      <c r="N181" s="72">
        <f t="shared" si="318"/>
        <v>0</v>
      </c>
      <c r="O181" s="72">
        <f t="shared" si="319"/>
        <v>0</v>
      </c>
      <c r="P181" s="72">
        <f t="shared" si="320"/>
        <v>0</v>
      </c>
      <c r="Q181" s="72">
        <f t="shared" si="321"/>
        <v>0</v>
      </c>
      <c r="R181" s="72">
        <f t="shared" si="322"/>
        <v>0</v>
      </c>
    </row>
    <row r="182" spans="1:18" x14ac:dyDescent="0.25">
      <c r="A182" s="26"/>
      <c r="B182" s="25"/>
      <c r="C182" s="15">
        <v>8</v>
      </c>
      <c r="D182" s="16">
        <v>150</v>
      </c>
      <c r="E182" s="15">
        <v>6</v>
      </c>
      <c r="F182" s="11">
        <v>1</v>
      </c>
      <c r="G182" s="11">
        <f>+ROUND(1.165/0.15+1,0)</f>
        <v>9</v>
      </c>
      <c r="H182" s="95"/>
      <c r="I182" s="95">
        <f>2*(0.15+0.45)+16*C182/1000</f>
        <v>1.3279999999999998</v>
      </c>
      <c r="J182" s="100"/>
      <c r="K182" s="47"/>
      <c r="L182" s="72">
        <f t="shared" si="339"/>
        <v>1.3279999999999998</v>
      </c>
      <c r="M182" s="72">
        <f t="shared" si="317"/>
        <v>71.709999999999994</v>
      </c>
      <c r="N182" s="72">
        <f t="shared" si="318"/>
        <v>0</v>
      </c>
      <c r="O182" s="72">
        <f t="shared" si="319"/>
        <v>0</v>
      </c>
      <c r="P182" s="72">
        <f t="shared" si="320"/>
        <v>0</v>
      </c>
      <c r="Q182" s="72">
        <f t="shared" si="321"/>
        <v>0</v>
      </c>
      <c r="R182" s="72">
        <f t="shared" si="322"/>
        <v>0</v>
      </c>
    </row>
    <row r="183" spans="1:18" x14ac:dyDescent="0.25">
      <c r="A183" s="26"/>
      <c r="B183" s="25" t="s">
        <v>447</v>
      </c>
      <c r="C183" s="15">
        <v>8</v>
      </c>
      <c r="D183" s="16">
        <v>100</v>
      </c>
      <c r="E183" s="15">
        <v>6</v>
      </c>
      <c r="F183" s="11">
        <v>1</v>
      </c>
      <c r="G183" s="11">
        <f>+ROUND(2/0.1,0)</f>
        <v>20</v>
      </c>
      <c r="H183" s="95"/>
      <c r="I183" s="95">
        <f>2*(0.15+0.3)+16*C183/1000</f>
        <v>1.028</v>
      </c>
      <c r="J183" s="100"/>
      <c r="K183" s="47"/>
      <c r="L183" s="72">
        <f t="shared" ref="L183:L184" si="340">SUM(H183:J183)+K183</f>
        <v>1.028</v>
      </c>
      <c r="M183" s="72">
        <f t="shared" ref="M183:M184" si="341">+ROUND(IF(C183=8,PRODUCT(E183,F183,G183,L183),0),2)</f>
        <v>123.36</v>
      </c>
      <c r="N183" s="72">
        <f t="shared" ref="N183:N184" si="342">+ROUND(IF(C183=10,PRODUCT(E183,F183,G183,L183),0),2)</f>
        <v>0</v>
      </c>
      <c r="O183" s="72">
        <f t="shared" ref="O183:O184" si="343">+ROUND(IF(C183=12,PRODUCT(E183,F183,G183,L183),0),2)</f>
        <v>0</v>
      </c>
      <c r="P183" s="72">
        <f t="shared" ref="P183:P184" si="344">+ROUND(IF(C183=16,PRODUCT(E183,F183,G183,L183),0),2)</f>
        <v>0</v>
      </c>
      <c r="Q183" s="72">
        <f t="shared" ref="Q183:Q184" si="345">+ROUND(IF(C183=20,PRODUCT(E183,F183,G183,L183),0),2)</f>
        <v>0</v>
      </c>
      <c r="R183" s="72">
        <f t="shared" ref="R183:R184" si="346">+ROUND(IF(C183=25,PRODUCT(E183,F183,G183,L183),0),2)</f>
        <v>0</v>
      </c>
    </row>
    <row r="184" spans="1:18" x14ac:dyDescent="0.25">
      <c r="A184" s="26"/>
      <c r="B184" s="25"/>
      <c r="C184" s="15">
        <v>8</v>
      </c>
      <c r="D184" s="16">
        <v>150</v>
      </c>
      <c r="E184" s="15">
        <v>6</v>
      </c>
      <c r="F184" s="11">
        <v>1</v>
      </c>
      <c r="G184" s="11">
        <f>+ROUND(0.58/0.15+1,0)</f>
        <v>5</v>
      </c>
      <c r="H184" s="95"/>
      <c r="I184" s="95">
        <f>2*(0.15+0.3)+16*C184/1000</f>
        <v>1.028</v>
      </c>
      <c r="J184" s="100"/>
      <c r="K184" s="47"/>
      <c r="L184" s="72">
        <f t="shared" si="340"/>
        <v>1.028</v>
      </c>
      <c r="M184" s="72">
        <f t="shared" si="341"/>
        <v>30.84</v>
      </c>
      <c r="N184" s="72">
        <f t="shared" si="342"/>
        <v>0</v>
      </c>
      <c r="O184" s="72">
        <f t="shared" si="343"/>
        <v>0</v>
      </c>
      <c r="P184" s="72">
        <f t="shared" si="344"/>
        <v>0</v>
      </c>
      <c r="Q184" s="72">
        <f t="shared" si="345"/>
        <v>0</v>
      </c>
      <c r="R184" s="72">
        <f t="shared" si="346"/>
        <v>0</v>
      </c>
    </row>
    <row r="185" spans="1:18" x14ac:dyDescent="0.25">
      <c r="A185" s="26" t="s">
        <v>442</v>
      </c>
      <c r="B185" s="48" t="s">
        <v>469</v>
      </c>
      <c r="C185" s="15"/>
      <c r="D185" s="16"/>
      <c r="E185" s="15"/>
      <c r="F185" s="11"/>
      <c r="G185" s="11"/>
      <c r="H185" s="95"/>
      <c r="I185" s="95"/>
      <c r="J185" s="100"/>
      <c r="K185" s="22"/>
      <c r="L185" s="72">
        <f t="shared" ref="L185" si="347">SUM(H185:J185)+K185</f>
        <v>0</v>
      </c>
      <c r="M185" s="72">
        <f t="shared" ref="M185:M196" si="348">+ROUND(IF(C185=8,PRODUCT(E185,F185,G185,L185),0),2)</f>
        <v>0</v>
      </c>
      <c r="N185" s="72">
        <f t="shared" ref="N185:N196" si="349">+ROUND(IF(C185=10,PRODUCT(E185,F185,G185,L185),0),2)</f>
        <v>0</v>
      </c>
      <c r="O185" s="72">
        <f t="shared" ref="O185:O196" si="350">+ROUND(IF(C185=12,PRODUCT(E185,F185,G185,L185),0),2)</f>
        <v>0</v>
      </c>
      <c r="P185" s="72">
        <f t="shared" ref="P185:P196" si="351">+ROUND(IF(C185=16,PRODUCT(E185,F185,G185,L185),0),2)</f>
        <v>0</v>
      </c>
      <c r="Q185" s="72">
        <f t="shared" ref="Q185:Q196" si="352">+ROUND(IF(C185=20,PRODUCT(E185,F185,G185,L185),0),2)</f>
        <v>0</v>
      </c>
      <c r="R185" s="72">
        <f t="shared" ref="R185:R196" si="353">+ROUND(IF(C185=25,PRODUCT(E185,F185,G185,L185),0),2)</f>
        <v>0</v>
      </c>
    </row>
    <row r="186" spans="1:18" x14ac:dyDescent="0.25">
      <c r="A186" s="26"/>
      <c r="B186" s="25" t="s">
        <v>385</v>
      </c>
      <c r="C186" s="15">
        <v>16</v>
      </c>
      <c r="D186" s="16"/>
      <c r="E186" s="15">
        <v>2</v>
      </c>
      <c r="F186" s="11">
        <v>1</v>
      </c>
      <c r="G186" s="11">
        <v>2</v>
      </c>
      <c r="H186" s="95">
        <f>0.58+8*$C186/1000</f>
        <v>0.70799999999999996</v>
      </c>
      <c r="I186" s="95">
        <v>5.125</v>
      </c>
      <c r="J186" s="95">
        <f>0.58+8*$C186/1000</f>
        <v>0.70799999999999996</v>
      </c>
      <c r="K186" s="22"/>
      <c r="L186" s="72">
        <f>SUM(H186:J186)+K186</f>
        <v>6.5410000000000004</v>
      </c>
      <c r="M186" s="72">
        <f t="shared" si="348"/>
        <v>0</v>
      </c>
      <c r="N186" s="72">
        <f t="shared" si="349"/>
        <v>0</v>
      </c>
      <c r="O186" s="72">
        <f t="shared" si="350"/>
        <v>0</v>
      </c>
      <c r="P186" s="72">
        <f t="shared" si="351"/>
        <v>26.16</v>
      </c>
      <c r="Q186" s="72">
        <f t="shared" si="352"/>
        <v>0</v>
      </c>
      <c r="R186" s="72">
        <f t="shared" si="353"/>
        <v>0</v>
      </c>
    </row>
    <row r="187" spans="1:18" x14ac:dyDescent="0.25">
      <c r="A187" s="26"/>
      <c r="B187" s="25" t="s">
        <v>432</v>
      </c>
      <c r="C187" s="15">
        <v>16</v>
      </c>
      <c r="D187" s="16"/>
      <c r="E187" s="15">
        <v>2</v>
      </c>
      <c r="F187" s="11">
        <v>1</v>
      </c>
      <c r="G187" s="11">
        <v>2</v>
      </c>
      <c r="H187" s="95">
        <f>0.58+8*$C187/1000</f>
        <v>0.70799999999999996</v>
      </c>
      <c r="I187" s="95">
        <v>5.125</v>
      </c>
      <c r="J187" s="95">
        <f>0.58+8*$C187/1000</f>
        <v>0.70799999999999996</v>
      </c>
      <c r="K187" s="22"/>
      <c r="L187" s="72">
        <f t="shared" ref="L187" si="354">SUM(H187:J187)+K187</f>
        <v>6.5410000000000004</v>
      </c>
      <c r="M187" s="72">
        <f t="shared" si="348"/>
        <v>0</v>
      </c>
      <c r="N187" s="72">
        <f t="shared" si="349"/>
        <v>0</v>
      </c>
      <c r="O187" s="72">
        <f t="shared" si="350"/>
        <v>0</v>
      </c>
      <c r="P187" s="72">
        <f t="shared" si="351"/>
        <v>26.16</v>
      </c>
      <c r="Q187" s="72">
        <f t="shared" si="352"/>
        <v>0</v>
      </c>
      <c r="R187" s="72">
        <f t="shared" si="353"/>
        <v>0</v>
      </c>
    </row>
    <row r="188" spans="1:18" x14ac:dyDescent="0.25">
      <c r="A188" s="26"/>
      <c r="B188" s="25" t="s">
        <v>450</v>
      </c>
      <c r="C188" s="15">
        <v>12</v>
      </c>
      <c r="D188" s="16"/>
      <c r="E188" s="15">
        <v>2</v>
      </c>
      <c r="F188" s="11">
        <v>1</v>
      </c>
      <c r="G188" s="11">
        <v>2</v>
      </c>
      <c r="H188" s="95"/>
      <c r="I188" s="95">
        <f>5.125-1</f>
        <v>4.125</v>
      </c>
      <c r="J188" s="95"/>
      <c r="K188" s="22"/>
      <c r="L188" s="72">
        <f t="shared" ref="L188" si="355">SUM(H188:J188)+K188</f>
        <v>4.125</v>
      </c>
      <c r="M188" s="72">
        <f t="shared" ref="M188" si="356">+ROUND(IF(C188=8,PRODUCT(E188,F188,G188,L188),0),2)</f>
        <v>0</v>
      </c>
      <c r="N188" s="72">
        <f t="shared" ref="N188" si="357">+ROUND(IF(C188=10,PRODUCT(E188,F188,G188,L188),0),2)</f>
        <v>0</v>
      </c>
      <c r="O188" s="72">
        <f t="shared" ref="O188" si="358">+ROUND(IF(C188=12,PRODUCT(E188,F188,G188,L188),0),2)</f>
        <v>16.5</v>
      </c>
      <c r="P188" s="72">
        <f t="shared" ref="P188" si="359">+ROUND(IF(C188=16,PRODUCT(E188,F188,G188,L188),0),2)</f>
        <v>0</v>
      </c>
      <c r="Q188" s="72">
        <f t="shared" ref="Q188" si="360">+ROUND(IF(C188=20,PRODUCT(E188,F188,G188,L188),0),2)</f>
        <v>0</v>
      </c>
      <c r="R188" s="72">
        <f t="shared" ref="R188" si="361">+ROUND(IF(C188=25,PRODUCT(E188,F188,G188,L188),0),2)</f>
        <v>0</v>
      </c>
    </row>
    <row r="189" spans="1:18" x14ac:dyDescent="0.25">
      <c r="A189" s="26"/>
      <c r="B189" s="25" t="s">
        <v>433</v>
      </c>
      <c r="C189" s="15">
        <v>12</v>
      </c>
      <c r="D189" s="16"/>
      <c r="E189" s="15">
        <v>2</v>
      </c>
      <c r="F189" s="11">
        <v>1</v>
      </c>
      <c r="G189" s="11">
        <v>4</v>
      </c>
      <c r="H189" s="95">
        <f>0.58+8*$C189/1000</f>
        <v>0.67599999999999993</v>
      </c>
      <c r="I189" s="95">
        <v>1.5</v>
      </c>
      <c r="J189" s="95"/>
      <c r="K189" s="22"/>
      <c r="L189" s="72">
        <f t="shared" ref="L189" si="362">SUM(H189:J189)+K189</f>
        <v>2.1760000000000002</v>
      </c>
      <c r="M189" s="72">
        <f t="shared" ref="M189" si="363">+ROUND(IF(C189=8,PRODUCT(E189,F189,G189,L189),0),2)</f>
        <v>0</v>
      </c>
      <c r="N189" s="72">
        <f t="shared" ref="N189" si="364">+ROUND(IF(C189=10,PRODUCT(E189,F189,G189,L189),0),2)</f>
        <v>0</v>
      </c>
      <c r="O189" s="72">
        <f t="shared" ref="O189" si="365">+ROUND(IF(C189=12,PRODUCT(E189,F189,G189,L189),0),2)</f>
        <v>17.41</v>
      </c>
      <c r="P189" s="72">
        <f t="shared" ref="P189" si="366">+ROUND(IF(C189=16,PRODUCT(E189,F189,G189,L189),0),2)</f>
        <v>0</v>
      </c>
      <c r="Q189" s="72">
        <f t="shared" ref="Q189" si="367">+ROUND(IF(C189=20,PRODUCT(E189,F189,G189,L189),0),2)</f>
        <v>0</v>
      </c>
      <c r="R189" s="72">
        <f t="shared" ref="R189" si="368">+ROUND(IF(C189=25,PRODUCT(E189,F189,G189,L189),0),2)</f>
        <v>0</v>
      </c>
    </row>
    <row r="190" spans="1:18" x14ac:dyDescent="0.25">
      <c r="A190" s="26"/>
      <c r="B190" s="25" t="s">
        <v>453</v>
      </c>
      <c r="C190" s="15">
        <v>8</v>
      </c>
      <c r="D190" s="16">
        <v>100</v>
      </c>
      <c r="E190" s="15">
        <v>2</v>
      </c>
      <c r="F190" s="11">
        <v>1</v>
      </c>
      <c r="G190" s="11">
        <f>+ROUND(2.562/0.1+1,0)</f>
        <v>27</v>
      </c>
      <c r="H190" s="95"/>
      <c r="I190" s="95">
        <f>2*(0.15+0.4)+16*C190/1000</f>
        <v>1.2280000000000002</v>
      </c>
      <c r="J190" s="100"/>
      <c r="K190" s="47"/>
      <c r="L190" s="72">
        <f t="shared" ref="L190" si="369">SUM(H190:J190)+K190</f>
        <v>1.2280000000000002</v>
      </c>
      <c r="M190" s="72">
        <f t="shared" si="348"/>
        <v>66.31</v>
      </c>
      <c r="N190" s="72">
        <f t="shared" si="349"/>
        <v>0</v>
      </c>
      <c r="O190" s="72">
        <f t="shared" si="350"/>
        <v>0</v>
      </c>
      <c r="P190" s="72">
        <f t="shared" si="351"/>
        <v>0</v>
      </c>
      <c r="Q190" s="72">
        <f t="shared" si="352"/>
        <v>0</v>
      </c>
      <c r="R190" s="72">
        <f t="shared" si="353"/>
        <v>0</v>
      </c>
    </row>
    <row r="191" spans="1:18" x14ac:dyDescent="0.25">
      <c r="A191" s="26"/>
      <c r="B191" s="25"/>
      <c r="C191" s="15">
        <v>8</v>
      </c>
      <c r="D191" s="16">
        <v>150</v>
      </c>
      <c r="E191" s="15">
        <v>2</v>
      </c>
      <c r="F191" s="11">
        <v>1</v>
      </c>
      <c r="G191" s="11">
        <f>+ROUND(2.562/0.15+1,0)</f>
        <v>18</v>
      </c>
      <c r="H191" s="95"/>
      <c r="I191" s="95">
        <f>2*(0.15+0.4)+16*C191/1000</f>
        <v>1.2280000000000002</v>
      </c>
      <c r="J191" s="100"/>
      <c r="K191" s="47"/>
      <c r="L191" s="72">
        <f t="shared" ref="L191" si="370">SUM(H191:J191)+K191</f>
        <v>1.2280000000000002</v>
      </c>
      <c r="M191" s="72">
        <f t="shared" ref="M191" si="371">+ROUND(IF(C191=8,PRODUCT(E191,F191,G191,L191),0),2)</f>
        <v>44.21</v>
      </c>
      <c r="N191" s="72">
        <f t="shared" ref="N191" si="372">+ROUND(IF(C191=10,PRODUCT(E191,F191,G191,L191),0),2)</f>
        <v>0</v>
      </c>
      <c r="O191" s="72">
        <f t="shared" ref="O191" si="373">+ROUND(IF(C191=12,PRODUCT(E191,F191,G191,L191),0),2)</f>
        <v>0</v>
      </c>
      <c r="P191" s="72">
        <f t="shared" ref="P191" si="374">+ROUND(IF(C191=16,PRODUCT(E191,F191,G191,L191),0),2)</f>
        <v>0</v>
      </c>
      <c r="Q191" s="72">
        <f t="shared" ref="Q191" si="375">+ROUND(IF(C191=20,PRODUCT(E191,F191,G191,L191),0),2)</f>
        <v>0</v>
      </c>
      <c r="R191" s="72">
        <f t="shared" ref="R191" si="376">+ROUND(IF(C191=25,PRODUCT(E191,F191,G191,L191),0),2)</f>
        <v>0</v>
      </c>
    </row>
    <row r="192" spans="1:18" x14ac:dyDescent="0.25">
      <c r="A192" s="26"/>
      <c r="B192" s="25"/>
      <c r="C192" s="15"/>
      <c r="D192" s="16"/>
      <c r="E192" s="15"/>
      <c r="F192" s="11"/>
      <c r="G192" s="11"/>
      <c r="H192" s="95"/>
      <c r="I192" s="95"/>
      <c r="J192" s="100"/>
      <c r="K192" s="47"/>
      <c r="L192" s="72"/>
      <c r="M192" s="72"/>
      <c r="N192" s="72"/>
      <c r="O192" s="72"/>
      <c r="P192" s="72"/>
      <c r="Q192" s="72"/>
      <c r="R192" s="72"/>
    </row>
    <row r="193" spans="1:18" x14ac:dyDescent="0.25">
      <c r="A193" s="26" t="s">
        <v>498</v>
      </c>
      <c r="B193" s="48" t="s">
        <v>470</v>
      </c>
      <c r="C193" s="15"/>
      <c r="D193" s="16"/>
      <c r="E193" s="15"/>
      <c r="F193" s="11"/>
      <c r="G193" s="11"/>
      <c r="H193" s="95"/>
      <c r="I193" s="95"/>
      <c r="J193" s="100"/>
      <c r="K193" s="22"/>
      <c r="L193" s="72">
        <f t="shared" ref="L193" si="377">SUM(H193:J193)+K193</f>
        <v>0</v>
      </c>
      <c r="M193" s="72">
        <f t="shared" si="348"/>
        <v>0</v>
      </c>
      <c r="N193" s="72">
        <f t="shared" si="349"/>
        <v>0</v>
      </c>
      <c r="O193" s="72">
        <f t="shared" si="350"/>
        <v>0</v>
      </c>
      <c r="P193" s="72">
        <f t="shared" si="351"/>
        <v>0</v>
      </c>
      <c r="Q193" s="72">
        <f t="shared" si="352"/>
        <v>0</v>
      </c>
      <c r="R193" s="72">
        <f t="shared" si="353"/>
        <v>0</v>
      </c>
    </row>
    <row r="194" spans="1:18" x14ac:dyDescent="0.25">
      <c r="A194" s="26"/>
      <c r="B194" s="25" t="s">
        <v>385</v>
      </c>
      <c r="C194" s="15">
        <v>16</v>
      </c>
      <c r="D194" s="16"/>
      <c r="E194" s="15">
        <v>2</v>
      </c>
      <c r="F194" s="11">
        <v>1</v>
      </c>
      <c r="G194" s="11">
        <v>2</v>
      </c>
      <c r="H194" s="95">
        <f>0.58+8*$C194/1000</f>
        <v>0.70799999999999996</v>
      </c>
      <c r="I194" s="95">
        <v>5.6349999999999998</v>
      </c>
      <c r="J194" s="95">
        <f>0.58+8*$C194/1000</f>
        <v>0.70799999999999996</v>
      </c>
      <c r="K194" s="22"/>
      <c r="L194" s="72">
        <f>SUM(H194:J194)+K194</f>
        <v>7.0510000000000002</v>
      </c>
      <c r="M194" s="72">
        <f t="shared" si="348"/>
        <v>0</v>
      </c>
      <c r="N194" s="72">
        <f t="shared" si="349"/>
        <v>0</v>
      </c>
      <c r="O194" s="72">
        <f t="shared" si="350"/>
        <v>0</v>
      </c>
      <c r="P194" s="72">
        <f t="shared" si="351"/>
        <v>28.2</v>
      </c>
      <c r="Q194" s="72">
        <f t="shared" si="352"/>
        <v>0</v>
      </c>
      <c r="R194" s="72">
        <f t="shared" si="353"/>
        <v>0</v>
      </c>
    </row>
    <row r="195" spans="1:18" x14ac:dyDescent="0.25">
      <c r="A195" s="26"/>
      <c r="B195" s="25" t="s">
        <v>432</v>
      </c>
      <c r="C195" s="15">
        <v>16</v>
      </c>
      <c r="D195" s="16"/>
      <c r="E195" s="15">
        <v>2</v>
      </c>
      <c r="F195" s="11">
        <v>1</v>
      </c>
      <c r="G195" s="11">
        <v>2</v>
      </c>
      <c r="H195" s="95">
        <f>0.58+8*$C195/1000</f>
        <v>0.70799999999999996</v>
      </c>
      <c r="I195" s="95">
        <v>5.6349999999999998</v>
      </c>
      <c r="J195" s="95">
        <f>0.58+8*$C195/1000</f>
        <v>0.70799999999999996</v>
      </c>
      <c r="K195" s="22"/>
      <c r="L195" s="72">
        <f t="shared" ref="L195" si="378">SUM(H195:J195)+K195</f>
        <v>7.0510000000000002</v>
      </c>
      <c r="M195" s="72">
        <f t="shared" si="348"/>
        <v>0</v>
      </c>
      <c r="N195" s="72">
        <f t="shared" si="349"/>
        <v>0</v>
      </c>
      <c r="O195" s="72">
        <f t="shared" si="350"/>
        <v>0</v>
      </c>
      <c r="P195" s="72">
        <f t="shared" si="351"/>
        <v>28.2</v>
      </c>
      <c r="Q195" s="72">
        <f t="shared" si="352"/>
        <v>0</v>
      </c>
      <c r="R195" s="72">
        <f t="shared" si="353"/>
        <v>0</v>
      </c>
    </row>
    <row r="196" spans="1:18" x14ac:dyDescent="0.25">
      <c r="A196" s="26"/>
      <c r="B196" s="25" t="s">
        <v>453</v>
      </c>
      <c r="C196" s="15">
        <v>8</v>
      </c>
      <c r="D196" s="16">
        <v>100</v>
      </c>
      <c r="E196" s="15">
        <v>2</v>
      </c>
      <c r="F196" s="11">
        <v>1</v>
      </c>
      <c r="G196" s="11">
        <f>+ROUND(1.9/0.1+1,0)</f>
        <v>20</v>
      </c>
      <c r="H196" s="95"/>
      <c r="I196" s="95">
        <f>2*(0.18+0.4)+16*C196/1000</f>
        <v>1.2880000000000003</v>
      </c>
      <c r="J196" s="100"/>
      <c r="K196" s="47"/>
      <c r="L196" s="72">
        <f t="shared" ref="L196" si="379">SUM(H196:J196)+K196</f>
        <v>1.2880000000000003</v>
      </c>
      <c r="M196" s="72">
        <f t="shared" si="348"/>
        <v>51.52</v>
      </c>
      <c r="N196" s="72">
        <f t="shared" si="349"/>
        <v>0</v>
      </c>
      <c r="O196" s="72">
        <f t="shared" si="350"/>
        <v>0</v>
      </c>
      <c r="P196" s="72">
        <f t="shared" si="351"/>
        <v>0</v>
      </c>
      <c r="Q196" s="72">
        <f t="shared" si="352"/>
        <v>0</v>
      </c>
      <c r="R196" s="72">
        <f t="shared" si="353"/>
        <v>0</v>
      </c>
    </row>
    <row r="197" spans="1:18" x14ac:dyDescent="0.25">
      <c r="A197" s="26"/>
      <c r="B197" s="25"/>
      <c r="C197" s="15">
        <v>8</v>
      </c>
      <c r="D197" s="16">
        <v>100</v>
      </c>
      <c r="E197" s="15">
        <v>2</v>
      </c>
      <c r="F197" s="11">
        <v>1</v>
      </c>
      <c r="G197" s="11">
        <f>+ROUND(1.9/0.1+1,0)</f>
        <v>20</v>
      </c>
      <c r="H197" s="95"/>
      <c r="I197" s="95">
        <f t="shared" ref="I197:I198" si="380">2*(0.18+0.4)+16*C197/1000</f>
        <v>1.2880000000000003</v>
      </c>
      <c r="J197" s="100"/>
      <c r="K197" s="47"/>
      <c r="L197" s="72">
        <f t="shared" ref="L197" si="381">SUM(H197:J197)+K197</f>
        <v>1.2880000000000003</v>
      </c>
      <c r="M197" s="72">
        <f t="shared" ref="M197" si="382">+ROUND(IF(C197=8,PRODUCT(E197,F197,G197,L197),0),2)</f>
        <v>51.52</v>
      </c>
      <c r="N197" s="72">
        <f t="shared" ref="N197" si="383">+ROUND(IF(C197=10,PRODUCT(E197,F197,G197,L197),0),2)</f>
        <v>0</v>
      </c>
      <c r="O197" s="72">
        <f t="shared" ref="O197" si="384">+ROUND(IF(C197=12,PRODUCT(E197,F197,G197,L197),0),2)</f>
        <v>0</v>
      </c>
      <c r="P197" s="72">
        <f t="shared" ref="P197" si="385">+ROUND(IF(C197=16,PRODUCT(E197,F197,G197,L197),0),2)</f>
        <v>0</v>
      </c>
      <c r="Q197" s="72">
        <f t="shared" ref="Q197" si="386">+ROUND(IF(C197=20,PRODUCT(E197,F197,G197,L197),0),2)</f>
        <v>0</v>
      </c>
      <c r="R197" s="72">
        <f t="shared" ref="R197" si="387">+ROUND(IF(C197=25,PRODUCT(E197,F197,G197,L197),0),2)</f>
        <v>0</v>
      </c>
    </row>
    <row r="198" spans="1:18" x14ac:dyDescent="0.25">
      <c r="A198" s="26"/>
      <c r="B198" s="25"/>
      <c r="C198" s="15">
        <v>8</v>
      </c>
      <c r="D198" s="16">
        <v>100</v>
      </c>
      <c r="E198" s="15">
        <v>2</v>
      </c>
      <c r="F198" s="11">
        <v>1</v>
      </c>
      <c r="G198" s="11">
        <f>+ROUND(1.4/0.1+1,0)</f>
        <v>15</v>
      </c>
      <c r="H198" s="95"/>
      <c r="I198" s="95">
        <f t="shared" si="380"/>
        <v>1.2880000000000003</v>
      </c>
      <c r="J198" s="100"/>
      <c r="K198" s="47"/>
      <c r="L198" s="72">
        <f t="shared" ref="L198" si="388">SUM(H198:J198)+K198</f>
        <v>1.2880000000000003</v>
      </c>
      <c r="M198" s="72">
        <f t="shared" ref="M198:M204" si="389">+ROUND(IF(C198=8,PRODUCT(E198,F198,G198,L198),0),2)</f>
        <v>38.64</v>
      </c>
      <c r="N198" s="72">
        <f t="shared" ref="N198:N204" si="390">+ROUND(IF(C198=10,PRODUCT(E198,F198,G198,L198),0),2)</f>
        <v>0</v>
      </c>
      <c r="O198" s="72">
        <f t="shared" ref="O198:O204" si="391">+ROUND(IF(C198=12,PRODUCT(E198,F198,G198,L198),0),2)</f>
        <v>0</v>
      </c>
      <c r="P198" s="72">
        <f t="shared" ref="P198:P204" si="392">+ROUND(IF(C198=16,PRODUCT(E198,F198,G198,L198),0),2)</f>
        <v>0</v>
      </c>
      <c r="Q198" s="72">
        <f t="shared" ref="Q198:Q204" si="393">+ROUND(IF(C198=20,PRODUCT(E198,F198,G198,L198),0),2)</f>
        <v>0</v>
      </c>
      <c r="R198" s="72">
        <f t="shared" ref="R198:R204" si="394">+ROUND(IF(C198=25,PRODUCT(E198,F198,G198,L198),0),2)</f>
        <v>0</v>
      </c>
    </row>
    <row r="199" spans="1:18" x14ac:dyDescent="0.25">
      <c r="A199" s="26" t="s">
        <v>498</v>
      </c>
      <c r="B199" s="48" t="s">
        <v>471</v>
      </c>
      <c r="C199" s="15"/>
      <c r="D199" s="16"/>
      <c r="E199" s="15"/>
      <c r="F199" s="11"/>
      <c r="G199" s="11"/>
      <c r="H199" s="95"/>
      <c r="I199" s="95"/>
      <c r="J199" s="100"/>
      <c r="K199" s="22"/>
      <c r="L199" s="72">
        <f t="shared" ref="L199" si="395">SUM(H199:J199)+K199</f>
        <v>0</v>
      </c>
      <c r="M199" s="72">
        <f t="shared" si="389"/>
        <v>0</v>
      </c>
      <c r="N199" s="72">
        <f t="shared" si="390"/>
        <v>0</v>
      </c>
      <c r="O199" s="72">
        <f t="shared" si="391"/>
        <v>0</v>
      </c>
      <c r="P199" s="72">
        <f t="shared" si="392"/>
        <v>0</v>
      </c>
      <c r="Q199" s="72">
        <f t="shared" si="393"/>
        <v>0</v>
      </c>
      <c r="R199" s="72">
        <f t="shared" si="394"/>
        <v>0</v>
      </c>
    </row>
    <row r="200" spans="1:18" x14ac:dyDescent="0.25">
      <c r="A200" s="26"/>
      <c r="B200" s="25" t="s">
        <v>385</v>
      </c>
      <c r="C200" s="15">
        <v>16</v>
      </c>
      <c r="D200" s="16"/>
      <c r="E200" s="15">
        <v>2</v>
      </c>
      <c r="F200" s="11">
        <v>1</v>
      </c>
      <c r="G200" s="11">
        <v>2</v>
      </c>
      <c r="H200" s="95">
        <f>0.58+8*$C200/1000</f>
        <v>0.70799999999999996</v>
      </c>
      <c r="I200" s="95">
        <v>7.4249999999999998</v>
      </c>
      <c r="J200" s="95">
        <f>0.58+8*$C200/1000</f>
        <v>0.70799999999999996</v>
      </c>
      <c r="K200" s="22"/>
      <c r="L200" s="72">
        <f>SUM(H200:J200)+K200</f>
        <v>8.8409999999999993</v>
      </c>
      <c r="M200" s="72">
        <f t="shared" si="389"/>
        <v>0</v>
      </c>
      <c r="N200" s="72">
        <f t="shared" si="390"/>
        <v>0</v>
      </c>
      <c r="O200" s="72">
        <f t="shared" si="391"/>
        <v>0</v>
      </c>
      <c r="P200" s="72">
        <f t="shared" si="392"/>
        <v>35.36</v>
      </c>
      <c r="Q200" s="72">
        <f t="shared" si="393"/>
        <v>0</v>
      </c>
      <c r="R200" s="72">
        <f t="shared" si="394"/>
        <v>0</v>
      </c>
    </row>
    <row r="201" spans="1:18" x14ac:dyDescent="0.25">
      <c r="A201" s="26"/>
      <c r="B201" s="25" t="s">
        <v>385</v>
      </c>
      <c r="C201" s="15">
        <v>16</v>
      </c>
      <c r="D201" s="16"/>
      <c r="E201" s="15">
        <v>2</v>
      </c>
      <c r="F201" s="11">
        <v>1</v>
      </c>
      <c r="G201" s="11">
        <v>2</v>
      </c>
      <c r="H201" s="95">
        <v>0.57999999999999996</v>
      </c>
      <c r="I201" s="95">
        <v>2.93</v>
      </c>
      <c r="J201" s="95">
        <f>0.58+8*$C201/1000</f>
        <v>0.70799999999999996</v>
      </c>
      <c r="K201" s="22"/>
      <c r="L201" s="72">
        <f>SUM(H201:J201)+K201</f>
        <v>4.218</v>
      </c>
      <c r="M201" s="72">
        <f t="shared" si="389"/>
        <v>0</v>
      </c>
      <c r="N201" s="72">
        <f t="shared" si="390"/>
        <v>0</v>
      </c>
      <c r="O201" s="72">
        <f t="shared" si="391"/>
        <v>0</v>
      </c>
      <c r="P201" s="72">
        <f t="shared" si="392"/>
        <v>16.87</v>
      </c>
      <c r="Q201" s="72">
        <f t="shared" si="393"/>
        <v>0</v>
      </c>
      <c r="R201" s="72">
        <f t="shared" si="394"/>
        <v>0</v>
      </c>
    </row>
    <row r="202" spans="1:18" x14ac:dyDescent="0.25">
      <c r="A202" s="26"/>
      <c r="B202" s="25" t="s">
        <v>432</v>
      </c>
      <c r="C202" s="15">
        <v>16</v>
      </c>
      <c r="D202" s="16"/>
      <c r="E202" s="15">
        <v>2</v>
      </c>
      <c r="F202" s="11">
        <v>1</v>
      </c>
      <c r="G202" s="11">
        <v>2</v>
      </c>
      <c r="H202" s="95">
        <f>0.58+8*$C202/1000</f>
        <v>0.70799999999999996</v>
      </c>
      <c r="I202" s="95">
        <v>10.955</v>
      </c>
      <c r="J202" s="95">
        <f>0.58+8*$C202/1000</f>
        <v>0.70799999999999996</v>
      </c>
      <c r="K202" s="22"/>
      <c r="L202" s="72">
        <f t="shared" ref="L202" si="396">SUM(H202:J202)+K202</f>
        <v>12.371</v>
      </c>
      <c r="M202" s="72">
        <f t="shared" si="389"/>
        <v>0</v>
      </c>
      <c r="N202" s="72">
        <f t="shared" si="390"/>
        <v>0</v>
      </c>
      <c r="O202" s="72">
        <f t="shared" si="391"/>
        <v>0</v>
      </c>
      <c r="P202" s="72">
        <f t="shared" si="392"/>
        <v>49.48</v>
      </c>
      <c r="Q202" s="72">
        <f t="shared" si="393"/>
        <v>0</v>
      </c>
      <c r="R202" s="72">
        <f t="shared" si="394"/>
        <v>0</v>
      </c>
    </row>
    <row r="203" spans="1:18" x14ac:dyDescent="0.25">
      <c r="A203" s="26"/>
      <c r="B203" s="25" t="s">
        <v>453</v>
      </c>
      <c r="C203" s="15">
        <v>8</v>
      </c>
      <c r="D203" s="16">
        <v>100</v>
      </c>
      <c r="E203" s="15">
        <v>2</v>
      </c>
      <c r="F203" s="11">
        <v>1</v>
      </c>
      <c r="G203" s="11">
        <f>+ROUND(3.95/0.1+1,0)</f>
        <v>41</v>
      </c>
      <c r="H203" s="95"/>
      <c r="I203" s="95">
        <f>2*(0.15+0.4)+16*C203/1000</f>
        <v>1.2280000000000002</v>
      </c>
      <c r="J203" s="100"/>
      <c r="K203" s="47"/>
      <c r="L203" s="72">
        <f t="shared" ref="L203" si="397">SUM(H203:J203)+K203</f>
        <v>1.2280000000000002</v>
      </c>
      <c r="M203" s="72">
        <f t="shared" si="389"/>
        <v>100.7</v>
      </c>
      <c r="N203" s="72">
        <f t="shared" si="390"/>
        <v>0</v>
      </c>
      <c r="O203" s="72">
        <f t="shared" si="391"/>
        <v>0</v>
      </c>
      <c r="P203" s="72">
        <f t="shared" si="392"/>
        <v>0</v>
      </c>
      <c r="Q203" s="72">
        <f t="shared" si="393"/>
        <v>0</v>
      </c>
      <c r="R203" s="72">
        <f t="shared" si="394"/>
        <v>0</v>
      </c>
    </row>
    <row r="204" spans="1:18" x14ac:dyDescent="0.25">
      <c r="A204" s="26"/>
      <c r="B204" s="25" t="s">
        <v>448</v>
      </c>
      <c r="C204" s="15">
        <v>8</v>
      </c>
      <c r="D204" s="16">
        <v>100</v>
      </c>
      <c r="E204" s="15">
        <v>2</v>
      </c>
      <c r="F204" s="11">
        <v>1</v>
      </c>
      <c r="G204" s="11">
        <f>+ROUND(2.875/0.1+1,0)</f>
        <v>30</v>
      </c>
      <c r="H204" s="95"/>
      <c r="I204" s="95">
        <f>2*(0.15+0.45)+16*C204/1000</f>
        <v>1.3279999999999998</v>
      </c>
      <c r="J204" s="100"/>
      <c r="K204" s="47"/>
      <c r="L204" s="72">
        <f t="shared" ref="L204" si="398">SUM(H204:J204)+K204</f>
        <v>1.3279999999999998</v>
      </c>
      <c r="M204" s="72">
        <f t="shared" si="389"/>
        <v>79.680000000000007</v>
      </c>
      <c r="N204" s="72">
        <f t="shared" si="390"/>
        <v>0</v>
      </c>
      <c r="O204" s="72">
        <f t="shared" si="391"/>
        <v>0</v>
      </c>
      <c r="P204" s="72">
        <f t="shared" si="392"/>
        <v>0</v>
      </c>
      <c r="Q204" s="72">
        <f t="shared" si="393"/>
        <v>0</v>
      </c>
      <c r="R204" s="72">
        <f t="shared" si="394"/>
        <v>0</v>
      </c>
    </row>
    <row r="205" spans="1:18" x14ac:dyDescent="0.25">
      <c r="A205" s="26"/>
      <c r="B205" s="25" t="s">
        <v>447</v>
      </c>
      <c r="C205" s="15">
        <v>8</v>
      </c>
      <c r="D205" s="16">
        <v>100</v>
      </c>
      <c r="E205" s="15">
        <v>2</v>
      </c>
      <c r="F205" s="11">
        <v>1</v>
      </c>
      <c r="G205" s="11">
        <f>+ROUND(2.93/0.1+1,0)</f>
        <v>30</v>
      </c>
      <c r="H205" s="95"/>
      <c r="I205" s="95">
        <f>2*(0.15+0.3)+16*C205/1000</f>
        <v>1.028</v>
      </c>
      <c r="J205" s="100"/>
      <c r="K205" s="47"/>
      <c r="L205" s="72">
        <f t="shared" ref="L205" si="399">SUM(H205:J205)+K205</f>
        <v>1.028</v>
      </c>
      <c r="M205" s="72">
        <f t="shared" ref="M205" si="400">+ROUND(IF(C205=8,PRODUCT(E205,F205,G205,L205),0),2)</f>
        <v>61.68</v>
      </c>
      <c r="N205" s="72">
        <f t="shared" ref="N205" si="401">+ROUND(IF(C205=10,PRODUCT(E205,F205,G205,L205),0),2)</f>
        <v>0</v>
      </c>
      <c r="O205" s="72">
        <f t="shared" ref="O205" si="402">+ROUND(IF(C205=12,PRODUCT(E205,F205,G205,L205),0),2)</f>
        <v>0</v>
      </c>
      <c r="P205" s="72">
        <f t="shared" ref="P205" si="403">+ROUND(IF(C205=16,PRODUCT(E205,F205,G205,L205),0),2)</f>
        <v>0</v>
      </c>
      <c r="Q205" s="72">
        <f t="shared" ref="Q205" si="404">+ROUND(IF(C205=20,PRODUCT(E205,F205,G205,L205),0),2)</f>
        <v>0</v>
      </c>
      <c r="R205" s="72">
        <f t="shared" ref="R205" si="405">+ROUND(IF(C205=25,PRODUCT(E205,F205,G205,L205),0),2)</f>
        <v>0</v>
      </c>
    </row>
    <row r="206" spans="1:18" x14ac:dyDescent="0.25">
      <c r="A206" s="26"/>
      <c r="B206" s="25"/>
      <c r="C206" s="15"/>
      <c r="D206" s="16"/>
      <c r="E206" s="15"/>
      <c r="F206" s="11"/>
      <c r="G206" s="11"/>
      <c r="H206" s="95"/>
      <c r="I206" s="95"/>
      <c r="J206" s="100"/>
      <c r="K206" s="47"/>
      <c r="L206" s="72"/>
      <c r="M206" s="72"/>
      <c r="N206" s="72"/>
      <c r="O206" s="72"/>
      <c r="P206" s="72"/>
      <c r="Q206" s="72"/>
      <c r="R206" s="72"/>
    </row>
    <row r="207" spans="1:18" x14ac:dyDescent="0.25">
      <c r="A207" s="26" t="s">
        <v>436</v>
      </c>
      <c r="B207" s="48" t="s">
        <v>472</v>
      </c>
      <c r="C207" s="15"/>
      <c r="D207" s="16"/>
      <c r="E207" s="15"/>
      <c r="F207" s="11"/>
      <c r="G207" s="11"/>
      <c r="H207" s="95"/>
      <c r="I207" s="95"/>
      <c r="J207" s="100"/>
      <c r="K207" s="22"/>
      <c r="L207" s="72">
        <f t="shared" ref="L207" si="406">SUM(H207:J207)+K207</f>
        <v>0</v>
      </c>
      <c r="M207" s="72">
        <f t="shared" ref="M207:M213" si="407">+ROUND(IF(C207=8,PRODUCT(E207,F207,G207,L207),0),2)</f>
        <v>0</v>
      </c>
      <c r="N207" s="72">
        <f t="shared" ref="N207:N213" si="408">+ROUND(IF(C207=10,PRODUCT(E207,F207,G207,L207),0),2)</f>
        <v>0</v>
      </c>
      <c r="O207" s="72">
        <f t="shared" ref="O207:O213" si="409">+ROUND(IF(C207=12,PRODUCT(E207,F207,G207,L207),0),2)</f>
        <v>0</v>
      </c>
      <c r="P207" s="72">
        <f t="shared" ref="P207:P213" si="410">+ROUND(IF(C207=16,PRODUCT(E207,F207,G207,L207),0),2)</f>
        <v>0</v>
      </c>
      <c r="Q207" s="72">
        <f t="shared" ref="Q207:Q213" si="411">+ROUND(IF(C207=20,PRODUCT(E207,F207,G207,L207),0),2)</f>
        <v>0</v>
      </c>
      <c r="R207" s="72">
        <f t="shared" ref="R207:R213" si="412">+ROUND(IF(C207=25,PRODUCT(E207,F207,G207,L207),0),2)</f>
        <v>0</v>
      </c>
    </row>
    <row r="208" spans="1:18" x14ac:dyDescent="0.25">
      <c r="A208" s="26"/>
      <c r="B208" s="25" t="s">
        <v>385</v>
      </c>
      <c r="C208" s="15">
        <v>16</v>
      </c>
      <c r="D208" s="16"/>
      <c r="E208" s="15">
        <v>2</v>
      </c>
      <c r="F208" s="96">
        <v>0.5</v>
      </c>
      <c r="G208" s="11">
        <v>2</v>
      </c>
      <c r="H208" s="95">
        <f>0.58+8*$C208/1000</f>
        <v>0.70799999999999996</v>
      </c>
      <c r="I208" s="95">
        <v>16.88</v>
      </c>
      <c r="J208" s="95">
        <f>0.58+8*$C208/1000</f>
        <v>0.70799999999999996</v>
      </c>
      <c r="K208" s="22"/>
      <c r="L208" s="72">
        <f>SUM(H208:J208)+K208</f>
        <v>18.295999999999996</v>
      </c>
      <c r="M208" s="72">
        <f t="shared" si="407"/>
        <v>0</v>
      </c>
      <c r="N208" s="72">
        <f t="shared" si="408"/>
        <v>0</v>
      </c>
      <c r="O208" s="72">
        <f t="shared" si="409"/>
        <v>0</v>
      </c>
      <c r="P208" s="72">
        <f t="shared" si="410"/>
        <v>36.590000000000003</v>
      </c>
      <c r="Q208" s="72">
        <f t="shared" si="411"/>
        <v>0</v>
      </c>
      <c r="R208" s="72">
        <f t="shared" si="412"/>
        <v>0</v>
      </c>
    </row>
    <row r="209" spans="1:18" x14ac:dyDescent="0.25">
      <c r="A209" s="26"/>
      <c r="B209" s="25" t="s">
        <v>432</v>
      </c>
      <c r="C209" s="15">
        <v>16</v>
      </c>
      <c r="D209" s="16"/>
      <c r="E209" s="15">
        <v>2</v>
      </c>
      <c r="F209" s="96">
        <v>0.5</v>
      </c>
      <c r="G209" s="11">
        <v>2</v>
      </c>
      <c r="H209" s="95">
        <f>0.58+8*$C209/1000</f>
        <v>0.70799999999999996</v>
      </c>
      <c r="I209" s="95">
        <v>16.88</v>
      </c>
      <c r="J209" s="95">
        <f>0.58+8*$C209/1000</f>
        <v>0.70799999999999996</v>
      </c>
      <c r="K209" s="22"/>
      <c r="L209" s="72">
        <f t="shared" ref="L209" si="413">SUM(H209:J209)+K209</f>
        <v>18.295999999999996</v>
      </c>
      <c r="M209" s="72">
        <f t="shared" si="407"/>
        <v>0</v>
      </c>
      <c r="N209" s="72">
        <f t="shared" si="408"/>
        <v>0</v>
      </c>
      <c r="O209" s="72">
        <f t="shared" si="409"/>
        <v>0</v>
      </c>
      <c r="P209" s="72">
        <f t="shared" si="410"/>
        <v>36.590000000000003</v>
      </c>
      <c r="Q209" s="72">
        <f t="shared" si="411"/>
        <v>0</v>
      </c>
      <c r="R209" s="72">
        <f t="shared" si="412"/>
        <v>0</v>
      </c>
    </row>
    <row r="210" spans="1:18" x14ac:dyDescent="0.25">
      <c r="A210" s="26"/>
      <c r="B210" s="25" t="s">
        <v>450</v>
      </c>
      <c r="C210" s="15">
        <v>12</v>
      </c>
      <c r="D210" s="16"/>
      <c r="E210" s="15">
        <v>2</v>
      </c>
      <c r="F210" s="96">
        <v>0.5</v>
      </c>
      <c r="G210" s="11">
        <v>4</v>
      </c>
      <c r="H210" s="95"/>
      <c r="I210" s="95">
        <f>4.69-0.5-0.75</f>
        <v>3.4400000000000004</v>
      </c>
      <c r="J210" s="100"/>
      <c r="K210" s="22"/>
      <c r="L210" s="72">
        <f t="shared" ref="L210" si="414">SUM(H210:J210)+K210</f>
        <v>3.4400000000000004</v>
      </c>
      <c r="M210" s="72">
        <f t="shared" ref="M210" si="415">+ROUND(IF(C210=8,PRODUCT(E210,F210,G210,L210),0),2)</f>
        <v>0</v>
      </c>
      <c r="N210" s="72">
        <f t="shared" ref="N210" si="416">+ROUND(IF(C210=10,PRODUCT(E210,F210,G210,L210),0),2)</f>
        <v>0</v>
      </c>
      <c r="O210" s="72">
        <f t="shared" ref="O210" si="417">+ROUND(IF(C210=12,PRODUCT(E210,F210,G210,L210),0),2)</f>
        <v>13.76</v>
      </c>
      <c r="P210" s="72">
        <f t="shared" ref="P210" si="418">+ROUND(IF(C210=16,PRODUCT(E210,F210,G210,L210),0),2)</f>
        <v>0</v>
      </c>
      <c r="Q210" s="72">
        <f t="shared" ref="Q210" si="419">+ROUND(IF(C210=20,PRODUCT(E210,F210,G210,L210),0),2)</f>
        <v>0</v>
      </c>
      <c r="R210" s="72">
        <f t="shared" ref="R210" si="420">+ROUND(IF(C210=25,PRODUCT(E210,F210,G210,L210),0),2)</f>
        <v>0</v>
      </c>
    </row>
    <row r="211" spans="1:18" x14ac:dyDescent="0.25">
      <c r="A211" s="26"/>
      <c r="B211" s="25" t="s">
        <v>433</v>
      </c>
      <c r="C211" s="15">
        <v>16</v>
      </c>
      <c r="D211" s="16"/>
      <c r="E211" s="15">
        <v>2</v>
      </c>
      <c r="F211" s="96">
        <v>0.5</v>
      </c>
      <c r="G211" s="11">
        <v>4</v>
      </c>
      <c r="H211" s="95"/>
      <c r="I211" s="95">
        <f>1.4+0.6+1.8</f>
        <v>3.8</v>
      </c>
      <c r="J211" s="100"/>
      <c r="K211" s="22"/>
      <c r="L211" s="72">
        <f t="shared" ref="L211" si="421">SUM(H211:J211)+K211</f>
        <v>3.8</v>
      </c>
      <c r="M211" s="72">
        <f t="shared" ref="M211" si="422">+ROUND(IF(C211=8,PRODUCT(E211,F211,G211,L211),0),2)</f>
        <v>0</v>
      </c>
      <c r="N211" s="72">
        <f t="shared" ref="N211" si="423">+ROUND(IF(C211=10,PRODUCT(E211,F211,G211,L211),0),2)</f>
        <v>0</v>
      </c>
      <c r="O211" s="72">
        <f t="shared" ref="O211" si="424">+ROUND(IF(C211=12,PRODUCT(E211,F211,G211,L211),0),2)</f>
        <v>0</v>
      </c>
      <c r="P211" s="72">
        <f t="shared" ref="P211" si="425">+ROUND(IF(C211=16,PRODUCT(E211,F211,G211,L211),0),2)</f>
        <v>15.2</v>
      </c>
      <c r="Q211" s="72">
        <f t="shared" ref="Q211" si="426">+ROUND(IF(C211=20,PRODUCT(E211,F211,G211,L211),0),2)</f>
        <v>0</v>
      </c>
      <c r="R211" s="72">
        <f t="shared" ref="R211" si="427">+ROUND(IF(C211=25,PRODUCT(E211,F211,G211,L211),0),2)</f>
        <v>0</v>
      </c>
    </row>
    <row r="212" spans="1:18" x14ac:dyDescent="0.25">
      <c r="A212" s="26"/>
      <c r="B212" s="25" t="s">
        <v>433</v>
      </c>
      <c r="C212" s="15">
        <v>16</v>
      </c>
      <c r="D212" s="16"/>
      <c r="E212" s="15">
        <v>2</v>
      </c>
      <c r="F212" s="96">
        <v>0.5</v>
      </c>
      <c r="G212" s="11">
        <v>4</v>
      </c>
      <c r="H212" s="95">
        <f>0.58+8*$C212/1000</f>
        <v>0.70799999999999996</v>
      </c>
      <c r="I212" s="95">
        <v>1.4</v>
      </c>
      <c r="J212" s="100"/>
      <c r="K212" s="22"/>
      <c r="L212" s="72">
        <f t="shared" ref="L212" si="428">SUM(H212:J212)+K212</f>
        <v>2.1079999999999997</v>
      </c>
      <c r="M212" s="72">
        <f t="shared" ref="M212" si="429">+ROUND(IF(C212=8,PRODUCT(E212,F212,G212,L212),0),2)</f>
        <v>0</v>
      </c>
      <c r="N212" s="72">
        <f t="shared" ref="N212" si="430">+ROUND(IF(C212=10,PRODUCT(E212,F212,G212,L212),0),2)</f>
        <v>0</v>
      </c>
      <c r="O212" s="72">
        <f t="shared" ref="O212" si="431">+ROUND(IF(C212=12,PRODUCT(E212,F212,G212,L212),0),2)</f>
        <v>0</v>
      </c>
      <c r="P212" s="72">
        <f t="shared" ref="P212" si="432">+ROUND(IF(C212=16,PRODUCT(E212,F212,G212,L212),0),2)</f>
        <v>8.43</v>
      </c>
      <c r="Q212" s="72">
        <f t="shared" ref="Q212" si="433">+ROUND(IF(C212=20,PRODUCT(E212,F212,G212,L212),0),2)</f>
        <v>0</v>
      </c>
      <c r="R212" s="72">
        <f t="shared" ref="R212" si="434">+ROUND(IF(C212=25,PRODUCT(E212,F212,G212,L212),0),2)</f>
        <v>0</v>
      </c>
    </row>
    <row r="213" spans="1:18" x14ac:dyDescent="0.25">
      <c r="A213" s="26"/>
      <c r="B213" s="25" t="s">
        <v>448</v>
      </c>
      <c r="C213" s="15">
        <v>8</v>
      </c>
      <c r="D213" s="16">
        <v>100</v>
      </c>
      <c r="E213" s="15">
        <v>2</v>
      </c>
      <c r="F213" s="96">
        <v>0.5</v>
      </c>
      <c r="G213" s="11">
        <f>+ROUND(2.345/0.1+1,0)*2</f>
        <v>48</v>
      </c>
      <c r="H213" s="95"/>
      <c r="I213" s="95">
        <f>2*(0.15+0.45)+16*C213/1000</f>
        <v>1.3279999999999998</v>
      </c>
      <c r="J213" s="100"/>
      <c r="K213" s="47"/>
      <c r="L213" s="72">
        <f t="shared" ref="L213" si="435">SUM(H213:J213)+K213</f>
        <v>1.3279999999999998</v>
      </c>
      <c r="M213" s="72">
        <f t="shared" si="407"/>
        <v>63.74</v>
      </c>
      <c r="N213" s="72">
        <f t="shared" si="408"/>
        <v>0</v>
      </c>
      <c r="O213" s="72">
        <f t="shared" si="409"/>
        <v>0</v>
      </c>
      <c r="P213" s="72">
        <f t="shared" si="410"/>
        <v>0</v>
      </c>
      <c r="Q213" s="72">
        <f t="shared" si="411"/>
        <v>0</v>
      </c>
      <c r="R213" s="72">
        <f t="shared" si="412"/>
        <v>0</v>
      </c>
    </row>
    <row r="214" spans="1:18" x14ac:dyDescent="0.25">
      <c r="A214" s="26"/>
      <c r="B214" s="25"/>
      <c r="C214" s="15">
        <v>8</v>
      </c>
      <c r="D214" s="16">
        <v>150</v>
      </c>
      <c r="E214" s="15">
        <v>2</v>
      </c>
      <c r="F214" s="96">
        <v>0.5</v>
      </c>
      <c r="G214" s="11">
        <f>+ROUND(2.345/0.15+1,0)*2</f>
        <v>34</v>
      </c>
      <c r="H214" s="95"/>
      <c r="I214" s="95">
        <f>2*(0.15+0.45)+16*C214/1000</f>
        <v>1.3279999999999998</v>
      </c>
      <c r="J214" s="100"/>
      <c r="K214" s="47"/>
      <c r="L214" s="72">
        <f t="shared" si="291"/>
        <v>1.3279999999999998</v>
      </c>
      <c r="M214" s="72">
        <f t="shared" si="0"/>
        <v>45.15</v>
      </c>
      <c r="N214" s="72">
        <f t="shared" si="1"/>
        <v>0</v>
      </c>
      <c r="O214" s="72">
        <f t="shared" si="2"/>
        <v>0</v>
      </c>
      <c r="P214" s="72">
        <f t="shared" si="3"/>
        <v>0</v>
      </c>
      <c r="Q214" s="72">
        <f t="shared" si="4"/>
        <v>0</v>
      </c>
      <c r="R214" s="72">
        <f t="shared" si="5"/>
        <v>0</v>
      </c>
    </row>
    <row r="215" spans="1:18" x14ac:dyDescent="0.25">
      <c r="A215" s="26"/>
      <c r="B215" s="25" t="s">
        <v>448</v>
      </c>
      <c r="C215" s="15">
        <v>8</v>
      </c>
      <c r="D215" s="16">
        <v>100</v>
      </c>
      <c r="E215" s="15">
        <v>2</v>
      </c>
      <c r="F215" s="96">
        <v>0.5</v>
      </c>
      <c r="G215" s="11">
        <f>+ROUND(3.15/0.1+1,0)</f>
        <v>33</v>
      </c>
      <c r="H215" s="95"/>
      <c r="I215" s="95">
        <f>2*(0.15+0.45)+16*C215/1000</f>
        <v>1.3279999999999998</v>
      </c>
      <c r="J215" s="100"/>
      <c r="K215" s="47"/>
      <c r="L215" s="72">
        <f t="shared" ref="L215" si="436">SUM(H215:J215)+K215</f>
        <v>1.3279999999999998</v>
      </c>
      <c r="M215" s="72">
        <f t="shared" si="0"/>
        <v>43.82</v>
      </c>
      <c r="N215" s="72">
        <f t="shared" si="1"/>
        <v>0</v>
      </c>
      <c r="O215" s="72">
        <f t="shared" si="2"/>
        <v>0</v>
      </c>
      <c r="P215" s="72">
        <f t="shared" si="3"/>
        <v>0</v>
      </c>
      <c r="Q215" s="72">
        <f t="shared" si="4"/>
        <v>0</v>
      </c>
      <c r="R215" s="72">
        <f t="shared" si="5"/>
        <v>0</v>
      </c>
    </row>
    <row r="216" spans="1:18" x14ac:dyDescent="0.25">
      <c r="A216" s="26"/>
      <c r="B216" s="25"/>
      <c r="C216" s="15">
        <v>8</v>
      </c>
      <c r="D216" s="16">
        <v>150</v>
      </c>
      <c r="E216" s="15">
        <v>2</v>
      </c>
      <c r="F216" s="96">
        <v>0.5</v>
      </c>
      <c r="G216" s="11">
        <f>+ROUND(3.15/0.15+1,0)</f>
        <v>22</v>
      </c>
      <c r="H216" s="95"/>
      <c r="I216" s="95">
        <f>2*(0.15+0.45)+16*C216/1000</f>
        <v>1.3279999999999998</v>
      </c>
      <c r="J216" s="100"/>
      <c r="K216" s="47"/>
      <c r="L216" s="72">
        <f t="shared" ref="L216" si="437">SUM(H216:J216)+K216</f>
        <v>1.3279999999999998</v>
      </c>
      <c r="M216" s="72">
        <f t="shared" ref="M216" si="438">+ROUND(IF(C216=8,PRODUCT(E216,F216,G216,L216),0),2)</f>
        <v>29.22</v>
      </c>
      <c r="N216" s="72">
        <f t="shared" ref="N216" si="439">+ROUND(IF(C216=10,PRODUCT(E216,F216,G216,L216),0),2)</f>
        <v>0</v>
      </c>
      <c r="O216" s="72">
        <f t="shared" ref="O216" si="440">+ROUND(IF(C216=12,PRODUCT(E216,F216,G216,L216),0),2)</f>
        <v>0</v>
      </c>
      <c r="P216" s="72">
        <f t="shared" ref="P216" si="441">+ROUND(IF(C216=16,PRODUCT(E216,F216,G216,L216),0),2)</f>
        <v>0</v>
      </c>
      <c r="Q216" s="72">
        <f t="shared" ref="Q216" si="442">+ROUND(IF(C216=20,PRODUCT(E216,F216,G216,L216),0),2)</f>
        <v>0</v>
      </c>
      <c r="R216" s="72">
        <f t="shared" ref="R216" si="443">+ROUND(IF(C216=25,PRODUCT(E216,F216,G216,L216),0),2)</f>
        <v>0</v>
      </c>
    </row>
    <row r="217" spans="1:18" x14ac:dyDescent="0.25">
      <c r="A217" s="26" t="s">
        <v>498</v>
      </c>
      <c r="B217" s="48" t="s">
        <v>473</v>
      </c>
      <c r="C217" s="15"/>
      <c r="D217" s="16"/>
      <c r="E217" s="15"/>
      <c r="F217" s="11"/>
      <c r="G217" s="11"/>
      <c r="H217" s="95"/>
      <c r="I217" s="95"/>
      <c r="J217" s="100"/>
      <c r="K217" s="22"/>
      <c r="L217" s="72">
        <f t="shared" ref="L217" si="444">SUM(H217:J217)+K217</f>
        <v>0</v>
      </c>
      <c r="M217" s="72">
        <f t="shared" si="0"/>
        <v>0</v>
      </c>
      <c r="N217" s="72">
        <f t="shared" si="1"/>
        <v>0</v>
      </c>
      <c r="O217" s="72">
        <f t="shared" si="2"/>
        <v>0</v>
      </c>
      <c r="P217" s="72">
        <f t="shared" si="3"/>
        <v>0</v>
      </c>
      <c r="Q217" s="72">
        <f t="shared" si="4"/>
        <v>0</v>
      </c>
      <c r="R217" s="72">
        <f t="shared" si="5"/>
        <v>0</v>
      </c>
    </row>
    <row r="218" spans="1:18" x14ac:dyDescent="0.25">
      <c r="A218" s="26"/>
      <c r="B218" s="25" t="s">
        <v>385</v>
      </c>
      <c r="C218" s="15">
        <v>16</v>
      </c>
      <c r="D218" s="16"/>
      <c r="E218" s="15">
        <v>2</v>
      </c>
      <c r="F218" s="11">
        <v>1</v>
      </c>
      <c r="G218" s="11">
        <v>2</v>
      </c>
      <c r="H218" s="95">
        <f>0.58+8*$C218/1000</f>
        <v>0.70799999999999996</v>
      </c>
      <c r="I218" s="95">
        <v>4.0049999999999999</v>
      </c>
      <c r="J218" s="95">
        <f>0.58+8*$C218/1000</f>
        <v>0.70799999999999996</v>
      </c>
      <c r="K218" s="22"/>
      <c r="L218" s="72">
        <f>SUM(H218:J218)+K218</f>
        <v>5.4210000000000003</v>
      </c>
      <c r="M218" s="72">
        <f t="shared" si="0"/>
        <v>0</v>
      </c>
      <c r="N218" s="72">
        <f t="shared" si="1"/>
        <v>0</v>
      </c>
      <c r="O218" s="72">
        <f t="shared" si="2"/>
        <v>0</v>
      </c>
      <c r="P218" s="72">
        <f t="shared" si="3"/>
        <v>21.68</v>
      </c>
      <c r="Q218" s="72">
        <f t="shared" si="4"/>
        <v>0</v>
      </c>
      <c r="R218" s="72">
        <f t="shared" si="5"/>
        <v>0</v>
      </c>
    </row>
    <row r="219" spans="1:18" x14ac:dyDescent="0.25">
      <c r="A219" s="26"/>
      <c r="B219" s="25" t="s">
        <v>432</v>
      </c>
      <c r="C219" s="15">
        <v>16</v>
      </c>
      <c r="D219" s="16"/>
      <c r="E219" s="15">
        <v>2</v>
      </c>
      <c r="F219" s="11">
        <v>1</v>
      </c>
      <c r="G219" s="11">
        <v>2</v>
      </c>
      <c r="H219" s="95">
        <f>0.58+8*$C219/1000</f>
        <v>0.70799999999999996</v>
      </c>
      <c r="I219" s="95">
        <v>4.0049999999999999</v>
      </c>
      <c r="J219" s="95">
        <f>0.58+8*$C219/1000</f>
        <v>0.70799999999999996</v>
      </c>
      <c r="K219" s="22"/>
      <c r="L219" s="72">
        <f t="shared" ref="L219" si="445">SUM(H219:J219)+K219</f>
        <v>5.4210000000000003</v>
      </c>
      <c r="M219" s="72">
        <f t="shared" si="0"/>
        <v>0</v>
      </c>
      <c r="N219" s="72">
        <f t="shared" si="1"/>
        <v>0</v>
      </c>
      <c r="O219" s="72">
        <f t="shared" si="2"/>
        <v>0</v>
      </c>
      <c r="P219" s="72">
        <f t="shared" si="3"/>
        <v>21.68</v>
      </c>
      <c r="Q219" s="72">
        <f t="shared" si="4"/>
        <v>0</v>
      </c>
      <c r="R219" s="72">
        <f t="shared" si="5"/>
        <v>0</v>
      </c>
    </row>
    <row r="220" spans="1:18" x14ac:dyDescent="0.25">
      <c r="A220" s="26"/>
      <c r="B220" s="25" t="s">
        <v>481</v>
      </c>
      <c r="C220" s="15">
        <v>8</v>
      </c>
      <c r="D220" s="16">
        <v>100</v>
      </c>
      <c r="E220" s="15">
        <v>2</v>
      </c>
      <c r="F220" s="11">
        <v>2</v>
      </c>
      <c r="G220" s="11">
        <f>+ROUND(1.9/0.1,0)</f>
        <v>19</v>
      </c>
      <c r="H220" s="95"/>
      <c r="I220" s="95">
        <f>2*(0.18+0.4)+16*C220/1000</f>
        <v>1.2880000000000003</v>
      </c>
      <c r="J220" s="100"/>
      <c r="K220" s="47"/>
      <c r="L220" s="72">
        <f t="shared" ref="L220" si="446">SUM(H220:J220)+K220</f>
        <v>1.2880000000000003</v>
      </c>
      <c r="M220" s="72">
        <f t="shared" si="0"/>
        <v>97.89</v>
      </c>
      <c r="N220" s="72">
        <f t="shared" si="1"/>
        <v>0</v>
      </c>
      <c r="O220" s="72">
        <f t="shared" si="2"/>
        <v>0</v>
      </c>
      <c r="P220" s="72">
        <f t="shared" si="3"/>
        <v>0</v>
      </c>
      <c r="Q220" s="72">
        <f t="shared" si="4"/>
        <v>0</v>
      </c>
      <c r="R220" s="72">
        <f t="shared" si="5"/>
        <v>0</v>
      </c>
    </row>
    <row r="221" spans="1:18" x14ac:dyDescent="0.25">
      <c r="A221" s="26"/>
      <c r="B221" s="25"/>
      <c r="C221" s="15">
        <v>8</v>
      </c>
      <c r="D221" s="16">
        <v>150</v>
      </c>
      <c r="E221" s="15">
        <v>2</v>
      </c>
      <c r="F221" s="11">
        <v>2</v>
      </c>
      <c r="G221" s="11">
        <f>+ROUND(1.9/0.1,0)</f>
        <v>19</v>
      </c>
      <c r="H221" s="95"/>
      <c r="I221" s="95">
        <f>2*(0.18+0.4)+16*C221/1000</f>
        <v>1.2880000000000003</v>
      </c>
      <c r="J221" s="100"/>
      <c r="K221" s="47"/>
      <c r="L221" s="72">
        <f t="shared" ref="L221" si="447">SUM(H221:J221)+K221</f>
        <v>1.2880000000000003</v>
      </c>
      <c r="M221" s="72">
        <f t="shared" ref="M221:M225" si="448">+ROUND(IF(C221=8,PRODUCT(E221,F221,G221,L221),0),2)</f>
        <v>97.89</v>
      </c>
      <c r="N221" s="72">
        <f t="shared" ref="N221:N225" si="449">+ROUND(IF(C221=10,PRODUCT(E221,F221,G221,L221),0),2)</f>
        <v>0</v>
      </c>
      <c r="O221" s="72">
        <f t="shared" ref="O221:O225" si="450">+ROUND(IF(C221=12,PRODUCT(E221,F221,G221,L221),0),2)</f>
        <v>0</v>
      </c>
      <c r="P221" s="72">
        <f t="shared" ref="P221:P225" si="451">+ROUND(IF(C221=16,PRODUCT(E221,F221,G221,L221),0),2)</f>
        <v>0</v>
      </c>
      <c r="Q221" s="72">
        <f t="shared" ref="Q221:Q225" si="452">+ROUND(IF(C221=20,PRODUCT(E221,F221,G221,L221),0),2)</f>
        <v>0</v>
      </c>
      <c r="R221" s="72">
        <f t="shared" ref="R221:R225" si="453">+ROUND(IF(C221=25,PRODUCT(E221,F221,G221,L221),0),2)</f>
        <v>0</v>
      </c>
    </row>
    <row r="222" spans="1:18" x14ac:dyDescent="0.25">
      <c r="A222" s="26" t="s">
        <v>439</v>
      </c>
      <c r="B222" s="48" t="s">
        <v>474</v>
      </c>
      <c r="C222" s="15"/>
      <c r="D222" s="16"/>
      <c r="E222" s="15"/>
      <c r="F222" s="11"/>
      <c r="G222" s="11"/>
      <c r="H222" s="95"/>
      <c r="I222" s="95"/>
      <c r="J222" s="100"/>
      <c r="K222" s="22"/>
      <c r="L222" s="72">
        <f t="shared" ref="L222" si="454">SUM(H222:J222)+K222</f>
        <v>0</v>
      </c>
      <c r="M222" s="72">
        <f t="shared" si="448"/>
        <v>0</v>
      </c>
      <c r="N222" s="72">
        <f t="shared" si="449"/>
        <v>0</v>
      </c>
      <c r="O222" s="72">
        <f t="shared" si="450"/>
        <v>0</v>
      </c>
      <c r="P222" s="72">
        <f t="shared" si="451"/>
        <v>0</v>
      </c>
      <c r="Q222" s="72">
        <f t="shared" si="452"/>
        <v>0</v>
      </c>
      <c r="R222" s="72">
        <f t="shared" si="453"/>
        <v>0</v>
      </c>
    </row>
    <row r="223" spans="1:18" x14ac:dyDescent="0.25">
      <c r="A223" s="26"/>
      <c r="B223" s="25" t="s">
        <v>385</v>
      </c>
      <c r="C223" s="15">
        <v>16</v>
      </c>
      <c r="D223" s="16"/>
      <c r="E223" s="15">
        <v>2</v>
      </c>
      <c r="F223" s="11">
        <v>1</v>
      </c>
      <c r="G223" s="11">
        <v>2</v>
      </c>
      <c r="H223" s="95">
        <f>0.58+8*$C223/1000</f>
        <v>0.70799999999999996</v>
      </c>
      <c r="I223" s="95">
        <v>5.0350000000000001</v>
      </c>
      <c r="J223" s="95">
        <f>((0.79)/3)+0.1</f>
        <v>0.3633333333333334</v>
      </c>
      <c r="K223" s="22"/>
      <c r="L223" s="72">
        <f>SUM(H223:J223)+K223</f>
        <v>6.1063333333333336</v>
      </c>
      <c r="M223" s="72">
        <f t="shared" si="448"/>
        <v>0</v>
      </c>
      <c r="N223" s="72">
        <f t="shared" si="449"/>
        <v>0</v>
      </c>
      <c r="O223" s="72">
        <f t="shared" si="450"/>
        <v>0</v>
      </c>
      <c r="P223" s="72">
        <f t="shared" si="451"/>
        <v>24.43</v>
      </c>
      <c r="Q223" s="72">
        <f t="shared" si="452"/>
        <v>0</v>
      </c>
      <c r="R223" s="72">
        <f t="shared" si="453"/>
        <v>0</v>
      </c>
    </row>
    <row r="224" spans="1:18" x14ac:dyDescent="0.25">
      <c r="A224" s="26"/>
      <c r="B224" s="25" t="s">
        <v>432</v>
      </c>
      <c r="C224" s="15">
        <v>16</v>
      </c>
      <c r="D224" s="16"/>
      <c r="E224" s="15">
        <v>2</v>
      </c>
      <c r="F224" s="11">
        <v>1</v>
      </c>
      <c r="G224" s="11">
        <v>2</v>
      </c>
      <c r="H224" s="95">
        <f>0.58+8*$C224/1000</f>
        <v>0.70799999999999996</v>
      </c>
      <c r="I224" s="95">
        <v>5.0350000000000001</v>
      </c>
      <c r="J224" s="95">
        <f>((0.79)/3)+0.1</f>
        <v>0.3633333333333334</v>
      </c>
      <c r="K224" s="22"/>
      <c r="L224" s="72">
        <f t="shared" ref="L224" si="455">SUM(H224:J224)+K224</f>
        <v>6.1063333333333336</v>
      </c>
      <c r="M224" s="72">
        <f t="shared" si="448"/>
        <v>0</v>
      </c>
      <c r="N224" s="72">
        <f t="shared" si="449"/>
        <v>0</v>
      </c>
      <c r="O224" s="72">
        <f t="shared" si="450"/>
        <v>0</v>
      </c>
      <c r="P224" s="72">
        <f t="shared" si="451"/>
        <v>24.43</v>
      </c>
      <c r="Q224" s="72">
        <f t="shared" si="452"/>
        <v>0</v>
      </c>
      <c r="R224" s="72">
        <f t="shared" si="453"/>
        <v>0</v>
      </c>
    </row>
    <row r="225" spans="1:18" x14ac:dyDescent="0.25">
      <c r="A225" s="26"/>
      <c r="B225" s="25" t="s">
        <v>447</v>
      </c>
      <c r="C225" s="15">
        <v>8</v>
      </c>
      <c r="D225" s="16">
        <v>100</v>
      </c>
      <c r="E225" s="15">
        <v>2</v>
      </c>
      <c r="F225" s="11">
        <v>2</v>
      </c>
      <c r="G225" s="11">
        <f>+ROUND(2/0.1+1,0)</f>
        <v>21</v>
      </c>
      <c r="H225" s="95"/>
      <c r="I225" s="95">
        <f>2*(0.15+0.3)+16*C225/1000</f>
        <v>1.028</v>
      </c>
      <c r="J225" s="100"/>
      <c r="K225" s="47"/>
      <c r="L225" s="72">
        <f t="shared" ref="L225" si="456">SUM(H225:J225)+K225</f>
        <v>1.028</v>
      </c>
      <c r="M225" s="72">
        <f t="shared" si="448"/>
        <v>86.35</v>
      </c>
      <c r="N225" s="72">
        <f t="shared" si="449"/>
        <v>0</v>
      </c>
      <c r="O225" s="72">
        <f t="shared" si="450"/>
        <v>0</v>
      </c>
      <c r="P225" s="72">
        <f t="shared" si="451"/>
        <v>0</v>
      </c>
      <c r="Q225" s="72">
        <f t="shared" si="452"/>
        <v>0</v>
      </c>
      <c r="R225" s="72">
        <f t="shared" si="453"/>
        <v>0</v>
      </c>
    </row>
    <row r="226" spans="1:18" x14ac:dyDescent="0.25">
      <c r="A226" s="26"/>
      <c r="B226" s="25"/>
      <c r="C226" s="15">
        <v>8</v>
      </c>
      <c r="D226" s="16">
        <v>100</v>
      </c>
      <c r="E226" s="15">
        <v>2</v>
      </c>
      <c r="F226" s="11">
        <v>2</v>
      </c>
      <c r="G226" s="11">
        <f>+ROUND(2/0.1+1,0)</f>
        <v>21</v>
      </c>
      <c r="H226" s="95"/>
      <c r="I226" s="95">
        <f>2*(0.15+0.3)+16*C226/1000</f>
        <v>1.028</v>
      </c>
      <c r="J226" s="100"/>
      <c r="K226" s="47"/>
      <c r="L226" s="72">
        <f t="shared" ref="L226" si="457">SUM(H226:J226)+K226</f>
        <v>1.028</v>
      </c>
      <c r="M226" s="72">
        <f t="shared" ref="M226" si="458">+ROUND(IF(C226=8,PRODUCT(E226,F226,G226,L226),0),2)</f>
        <v>86.35</v>
      </c>
      <c r="N226" s="72">
        <f t="shared" ref="N226" si="459">+ROUND(IF(C226=10,PRODUCT(E226,F226,G226,L226),0),2)</f>
        <v>0</v>
      </c>
      <c r="O226" s="72">
        <f t="shared" ref="O226" si="460">+ROUND(IF(C226=12,PRODUCT(E226,F226,G226,L226),0),2)</f>
        <v>0</v>
      </c>
      <c r="P226" s="72">
        <f t="shared" ref="P226" si="461">+ROUND(IF(C226=16,PRODUCT(E226,F226,G226,L226),0),2)</f>
        <v>0</v>
      </c>
      <c r="Q226" s="72">
        <f t="shared" ref="Q226" si="462">+ROUND(IF(C226=20,PRODUCT(E226,F226,G226,L226),0),2)</f>
        <v>0</v>
      </c>
      <c r="R226" s="72">
        <f t="shared" ref="R226" si="463">+ROUND(IF(C226=25,PRODUCT(E226,F226,G226,L226),0),2)</f>
        <v>0</v>
      </c>
    </row>
    <row r="227" spans="1:18" x14ac:dyDescent="0.25">
      <c r="A227" s="26"/>
      <c r="B227" s="25"/>
      <c r="C227" s="15">
        <v>8</v>
      </c>
      <c r="D227" s="16">
        <v>150</v>
      </c>
      <c r="E227" s="15">
        <v>2</v>
      </c>
      <c r="F227" s="11">
        <v>2</v>
      </c>
      <c r="G227" s="11">
        <f>+ROUND(1.035/0.15+1,0)</f>
        <v>8</v>
      </c>
      <c r="H227" s="95"/>
      <c r="I227" s="95">
        <f>2*(0.15+0.3)+16*C227/1000</f>
        <v>1.028</v>
      </c>
      <c r="J227" s="100"/>
      <c r="K227" s="47"/>
      <c r="L227" s="72">
        <f t="shared" ref="L227" si="464">SUM(H227:J227)+K227</f>
        <v>1.028</v>
      </c>
      <c r="M227" s="72">
        <f t="shared" ref="M227:M234" si="465">+ROUND(IF(C227=8,PRODUCT(E227,F227,G227,L227),0),2)</f>
        <v>32.9</v>
      </c>
      <c r="N227" s="72">
        <f t="shared" ref="N227:N234" si="466">+ROUND(IF(C227=10,PRODUCT(E227,F227,G227,L227),0),2)</f>
        <v>0</v>
      </c>
      <c r="O227" s="72">
        <f t="shared" ref="O227:O234" si="467">+ROUND(IF(C227=12,PRODUCT(E227,F227,G227,L227),0),2)</f>
        <v>0</v>
      </c>
      <c r="P227" s="72">
        <f t="shared" ref="P227:P234" si="468">+ROUND(IF(C227=16,PRODUCT(E227,F227,G227,L227),0),2)</f>
        <v>0</v>
      </c>
      <c r="Q227" s="72">
        <f t="shared" ref="Q227:Q234" si="469">+ROUND(IF(C227=20,PRODUCT(E227,F227,G227,L227),0),2)</f>
        <v>0</v>
      </c>
      <c r="R227" s="72">
        <f t="shared" ref="R227:R234" si="470">+ROUND(IF(C227=25,PRODUCT(E227,F227,G227,L227),0),2)</f>
        <v>0</v>
      </c>
    </row>
    <row r="228" spans="1:18" x14ac:dyDescent="0.25">
      <c r="A228" s="26" t="s">
        <v>442</v>
      </c>
      <c r="B228" s="48" t="s">
        <v>475</v>
      </c>
      <c r="C228" s="15"/>
      <c r="D228" s="16"/>
      <c r="E228" s="15"/>
      <c r="F228" s="11"/>
      <c r="G228" s="11"/>
      <c r="H228" s="95"/>
      <c r="I228" s="95"/>
      <c r="J228" s="100"/>
      <c r="K228" s="22"/>
      <c r="L228" s="72">
        <f t="shared" ref="L228" si="471">SUM(H228:J228)+K228</f>
        <v>0</v>
      </c>
      <c r="M228" s="72">
        <f t="shared" si="465"/>
        <v>0</v>
      </c>
      <c r="N228" s="72">
        <f t="shared" si="466"/>
        <v>0</v>
      </c>
      <c r="O228" s="72">
        <f t="shared" si="467"/>
        <v>0</v>
      </c>
      <c r="P228" s="72">
        <f t="shared" si="468"/>
        <v>0</v>
      </c>
      <c r="Q228" s="72">
        <f t="shared" si="469"/>
        <v>0</v>
      </c>
      <c r="R228" s="72">
        <f t="shared" si="470"/>
        <v>0</v>
      </c>
    </row>
    <row r="229" spans="1:18" x14ac:dyDescent="0.25">
      <c r="A229" s="26"/>
      <c r="B229" s="25" t="s">
        <v>385</v>
      </c>
      <c r="C229" s="15">
        <v>16</v>
      </c>
      <c r="D229" s="16"/>
      <c r="E229" s="15">
        <v>2</v>
      </c>
      <c r="F229" s="11">
        <v>1</v>
      </c>
      <c r="G229" s="11">
        <v>2</v>
      </c>
      <c r="H229" s="95">
        <f>0.58+8*$C229/1000</f>
        <v>0.70799999999999996</v>
      </c>
      <c r="I229" s="95">
        <v>10.5</v>
      </c>
      <c r="J229" s="95">
        <f>0.58+8*$C229/1000</f>
        <v>0.70799999999999996</v>
      </c>
      <c r="K229" s="22"/>
      <c r="L229" s="72">
        <f>SUM(H229:J229)+K229</f>
        <v>11.916</v>
      </c>
      <c r="M229" s="72">
        <f t="shared" si="465"/>
        <v>0</v>
      </c>
      <c r="N229" s="72">
        <f t="shared" si="466"/>
        <v>0</v>
      </c>
      <c r="O229" s="72">
        <f t="shared" si="467"/>
        <v>0</v>
      </c>
      <c r="P229" s="72">
        <f t="shared" si="468"/>
        <v>47.66</v>
      </c>
      <c r="Q229" s="72">
        <f t="shared" si="469"/>
        <v>0</v>
      </c>
      <c r="R229" s="72">
        <f t="shared" si="470"/>
        <v>0</v>
      </c>
    </row>
    <row r="230" spans="1:18" x14ac:dyDescent="0.25">
      <c r="A230" s="26"/>
      <c r="B230" s="25" t="s">
        <v>432</v>
      </c>
      <c r="C230" s="15">
        <v>16</v>
      </c>
      <c r="D230" s="16"/>
      <c r="E230" s="15">
        <v>2</v>
      </c>
      <c r="F230" s="11">
        <v>1</v>
      </c>
      <c r="G230" s="11">
        <v>2</v>
      </c>
      <c r="H230" s="95">
        <f>0.58+8*$C230/1000</f>
        <v>0.70799999999999996</v>
      </c>
      <c r="I230" s="95">
        <v>10.5</v>
      </c>
      <c r="J230" s="95">
        <f>0.58+8*$C230/1000</f>
        <v>0.70799999999999996</v>
      </c>
      <c r="K230" s="22"/>
      <c r="L230" s="72">
        <f t="shared" ref="L230:L233" si="472">SUM(H230:J230)+K230</f>
        <v>11.916</v>
      </c>
      <c r="M230" s="72">
        <f t="shared" si="465"/>
        <v>0</v>
      </c>
      <c r="N230" s="72">
        <f t="shared" si="466"/>
        <v>0</v>
      </c>
      <c r="O230" s="72">
        <f t="shared" si="467"/>
        <v>0</v>
      </c>
      <c r="P230" s="72">
        <f t="shared" si="468"/>
        <v>47.66</v>
      </c>
      <c r="Q230" s="72">
        <f t="shared" si="469"/>
        <v>0</v>
      </c>
      <c r="R230" s="72">
        <f t="shared" si="470"/>
        <v>0</v>
      </c>
    </row>
    <row r="231" spans="1:18" x14ac:dyDescent="0.25">
      <c r="A231" s="26"/>
      <c r="B231" s="25" t="s">
        <v>450</v>
      </c>
      <c r="C231" s="15">
        <v>12</v>
      </c>
      <c r="D231" s="16"/>
      <c r="E231" s="15">
        <v>2</v>
      </c>
      <c r="F231" s="11">
        <v>1</v>
      </c>
      <c r="G231" s="11">
        <v>4</v>
      </c>
      <c r="H231" s="95"/>
      <c r="I231" s="95">
        <f>5.1-0.5-0.75</f>
        <v>3.8499999999999996</v>
      </c>
      <c r="J231" s="95"/>
      <c r="K231" s="22"/>
      <c r="L231" s="72">
        <f t="shared" ref="L231" si="473">SUM(H231:J231)+K231</f>
        <v>3.8499999999999996</v>
      </c>
      <c r="M231" s="72">
        <f t="shared" ref="M231" si="474">+ROUND(IF(C231=8,PRODUCT(E231,F231,G231,L231),0),2)</f>
        <v>0</v>
      </c>
      <c r="N231" s="72">
        <f t="shared" ref="N231" si="475">+ROUND(IF(C231=10,PRODUCT(E231,F231,G231,L231),0),2)</f>
        <v>0</v>
      </c>
      <c r="O231" s="72">
        <f t="shared" ref="O231" si="476">+ROUND(IF(C231=12,PRODUCT(E231,F231,G231,L231),0),2)</f>
        <v>30.8</v>
      </c>
      <c r="P231" s="72">
        <f t="shared" ref="P231" si="477">+ROUND(IF(C231=16,PRODUCT(E231,F231,G231,L231),0),2)</f>
        <v>0</v>
      </c>
      <c r="Q231" s="72">
        <f t="shared" ref="Q231" si="478">+ROUND(IF(C231=20,PRODUCT(E231,F231,G231,L231),0),2)</f>
        <v>0</v>
      </c>
      <c r="R231" s="72">
        <f t="shared" ref="R231" si="479">+ROUND(IF(C231=25,PRODUCT(E231,F231,G231,L231),0),2)</f>
        <v>0</v>
      </c>
    </row>
    <row r="232" spans="1:18" x14ac:dyDescent="0.25">
      <c r="A232" s="26"/>
      <c r="B232" s="25" t="s">
        <v>433</v>
      </c>
      <c r="C232" s="15">
        <v>12</v>
      </c>
      <c r="D232" s="16"/>
      <c r="E232" s="15">
        <v>2</v>
      </c>
      <c r="F232" s="11">
        <v>1</v>
      </c>
      <c r="G232" s="11">
        <v>2</v>
      </c>
      <c r="H232" s="95"/>
      <c r="I232" s="95">
        <f>1.5+0.3+1.5</f>
        <v>3.3</v>
      </c>
      <c r="J232" s="95"/>
      <c r="K232" s="22"/>
      <c r="L232" s="72">
        <f t="shared" ref="L232" si="480">SUM(H232:J232)+K232</f>
        <v>3.3</v>
      </c>
      <c r="M232" s="72">
        <f t="shared" ref="M232" si="481">+ROUND(IF(C232=8,PRODUCT(E232,F232,G232,L232),0),2)</f>
        <v>0</v>
      </c>
      <c r="N232" s="72">
        <f t="shared" ref="N232" si="482">+ROUND(IF(C232=10,PRODUCT(E232,F232,G232,L232),0),2)</f>
        <v>0</v>
      </c>
      <c r="O232" s="72">
        <f t="shared" ref="O232" si="483">+ROUND(IF(C232=12,PRODUCT(E232,F232,G232,L232),0),2)</f>
        <v>13.2</v>
      </c>
      <c r="P232" s="72">
        <f t="shared" ref="P232" si="484">+ROUND(IF(C232=16,PRODUCT(E232,F232,G232,L232),0),2)</f>
        <v>0</v>
      </c>
      <c r="Q232" s="72">
        <f t="shared" ref="Q232" si="485">+ROUND(IF(C232=20,PRODUCT(E232,F232,G232,L232),0),2)</f>
        <v>0</v>
      </c>
      <c r="R232" s="72">
        <f t="shared" ref="R232" si="486">+ROUND(IF(C232=25,PRODUCT(E232,F232,G232,L232),0),2)</f>
        <v>0</v>
      </c>
    </row>
    <row r="233" spans="1:18" x14ac:dyDescent="0.25">
      <c r="A233" s="26"/>
      <c r="B233" s="25" t="s">
        <v>433</v>
      </c>
      <c r="C233" s="15">
        <v>12</v>
      </c>
      <c r="D233" s="16"/>
      <c r="E233" s="15">
        <v>2</v>
      </c>
      <c r="F233" s="11">
        <v>1</v>
      </c>
      <c r="G233" s="11">
        <v>4</v>
      </c>
      <c r="H233" s="95"/>
      <c r="I233" s="95">
        <v>1.5</v>
      </c>
      <c r="J233" s="95">
        <f>0.44+8*$C233/1000</f>
        <v>0.53600000000000003</v>
      </c>
      <c r="K233" s="22"/>
      <c r="L233" s="72">
        <f t="shared" si="472"/>
        <v>2.036</v>
      </c>
      <c r="M233" s="72">
        <f t="shared" si="465"/>
        <v>0</v>
      </c>
      <c r="N233" s="72">
        <f t="shared" si="466"/>
        <v>0</v>
      </c>
      <c r="O233" s="72">
        <f t="shared" si="467"/>
        <v>16.29</v>
      </c>
      <c r="P233" s="72">
        <f t="shared" si="468"/>
        <v>0</v>
      </c>
      <c r="Q233" s="72">
        <f t="shared" si="469"/>
        <v>0</v>
      </c>
      <c r="R233" s="72">
        <f t="shared" si="470"/>
        <v>0</v>
      </c>
    </row>
    <row r="234" spans="1:18" x14ac:dyDescent="0.25">
      <c r="A234" s="26"/>
      <c r="B234" s="25" t="s">
        <v>453</v>
      </c>
      <c r="C234" s="15">
        <v>8</v>
      </c>
      <c r="D234" s="16">
        <v>100</v>
      </c>
      <c r="E234" s="15">
        <v>2</v>
      </c>
      <c r="F234" s="11">
        <v>2</v>
      </c>
      <c r="G234" s="11">
        <f>+ROUND(2.55/0.1,0)</f>
        <v>26</v>
      </c>
      <c r="H234" s="95"/>
      <c r="I234" s="95">
        <f>2*(0.14+0.4)+15*C234/1000</f>
        <v>1.2000000000000002</v>
      </c>
      <c r="J234" s="100"/>
      <c r="K234" s="47"/>
      <c r="L234" s="72">
        <f t="shared" ref="L234" si="487">SUM(H234:J234)+K234</f>
        <v>1.2000000000000002</v>
      </c>
      <c r="M234" s="72">
        <f t="shared" si="465"/>
        <v>124.8</v>
      </c>
      <c r="N234" s="72">
        <f t="shared" si="466"/>
        <v>0</v>
      </c>
      <c r="O234" s="72">
        <f t="shared" si="467"/>
        <v>0</v>
      </c>
      <c r="P234" s="72">
        <f t="shared" si="468"/>
        <v>0</v>
      </c>
      <c r="Q234" s="72">
        <f t="shared" si="469"/>
        <v>0</v>
      </c>
      <c r="R234" s="72">
        <f t="shared" si="470"/>
        <v>0</v>
      </c>
    </row>
    <row r="235" spans="1:18" x14ac:dyDescent="0.25">
      <c r="A235" s="26"/>
      <c r="B235" s="25"/>
      <c r="C235" s="15">
        <v>8</v>
      </c>
      <c r="D235" s="16">
        <v>150</v>
      </c>
      <c r="E235" s="15">
        <v>2</v>
      </c>
      <c r="F235" s="11">
        <v>2</v>
      </c>
      <c r="G235" s="11">
        <f>+ROUND(2.55/0.15+1,0)</f>
        <v>18</v>
      </c>
      <c r="H235" s="95"/>
      <c r="I235" s="95">
        <f>2*(0.14+0.4)+15*C235/1000</f>
        <v>1.2000000000000002</v>
      </c>
      <c r="J235" s="100"/>
      <c r="K235" s="47"/>
      <c r="L235" s="72">
        <f t="shared" ref="L235" si="488">SUM(H235:J235)+K235</f>
        <v>1.2000000000000002</v>
      </c>
      <c r="M235" s="72">
        <f t="shared" ref="M235:M242" si="489">+ROUND(IF(C235=8,PRODUCT(E235,F235,G235,L235),0),2)</f>
        <v>86.4</v>
      </c>
      <c r="N235" s="72">
        <f t="shared" ref="N235:N242" si="490">+ROUND(IF(C235=10,PRODUCT(E235,F235,G235,L235),0),2)</f>
        <v>0</v>
      </c>
      <c r="O235" s="72">
        <f t="shared" ref="O235:O242" si="491">+ROUND(IF(C235=12,PRODUCT(E235,F235,G235,L235),0),2)</f>
        <v>0</v>
      </c>
      <c r="P235" s="72">
        <f t="shared" ref="P235:P242" si="492">+ROUND(IF(C235=16,PRODUCT(E235,F235,G235,L235),0),2)</f>
        <v>0</v>
      </c>
      <c r="Q235" s="72">
        <f t="shared" ref="Q235:Q242" si="493">+ROUND(IF(C235=20,PRODUCT(E235,F235,G235,L235),0),2)</f>
        <v>0</v>
      </c>
      <c r="R235" s="72">
        <f t="shared" ref="R235:R242" si="494">+ROUND(IF(C235=25,PRODUCT(E235,F235,G235,L235),0),2)</f>
        <v>0</v>
      </c>
    </row>
    <row r="236" spans="1:18" x14ac:dyDescent="0.25">
      <c r="A236" s="26"/>
      <c r="B236" s="25"/>
      <c r="C236" s="15"/>
      <c r="D236" s="16"/>
      <c r="E236" s="15"/>
      <c r="F236" s="11"/>
      <c r="G236" s="11"/>
      <c r="H236" s="95"/>
      <c r="I236" s="95"/>
      <c r="J236" s="100"/>
      <c r="K236" s="47"/>
      <c r="L236" s="72"/>
      <c r="M236" s="72"/>
      <c r="N236" s="72"/>
      <c r="O236" s="72"/>
      <c r="P236" s="72"/>
      <c r="Q236" s="72"/>
      <c r="R236" s="72"/>
    </row>
    <row r="237" spans="1:18" x14ac:dyDescent="0.25">
      <c r="A237" s="26" t="s">
        <v>436</v>
      </c>
      <c r="B237" s="48" t="s">
        <v>477</v>
      </c>
      <c r="C237" s="15"/>
      <c r="D237" s="16"/>
      <c r="E237" s="15"/>
      <c r="F237" s="11"/>
      <c r="G237" s="11"/>
      <c r="H237" s="95"/>
      <c r="I237" s="95"/>
      <c r="J237" s="100"/>
      <c r="K237" s="22"/>
      <c r="L237" s="72">
        <f t="shared" ref="L237" si="495">SUM(H237:J237)+K237</f>
        <v>0</v>
      </c>
      <c r="M237" s="72">
        <f t="shared" si="489"/>
        <v>0</v>
      </c>
      <c r="N237" s="72">
        <f t="shared" si="490"/>
        <v>0</v>
      </c>
      <c r="O237" s="72">
        <f t="shared" si="491"/>
        <v>0</v>
      </c>
      <c r="P237" s="72">
        <f t="shared" si="492"/>
        <v>0</v>
      </c>
      <c r="Q237" s="72">
        <f t="shared" si="493"/>
        <v>0</v>
      </c>
      <c r="R237" s="72">
        <f t="shared" si="494"/>
        <v>0</v>
      </c>
    </row>
    <row r="238" spans="1:18" x14ac:dyDescent="0.25">
      <c r="A238" s="26"/>
      <c r="B238" s="25" t="s">
        <v>385</v>
      </c>
      <c r="C238" s="15">
        <v>16</v>
      </c>
      <c r="D238" s="16"/>
      <c r="E238" s="15">
        <v>2</v>
      </c>
      <c r="F238" s="11">
        <v>1</v>
      </c>
      <c r="G238" s="11">
        <v>2</v>
      </c>
      <c r="H238" s="95">
        <f>((0.79)/3)+0.1</f>
        <v>0.3633333333333334</v>
      </c>
      <c r="I238" s="95">
        <v>6.68</v>
      </c>
      <c r="J238" s="95">
        <f>((0.79)/3)+0.1</f>
        <v>0.3633333333333334</v>
      </c>
      <c r="K238" s="22"/>
      <c r="L238" s="72">
        <f>SUM(H238:J238)+K238</f>
        <v>7.4066666666666663</v>
      </c>
      <c r="M238" s="72">
        <f t="shared" si="489"/>
        <v>0</v>
      </c>
      <c r="N238" s="72">
        <f t="shared" si="490"/>
        <v>0</v>
      </c>
      <c r="O238" s="72">
        <f t="shared" si="491"/>
        <v>0</v>
      </c>
      <c r="P238" s="72">
        <f t="shared" si="492"/>
        <v>29.63</v>
      </c>
      <c r="Q238" s="72">
        <f t="shared" si="493"/>
        <v>0</v>
      </c>
      <c r="R238" s="72">
        <f t="shared" si="494"/>
        <v>0</v>
      </c>
    </row>
    <row r="239" spans="1:18" x14ac:dyDescent="0.25">
      <c r="A239" s="26"/>
      <c r="B239" s="25" t="s">
        <v>432</v>
      </c>
      <c r="C239" s="15">
        <v>16</v>
      </c>
      <c r="D239" s="16"/>
      <c r="E239" s="15">
        <v>2</v>
      </c>
      <c r="F239" s="11">
        <v>1</v>
      </c>
      <c r="G239" s="11">
        <v>2</v>
      </c>
      <c r="H239" s="95">
        <f>((0.79)/3)+0.1</f>
        <v>0.3633333333333334</v>
      </c>
      <c r="I239" s="95">
        <v>6.68</v>
      </c>
      <c r="J239" s="95">
        <f>((0.79)/3)+0.1</f>
        <v>0.3633333333333334</v>
      </c>
      <c r="K239" s="22"/>
      <c r="L239" s="72">
        <f>SUM(H239:J239)+K239</f>
        <v>7.4066666666666663</v>
      </c>
      <c r="M239" s="72">
        <f t="shared" ref="M239" si="496">+ROUND(IF(C239=8,PRODUCT(E239,F239,G239,L239),0),2)</f>
        <v>0</v>
      </c>
      <c r="N239" s="72">
        <f t="shared" ref="N239" si="497">+ROUND(IF(C239=10,PRODUCT(E239,F239,G239,L239),0),2)</f>
        <v>0</v>
      </c>
      <c r="O239" s="72">
        <f t="shared" ref="O239" si="498">+ROUND(IF(C239=12,PRODUCT(E239,F239,G239,L239),0),2)</f>
        <v>0</v>
      </c>
      <c r="P239" s="72">
        <f t="shared" ref="P239" si="499">+ROUND(IF(C239=16,PRODUCT(E239,F239,G239,L239),0),2)</f>
        <v>29.63</v>
      </c>
      <c r="Q239" s="72">
        <f t="shared" ref="Q239" si="500">+ROUND(IF(C239=20,PRODUCT(E239,F239,G239,L239),0),2)</f>
        <v>0</v>
      </c>
      <c r="R239" s="72">
        <f t="shared" ref="R239" si="501">+ROUND(IF(C239=25,PRODUCT(E239,F239,G239,L239),0),2)</f>
        <v>0</v>
      </c>
    </row>
    <row r="240" spans="1:18" x14ac:dyDescent="0.25">
      <c r="A240" s="26"/>
      <c r="B240" s="25" t="s">
        <v>433</v>
      </c>
      <c r="C240" s="15">
        <v>12</v>
      </c>
      <c r="D240" s="16"/>
      <c r="E240" s="15">
        <v>2</v>
      </c>
      <c r="F240" s="11">
        <v>1</v>
      </c>
      <c r="G240" s="11">
        <v>2</v>
      </c>
      <c r="H240" s="95"/>
      <c r="I240" s="95">
        <f>0.9+0.3+0.9</f>
        <v>2.1</v>
      </c>
      <c r="J240" s="100"/>
      <c r="K240" s="22"/>
      <c r="L240" s="72">
        <f t="shared" ref="L240" si="502">SUM(H240:J240)+K240</f>
        <v>2.1</v>
      </c>
      <c r="M240" s="72">
        <f t="shared" si="489"/>
        <v>0</v>
      </c>
      <c r="N240" s="72">
        <f t="shared" si="490"/>
        <v>0</v>
      </c>
      <c r="O240" s="72">
        <f t="shared" si="491"/>
        <v>8.4</v>
      </c>
      <c r="P240" s="72">
        <f t="shared" si="492"/>
        <v>0</v>
      </c>
      <c r="Q240" s="72">
        <f t="shared" si="493"/>
        <v>0</v>
      </c>
      <c r="R240" s="72">
        <f t="shared" si="494"/>
        <v>0</v>
      </c>
    </row>
    <row r="241" spans="1:18" x14ac:dyDescent="0.25">
      <c r="A241" s="26"/>
      <c r="B241" s="25" t="s">
        <v>448</v>
      </c>
      <c r="C241" s="15">
        <v>8</v>
      </c>
      <c r="D241" s="16">
        <v>100</v>
      </c>
      <c r="E241" s="15">
        <v>2</v>
      </c>
      <c r="F241" s="11">
        <v>2</v>
      </c>
      <c r="G241" s="11">
        <f>+ROUND(2/0.1,0)</f>
        <v>20</v>
      </c>
      <c r="H241" s="95"/>
      <c r="I241" s="95">
        <f>2*(0.15+0.45)+16*C241/1000</f>
        <v>1.3279999999999998</v>
      </c>
      <c r="J241" s="100"/>
      <c r="K241" s="47"/>
      <c r="L241" s="72">
        <f t="shared" ref="L241" si="503">SUM(H241:J241)+K241</f>
        <v>1.3279999999999998</v>
      </c>
      <c r="M241" s="72">
        <f t="shared" si="489"/>
        <v>106.24</v>
      </c>
      <c r="N241" s="72">
        <f t="shared" si="490"/>
        <v>0</v>
      </c>
      <c r="O241" s="72">
        <f t="shared" si="491"/>
        <v>0</v>
      </c>
      <c r="P241" s="72">
        <f t="shared" si="492"/>
        <v>0</v>
      </c>
      <c r="Q241" s="72">
        <f t="shared" si="493"/>
        <v>0</v>
      </c>
      <c r="R241" s="72">
        <f t="shared" si="494"/>
        <v>0</v>
      </c>
    </row>
    <row r="242" spans="1:18" x14ac:dyDescent="0.25">
      <c r="A242" s="26"/>
      <c r="B242" s="25"/>
      <c r="C242" s="15">
        <v>8</v>
      </c>
      <c r="D242" s="16">
        <v>150</v>
      </c>
      <c r="E242" s="15">
        <v>2</v>
      </c>
      <c r="F242" s="11">
        <v>2</v>
      </c>
      <c r="G242" s="11">
        <f>+ROUND(1.19/0.15+1,0)</f>
        <v>9</v>
      </c>
      <c r="H242" s="95"/>
      <c r="I242" s="95">
        <f>2*(0.15+0.45)+16*C242/1000</f>
        <v>1.3279999999999998</v>
      </c>
      <c r="J242" s="100"/>
      <c r="K242" s="47"/>
      <c r="L242" s="72">
        <f t="shared" ref="L242" si="504">SUM(H242:J242)+K242</f>
        <v>1.3279999999999998</v>
      </c>
      <c r="M242" s="72">
        <f t="shared" si="489"/>
        <v>47.81</v>
      </c>
      <c r="N242" s="72">
        <f t="shared" si="490"/>
        <v>0</v>
      </c>
      <c r="O242" s="72">
        <f t="shared" si="491"/>
        <v>0</v>
      </c>
      <c r="P242" s="72">
        <f t="shared" si="492"/>
        <v>0</v>
      </c>
      <c r="Q242" s="72">
        <f t="shared" si="493"/>
        <v>0</v>
      </c>
      <c r="R242" s="72">
        <f t="shared" si="494"/>
        <v>0</v>
      </c>
    </row>
    <row r="243" spans="1:18" x14ac:dyDescent="0.25">
      <c r="A243" s="26"/>
      <c r="B243" s="25"/>
      <c r="C243" s="15"/>
      <c r="D243" s="16"/>
      <c r="E243" s="15"/>
      <c r="F243" s="11"/>
      <c r="G243" s="11"/>
      <c r="H243" s="95"/>
      <c r="I243" s="95"/>
      <c r="J243" s="100"/>
      <c r="K243" s="47"/>
      <c r="L243" s="72"/>
      <c r="M243" s="72"/>
      <c r="N243" s="72"/>
      <c r="O243" s="72"/>
      <c r="P243" s="72"/>
      <c r="Q243" s="72"/>
      <c r="R243" s="72"/>
    </row>
    <row r="244" spans="1:18" x14ac:dyDescent="0.25">
      <c r="A244" s="26" t="s">
        <v>442</v>
      </c>
      <c r="B244" s="48" t="s">
        <v>479</v>
      </c>
      <c r="C244" s="15"/>
      <c r="D244" s="16"/>
      <c r="E244" s="15"/>
      <c r="F244" s="11"/>
      <c r="G244" s="11"/>
      <c r="H244" s="95"/>
      <c r="I244" s="95"/>
      <c r="J244" s="100"/>
      <c r="K244" s="22"/>
      <c r="L244" s="72">
        <f t="shared" ref="L244" si="505">SUM(H244:J244)+K244</f>
        <v>0</v>
      </c>
      <c r="M244" s="72">
        <f t="shared" ref="M244:M251" si="506">+ROUND(IF(C244=8,PRODUCT(E244,F244,G244,L244),0),2)</f>
        <v>0</v>
      </c>
      <c r="N244" s="72">
        <f t="shared" ref="N244:N251" si="507">+ROUND(IF(C244=10,PRODUCT(E244,F244,G244,L244),0),2)</f>
        <v>0</v>
      </c>
      <c r="O244" s="72">
        <f t="shared" ref="O244:O251" si="508">+ROUND(IF(C244=12,PRODUCT(E244,F244,G244,L244),0),2)</f>
        <v>0</v>
      </c>
      <c r="P244" s="72">
        <f t="shared" ref="P244:P251" si="509">+ROUND(IF(C244=16,PRODUCT(E244,F244,G244,L244),0),2)</f>
        <v>0</v>
      </c>
      <c r="Q244" s="72">
        <f t="shared" ref="Q244:Q251" si="510">+ROUND(IF(C244=20,PRODUCT(E244,F244,G244,L244),0),2)</f>
        <v>0</v>
      </c>
      <c r="R244" s="72">
        <f t="shared" ref="R244:R251" si="511">+ROUND(IF(C244=25,PRODUCT(E244,F244,G244,L244),0),2)</f>
        <v>0</v>
      </c>
    </row>
    <row r="245" spans="1:18" x14ac:dyDescent="0.25">
      <c r="A245" s="26"/>
      <c r="B245" s="25" t="s">
        <v>385</v>
      </c>
      <c r="C245" s="15">
        <v>16</v>
      </c>
      <c r="D245" s="16"/>
      <c r="E245" s="15">
        <v>6</v>
      </c>
      <c r="F245" s="11">
        <v>1</v>
      </c>
      <c r="G245" s="11">
        <v>2</v>
      </c>
      <c r="H245" s="95">
        <f>0.58+8*$C245/1000</f>
        <v>0.70799999999999996</v>
      </c>
      <c r="I245" s="95">
        <v>8.2249999999999996</v>
      </c>
      <c r="J245" s="95">
        <f>((0.79)/3)+0.1</f>
        <v>0.3633333333333334</v>
      </c>
      <c r="K245" s="22"/>
      <c r="L245" s="72">
        <f>SUM(H245:J245)+K245</f>
        <v>9.2963333333333331</v>
      </c>
      <c r="M245" s="72">
        <f t="shared" si="506"/>
        <v>0</v>
      </c>
      <c r="N245" s="72">
        <f t="shared" si="507"/>
        <v>0</v>
      </c>
      <c r="O245" s="72">
        <f t="shared" si="508"/>
        <v>0</v>
      </c>
      <c r="P245" s="72">
        <f t="shared" si="509"/>
        <v>111.56</v>
      </c>
      <c r="Q245" s="72">
        <f t="shared" si="510"/>
        <v>0</v>
      </c>
      <c r="R245" s="72">
        <f t="shared" si="511"/>
        <v>0</v>
      </c>
    </row>
    <row r="246" spans="1:18" x14ac:dyDescent="0.25">
      <c r="A246" s="26"/>
      <c r="B246" s="25" t="s">
        <v>432</v>
      </c>
      <c r="C246" s="15">
        <v>16</v>
      </c>
      <c r="D246" s="16"/>
      <c r="E246" s="15">
        <v>6</v>
      </c>
      <c r="F246" s="11">
        <v>1</v>
      </c>
      <c r="G246" s="11">
        <v>2</v>
      </c>
      <c r="H246" s="95">
        <f>0.58+8*$C246/1000</f>
        <v>0.70799999999999996</v>
      </c>
      <c r="I246" s="95">
        <v>8.2249999999999996</v>
      </c>
      <c r="J246" s="95">
        <f>((0.79)/3)+0.1</f>
        <v>0.3633333333333334</v>
      </c>
      <c r="K246" s="22"/>
      <c r="L246" s="72">
        <f>SUM(H246:J246)+K246</f>
        <v>9.2963333333333331</v>
      </c>
      <c r="M246" s="72">
        <f t="shared" si="506"/>
        <v>0</v>
      </c>
      <c r="N246" s="72">
        <f t="shared" si="507"/>
        <v>0</v>
      </c>
      <c r="O246" s="72">
        <f t="shared" si="508"/>
        <v>0</v>
      </c>
      <c r="P246" s="72">
        <f t="shared" si="509"/>
        <v>111.56</v>
      </c>
      <c r="Q246" s="72">
        <f t="shared" si="510"/>
        <v>0</v>
      </c>
      <c r="R246" s="72">
        <f t="shared" si="511"/>
        <v>0</v>
      </c>
    </row>
    <row r="247" spans="1:18" x14ac:dyDescent="0.25">
      <c r="A247" s="26"/>
      <c r="B247" s="25" t="s">
        <v>433</v>
      </c>
      <c r="C247" s="15">
        <v>16</v>
      </c>
      <c r="D247" s="16"/>
      <c r="E247" s="15">
        <v>6</v>
      </c>
      <c r="F247" s="11">
        <v>1</v>
      </c>
      <c r="G247" s="11">
        <v>2</v>
      </c>
      <c r="H247" s="95"/>
      <c r="I247" s="95">
        <f>0.6+2.265</f>
        <v>2.8650000000000002</v>
      </c>
      <c r="J247" s="95">
        <f>((0.79)/3)+0.05</f>
        <v>0.31333333333333335</v>
      </c>
      <c r="K247" s="22"/>
      <c r="L247" s="72">
        <f>SUM(H247:J247)+K247</f>
        <v>3.1783333333333337</v>
      </c>
      <c r="M247" s="72">
        <f t="shared" ref="M247" si="512">+ROUND(IF(C247=8,PRODUCT(E247,F247,G247,L247),0),2)</f>
        <v>0</v>
      </c>
      <c r="N247" s="72">
        <f t="shared" ref="N247" si="513">+ROUND(IF(C247=10,PRODUCT(E247,F247,G247,L247),0),2)</f>
        <v>0</v>
      </c>
      <c r="O247" s="72">
        <f t="shared" ref="O247" si="514">+ROUND(IF(C247=12,PRODUCT(E247,F247,G247,L247),0),2)</f>
        <v>0</v>
      </c>
      <c r="P247" s="72">
        <f t="shared" ref="P247" si="515">+ROUND(IF(C247=16,PRODUCT(E247,F247,G247,L247),0),2)</f>
        <v>38.14</v>
      </c>
      <c r="Q247" s="72">
        <f t="shared" ref="Q247" si="516">+ROUND(IF(C247=20,PRODUCT(E247,F247,G247,L247),0),2)</f>
        <v>0</v>
      </c>
      <c r="R247" s="72">
        <f t="shared" ref="R247" si="517">+ROUND(IF(C247=25,PRODUCT(E247,F247,G247,L247),0),2)</f>
        <v>0</v>
      </c>
    </row>
    <row r="248" spans="1:18" x14ac:dyDescent="0.25">
      <c r="A248" s="26"/>
      <c r="B248" s="25" t="s">
        <v>476</v>
      </c>
      <c r="C248" s="15">
        <v>8</v>
      </c>
      <c r="D248" s="16">
        <v>100</v>
      </c>
      <c r="E248" s="15">
        <v>6</v>
      </c>
      <c r="F248" s="11">
        <v>2</v>
      </c>
      <c r="G248" s="11">
        <f>+ROUND(0.415/0.1+1,0)</f>
        <v>5</v>
      </c>
      <c r="H248" s="95"/>
      <c r="I248" s="95">
        <f>2*(0.18+0.45)+16*C248/1000</f>
        <v>1.3879999999999999</v>
      </c>
      <c r="J248" s="100"/>
      <c r="K248" s="47"/>
      <c r="L248" s="72">
        <f t="shared" ref="L248" si="518">SUM(H248:J248)+K248</f>
        <v>1.3879999999999999</v>
      </c>
      <c r="M248" s="72">
        <f t="shared" si="506"/>
        <v>83.28</v>
      </c>
      <c r="N248" s="72">
        <f t="shared" si="507"/>
        <v>0</v>
      </c>
      <c r="O248" s="72">
        <f t="shared" si="508"/>
        <v>0</v>
      </c>
      <c r="P248" s="72">
        <f t="shared" si="509"/>
        <v>0</v>
      </c>
      <c r="Q248" s="72">
        <f t="shared" si="510"/>
        <v>0</v>
      </c>
      <c r="R248" s="72">
        <f t="shared" si="511"/>
        <v>0</v>
      </c>
    </row>
    <row r="249" spans="1:18" x14ac:dyDescent="0.25">
      <c r="A249" s="26"/>
      <c r="B249" s="25" t="s">
        <v>476</v>
      </c>
      <c r="C249" s="15">
        <v>8</v>
      </c>
      <c r="D249" s="16">
        <v>100</v>
      </c>
      <c r="E249" s="15">
        <v>6</v>
      </c>
      <c r="F249" s="11">
        <v>2</v>
      </c>
      <c r="G249" s="11">
        <f>+ROUND(1.81/0.1+1,0)</f>
        <v>19</v>
      </c>
      <c r="H249" s="95"/>
      <c r="I249" s="95">
        <f>2*(0.18+0.45)+16*C249/1000</f>
        <v>1.3879999999999999</v>
      </c>
      <c r="J249" s="100"/>
      <c r="K249" s="47"/>
      <c r="L249" s="72">
        <f t="shared" ref="L249" si="519">SUM(H249:J249)+K249</f>
        <v>1.3879999999999999</v>
      </c>
      <c r="M249" s="72">
        <f t="shared" ref="M249" si="520">+ROUND(IF(C249=8,PRODUCT(E249,F249,G249,L249),0),2)</f>
        <v>316.45999999999998</v>
      </c>
      <c r="N249" s="72">
        <f t="shared" ref="N249" si="521">+ROUND(IF(C249=10,PRODUCT(E249,F249,G249,L249),0),2)</f>
        <v>0</v>
      </c>
      <c r="O249" s="72">
        <f t="shared" ref="O249" si="522">+ROUND(IF(C249=12,PRODUCT(E249,F249,G249,L249),0),2)</f>
        <v>0</v>
      </c>
      <c r="P249" s="72">
        <f t="shared" ref="P249" si="523">+ROUND(IF(C249=16,PRODUCT(E249,F249,G249,L249),0),2)</f>
        <v>0</v>
      </c>
      <c r="Q249" s="72">
        <f t="shared" ref="Q249" si="524">+ROUND(IF(C249=20,PRODUCT(E249,F249,G249,L249),0),2)</f>
        <v>0</v>
      </c>
      <c r="R249" s="72">
        <f t="shared" ref="R249" si="525">+ROUND(IF(C249=25,PRODUCT(E249,F249,G249,L249),0),2)</f>
        <v>0</v>
      </c>
    </row>
    <row r="250" spans="1:18" x14ac:dyDescent="0.25">
      <c r="A250" s="26"/>
      <c r="B250" s="25" t="s">
        <v>448</v>
      </c>
      <c r="C250" s="15">
        <v>8</v>
      </c>
      <c r="D250" s="16">
        <v>100</v>
      </c>
      <c r="E250" s="15">
        <v>6</v>
      </c>
      <c r="F250" s="11">
        <v>2</v>
      </c>
      <c r="G250" s="11">
        <f>+ROUND(2/0.1,0)</f>
        <v>20</v>
      </c>
      <c r="H250" s="95"/>
      <c r="I250" s="95">
        <f>2*(0.15+0.45)+24*C250/1000</f>
        <v>1.3919999999999999</v>
      </c>
      <c r="J250" s="100"/>
      <c r="K250" s="47"/>
      <c r="L250" s="72">
        <f t="shared" ref="L250" si="526">SUM(H250:J250)+K250</f>
        <v>1.3919999999999999</v>
      </c>
      <c r="M250" s="72">
        <f t="shared" ref="M250" si="527">+ROUND(IF(C250=8,PRODUCT(E250,F250,G250,L250),0),2)</f>
        <v>334.08</v>
      </c>
      <c r="N250" s="72">
        <f t="shared" ref="N250" si="528">+ROUND(IF(C250=10,PRODUCT(E250,F250,G250,L250),0),2)</f>
        <v>0</v>
      </c>
      <c r="O250" s="72">
        <f t="shared" ref="O250" si="529">+ROUND(IF(C250=12,PRODUCT(E250,F250,G250,L250),0),2)</f>
        <v>0</v>
      </c>
      <c r="P250" s="72">
        <f t="shared" ref="P250" si="530">+ROUND(IF(C250=16,PRODUCT(E250,F250,G250,L250),0),2)</f>
        <v>0</v>
      </c>
      <c r="Q250" s="72">
        <f t="shared" ref="Q250" si="531">+ROUND(IF(C250=20,PRODUCT(E250,F250,G250,L250),0),2)</f>
        <v>0</v>
      </c>
      <c r="R250" s="72">
        <f t="shared" ref="R250" si="532">+ROUND(IF(C250=25,PRODUCT(E250,F250,G250,L250),0),2)</f>
        <v>0</v>
      </c>
    </row>
    <row r="251" spans="1:18" x14ac:dyDescent="0.25">
      <c r="A251" s="26"/>
      <c r="B251" s="25"/>
      <c r="C251" s="15">
        <v>8</v>
      </c>
      <c r="D251" s="16">
        <v>150</v>
      </c>
      <c r="E251" s="15">
        <v>6</v>
      </c>
      <c r="F251" s="11">
        <v>2</v>
      </c>
      <c r="G251" s="11">
        <f>+ROUND(1.55/0.15+1,0)</f>
        <v>11</v>
      </c>
      <c r="H251" s="95"/>
      <c r="I251" s="95">
        <f>2*(0.15+0.45)+24*C251/1000</f>
        <v>1.3919999999999999</v>
      </c>
      <c r="J251" s="100"/>
      <c r="K251" s="47"/>
      <c r="L251" s="72">
        <f t="shared" ref="L251" si="533">SUM(H251:J251)+K251</f>
        <v>1.3919999999999999</v>
      </c>
      <c r="M251" s="72">
        <f t="shared" si="506"/>
        <v>183.74</v>
      </c>
      <c r="N251" s="72">
        <f t="shared" si="507"/>
        <v>0</v>
      </c>
      <c r="O251" s="72">
        <f t="shared" si="508"/>
        <v>0</v>
      </c>
      <c r="P251" s="72">
        <f t="shared" si="509"/>
        <v>0</v>
      </c>
      <c r="Q251" s="72">
        <f t="shared" si="510"/>
        <v>0</v>
      </c>
      <c r="R251" s="72">
        <f t="shared" si="511"/>
        <v>0</v>
      </c>
    </row>
    <row r="252" spans="1:18" x14ac:dyDescent="0.25">
      <c r="A252" s="26" t="s">
        <v>442</v>
      </c>
      <c r="B252" s="48" t="s">
        <v>480</v>
      </c>
      <c r="C252" s="15"/>
      <c r="D252" s="16"/>
      <c r="E252" s="15"/>
      <c r="F252" s="11"/>
      <c r="G252" s="11"/>
      <c r="H252" s="95"/>
      <c r="I252" s="95"/>
      <c r="J252" s="100"/>
      <c r="K252" s="22"/>
      <c r="L252" s="72">
        <f t="shared" ref="L252" si="534">SUM(H252:J252)+K252</f>
        <v>0</v>
      </c>
      <c r="M252" s="72">
        <f t="shared" ref="M252:M256" si="535">+ROUND(IF(C252=8,PRODUCT(E252,F252,G252,L252),0),2)</f>
        <v>0</v>
      </c>
      <c r="N252" s="72">
        <f t="shared" ref="N252:N256" si="536">+ROUND(IF(C252=10,PRODUCT(E252,F252,G252,L252),0),2)</f>
        <v>0</v>
      </c>
      <c r="O252" s="72">
        <f t="shared" ref="O252:O256" si="537">+ROUND(IF(C252=12,PRODUCT(E252,F252,G252,L252),0),2)</f>
        <v>0</v>
      </c>
      <c r="P252" s="72">
        <f t="shared" ref="P252:P256" si="538">+ROUND(IF(C252=16,PRODUCT(E252,F252,G252,L252),0),2)</f>
        <v>0</v>
      </c>
      <c r="Q252" s="72">
        <f t="shared" ref="Q252:Q256" si="539">+ROUND(IF(C252=20,PRODUCT(E252,F252,G252,L252),0),2)</f>
        <v>0</v>
      </c>
      <c r="R252" s="72">
        <f t="shared" ref="R252:R256" si="540">+ROUND(IF(C252=25,PRODUCT(E252,F252,G252,L252),0),2)</f>
        <v>0</v>
      </c>
    </row>
    <row r="253" spans="1:18" x14ac:dyDescent="0.25">
      <c r="A253" s="26"/>
      <c r="B253" s="25" t="s">
        <v>385</v>
      </c>
      <c r="C253" s="15">
        <v>16</v>
      </c>
      <c r="D253" s="16"/>
      <c r="E253" s="15">
        <v>6</v>
      </c>
      <c r="F253" s="11">
        <v>1</v>
      </c>
      <c r="G253" s="11">
        <v>2</v>
      </c>
      <c r="H253" s="95">
        <f>((0.79)/3)+0.1</f>
        <v>0.3633333333333334</v>
      </c>
      <c r="I253" s="95">
        <v>3.86</v>
      </c>
      <c r="J253" s="95">
        <f>((0.79)/3)+0.1</f>
        <v>0.3633333333333334</v>
      </c>
      <c r="K253" s="22"/>
      <c r="L253" s="72">
        <f>SUM(H253:J253)+K253</f>
        <v>4.5866666666666669</v>
      </c>
      <c r="M253" s="72">
        <f t="shared" si="535"/>
        <v>0</v>
      </c>
      <c r="N253" s="72">
        <f t="shared" si="536"/>
        <v>0</v>
      </c>
      <c r="O253" s="72">
        <f t="shared" si="537"/>
        <v>0</v>
      </c>
      <c r="P253" s="72">
        <f t="shared" si="538"/>
        <v>55.04</v>
      </c>
      <c r="Q253" s="72">
        <f t="shared" si="539"/>
        <v>0</v>
      </c>
      <c r="R253" s="72">
        <f t="shared" si="540"/>
        <v>0</v>
      </c>
    </row>
    <row r="254" spans="1:18" x14ac:dyDescent="0.25">
      <c r="A254" s="26"/>
      <c r="B254" s="25" t="s">
        <v>385</v>
      </c>
      <c r="C254" s="15">
        <v>16</v>
      </c>
      <c r="D254" s="16"/>
      <c r="E254" s="15">
        <v>6</v>
      </c>
      <c r="F254" s="11">
        <v>1</v>
      </c>
      <c r="G254" s="11">
        <v>2</v>
      </c>
      <c r="H254" s="95">
        <f>0.79+10*$C254/1000</f>
        <v>0.95000000000000007</v>
      </c>
      <c r="I254" s="95">
        <v>0.41499999999999998</v>
      </c>
      <c r="J254" s="95">
        <f>((0.79)/3)+0.1</f>
        <v>0.3633333333333334</v>
      </c>
      <c r="K254" s="22"/>
      <c r="L254" s="72">
        <f>SUM(H254:J254)+K254</f>
        <v>1.7283333333333335</v>
      </c>
      <c r="M254" s="72">
        <f t="shared" ref="M254" si="541">+ROUND(IF(C254=8,PRODUCT(E254,F254,G254,L254),0),2)</f>
        <v>0</v>
      </c>
      <c r="N254" s="72">
        <f t="shared" ref="N254" si="542">+ROUND(IF(C254=10,PRODUCT(E254,F254,G254,L254),0),2)</f>
        <v>0</v>
      </c>
      <c r="O254" s="72">
        <f t="shared" ref="O254" si="543">+ROUND(IF(C254=12,PRODUCT(E254,F254,G254,L254),0),2)</f>
        <v>0</v>
      </c>
      <c r="P254" s="72">
        <f t="shared" ref="P254" si="544">+ROUND(IF(C254=16,PRODUCT(E254,F254,G254,L254),0),2)</f>
        <v>20.74</v>
      </c>
      <c r="Q254" s="72">
        <f t="shared" ref="Q254" si="545">+ROUND(IF(C254=20,PRODUCT(E254,F254,G254,L254),0),2)</f>
        <v>0</v>
      </c>
      <c r="R254" s="72">
        <f t="shared" ref="R254" si="546">+ROUND(IF(C254=25,PRODUCT(E254,F254,G254,L254),0),2)</f>
        <v>0</v>
      </c>
    </row>
    <row r="255" spans="1:18" x14ac:dyDescent="0.25">
      <c r="A255" s="26"/>
      <c r="B255" s="25" t="s">
        <v>432</v>
      </c>
      <c r="C255" s="15">
        <v>16</v>
      </c>
      <c r="D255" s="16"/>
      <c r="E255" s="15">
        <v>6</v>
      </c>
      <c r="F255" s="11">
        <v>1</v>
      </c>
      <c r="G255" s="11">
        <v>2</v>
      </c>
      <c r="H255" s="95">
        <f>((0.79)/3)+0.1</f>
        <v>0.3633333333333334</v>
      </c>
      <c r="I255" s="95">
        <v>4.4749999999999996</v>
      </c>
      <c r="J255" s="95">
        <f>((0.79)/3)+0.1</f>
        <v>0.3633333333333334</v>
      </c>
      <c r="K255" s="22"/>
      <c r="L255" s="72">
        <f>SUM(H255:J255)+K255</f>
        <v>5.2016666666666662</v>
      </c>
      <c r="M255" s="72">
        <f t="shared" si="535"/>
        <v>0</v>
      </c>
      <c r="N255" s="72">
        <f t="shared" si="536"/>
        <v>0</v>
      </c>
      <c r="O255" s="72">
        <f t="shared" si="537"/>
        <v>0</v>
      </c>
      <c r="P255" s="72">
        <f t="shared" si="538"/>
        <v>62.42</v>
      </c>
      <c r="Q255" s="72">
        <f t="shared" si="539"/>
        <v>0</v>
      </c>
      <c r="R255" s="72">
        <f t="shared" si="540"/>
        <v>0</v>
      </c>
    </row>
    <row r="256" spans="1:18" x14ac:dyDescent="0.25">
      <c r="A256" s="26"/>
      <c r="B256" s="25" t="s">
        <v>453</v>
      </c>
      <c r="C256" s="15">
        <v>8</v>
      </c>
      <c r="D256" s="16">
        <v>100</v>
      </c>
      <c r="E256" s="15">
        <v>6</v>
      </c>
      <c r="F256" s="11">
        <v>1</v>
      </c>
      <c r="G256" s="11">
        <f>+ROUND(1.93/0.1,0)</f>
        <v>19</v>
      </c>
      <c r="H256" s="95"/>
      <c r="I256" s="95">
        <f>2*(0.15+0.4)+16*C256/1000</f>
        <v>1.2280000000000002</v>
      </c>
      <c r="J256" s="100"/>
      <c r="K256" s="47"/>
      <c r="L256" s="72">
        <f t="shared" ref="L256" si="547">SUM(H256:J256)+K256</f>
        <v>1.2280000000000002</v>
      </c>
      <c r="M256" s="72">
        <f t="shared" si="535"/>
        <v>139.99</v>
      </c>
      <c r="N256" s="72">
        <f t="shared" si="536"/>
        <v>0</v>
      </c>
      <c r="O256" s="72">
        <f t="shared" si="537"/>
        <v>0</v>
      </c>
      <c r="P256" s="72">
        <f t="shared" si="538"/>
        <v>0</v>
      </c>
      <c r="Q256" s="72">
        <f t="shared" si="539"/>
        <v>0</v>
      </c>
      <c r="R256" s="72">
        <f t="shared" si="540"/>
        <v>0</v>
      </c>
    </row>
    <row r="257" spans="1:18" x14ac:dyDescent="0.25">
      <c r="A257" s="26"/>
      <c r="B257" s="25"/>
      <c r="C257" s="15">
        <v>8</v>
      </c>
      <c r="D257" s="16">
        <v>150</v>
      </c>
      <c r="E257" s="15">
        <v>6</v>
      </c>
      <c r="F257" s="11">
        <v>1</v>
      </c>
      <c r="G257" s="11">
        <f>+ROUND(1.93/0.15+1,0)</f>
        <v>14</v>
      </c>
      <c r="H257" s="95"/>
      <c r="I257" s="95">
        <f>2*(0.15+0.4)+16*C257/1000</f>
        <v>1.2280000000000002</v>
      </c>
      <c r="J257" s="100"/>
      <c r="K257" s="47"/>
      <c r="L257" s="72">
        <f t="shared" ref="L257" si="548">SUM(H257:J257)+K257</f>
        <v>1.2280000000000002</v>
      </c>
      <c r="M257" s="72">
        <f t="shared" ref="M257" si="549">+ROUND(IF(C257=8,PRODUCT(E257,F257,G257,L257),0),2)</f>
        <v>103.15</v>
      </c>
      <c r="N257" s="72">
        <f t="shared" ref="N257" si="550">+ROUND(IF(C257=10,PRODUCT(E257,F257,G257,L257),0),2)</f>
        <v>0</v>
      </c>
      <c r="O257" s="72">
        <f t="shared" ref="O257" si="551">+ROUND(IF(C257=12,PRODUCT(E257,F257,G257,L257),0),2)</f>
        <v>0</v>
      </c>
      <c r="P257" s="72">
        <f t="shared" ref="P257" si="552">+ROUND(IF(C257=16,PRODUCT(E257,F257,G257,L257),0),2)</f>
        <v>0</v>
      </c>
      <c r="Q257" s="72">
        <f t="shared" ref="Q257" si="553">+ROUND(IF(C257=20,PRODUCT(E257,F257,G257,L257),0),2)</f>
        <v>0</v>
      </c>
      <c r="R257" s="72">
        <f t="shared" ref="R257" si="554">+ROUND(IF(C257=25,PRODUCT(E257,F257,G257,L257),0),2)</f>
        <v>0</v>
      </c>
    </row>
    <row r="258" spans="1:18" x14ac:dyDescent="0.25">
      <c r="A258" s="26"/>
      <c r="B258" s="25" t="s">
        <v>478</v>
      </c>
      <c r="C258" s="15">
        <v>8</v>
      </c>
      <c r="D258" s="16">
        <v>100</v>
      </c>
      <c r="E258" s="15">
        <v>6</v>
      </c>
      <c r="F258" s="11">
        <v>1</v>
      </c>
      <c r="G258" s="11">
        <f>+ROUND(0.415/0.1+1,0)</f>
        <v>5</v>
      </c>
      <c r="H258" s="95"/>
      <c r="I258" s="95">
        <f>2*(0.05+0.3)+16*C258/1000</f>
        <v>0.82799999999999996</v>
      </c>
      <c r="J258" s="100"/>
      <c r="K258" s="47"/>
      <c r="L258" s="72">
        <f t="shared" ref="L258" si="555">SUM(H258:J258)+K258</f>
        <v>0.82799999999999996</v>
      </c>
      <c r="M258" s="72">
        <f t="shared" ref="M258:M272" si="556">+ROUND(IF(C258=8,PRODUCT(E258,F258,G258,L258),0),2)</f>
        <v>24.84</v>
      </c>
      <c r="N258" s="72">
        <f t="shared" ref="N258:N272" si="557">+ROUND(IF(C258=10,PRODUCT(E258,F258,G258,L258),0),2)</f>
        <v>0</v>
      </c>
      <c r="O258" s="72">
        <f t="shared" ref="O258:O272" si="558">+ROUND(IF(C258=12,PRODUCT(E258,F258,G258,L258),0),2)</f>
        <v>0</v>
      </c>
      <c r="P258" s="72">
        <f t="shared" ref="P258:P272" si="559">+ROUND(IF(C258=16,PRODUCT(E258,F258,G258,L258),0),2)</f>
        <v>0</v>
      </c>
      <c r="Q258" s="72">
        <f t="shared" ref="Q258:Q272" si="560">+ROUND(IF(C258=20,PRODUCT(E258,F258,G258,L258),0),2)</f>
        <v>0</v>
      </c>
      <c r="R258" s="72">
        <f t="shared" ref="R258:R272" si="561">+ROUND(IF(C258=25,PRODUCT(E258,F258,G258,L258),0),2)</f>
        <v>0</v>
      </c>
    </row>
    <row r="259" spans="1:18" x14ac:dyDescent="0.25">
      <c r="A259" s="26"/>
      <c r="B259" s="25"/>
      <c r="C259" s="15"/>
      <c r="D259" s="16"/>
      <c r="E259" s="15"/>
      <c r="F259" s="11"/>
      <c r="G259" s="11"/>
      <c r="H259" s="95"/>
      <c r="I259" s="95"/>
      <c r="J259" s="100"/>
      <c r="K259" s="47"/>
      <c r="L259" s="72"/>
      <c r="M259" s="72"/>
      <c r="N259" s="72"/>
      <c r="O259" s="72"/>
      <c r="P259" s="72"/>
      <c r="Q259" s="72"/>
      <c r="R259" s="72"/>
    </row>
    <row r="260" spans="1:18" x14ac:dyDescent="0.25">
      <c r="A260" s="26" t="s">
        <v>442</v>
      </c>
      <c r="B260" s="48" t="s">
        <v>482</v>
      </c>
      <c r="C260" s="15"/>
      <c r="D260" s="16"/>
      <c r="E260" s="15"/>
      <c r="F260" s="11"/>
      <c r="G260" s="11"/>
      <c r="H260" s="95"/>
      <c r="I260" s="95"/>
      <c r="J260" s="100"/>
      <c r="K260" s="22"/>
      <c r="L260" s="72">
        <f t="shared" ref="L260" si="562">SUM(H260:J260)+K260</f>
        <v>0</v>
      </c>
      <c r="M260" s="72">
        <f t="shared" si="556"/>
        <v>0</v>
      </c>
      <c r="N260" s="72">
        <f t="shared" si="557"/>
        <v>0</v>
      </c>
      <c r="O260" s="72">
        <f t="shared" si="558"/>
        <v>0</v>
      </c>
      <c r="P260" s="72">
        <f t="shared" si="559"/>
        <v>0</v>
      </c>
      <c r="Q260" s="72">
        <f t="shared" si="560"/>
        <v>0</v>
      </c>
      <c r="R260" s="72">
        <f t="shared" si="561"/>
        <v>0</v>
      </c>
    </row>
    <row r="261" spans="1:18" x14ac:dyDescent="0.25">
      <c r="A261" s="26"/>
      <c r="B261" s="25" t="s">
        <v>385</v>
      </c>
      <c r="C261" s="15">
        <v>16</v>
      </c>
      <c r="D261" s="16"/>
      <c r="E261" s="15">
        <v>6</v>
      </c>
      <c r="F261" s="11">
        <v>1</v>
      </c>
      <c r="G261" s="11">
        <v>2</v>
      </c>
      <c r="H261" s="95">
        <f>0.58+8*$C261/1000</f>
        <v>0.70799999999999996</v>
      </c>
      <c r="I261" s="95">
        <v>3.52</v>
      </c>
      <c r="J261" s="95">
        <f>((0.79)/3)+0.1</f>
        <v>0.3633333333333334</v>
      </c>
      <c r="K261" s="22"/>
      <c r="L261" s="72">
        <f>SUM(H261:J261)+K261</f>
        <v>4.591333333333333</v>
      </c>
      <c r="M261" s="72">
        <f t="shared" si="556"/>
        <v>0</v>
      </c>
      <c r="N261" s="72">
        <f t="shared" si="557"/>
        <v>0</v>
      </c>
      <c r="O261" s="72">
        <f t="shared" si="558"/>
        <v>0</v>
      </c>
      <c r="P261" s="72">
        <f t="shared" si="559"/>
        <v>55.1</v>
      </c>
      <c r="Q261" s="72">
        <f t="shared" si="560"/>
        <v>0</v>
      </c>
      <c r="R261" s="72">
        <f t="shared" si="561"/>
        <v>0</v>
      </c>
    </row>
    <row r="262" spans="1:18" x14ac:dyDescent="0.25">
      <c r="A262" s="26"/>
      <c r="B262" s="25" t="s">
        <v>432</v>
      </c>
      <c r="C262" s="15">
        <v>16</v>
      </c>
      <c r="D262" s="16"/>
      <c r="E262" s="15">
        <v>6</v>
      </c>
      <c r="F262" s="11">
        <v>1</v>
      </c>
      <c r="G262" s="11">
        <v>2</v>
      </c>
      <c r="H262" s="95">
        <f>0.58+8*$C262/1000</f>
        <v>0.70799999999999996</v>
      </c>
      <c r="I262" s="95">
        <v>3.52</v>
      </c>
      <c r="J262" s="95">
        <f>((0.79)/3)+0.1</f>
        <v>0.3633333333333334</v>
      </c>
      <c r="K262" s="22"/>
      <c r="L262" s="72">
        <f>SUM(H262:J262)+K262</f>
        <v>4.591333333333333</v>
      </c>
      <c r="M262" s="72">
        <f t="shared" si="556"/>
        <v>0</v>
      </c>
      <c r="N262" s="72">
        <f t="shared" si="557"/>
        <v>0</v>
      </c>
      <c r="O262" s="72">
        <f t="shared" si="558"/>
        <v>0</v>
      </c>
      <c r="P262" s="72">
        <f t="shared" si="559"/>
        <v>55.1</v>
      </c>
      <c r="Q262" s="72">
        <f t="shared" si="560"/>
        <v>0</v>
      </c>
      <c r="R262" s="72">
        <f t="shared" si="561"/>
        <v>0</v>
      </c>
    </row>
    <row r="263" spans="1:18" x14ac:dyDescent="0.25">
      <c r="A263" s="26"/>
      <c r="B263" s="25" t="s">
        <v>453</v>
      </c>
      <c r="C263" s="15">
        <v>8</v>
      </c>
      <c r="D263" s="16">
        <v>100</v>
      </c>
      <c r="E263" s="15">
        <v>6</v>
      </c>
      <c r="F263" s="11">
        <v>1</v>
      </c>
      <c r="G263" s="11">
        <f>+ROUND(1.8/0.1,0)</f>
        <v>18</v>
      </c>
      <c r="H263" s="95"/>
      <c r="I263" s="95">
        <f>2*(0.15+0.4)+16*C263/1000</f>
        <v>1.2280000000000002</v>
      </c>
      <c r="J263" s="100"/>
      <c r="K263" s="47"/>
      <c r="L263" s="72">
        <f t="shared" ref="L263:L264" si="563">SUM(H263:J263)+K263</f>
        <v>1.2280000000000002</v>
      </c>
      <c r="M263" s="72">
        <f t="shared" si="556"/>
        <v>132.62</v>
      </c>
      <c r="N263" s="72">
        <f t="shared" si="557"/>
        <v>0</v>
      </c>
      <c r="O263" s="72">
        <f t="shared" si="558"/>
        <v>0</v>
      </c>
      <c r="P263" s="72">
        <f t="shared" si="559"/>
        <v>0</v>
      </c>
      <c r="Q263" s="72">
        <f t="shared" si="560"/>
        <v>0</v>
      </c>
      <c r="R263" s="72">
        <f t="shared" si="561"/>
        <v>0</v>
      </c>
    </row>
    <row r="264" spans="1:18" x14ac:dyDescent="0.25">
      <c r="A264" s="26"/>
      <c r="B264" s="25"/>
      <c r="C264" s="15">
        <v>8</v>
      </c>
      <c r="D264" s="16">
        <v>150</v>
      </c>
      <c r="E264" s="15">
        <v>6</v>
      </c>
      <c r="F264" s="11">
        <v>1</v>
      </c>
      <c r="G264" s="11">
        <f>+ROUND(1.72/0.15+1,0)</f>
        <v>12</v>
      </c>
      <c r="H264" s="95"/>
      <c r="I264" s="95">
        <f>2*(0.15+0.4)+16*C264/1000</f>
        <v>1.2280000000000002</v>
      </c>
      <c r="J264" s="100"/>
      <c r="K264" s="47"/>
      <c r="L264" s="72">
        <f t="shared" si="563"/>
        <v>1.2280000000000002</v>
      </c>
      <c r="M264" s="72">
        <f t="shared" si="556"/>
        <v>88.42</v>
      </c>
      <c r="N264" s="72">
        <f t="shared" si="557"/>
        <v>0</v>
      </c>
      <c r="O264" s="72">
        <f t="shared" si="558"/>
        <v>0</v>
      </c>
      <c r="P264" s="72">
        <f t="shared" si="559"/>
        <v>0</v>
      </c>
      <c r="Q264" s="72">
        <f t="shared" si="560"/>
        <v>0</v>
      </c>
      <c r="R264" s="72">
        <f t="shared" si="561"/>
        <v>0</v>
      </c>
    </row>
    <row r="265" spans="1:18" x14ac:dyDescent="0.25">
      <c r="A265" s="26" t="s">
        <v>442</v>
      </c>
      <c r="B265" s="48" t="s">
        <v>483</v>
      </c>
      <c r="C265" s="15"/>
      <c r="D265" s="16"/>
      <c r="E265" s="15"/>
      <c r="F265" s="11"/>
      <c r="G265" s="11"/>
      <c r="H265" s="95"/>
      <c r="I265" s="95"/>
      <c r="J265" s="100"/>
      <c r="K265" s="22"/>
      <c r="L265" s="72">
        <f t="shared" ref="L265" si="564">SUM(H265:J265)+K265</f>
        <v>0</v>
      </c>
      <c r="M265" s="72">
        <f t="shared" si="556"/>
        <v>0</v>
      </c>
      <c r="N265" s="72">
        <f t="shared" si="557"/>
        <v>0</v>
      </c>
      <c r="O265" s="72">
        <f t="shared" si="558"/>
        <v>0</v>
      </c>
      <c r="P265" s="72">
        <f t="shared" si="559"/>
        <v>0</v>
      </c>
      <c r="Q265" s="72">
        <f t="shared" si="560"/>
        <v>0</v>
      </c>
      <c r="R265" s="72">
        <f t="shared" si="561"/>
        <v>0</v>
      </c>
    </row>
    <row r="266" spans="1:18" x14ac:dyDescent="0.25">
      <c r="A266" s="26"/>
      <c r="B266" s="25" t="s">
        <v>385</v>
      </c>
      <c r="C266" s="15">
        <v>16</v>
      </c>
      <c r="D266" s="16"/>
      <c r="E266" s="15">
        <v>2</v>
      </c>
      <c r="F266" s="11">
        <v>2</v>
      </c>
      <c r="G266" s="11">
        <v>2</v>
      </c>
      <c r="H266" s="95">
        <f>((0.79)/3)+0.1</f>
        <v>0.3633333333333334</v>
      </c>
      <c r="I266" s="95">
        <v>3.55</v>
      </c>
      <c r="J266" s="100">
        <v>0.57999999999999996</v>
      </c>
      <c r="K266" s="22"/>
      <c r="L266" s="72">
        <f>SUM(H266:J266)+K266</f>
        <v>4.4933333333333332</v>
      </c>
      <c r="M266" s="72">
        <f t="shared" si="556"/>
        <v>0</v>
      </c>
      <c r="N266" s="72">
        <f t="shared" si="557"/>
        <v>0</v>
      </c>
      <c r="O266" s="72">
        <f t="shared" si="558"/>
        <v>0</v>
      </c>
      <c r="P266" s="72">
        <f t="shared" si="559"/>
        <v>35.950000000000003</v>
      </c>
      <c r="Q266" s="72">
        <f t="shared" si="560"/>
        <v>0</v>
      </c>
      <c r="R266" s="72">
        <f t="shared" si="561"/>
        <v>0</v>
      </c>
    </row>
    <row r="267" spans="1:18" x14ac:dyDescent="0.25">
      <c r="A267" s="26"/>
      <c r="B267" s="25" t="s">
        <v>385</v>
      </c>
      <c r="C267" s="15">
        <v>16</v>
      </c>
      <c r="D267" s="16"/>
      <c r="E267" s="15">
        <v>2</v>
      </c>
      <c r="F267" s="11">
        <v>1</v>
      </c>
      <c r="G267" s="11">
        <v>2</v>
      </c>
      <c r="H267" s="95">
        <f>0.58+8*$C267/1000</f>
        <v>0.70799999999999996</v>
      </c>
      <c r="I267" s="95">
        <v>2.9550000000000001</v>
      </c>
      <c r="J267" s="95">
        <f>0.58+8*$C267/1000</f>
        <v>0.70799999999999996</v>
      </c>
      <c r="K267" s="22"/>
      <c r="L267" s="72">
        <f>SUM(H267:J267)+K267</f>
        <v>4.3710000000000004</v>
      </c>
      <c r="M267" s="72">
        <f t="shared" si="556"/>
        <v>0</v>
      </c>
      <c r="N267" s="72">
        <f t="shared" si="557"/>
        <v>0</v>
      </c>
      <c r="O267" s="72">
        <f t="shared" si="558"/>
        <v>0</v>
      </c>
      <c r="P267" s="72">
        <f t="shared" si="559"/>
        <v>17.48</v>
      </c>
      <c r="Q267" s="72">
        <f t="shared" si="560"/>
        <v>0</v>
      </c>
      <c r="R267" s="72">
        <f t="shared" si="561"/>
        <v>0</v>
      </c>
    </row>
    <row r="268" spans="1:18" x14ac:dyDescent="0.25">
      <c r="A268" s="26"/>
      <c r="B268" s="25" t="s">
        <v>432</v>
      </c>
      <c r="C268" s="15">
        <v>16</v>
      </c>
      <c r="D268" s="16"/>
      <c r="E268" s="15">
        <v>2</v>
      </c>
      <c r="F268" s="11">
        <v>1</v>
      </c>
      <c r="G268" s="11">
        <v>2</v>
      </c>
      <c r="H268" s="95">
        <f>((0.79)/3)+0.1</f>
        <v>0.3633333333333334</v>
      </c>
      <c r="I268" s="95">
        <v>7.21</v>
      </c>
      <c r="J268" s="95">
        <f>0.58+8*$C268/1000</f>
        <v>0.70799999999999996</v>
      </c>
      <c r="K268" s="22">
        <f>49*C268/1000</f>
        <v>0.78400000000000003</v>
      </c>
      <c r="L268" s="72">
        <f>SUM(H268:J268)+K268</f>
        <v>9.0653333333333332</v>
      </c>
      <c r="M268" s="72">
        <f t="shared" si="556"/>
        <v>0</v>
      </c>
      <c r="N268" s="72">
        <f t="shared" si="557"/>
        <v>0</v>
      </c>
      <c r="O268" s="72">
        <f t="shared" si="558"/>
        <v>0</v>
      </c>
      <c r="P268" s="72">
        <f t="shared" si="559"/>
        <v>36.26</v>
      </c>
      <c r="Q268" s="72">
        <f t="shared" si="560"/>
        <v>0</v>
      </c>
      <c r="R268" s="72">
        <f t="shared" si="561"/>
        <v>0</v>
      </c>
    </row>
    <row r="269" spans="1:18" x14ac:dyDescent="0.25">
      <c r="A269" s="26"/>
      <c r="B269" s="25" t="s">
        <v>447</v>
      </c>
      <c r="C269" s="15">
        <v>8</v>
      </c>
      <c r="D269" s="16">
        <v>100</v>
      </c>
      <c r="E269" s="15">
        <v>2</v>
      </c>
      <c r="F269" s="11">
        <v>2</v>
      </c>
      <c r="G269" s="11">
        <f>+ROUND(1.8/0.1,0)</f>
        <v>18</v>
      </c>
      <c r="H269" s="95"/>
      <c r="I269" s="95">
        <f>2*(0.15+0.3)+16*C269/1000</f>
        <v>1.028</v>
      </c>
      <c r="J269" s="100"/>
      <c r="K269" s="47"/>
      <c r="L269" s="72">
        <f t="shared" ref="L269" si="565">SUM(H269:J269)+K269</f>
        <v>1.028</v>
      </c>
      <c r="M269" s="72">
        <f t="shared" si="556"/>
        <v>74.02</v>
      </c>
      <c r="N269" s="72">
        <f t="shared" si="557"/>
        <v>0</v>
      </c>
      <c r="O269" s="72">
        <f t="shared" si="558"/>
        <v>0</v>
      </c>
      <c r="P269" s="72">
        <f t="shared" si="559"/>
        <v>0</v>
      </c>
      <c r="Q269" s="72">
        <f t="shared" si="560"/>
        <v>0</v>
      </c>
      <c r="R269" s="72">
        <f t="shared" si="561"/>
        <v>0</v>
      </c>
    </row>
    <row r="270" spans="1:18" x14ac:dyDescent="0.25">
      <c r="A270" s="26"/>
      <c r="B270" s="25"/>
      <c r="C270" s="15">
        <v>8</v>
      </c>
      <c r="D270" s="16">
        <v>150</v>
      </c>
      <c r="E270" s="15">
        <v>2</v>
      </c>
      <c r="F270" s="11">
        <v>2</v>
      </c>
      <c r="G270" s="11">
        <f>+ROUND(1.75/0.15+1,0)</f>
        <v>13</v>
      </c>
      <c r="H270" s="95"/>
      <c r="I270" s="95">
        <f>2*(0.15+0.3)+16*C270/1000</f>
        <v>1.028</v>
      </c>
      <c r="J270" s="100"/>
      <c r="K270" s="47"/>
      <c r="L270" s="72">
        <f t="shared" ref="L270" si="566">SUM(H270:J270)+K270</f>
        <v>1.028</v>
      </c>
      <c r="M270" s="72">
        <f t="shared" si="556"/>
        <v>53.46</v>
      </c>
      <c r="N270" s="72">
        <f t="shared" si="557"/>
        <v>0</v>
      </c>
      <c r="O270" s="72">
        <f t="shared" si="558"/>
        <v>0</v>
      </c>
      <c r="P270" s="72">
        <f t="shared" si="559"/>
        <v>0</v>
      </c>
      <c r="Q270" s="72">
        <f t="shared" si="560"/>
        <v>0</v>
      </c>
      <c r="R270" s="72">
        <f t="shared" si="561"/>
        <v>0</v>
      </c>
    </row>
    <row r="271" spans="1:18" x14ac:dyDescent="0.25">
      <c r="A271" s="26"/>
      <c r="B271" s="25" t="s">
        <v>453</v>
      </c>
      <c r="C271" s="15">
        <v>8</v>
      </c>
      <c r="D271" s="16">
        <v>100</v>
      </c>
      <c r="E271" s="15">
        <v>2</v>
      </c>
      <c r="F271" s="11">
        <v>1</v>
      </c>
      <c r="G271" s="11">
        <f>+ROUND(1.8/0.1,0)</f>
        <v>18</v>
      </c>
      <c r="H271" s="95"/>
      <c r="I271" s="95">
        <f>2*(0.15+0.4)+16*C271/1000</f>
        <v>1.2280000000000002</v>
      </c>
      <c r="J271" s="100"/>
      <c r="K271" s="47"/>
      <c r="L271" s="72">
        <f t="shared" ref="L271" si="567">SUM(H271:J271)+K271</f>
        <v>1.2280000000000002</v>
      </c>
      <c r="M271" s="72">
        <f t="shared" si="556"/>
        <v>44.21</v>
      </c>
      <c r="N271" s="72">
        <f t="shared" si="557"/>
        <v>0</v>
      </c>
      <c r="O271" s="72">
        <f t="shared" si="558"/>
        <v>0</v>
      </c>
      <c r="P271" s="72">
        <f t="shared" si="559"/>
        <v>0</v>
      </c>
      <c r="Q271" s="72">
        <f t="shared" si="560"/>
        <v>0</v>
      </c>
      <c r="R271" s="72">
        <f t="shared" si="561"/>
        <v>0</v>
      </c>
    </row>
    <row r="272" spans="1:18" x14ac:dyDescent="0.25">
      <c r="A272" s="26"/>
      <c r="B272" s="25"/>
      <c r="C272" s="15">
        <v>8</v>
      </c>
      <c r="D272" s="16">
        <v>150</v>
      </c>
      <c r="E272" s="15">
        <v>2</v>
      </c>
      <c r="F272" s="11">
        <v>1</v>
      </c>
      <c r="G272" s="11">
        <f>+ROUND(1.155/0.15+1,0)</f>
        <v>9</v>
      </c>
      <c r="H272" s="95"/>
      <c r="I272" s="95">
        <f>2*(0.15+0.4)+16*C272/1000</f>
        <v>1.2280000000000002</v>
      </c>
      <c r="J272" s="100"/>
      <c r="K272" s="47"/>
      <c r="L272" s="72">
        <f t="shared" ref="L272" si="568">SUM(H272:J272)+K272</f>
        <v>1.2280000000000002</v>
      </c>
      <c r="M272" s="72">
        <f t="shared" si="556"/>
        <v>22.1</v>
      </c>
      <c r="N272" s="72">
        <f t="shared" si="557"/>
        <v>0</v>
      </c>
      <c r="O272" s="72">
        <f t="shared" si="558"/>
        <v>0</v>
      </c>
      <c r="P272" s="72">
        <f t="shared" si="559"/>
        <v>0</v>
      </c>
      <c r="Q272" s="72">
        <f t="shared" si="560"/>
        <v>0</v>
      </c>
      <c r="R272" s="72">
        <f t="shared" si="561"/>
        <v>0</v>
      </c>
    </row>
    <row r="273" spans="1:18" x14ac:dyDescent="0.25">
      <c r="A273" s="26" t="s">
        <v>442</v>
      </c>
      <c r="B273" s="48" t="s">
        <v>484</v>
      </c>
      <c r="C273" s="15"/>
      <c r="D273" s="16"/>
      <c r="E273" s="15"/>
      <c r="F273" s="11"/>
      <c r="G273" s="11"/>
      <c r="H273" s="95"/>
      <c r="I273" s="95"/>
      <c r="J273" s="100"/>
      <c r="K273" s="22"/>
      <c r="L273" s="72">
        <f t="shared" ref="L273" si="569">SUM(H273:J273)+K273</f>
        <v>0</v>
      </c>
      <c r="M273" s="72">
        <f t="shared" ref="M273:M280" si="570">+ROUND(IF(C273=8,PRODUCT(E273,F273,G273,L273),0),2)</f>
        <v>0</v>
      </c>
      <c r="N273" s="72">
        <f t="shared" ref="N273:N280" si="571">+ROUND(IF(C273=10,PRODUCT(E273,F273,G273,L273),0),2)</f>
        <v>0</v>
      </c>
      <c r="O273" s="72">
        <f t="shared" ref="O273:O280" si="572">+ROUND(IF(C273=12,PRODUCT(E273,F273,G273,L273),0),2)</f>
        <v>0</v>
      </c>
      <c r="P273" s="72">
        <f t="shared" ref="P273:P280" si="573">+ROUND(IF(C273=16,PRODUCT(E273,F273,G273,L273),0),2)</f>
        <v>0</v>
      </c>
      <c r="Q273" s="72">
        <f t="shared" ref="Q273:Q280" si="574">+ROUND(IF(C273=20,PRODUCT(E273,F273,G273,L273),0),2)</f>
        <v>0</v>
      </c>
      <c r="R273" s="72">
        <f t="shared" ref="R273:R280" si="575">+ROUND(IF(C273=25,PRODUCT(E273,F273,G273,L273),0),2)</f>
        <v>0</v>
      </c>
    </row>
    <row r="274" spans="1:18" x14ac:dyDescent="0.25">
      <c r="A274" s="26"/>
      <c r="B274" s="25" t="s">
        <v>385</v>
      </c>
      <c r="C274" s="15">
        <v>16</v>
      </c>
      <c r="D274" s="16"/>
      <c r="E274" s="15">
        <v>2</v>
      </c>
      <c r="F274" s="11">
        <v>1</v>
      </c>
      <c r="G274" s="11">
        <v>4</v>
      </c>
      <c r="H274" s="95">
        <f>((0.79)/3)+0.1</f>
        <v>0.3633333333333334</v>
      </c>
      <c r="I274" s="95">
        <v>3</v>
      </c>
      <c r="J274" s="95">
        <f>0.58+8*$C274/1000</f>
        <v>0.70799999999999996</v>
      </c>
      <c r="K274" s="22"/>
      <c r="L274" s="72">
        <f>SUM(H274:J274)+K274</f>
        <v>4.0713333333333335</v>
      </c>
      <c r="M274" s="72">
        <f t="shared" si="570"/>
        <v>0</v>
      </c>
      <c r="N274" s="72">
        <f t="shared" si="571"/>
        <v>0</v>
      </c>
      <c r="O274" s="72">
        <f t="shared" si="572"/>
        <v>0</v>
      </c>
      <c r="P274" s="72">
        <f t="shared" si="573"/>
        <v>32.57</v>
      </c>
      <c r="Q274" s="72">
        <f t="shared" si="574"/>
        <v>0</v>
      </c>
      <c r="R274" s="72">
        <f t="shared" si="575"/>
        <v>0</v>
      </c>
    </row>
    <row r="275" spans="1:18" x14ac:dyDescent="0.25">
      <c r="A275" s="26"/>
      <c r="B275" s="25" t="s">
        <v>385</v>
      </c>
      <c r="C275" s="15">
        <v>16</v>
      </c>
      <c r="D275" s="16"/>
      <c r="E275" s="15">
        <v>2</v>
      </c>
      <c r="F275" s="11">
        <v>1</v>
      </c>
      <c r="G275" s="11">
        <v>2</v>
      </c>
      <c r="H275" s="95">
        <v>0.57999999999999996</v>
      </c>
      <c r="I275" s="95">
        <v>4.13</v>
      </c>
      <c r="J275" s="95">
        <v>0.57999999999999996</v>
      </c>
      <c r="K275" s="22"/>
      <c r="L275" s="72">
        <f>SUM(H275:J275)+K275</f>
        <v>5.29</v>
      </c>
      <c r="M275" s="72">
        <f t="shared" ref="M275" si="576">+ROUND(IF(C275=8,PRODUCT(E275,F275,G275,L275),0),2)</f>
        <v>0</v>
      </c>
      <c r="N275" s="72">
        <f t="shared" ref="N275" si="577">+ROUND(IF(C275=10,PRODUCT(E275,F275,G275,L275),0),2)</f>
        <v>0</v>
      </c>
      <c r="O275" s="72">
        <f t="shared" ref="O275" si="578">+ROUND(IF(C275=12,PRODUCT(E275,F275,G275,L275),0),2)</f>
        <v>0</v>
      </c>
      <c r="P275" s="72">
        <f t="shared" ref="P275" si="579">+ROUND(IF(C275=16,PRODUCT(E275,F275,G275,L275),0),2)</f>
        <v>21.16</v>
      </c>
      <c r="Q275" s="72">
        <f t="shared" ref="Q275" si="580">+ROUND(IF(C275=20,PRODUCT(E275,F275,G275,L275),0),2)</f>
        <v>0</v>
      </c>
      <c r="R275" s="72">
        <f t="shared" ref="R275" si="581">+ROUND(IF(C275=25,PRODUCT(E275,F275,G275,L275),0),2)</f>
        <v>0</v>
      </c>
    </row>
    <row r="276" spans="1:18" x14ac:dyDescent="0.25">
      <c r="A276" s="26"/>
      <c r="B276" s="25" t="s">
        <v>432</v>
      </c>
      <c r="C276" s="15">
        <v>16</v>
      </c>
      <c r="D276" s="16"/>
      <c r="E276" s="15">
        <v>2</v>
      </c>
      <c r="F276" s="11">
        <v>1</v>
      </c>
      <c r="G276" s="11">
        <v>2</v>
      </c>
      <c r="H276" s="95">
        <f>((0.79)/3)+0.1</f>
        <v>0.3633333333333334</v>
      </c>
      <c r="I276" s="95">
        <v>11.63</v>
      </c>
      <c r="J276" s="95">
        <f>((0.79)/3)+0.1</f>
        <v>0.3633333333333334</v>
      </c>
      <c r="K276" s="22"/>
      <c r="L276" s="72">
        <f>SUM(H276:J276)+K276</f>
        <v>12.356666666666667</v>
      </c>
      <c r="M276" s="72">
        <f t="shared" si="570"/>
        <v>0</v>
      </c>
      <c r="N276" s="72">
        <f t="shared" si="571"/>
        <v>0</v>
      </c>
      <c r="O276" s="72">
        <f t="shared" si="572"/>
        <v>0</v>
      </c>
      <c r="P276" s="72">
        <f t="shared" si="573"/>
        <v>49.43</v>
      </c>
      <c r="Q276" s="72">
        <f t="shared" si="574"/>
        <v>0</v>
      </c>
      <c r="R276" s="72">
        <f t="shared" si="575"/>
        <v>0</v>
      </c>
    </row>
    <row r="277" spans="1:18" x14ac:dyDescent="0.25">
      <c r="A277" s="26"/>
      <c r="B277" s="25" t="s">
        <v>450</v>
      </c>
      <c r="C277" s="15">
        <v>12</v>
      </c>
      <c r="D277" s="16"/>
      <c r="E277" s="15">
        <v>2</v>
      </c>
      <c r="F277" s="11">
        <v>1</v>
      </c>
      <c r="G277" s="11">
        <v>2</v>
      </c>
      <c r="H277" s="95"/>
      <c r="I277" s="95">
        <f>4.13-0.8</f>
        <v>3.33</v>
      </c>
      <c r="J277" s="95"/>
      <c r="K277" s="22"/>
      <c r="L277" s="72">
        <f>SUM(H277:J277)+K277</f>
        <v>3.33</v>
      </c>
      <c r="M277" s="72">
        <f t="shared" ref="M277" si="582">+ROUND(IF(C277=8,PRODUCT(E277,F277,G277,L277),0),2)</f>
        <v>0</v>
      </c>
      <c r="N277" s="72">
        <f t="shared" ref="N277" si="583">+ROUND(IF(C277=10,PRODUCT(E277,F277,G277,L277),0),2)</f>
        <v>0</v>
      </c>
      <c r="O277" s="72">
        <f t="shared" ref="O277" si="584">+ROUND(IF(C277=12,PRODUCT(E277,F277,G277,L277),0),2)</f>
        <v>13.32</v>
      </c>
      <c r="P277" s="72">
        <f t="shared" ref="P277" si="585">+ROUND(IF(C277=16,PRODUCT(E277,F277,G277,L277),0),2)</f>
        <v>0</v>
      </c>
      <c r="Q277" s="72">
        <f t="shared" ref="Q277" si="586">+ROUND(IF(C277=20,PRODUCT(E277,F277,G277,L277),0),2)</f>
        <v>0</v>
      </c>
      <c r="R277" s="72">
        <f t="shared" ref="R277" si="587">+ROUND(IF(C277=25,PRODUCT(E277,F277,G277,L277),0),2)</f>
        <v>0</v>
      </c>
    </row>
    <row r="278" spans="1:18" x14ac:dyDescent="0.25">
      <c r="A278" s="26"/>
      <c r="B278" s="25" t="s">
        <v>433</v>
      </c>
      <c r="C278" s="15">
        <v>12</v>
      </c>
      <c r="D278" s="16"/>
      <c r="E278" s="15">
        <v>2</v>
      </c>
      <c r="F278" s="11">
        <v>1</v>
      </c>
      <c r="G278" s="11">
        <v>4</v>
      </c>
      <c r="H278" s="95"/>
      <c r="I278" s="95">
        <f>0.9+0.75+1.2</f>
        <v>2.8499999999999996</v>
      </c>
      <c r="J278" s="95"/>
      <c r="K278" s="22"/>
      <c r="L278" s="72">
        <f>SUM(H278:J278)+K278</f>
        <v>2.8499999999999996</v>
      </c>
      <c r="M278" s="72">
        <f t="shared" ref="M278" si="588">+ROUND(IF(C278=8,PRODUCT(E278,F278,G278,L278),0),2)</f>
        <v>0</v>
      </c>
      <c r="N278" s="72">
        <f t="shared" ref="N278" si="589">+ROUND(IF(C278=10,PRODUCT(E278,F278,G278,L278),0),2)</f>
        <v>0</v>
      </c>
      <c r="O278" s="72">
        <f t="shared" ref="O278" si="590">+ROUND(IF(C278=12,PRODUCT(E278,F278,G278,L278),0),2)</f>
        <v>22.8</v>
      </c>
      <c r="P278" s="72">
        <f t="shared" ref="P278" si="591">+ROUND(IF(C278=16,PRODUCT(E278,F278,G278,L278),0),2)</f>
        <v>0</v>
      </c>
      <c r="Q278" s="72">
        <f t="shared" ref="Q278" si="592">+ROUND(IF(C278=20,PRODUCT(E278,F278,G278,L278),0),2)</f>
        <v>0</v>
      </c>
      <c r="R278" s="72">
        <f t="shared" ref="R278" si="593">+ROUND(IF(C278=25,PRODUCT(E278,F278,G278,L278),0),2)</f>
        <v>0</v>
      </c>
    </row>
    <row r="279" spans="1:18" x14ac:dyDescent="0.25">
      <c r="A279" s="26"/>
      <c r="B279" s="25" t="s">
        <v>453</v>
      </c>
      <c r="C279" s="15">
        <v>8</v>
      </c>
      <c r="D279" s="16">
        <v>100</v>
      </c>
      <c r="E279" s="15">
        <v>2</v>
      </c>
      <c r="F279" s="11">
        <v>2</v>
      </c>
      <c r="G279" s="11">
        <f>+ROUND(1.8/0.1,0)</f>
        <v>18</v>
      </c>
      <c r="H279" s="95"/>
      <c r="I279" s="95">
        <f>2*(0.15+0.4)+16*C279/1000</f>
        <v>1.2280000000000002</v>
      </c>
      <c r="J279" s="100"/>
      <c r="K279" s="47"/>
      <c r="L279" s="72">
        <f t="shared" ref="L279" si="594">SUM(H279:J279)+K279</f>
        <v>1.2280000000000002</v>
      </c>
      <c r="M279" s="72">
        <f t="shared" si="570"/>
        <v>88.42</v>
      </c>
      <c r="N279" s="72">
        <f t="shared" si="571"/>
        <v>0</v>
      </c>
      <c r="O279" s="72">
        <f t="shared" si="572"/>
        <v>0</v>
      </c>
      <c r="P279" s="72">
        <f t="shared" si="573"/>
        <v>0</v>
      </c>
      <c r="Q279" s="72">
        <f t="shared" si="574"/>
        <v>0</v>
      </c>
      <c r="R279" s="72">
        <f t="shared" si="575"/>
        <v>0</v>
      </c>
    </row>
    <row r="280" spans="1:18" x14ac:dyDescent="0.25">
      <c r="A280" s="26"/>
      <c r="B280" s="25"/>
      <c r="C280" s="15">
        <v>8</v>
      </c>
      <c r="D280" s="16">
        <v>150</v>
      </c>
      <c r="E280" s="15">
        <v>2</v>
      </c>
      <c r="F280" s="11">
        <v>2</v>
      </c>
      <c r="G280" s="11">
        <f>+ROUND(1.2/0.15+1,0)</f>
        <v>9</v>
      </c>
      <c r="H280" s="95"/>
      <c r="I280" s="95">
        <f>2*(0.15+0.4)+16*C280/1000</f>
        <v>1.2280000000000002</v>
      </c>
      <c r="J280" s="100"/>
      <c r="K280" s="47"/>
      <c r="L280" s="72">
        <f t="shared" ref="L280" si="595">SUM(H280:J280)+K280</f>
        <v>1.2280000000000002</v>
      </c>
      <c r="M280" s="72">
        <f t="shared" si="570"/>
        <v>44.21</v>
      </c>
      <c r="N280" s="72">
        <f t="shared" si="571"/>
        <v>0</v>
      </c>
      <c r="O280" s="72">
        <f t="shared" si="572"/>
        <v>0</v>
      </c>
      <c r="P280" s="72">
        <f t="shared" si="573"/>
        <v>0</v>
      </c>
      <c r="Q280" s="72">
        <f t="shared" si="574"/>
        <v>0</v>
      </c>
      <c r="R280" s="72">
        <f t="shared" si="575"/>
        <v>0</v>
      </c>
    </row>
    <row r="281" spans="1:18" x14ac:dyDescent="0.25">
      <c r="A281" s="26"/>
      <c r="B281" s="25" t="s">
        <v>447</v>
      </c>
      <c r="C281" s="15">
        <v>8</v>
      </c>
      <c r="D281" s="16">
        <v>100</v>
      </c>
      <c r="E281" s="15">
        <v>2</v>
      </c>
      <c r="F281" s="11">
        <v>1</v>
      </c>
      <c r="G281" s="11">
        <f>+ROUND(2.065/0.1,0)</f>
        <v>21</v>
      </c>
      <c r="H281" s="95"/>
      <c r="I281" s="95">
        <f>2*(0.15+0.3)+16*C281/1000</f>
        <v>1.028</v>
      </c>
      <c r="J281" s="100"/>
      <c r="K281" s="47"/>
      <c r="L281" s="72">
        <f t="shared" ref="L281" si="596">SUM(H281:J281)+K281</f>
        <v>1.028</v>
      </c>
      <c r="M281" s="72">
        <f t="shared" ref="M281:M282" si="597">+ROUND(IF(C281=8,PRODUCT(E281,F281,G281,L281),0),2)</f>
        <v>43.18</v>
      </c>
      <c r="N281" s="72">
        <f t="shared" ref="N281:N282" si="598">+ROUND(IF(C281=10,PRODUCT(E281,F281,G281,L281),0),2)</f>
        <v>0</v>
      </c>
      <c r="O281" s="72">
        <f t="shared" ref="O281:O282" si="599">+ROUND(IF(C281=12,PRODUCT(E281,F281,G281,L281),0),2)</f>
        <v>0</v>
      </c>
      <c r="P281" s="72">
        <f t="shared" ref="P281:P282" si="600">+ROUND(IF(C281=16,PRODUCT(E281,F281,G281,L281),0),2)</f>
        <v>0</v>
      </c>
      <c r="Q281" s="72">
        <f t="shared" ref="Q281:Q282" si="601">+ROUND(IF(C281=20,PRODUCT(E281,F281,G281,L281),0),2)</f>
        <v>0</v>
      </c>
      <c r="R281" s="72">
        <f t="shared" ref="R281:R282" si="602">+ROUND(IF(C281=25,PRODUCT(E281,F281,G281,L281),0),2)</f>
        <v>0</v>
      </c>
    </row>
    <row r="282" spans="1:18" x14ac:dyDescent="0.25">
      <c r="A282" s="26"/>
      <c r="B282" s="25"/>
      <c r="C282" s="15">
        <v>8</v>
      </c>
      <c r="D282" s="16">
        <v>150</v>
      </c>
      <c r="E282" s="15">
        <v>2</v>
      </c>
      <c r="F282" s="11">
        <v>1</v>
      </c>
      <c r="G282" s="11">
        <f>+ROUND(2.065/0.15+1,0)</f>
        <v>15</v>
      </c>
      <c r="H282" s="95"/>
      <c r="I282" s="95">
        <f>2*(0.15+0.3)+16*C282/1000</f>
        <v>1.028</v>
      </c>
      <c r="J282" s="100"/>
      <c r="K282" s="47"/>
      <c r="L282" s="72">
        <f t="shared" ref="L282" si="603">SUM(H282:J282)+K282</f>
        <v>1.028</v>
      </c>
      <c r="M282" s="72">
        <f t="shared" si="597"/>
        <v>30.84</v>
      </c>
      <c r="N282" s="72">
        <f t="shared" si="598"/>
        <v>0</v>
      </c>
      <c r="O282" s="72">
        <f t="shared" si="599"/>
        <v>0</v>
      </c>
      <c r="P282" s="72">
        <f t="shared" si="600"/>
        <v>0</v>
      </c>
      <c r="Q282" s="72">
        <f t="shared" si="601"/>
        <v>0</v>
      </c>
      <c r="R282" s="72">
        <f t="shared" si="602"/>
        <v>0</v>
      </c>
    </row>
    <row r="283" spans="1:18" x14ac:dyDescent="0.25">
      <c r="A283" s="26" t="s">
        <v>436</v>
      </c>
      <c r="B283" s="48" t="s">
        <v>485</v>
      </c>
      <c r="C283" s="15"/>
      <c r="D283" s="16"/>
      <c r="E283" s="15"/>
      <c r="F283" s="11"/>
      <c r="G283" s="11"/>
      <c r="H283" s="95"/>
      <c r="I283" s="95"/>
      <c r="J283" s="100"/>
      <c r="K283" s="22"/>
      <c r="L283" s="72">
        <f t="shared" ref="L283" si="604">SUM(H283:J283)+K283</f>
        <v>0</v>
      </c>
      <c r="M283" s="72">
        <f t="shared" ref="M283:M287" si="605">+ROUND(IF(C283=8,PRODUCT(E283,F283,G283,L283),0),2)</f>
        <v>0</v>
      </c>
      <c r="N283" s="72">
        <f t="shared" ref="N283:N287" si="606">+ROUND(IF(C283=10,PRODUCT(E283,F283,G283,L283),0),2)</f>
        <v>0</v>
      </c>
      <c r="O283" s="72">
        <f t="shared" ref="O283:O287" si="607">+ROUND(IF(C283=12,PRODUCT(E283,F283,G283,L283),0),2)</f>
        <v>0</v>
      </c>
      <c r="P283" s="72">
        <f t="shared" ref="P283:P287" si="608">+ROUND(IF(C283=16,PRODUCT(E283,F283,G283,L283),0),2)</f>
        <v>0</v>
      </c>
      <c r="Q283" s="72">
        <f t="shared" ref="Q283:Q287" si="609">+ROUND(IF(C283=20,PRODUCT(E283,F283,G283,L283),0),2)</f>
        <v>0</v>
      </c>
      <c r="R283" s="72">
        <f t="shared" ref="R283:R287" si="610">+ROUND(IF(C283=25,PRODUCT(E283,F283,G283,L283),0),2)</f>
        <v>0</v>
      </c>
    </row>
    <row r="284" spans="1:18" x14ac:dyDescent="0.25">
      <c r="A284" s="26"/>
      <c r="B284" s="25" t="s">
        <v>385</v>
      </c>
      <c r="C284" s="15">
        <v>16</v>
      </c>
      <c r="D284" s="16"/>
      <c r="E284" s="15">
        <v>6</v>
      </c>
      <c r="F284" s="11">
        <v>1</v>
      </c>
      <c r="G284" s="11">
        <v>2</v>
      </c>
      <c r="H284" s="95">
        <f>0.58+8*$C284/1000</f>
        <v>0.70799999999999996</v>
      </c>
      <c r="I284" s="95">
        <v>3.31</v>
      </c>
      <c r="J284" s="95">
        <f>0.58+8*$C284/1000</f>
        <v>0.70799999999999996</v>
      </c>
      <c r="K284" s="22"/>
      <c r="L284" s="72">
        <f>SUM(H284:J284)+K284</f>
        <v>4.726</v>
      </c>
      <c r="M284" s="72">
        <f t="shared" si="605"/>
        <v>0</v>
      </c>
      <c r="N284" s="72">
        <f t="shared" si="606"/>
        <v>0</v>
      </c>
      <c r="O284" s="72">
        <f t="shared" si="607"/>
        <v>0</v>
      </c>
      <c r="P284" s="72">
        <f t="shared" si="608"/>
        <v>56.71</v>
      </c>
      <c r="Q284" s="72">
        <f t="shared" si="609"/>
        <v>0</v>
      </c>
      <c r="R284" s="72">
        <f t="shared" si="610"/>
        <v>0</v>
      </c>
    </row>
    <row r="285" spans="1:18" x14ac:dyDescent="0.25">
      <c r="A285" s="26"/>
      <c r="B285" s="25" t="s">
        <v>432</v>
      </c>
      <c r="C285" s="15">
        <v>16</v>
      </c>
      <c r="D285" s="16"/>
      <c r="E285" s="15">
        <v>6</v>
      </c>
      <c r="F285" s="11">
        <v>1</v>
      </c>
      <c r="G285" s="11">
        <v>2</v>
      </c>
      <c r="H285" s="95">
        <f>0.58+8*$C285/1000</f>
        <v>0.70799999999999996</v>
      </c>
      <c r="I285" s="95">
        <v>3.31</v>
      </c>
      <c r="J285" s="95">
        <f>0.58+8*$C285/1000</f>
        <v>0.70799999999999996</v>
      </c>
      <c r="K285" s="22"/>
      <c r="L285" s="72">
        <f>SUM(H285:J285)+K285</f>
        <v>4.726</v>
      </c>
      <c r="M285" s="72">
        <f t="shared" si="605"/>
        <v>0</v>
      </c>
      <c r="N285" s="72">
        <f t="shared" si="606"/>
        <v>0</v>
      </c>
      <c r="O285" s="72">
        <f t="shared" si="607"/>
        <v>0</v>
      </c>
      <c r="P285" s="72">
        <f t="shared" si="608"/>
        <v>56.71</v>
      </c>
      <c r="Q285" s="72">
        <f t="shared" si="609"/>
        <v>0</v>
      </c>
      <c r="R285" s="72">
        <f t="shared" si="610"/>
        <v>0</v>
      </c>
    </row>
    <row r="286" spans="1:18" x14ac:dyDescent="0.25">
      <c r="A286" s="26"/>
      <c r="B286" s="25" t="s">
        <v>448</v>
      </c>
      <c r="C286" s="15">
        <v>8</v>
      </c>
      <c r="D286" s="16">
        <v>100</v>
      </c>
      <c r="E286" s="15">
        <v>6</v>
      </c>
      <c r="F286" s="11">
        <v>1</v>
      </c>
      <c r="G286" s="11">
        <f>+ROUND(1.8/0.1+2,0)</f>
        <v>20</v>
      </c>
      <c r="H286" s="95"/>
      <c r="I286" s="95">
        <f>2*(0.15+0.45)+16*C286/1000</f>
        <v>1.3279999999999998</v>
      </c>
      <c r="J286" s="100"/>
      <c r="K286" s="47"/>
      <c r="L286" s="72">
        <f t="shared" ref="L286" si="611">SUM(H286:J286)+K286</f>
        <v>1.3279999999999998</v>
      </c>
      <c r="M286" s="72">
        <f t="shared" si="605"/>
        <v>159.36000000000001</v>
      </c>
      <c r="N286" s="72">
        <f t="shared" si="606"/>
        <v>0</v>
      </c>
      <c r="O286" s="72">
        <f t="shared" si="607"/>
        <v>0</v>
      </c>
      <c r="P286" s="72">
        <f t="shared" si="608"/>
        <v>0</v>
      </c>
      <c r="Q286" s="72">
        <f t="shared" si="609"/>
        <v>0</v>
      </c>
      <c r="R286" s="72">
        <f t="shared" si="610"/>
        <v>0</v>
      </c>
    </row>
    <row r="287" spans="1:18" x14ac:dyDescent="0.25">
      <c r="A287" s="26"/>
      <c r="B287" s="25"/>
      <c r="C287" s="15">
        <v>8</v>
      </c>
      <c r="D287" s="16">
        <v>150</v>
      </c>
      <c r="E287" s="15">
        <v>6</v>
      </c>
      <c r="F287" s="11">
        <v>1</v>
      </c>
      <c r="G287" s="11">
        <f>+ROUND(1.51/0.15+1,0)</f>
        <v>11</v>
      </c>
      <c r="H287" s="95"/>
      <c r="I287" s="95">
        <f>2*(0.15+0.45)+16*C287/1000</f>
        <v>1.3279999999999998</v>
      </c>
      <c r="J287" s="100"/>
      <c r="K287" s="47"/>
      <c r="L287" s="72">
        <f t="shared" ref="L287" si="612">SUM(H287:J287)+K287</f>
        <v>1.3279999999999998</v>
      </c>
      <c r="M287" s="72">
        <f t="shared" si="605"/>
        <v>87.65</v>
      </c>
      <c r="N287" s="72">
        <f t="shared" si="606"/>
        <v>0</v>
      </c>
      <c r="O287" s="72">
        <f t="shared" si="607"/>
        <v>0</v>
      </c>
      <c r="P287" s="72">
        <f t="shared" si="608"/>
        <v>0</v>
      </c>
      <c r="Q287" s="72">
        <f t="shared" si="609"/>
        <v>0</v>
      </c>
      <c r="R287" s="72">
        <f t="shared" si="610"/>
        <v>0</v>
      </c>
    </row>
    <row r="288" spans="1:18" x14ac:dyDescent="0.25">
      <c r="A288" s="26"/>
      <c r="B288" s="25"/>
      <c r="C288" s="15"/>
      <c r="D288" s="16"/>
      <c r="E288" s="15"/>
      <c r="F288" s="11"/>
      <c r="G288" s="11"/>
      <c r="H288" s="95"/>
      <c r="I288" s="95"/>
      <c r="J288" s="100"/>
      <c r="K288" s="47"/>
      <c r="L288" s="72"/>
      <c r="M288" s="72"/>
      <c r="N288" s="72"/>
      <c r="O288" s="72"/>
      <c r="P288" s="72"/>
      <c r="Q288" s="72"/>
      <c r="R288" s="72"/>
    </row>
    <row r="289" spans="1:18" x14ac:dyDescent="0.25">
      <c r="A289" s="26" t="s">
        <v>442</v>
      </c>
      <c r="B289" s="48" t="s">
        <v>486</v>
      </c>
      <c r="C289" s="15"/>
      <c r="D289" s="16"/>
      <c r="E289" s="15"/>
      <c r="F289" s="11"/>
      <c r="G289" s="11"/>
      <c r="H289" s="95"/>
      <c r="I289" s="95"/>
      <c r="J289" s="100"/>
      <c r="K289" s="22"/>
      <c r="L289" s="72">
        <f t="shared" ref="L289" si="613">SUM(H289:J289)+K289</f>
        <v>0</v>
      </c>
      <c r="M289" s="72">
        <f t="shared" ref="M289:M292" si="614">+ROUND(IF(C289=8,PRODUCT(E289,F289,G289,L289),0),2)</f>
        <v>0</v>
      </c>
      <c r="N289" s="72">
        <f t="shared" ref="N289:N292" si="615">+ROUND(IF(C289=10,PRODUCT(E289,F289,G289,L289),0),2)</f>
        <v>0</v>
      </c>
      <c r="O289" s="72">
        <f t="shared" ref="O289:O292" si="616">+ROUND(IF(C289=12,PRODUCT(E289,F289,G289,L289),0),2)</f>
        <v>0</v>
      </c>
      <c r="P289" s="72">
        <f t="shared" ref="P289:P292" si="617">+ROUND(IF(C289=16,PRODUCT(E289,F289,G289,L289),0),2)</f>
        <v>0</v>
      </c>
      <c r="Q289" s="72">
        <f t="shared" ref="Q289:Q292" si="618">+ROUND(IF(C289=20,PRODUCT(E289,F289,G289,L289),0),2)</f>
        <v>0</v>
      </c>
      <c r="R289" s="72">
        <f t="shared" ref="R289:R292" si="619">+ROUND(IF(C289=25,PRODUCT(E289,F289,G289,L289),0),2)</f>
        <v>0</v>
      </c>
    </row>
    <row r="290" spans="1:18" x14ac:dyDescent="0.25">
      <c r="A290" s="26"/>
      <c r="B290" s="25" t="s">
        <v>385</v>
      </c>
      <c r="C290" s="15">
        <v>16</v>
      </c>
      <c r="D290" s="16"/>
      <c r="E290" s="15">
        <v>2</v>
      </c>
      <c r="F290" s="11">
        <v>1</v>
      </c>
      <c r="G290" s="11">
        <v>2</v>
      </c>
      <c r="H290" s="95">
        <f>((0.79)/3)+0.1</f>
        <v>0.3633333333333334</v>
      </c>
      <c r="I290" s="95">
        <v>4.79</v>
      </c>
      <c r="J290" s="95">
        <f>((0.79)/3)+0.1</f>
        <v>0.3633333333333334</v>
      </c>
      <c r="K290" s="22"/>
      <c r="L290" s="72">
        <f>SUM(H290:J290)+K290</f>
        <v>5.5166666666666666</v>
      </c>
      <c r="M290" s="72">
        <f t="shared" si="614"/>
        <v>0</v>
      </c>
      <c r="N290" s="72">
        <f t="shared" si="615"/>
        <v>0</v>
      </c>
      <c r="O290" s="72">
        <f t="shared" si="616"/>
        <v>0</v>
      </c>
      <c r="P290" s="72">
        <f t="shared" si="617"/>
        <v>22.07</v>
      </c>
      <c r="Q290" s="72">
        <f t="shared" si="618"/>
        <v>0</v>
      </c>
      <c r="R290" s="72">
        <f t="shared" si="619"/>
        <v>0</v>
      </c>
    </row>
    <row r="291" spans="1:18" x14ac:dyDescent="0.25">
      <c r="A291" s="26"/>
      <c r="B291" s="25" t="s">
        <v>432</v>
      </c>
      <c r="C291" s="15">
        <v>16</v>
      </c>
      <c r="D291" s="16"/>
      <c r="E291" s="15">
        <v>2</v>
      </c>
      <c r="F291" s="11">
        <v>1</v>
      </c>
      <c r="G291" s="11">
        <v>2</v>
      </c>
      <c r="H291" s="95">
        <f>((0.79)/3)+0.1</f>
        <v>0.3633333333333334</v>
      </c>
      <c r="I291" s="95">
        <v>4.79</v>
      </c>
      <c r="J291" s="95">
        <f>((0.79)/3)+0.1</f>
        <v>0.3633333333333334</v>
      </c>
      <c r="K291" s="22"/>
      <c r="L291" s="72">
        <f>SUM(H291:J291)+K291</f>
        <v>5.5166666666666666</v>
      </c>
      <c r="M291" s="72">
        <f t="shared" si="614"/>
        <v>0</v>
      </c>
      <c r="N291" s="72">
        <f t="shared" si="615"/>
        <v>0</v>
      </c>
      <c r="O291" s="72">
        <f t="shared" si="616"/>
        <v>0</v>
      </c>
      <c r="P291" s="72">
        <f t="shared" si="617"/>
        <v>22.07</v>
      </c>
      <c r="Q291" s="72">
        <f t="shared" si="618"/>
        <v>0</v>
      </c>
      <c r="R291" s="72">
        <f t="shared" si="619"/>
        <v>0</v>
      </c>
    </row>
    <row r="292" spans="1:18" x14ac:dyDescent="0.25">
      <c r="A292" s="26"/>
      <c r="B292" s="25" t="s">
        <v>453</v>
      </c>
      <c r="C292" s="15">
        <v>8</v>
      </c>
      <c r="D292" s="16">
        <v>100</v>
      </c>
      <c r="E292" s="15">
        <v>2</v>
      </c>
      <c r="F292" s="11">
        <v>2</v>
      </c>
      <c r="G292" s="11">
        <f>+ROUND(2.195/0.1+1,0)</f>
        <v>23</v>
      </c>
      <c r="H292" s="95"/>
      <c r="I292" s="95">
        <f>2*(0.15+0.4)+16*C292/1000</f>
        <v>1.2280000000000002</v>
      </c>
      <c r="J292" s="100"/>
      <c r="K292" s="47"/>
      <c r="L292" s="72">
        <f t="shared" ref="L292" si="620">SUM(H292:J292)+K292</f>
        <v>1.2280000000000002</v>
      </c>
      <c r="M292" s="72">
        <f t="shared" si="614"/>
        <v>112.98</v>
      </c>
      <c r="N292" s="72">
        <f t="shared" si="615"/>
        <v>0</v>
      </c>
      <c r="O292" s="72">
        <f t="shared" si="616"/>
        <v>0</v>
      </c>
      <c r="P292" s="72">
        <f t="shared" si="617"/>
        <v>0</v>
      </c>
      <c r="Q292" s="72">
        <f t="shared" si="618"/>
        <v>0</v>
      </c>
      <c r="R292" s="72">
        <f t="shared" si="619"/>
        <v>0</v>
      </c>
    </row>
    <row r="293" spans="1:18" x14ac:dyDescent="0.25">
      <c r="A293" s="26"/>
      <c r="B293" s="25"/>
      <c r="C293" s="15"/>
      <c r="D293" s="16"/>
      <c r="E293" s="15"/>
      <c r="F293" s="11"/>
      <c r="G293" s="11"/>
      <c r="H293" s="95"/>
      <c r="I293" s="95"/>
      <c r="J293" s="100"/>
      <c r="K293" s="47"/>
      <c r="L293" s="72">
        <f>SUM(H293:J293)+K293</f>
        <v>0</v>
      </c>
      <c r="M293" s="72">
        <f t="shared" ref="M293" si="621">+ROUND(IF(C293=8,PRODUCT(E293,F293,G293,L293),0),2)</f>
        <v>0</v>
      </c>
      <c r="N293" s="72">
        <f t="shared" ref="N293" si="622">+ROUND(IF(C293=10,PRODUCT(E293,F293,G293,L293),0),2)</f>
        <v>0</v>
      </c>
      <c r="O293" s="72">
        <f t="shared" ref="O293" si="623">+ROUND(IF(C293=12,PRODUCT(E293,F293,G293,L293),0),2)</f>
        <v>0</v>
      </c>
      <c r="P293" s="72">
        <f t="shared" ref="P293" si="624">+ROUND(IF(C293=16,PRODUCT(E293,F293,G293,L293),0),2)</f>
        <v>0</v>
      </c>
      <c r="Q293" s="72">
        <f t="shared" ref="Q293" si="625">+ROUND(IF(C293=20,PRODUCT(E293,F293,G293,L293),0),2)</f>
        <v>0</v>
      </c>
      <c r="R293" s="72">
        <f t="shared" ref="R293" si="626">+ROUND(IF(C293=25,PRODUCT(E293,F293,G293,L293),0),2)</f>
        <v>0</v>
      </c>
    </row>
    <row r="294" spans="1:18" x14ac:dyDescent="0.25">
      <c r="A294" s="26" t="s">
        <v>442</v>
      </c>
      <c r="B294" s="48" t="s">
        <v>487</v>
      </c>
      <c r="C294" s="15"/>
      <c r="D294" s="16"/>
      <c r="E294" s="15"/>
      <c r="F294" s="11"/>
      <c r="G294" s="11"/>
      <c r="H294" s="95"/>
      <c r="I294" s="95"/>
      <c r="J294" s="100"/>
      <c r="K294" s="22"/>
      <c r="L294" s="72">
        <f t="shared" ref="L294" si="627">SUM(H294:J294)+K294</f>
        <v>0</v>
      </c>
      <c r="M294" s="72">
        <f t="shared" ref="M294:M300" si="628">+ROUND(IF(C294=8,PRODUCT(E294,F294,G294,L294),0),2)</f>
        <v>0</v>
      </c>
      <c r="N294" s="72">
        <f t="shared" ref="N294:N300" si="629">+ROUND(IF(C294=10,PRODUCT(E294,F294,G294,L294),0),2)</f>
        <v>0</v>
      </c>
      <c r="O294" s="72">
        <f t="shared" ref="O294:O300" si="630">+ROUND(IF(C294=12,PRODUCT(E294,F294,G294,L294),0),2)</f>
        <v>0</v>
      </c>
      <c r="P294" s="72">
        <f t="shared" ref="P294:P300" si="631">+ROUND(IF(C294=16,PRODUCT(E294,F294,G294,L294),0),2)</f>
        <v>0</v>
      </c>
      <c r="Q294" s="72">
        <f t="shared" ref="Q294:Q300" si="632">+ROUND(IF(C294=20,PRODUCT(E294,F294,G294,L294),0),2)</f>
        <v>0</v>
      </c>
      <c r="R294" s="72">
        <f t="shared" ref="R294:R300" si="633">+ROUND(IF(C294=25,PRODUCT(E294,F294,G294,L294),0),2)</f>
        <v>0</v>
      </c>
    </row>
    <row r="295" spans="1:18" x14ac:dyDescent="0.25">
      <c r="A295" s="26"/>
      <c r="B295" s="25" t="s">
        <v>385</v>
      </c>
      <c r="C295" s="15">
        <v>16</v>
      </c>
      <c r="D295" s="16"/>
      <c r="E295" s="15">
        <v>2</v>
      </c>
      <c r="F295" s="11">
        <v>1</v>
      </c>
      <c r="G295" s="11">
        <v>2</v>
      </c>
      <c r="H295" s="95">
        <f>((0.79)/3)+0.1</f>
        <v>0.3633333333333334</v>
      </c>
      <c r="I295" s="95">
        <v>7.7949999999999999</v>
      </c>
      <c r="J295" s="95">
        <f>0.58+8*$C295/1000</f>
        <v>0.70799999999999996</v>
      </c>
      <c r="K295" s="22"/>
      <c r="L295" s="72">
        <f>SUM(H295:J295)+K295</f>
        <v>8.8663333333333334</v>
      </c>
      <c r="M295" s="72">
        <f t="shared" si="628"/>
        <v>0</v>
      </c>
      <c r="N295" s="72">
        <f t="shared" si="629"/>
        <v>0</v>
      </c>
      <c r="O295" s="72">
        <f t="shared" si="630"/>
        <v>0</v>
      </c>
      <c r="P295" s="72">
        <f t="shared" si="631"/>
        <v>35.47</v>
      </c>
      <c r="Q295" s="72">
        <f t="shared" si="632"/>
        <v>0</v>
      </c>
      <c r="R295" s="72">
        <f t="shared" si="633"/>
        <v>0</v>
      </c>
    </row>
    <row r="296" spans="1:18" x14ac:dyDescent="0.25">
      <c r="A296" s="26"/>
      <c r="B296" s="25" t="s">
        <v>432</v>
      </c>
      <c r="C296" s="15">
        <v>16</v>
      </c>
      <c r="D296" s="16"/>
      <c r="E296" s="15">
        <v>2</v>
      </c>
      <c r="F296" s="11">
        <v>1</v>
      </c>
      <c r="G296" s="11">
        <v>2</v>
      </c>
      <c r="H296" s="95">
        <f>((0.79)/3)+0.1</f>
        <v>0.3633333333333334</v>
      </c>
      <c r="I296" s="95">
        <v>7.7949999999999999</v>
      </c>
      <c r="J296" s="95">
        <f>0.58+8*$C296/1000</f>
        <v>0.70799999999999996</v>
      </c>
      <c r="K296" s="22"/>
      <c r="L296" s="72">
        <f>SUM(H296:J296)+K296</f>
        <v>8.8663333333333334</v>
      </c>
      <c r="M296" s="72">
        <f t="shared" si="628"/>
        <v>0</v>
      </c>
      <c r="N296" s="72">
        <f t="shared" si="629"/>
        <v>0</v>
      </c>
      <c r="O296" s="72">
        <f t="shared" si="630"/>
        <v>0</v>
      </c>
      <c r="P296" s="72">
        <f t="shared" si="631"/>
        <v>35.47</v>
      </c>
      <c r="Q296" s="72">
        <f t="shared" si="632"/>
        <v>0</v>
      </c>
      <c r="R296" s="72">
        <f t="shared" si="633"/>
        <v>0</v>
      </c>
    </row>
    <row r="297" spans="1:18" x14ac:dyDescent="0.25">
      <c r="A297" s="26"/>
      <c r="B297" s="25" t="s">
        <v>450</v>
      </c>
      <c r="C297" s="15">
        <v>12</v>
      </c>
      <c r="D297" s="16"/>
      <c r="E297" s="15">
        <v>2</v>
      </c>
      <c r="F297" s="11">
        <v>1</v>
      </c>
      <c r="G297" s="11">
        <v>2</v>
      </c>
      <c r="H297" s="95"/>
      <c r="I297" s="95">
        <f>5.245-0.75-0.5</f>
        <v>3.9950000000000001</v>
      </c>
      <c r="J297" s="100"/>
      <c r="K297" s="22"/>
      <c r="L297" s="72">
        <f t="shared" ref="L297" si="634">SUM(H297:J297)+K297</f>
        <v>3.9950000000000001</v>
      </c>
      <c r="M297" s="72">
        <f t="shared" si="628"/>
        <v>0</v>
      </c>
      <c r="N297" s="72">
        <f t="shared" si="629"/>
        <v>0</v>
      </c>
      <c r="O297" s="72">
        <f t="shared" si="630"/>
        <v>15.98</v>
      </c>
      <c r="P297" s="72">
        <f t="shared" si="631"/>
        <v>0</v>
      </c>
      <c r="Q297" s="72">
        <f t="shared" si="632"/>
        <v>0</v>
      </c>
      <c r="R297" s="72">
        <f t="shared" si="633"/>
        <v>0</v>
      </c>
    </row>
    <row r="298" spans="1:18" x14ac:dyDescent="0.25">
      <c r="A298" s="26"/>
      <c r="B298" s="25" t="s">
        <v>433</v>
      </c>
      <c r="C298" s="15">
        <v>12</v>
      </c>
      <c r="D298" s="16"/>
      <c r="E298" s="15">
        <v>2</v>
      </c>
      <c r="F298" s="11">
        <v>2</v>
      </c>
      <c r="G298" s="11">
        <v>2</v>
      </c>
      <c r="H298" s="95"/>
      <c r="I298" s="95">
        <f>1+0.75+1.5</f>
        <v>3.25</v>
      </c>
      <c r="J298" s="100"/>
      <c r="K298" s="22"/>
      <c r="L298" s="72">
        <f>SUM(H298:J298)+K298</f>
        <v>3.25</v>
      </c>
      <c r="M298" s="72">
        <f t="shared" si="628"/>
        <v>0</v>
      </c>
      <c r="N298" s="72">
        <f t="shared" si="629"/>
        <v>0</v>
      </c>
      <c r="O298" s="72">
        <f t="shared" si="630"/>
        <v>26</v>
      </c>
      <c r="P298" s="72">
        <f t="shared" si="631"/>
        <v>0</v>
      </c>
      <c r="Q298" s="72">
        <f t="shared" si="632"/>
        <v>0</v>
      </c>
      <c r="R298" s="72">
        <f t="shared" si="633"/>
        <v>0</v>
      </c>
    </row>
    <row r="299" spans="1:18" x14ac:dyDescent="0.25">
      <c r="A299" s="26"/>
      <c r="B299" s="25" t="s">
        <v>433</v>
      </c>
      <c r="C299" s="15">
        <v>12</v>
      </c>
      <c r="D299" s="16"/>
      <c r="E299" s="15">
        <v>2</v>
      </c>
      <c r="F299" s="11">
        <v>2</v>
      </c>
      <c r="G299" s="11">
        <v>2</v>
      </c>
      <c r="H299" s="95"/>
      <c r="I299" s="95">
        <v>1.5</v>
      </c>
      <c r="J299" s="95">
        <f>0.44+8*$C299/1000</f>
        <v>0.53600000000000003</v>
      </c>
      <c r="K299" s="22"/>
      <c r="L299" s="72">
        <f>SUM(H299:J299)+K299</f>
        <v>2.036</v>
      </c>
      <c r="M299" s="72">
        <f t="shared" ref="M299" si="635">+ROUND(IF(C299=8,PRODUCT(E299,F299,G299,L299),0),2)</f>
        <v>0</v>
      </c>
      <c r="N299" s="72">
        <f t="shared" ref="N299" si="636">+ROUND(IF(C299=10,PRODUCT(E299,F299,G299,L299),0),2)</f>
        <v>0</v>
      </c>
      <c r="O299" s="72">
        <f t="shared" ref="O299" si="637">+ROUND(IF(C299=12,PRODUCT(E299,F299,G299,L299),0),2)</f>
        <v>16.29</v>
      </c>
      <c r="P299" s="72">
        <f t="shared" ref="P299" si="638">+ROUND(IF(C299=16,PRODUCT(E299,F299,G299,L299),0),2)</f>
        <v>0</v>
      </c>
      <c r="Q299" s="72">
        <f t="shared" ref="Q299" si="639">+ROUND(IF(C299=20,PRODUCT(E299,F299,G299,L299),0),2)</f>
        <v>0</v>
      </c>
      <c r="R299" s="72">
        <f t="shared" ref="R299" si="640">+ROUND(IF(C299=25,PRODUCT(E299,F299,G299,L299),0),2)</f>
        <v>0</v>
      </c>
    </row>
    <row r="300" spans="1:18" x14ac:dyDescent="0.25">
      <c r="A300" s="26"/>
      <c r="B300" s="25" t="s">
        <v>453</v>
      </c>
      <c r="C300" s="15">
        <v>8</v>
      </c>
      <c r="D300" s="16">
        <v>100</v>
      </c>
      <c r="E300" s="15">
        <v>2</v>
      </c>
      <c r="F300" s="11">
        <v>1</v>
      </c>
      <c r="G300" s="11">
        <f>+ROUND(2/0.1+1,0)</f>
        <v>21</v>
      </c>
      <c r="H300" s="95"/>
      <c r="I300" s="95">
        <f t="shared" ref="I300:I302" si="641">2*(0.14+0.44)+24*C300/1000</f>
        <v>1.3520000000000001</v>
      </c>
      <c r="J300" s="100"/>
      <c r="K300" s="47"/>
      <c r="L300" s="72">
        <f t="shared" ref="L300" si="642">SUM(H300:J300)+K300</f>
        <v>1.3520000000000001</v>
      </c>
      <c r="M300" s="72">
        <f t="shared" si="628"/>
        <v>56.78</v>
      </c>
      <c r="N300" s="72">
        <f t="shared" si="629"/>
        <v>0</v>
      </c>
      <c r="O300" s="72">
        <f t="shared" si="630"/>
        <v>0</v>
      </c>
      <c r="P300" s="72">
        <f t="shared" si="631"/>
        <v>0</v>
      </c>
      <c r="Q300" s="72">
        <f t="shared" si="632"/>
        <v>0</v>
      </c>
      <c r="R300" s="72">
        <f t="shared" si="633"/>
        <v>0</v>
      </c>
    </row>
    <row r="301" spans="1:18" x14ac:dyDescent="0.25">
      <c r="A301" s="26"/>
      <c r="B301" s="25"/>
      <c r="C301" s="15">
        <v>8</v>
      </c>
      <c r="D301" s="16">
        <v>100</v>
      </c>
      <c r="E301" s="15">
        <v>2</v>
      </c>
      <c r="F301" s="11">
        <v>1</v>
      </c>
      <c r="G301" s="11">
        <f>+ROUND(2.572/0.1,0)</f>
        <v>26</v>
      </c>
      <c r="H301" s="95"/>
      <c r="I301" s="95">
        <f t="shared" ref="I301" si="643">2*(0.14+0.44)+24*C301/1000</f>
        <v>1.3520000000000001</v>
      </c>
      <c r="J301" s="100"/>
      <c r="K301" s="47"/>
      <c r="L301" s="72">
        <f t="shared" ref="L301" si="644">SUM(H301:J301)+K301</f>
        <v>1.3520000000000001</v>
      </c>
      <c r="M301" s="72">
        <f t="shared" ref="M301" si="645">+ROUND(IF(C301=8,PRODUCT(E301,F301,G301,L301),0),2)</f>
        <v>70.3</v>
      </c>
      <c r="N301" s="72">
        <f t="shared" ref="N301" si="646">+ROUND(IF(C301=10,PRODUCT(E301,F301,G301,L301),0),2)</f>
        <v>0</v>
      </c>
      <c r="O301" s="72">
        <f t="shared" ref="O301" si="647">+ROUND(IF(C301=12,PRODUCT(E301,F301,G301,L301),0),2)</f>
        <v>0</v>
      </c>
      <c r="P301" s="72">
        <f t="shared" ref="P301" si="648">+ROUND(IF(C301=16,PRODUCT(E301,F301,G301,L301),0),2)</f>
        <v>0</v>
      </c>
      <c r="Q301" s="72">
        <f t="shared" ref="Q301" si="649">+ROUND(IF(C301=20,PRODUCT(E301,F301,G301,L301),0),2)</f>
        <v>0</v>
      </c>
      <c r="R301" s="72">
        <f t="shared" ref="R301" si="650">+ROUND(IF(C301=25,PRODUCT(E301,F301,G301,L301),0),2)</f>
        <v>0</v>
      </c>
    </row>
    <row r="302" spans="1:18" x14ac:dyDescent="0.25">
      <c r="A302" s="26"/>
      <c r="B302" s="25"/>
      <c r="C302" s="15">
        <v>8</v>
      </c>
      <c r="D302" s="16">
        <v>150</v>
      </c>
      <c r="E302" s="15">
        <v>2</v>
      </c>
      <c r="F302" s="11">
        <v>1</v>
      </c>
      <c r="G302" s="11">
        <f>+ROUND(2.572/0.15+1,0)</f>
        <v>18</v>
      </c>
      <c r="H302" s="95"/>
      <c r="I302" s="95">
        <f t="shared" si="641"/>
        <v>1.3520000000000001</v>
      </c>
      <c r="J302" s="100"/>
      <c r="K302" s="22"/>
      <c r="L302" s="72">
        <f t="shared" ref="L302" si="651">SUM(H302:J302)+K302</f>
        <v>1.3520000000000001</v>
      </c>
      <c r="M302" s="72">
        <f t="shared" si="0"/>
        <v>48.67</v>
      </c>
      <c r="N302" s="72">
        <f t="shared" si="1"/>
        <v>0</v>
      </c>
      <c r="O302" s="72">
        <f t="shared" si="2"/>
        <v>0</v>
      </c>
      <c r="P302" s="72">
        <f t="shared" si="3"/>
        <v>0</v>
      </c>
      <c r="Q302" s="72">
        <f t="shared" si="4"/>
        <v>0</v>
      </c>
      <c r="R302" s="72">
        <f t="shared" si="5"/>
        <v>0</v>
      </c>
    </row>
    <row r="303" spans="1:18" x14ac:dyDescent="0.25">
      <c r="A303" s="26" t="s">
        <v>442</v>
      </c>
      <c r="B303" s="48" t="s">
        <v>488</v>
      </c>
      <c r="C303" s="15"/>
      <c r="D303" s="16"/>
      <c r="E303" s="15"/>
      <c r="F303" s="11"/>
      <c r="G303" s="11"/>
      <c r="H303" s="95"/>
      <c r="I303" s="95"/>
      <c r="J303" s="100"/>
      <c r="K303" s="22"/>
      <c r="L303" s="72">
        <f t="shared" ref="L303" si="652">SUM(H303:J303)+K303</f>
        <v>0</v>
      </c>
      <c r="M303" s="72">
        <f t="shared" si="0"/>
        <v>0</v>
      </c>
      <c r="N303" s="72">
        <f t="shared" si="1"/>
        <v>0</v>
      </c>
      <c r="O303" s="72">
        <f t="shared" si="2"/>
        <v>0</v>
      </c>
      <c r="P303" s="72">
        <f t="shared" si="3"/>
        <v>0</v>
      </c>
      <c r="Q303" s="72">
        <f t="shared" si="4"/>
        <v>0</v>
      </c>
      <c r="R303" s="72">
        <f t="shared" si="5"/>
        <v>0</v>
      </c>
    </row>
    <row r="304" spans="1:18" x14ac:dyDescent="0.25">
      <c r="A304" s="26"/>
      <c r="B304" s="25" t="s">
        <v>385</v>
      </c>
      <c r="C304" s="15">
        <v>16</v>
      </c>
      <c r="D304" s="16"/>
      <c r="E304" s="15">
        <v>2</v>
      </c>
      <c r="F304" s="11">
        <v>1</v>
      </c>
      <c r="G304" s="11">
        <v>2</v>
      </c>
      <c r="H304" s="95">
        <f>((0.79)/3)+0.1</f>
        <v>0.3633333333333334</v>
      </c>
      <c r="I304" s="95">
        <v>3</v>
      </c>
      <c r="J304" s="95">
        <f>0.58+8*$C304/1000</f>
        <v>0.70799999999999996</v>
      </c>
      <c r="K304" s="22"/>
      <c r="L304" s="72">
        <f>SUM(H304:J304)+K304</f>
        <v>4.0713333333333335</v>
      </c>
      <c r="M304" s="72">
        <f t="shared" si="0"/>
        <v>0</v>
      </c>
      <c r="N304" s="72">
        <f t="shared" si="1"/>
        <v>0</v>
      </c>
      <c r="O304" s="72">
        <f t="shared" si="2"/>
        <v>0</v>
      </c>
      <c r="P304" s="72">
        <f t="shared" si="3"/>
        <v>16.29</v>
      </c>
      <c r="Q304" s="72">
        <f t="shared" si="4"/>
        <v>0</v>
      </c>
      <c r="R304" s="72">
        <f t="shared" si="5"/>
        <v>0</v>
      </c>
    </row>
    <row r="305" spans="1:18" x14ac:dyDescent="0.25">
      <c r="A305" s="26"/>
      <c r="B305" s="25" t="s">
        <v>385</v>
      </c>
      <c r="C305" s="15">
        <v>16</v>
      </c>
      <c r="D305" s="16"/>
      <c r="E305" s="15">
        <v>2</v>
      </c>
      <c r="F305" s="11">
        <v>1</v>
      </c>
      <c r="G305" s="11">
        <v>2</v>
      </c>
      <c r="H305" s="95">
        <v>0.57999999999999996</v>
      </c>
      <c r="I305" s="95">
        <v>1.95</v>
      </c>
      <c r="J305" s="95">
        <f>((0.79)/3)+0.1</f>
        <v>0.3633333333333334</v>
      </c>
      <c r="K305" s="22"/>
      <c r="L305" s="72">
        <f>SUM(H305:J305)+K305</f>
        <v>2.8933333333333331</v>
      </c>
      <c r="M305" s="72">
        <f t="shared" ref="M305" si="653">+ROUND(IF(C305=8,PRODUCT(E305,F305,G305,L305),0),2)</f>
        <v>0</v>
      </c>
      <c r="N305" s="72">
        <f t="shared" ref="N305" si="654">+ROUND(IF(C305=10,PRODUCT(E305,F305,G305,L305),0),2)</f>
        <v>0</v>
      </c>
      <c r="O305" s="72">
        <f t="shared" ref="O305" si="655">+ROUND(IF(C305=12,PRODUCT(E305,F305,G305,L305),0),2)</f>
        <v>0</v>
      </c>
      <c r="P305" s="72">
        <f t="shared" ref="P305" si="656">+ROUND(IF(C305=16,PRODUCT(E305,F305,G305,L305),0),2)</f>
        <v>11.57</v>
      </c>
      <c r="Q305" s="72">
        <f t="shared" ref="Q305" si="657">+ROUND(IF(C305=20,PRODUCT(E305,F305,G305,L305),0),2)</f>
        <v>0</v>
      </c>
      <c r="R305" s="72">
        <f t="shared" ref="R305" si="658">+ROUND(IF(C305=25,PRODUCT(E305,F305,G305,L305),0),2)</f>
        <v>0</v>
      </c>
    </row>
    <row r="306" spans="1:18" x14ac:dyDescent="0.25">
      <c r="A306" s="26"/>
      <c r="B306" s="25" t="s">
        <v>432</v>
      </c>
      <c r="C306" s="15">
        <v>16</v>
      </c>
      <c r="D306" s="16"/>
      <c r="E306" s="15">
        <v>2</v>
      </c>
      <c r="F306" s="11">
        <v>1</v>
      </c>
      <c r="G306" s="11">
        <v>2</v>
      </c>
      <c r="H306" s="95">
        <f>((0.79)/3)+0.1</f>
        <v>0.3633333333333334</v>
      </c>
      <c r="I306" s="95">
        <v>5.7</v>
      </c>
      <c r="J306" s="95">
        <f>((0.79)/3)+0.1</f>
        <v>0.3633333333333334</v>
      </c>
      <c r="K306" s="22"/>
      <c r="L306" s="72">
        <f>SUM(H306:J306)+K306</f>
        <v>6.4266666666666667</v>
      </c>
      <c r="M306" s="72">
        <f t="shared" si="0"/>
        <v>0</v>
      </c>
      <c r="N306" s="72">
        <f t="shared" si="1"/>
        <v>0</v>
      </c>
      <c r="O306" s="72">
        <f t="shared" si="2"/>
        <v>0</v>
      </c>
      <c r="P306" s="72">
        <f t="shared" si="3"/>
        <v>25.71</v>
      </c>
      <c r="Q306" s="72">
        <f t="shared" si="4"/>
        <v>0</v>
      </c>
      <c r="R306" s="72">
        <f t="shared" si="5"/>
        <v>0</v>
      </c>
    </row>
    <row r="307" spans="1:18" x14ac:dyDescent="0.25">
      <c r="A307" s="26"/>
      <c r="B307" s="25" t="s">
        <v>453</v>
      </c>
      <c r="C307" s="15">
        <v>8</v>
      </c>
      <c r="D307" s="16">
        <v>100</v>
      </c>
      <c r="E307" s="15">
        <v>2</v>
      </c>
      <c r="F307" s="11">
        <v>1</v>
      </c>
      <c r="G307" s="11">
        <f>+ROUND(3/0.1+1,0)</f>
        <v>31</v>
      </c>
      <c r="H307" s="95"/>
      <c r="I307" s="95">
        <f>2*(0.15+0.45)+16*C307/1000</f>
        <v>1.3279999999999998</v>
      </c>
      <c r="J307" s="100"/>
      <c r="K307" s="47"/>
      <c r="L307" s="72">
        <f t="shared" ref="L307" si="659">SUM(H307:J307)+K307</f>
        <v>1.3279999999999998</v>
      </c>
      <c r="M307" s="72">
        <f t="shared" si="0"/>
        <v>82.34</v>
      </c>
      <c r="N307" s="72">
        <f t="shared" si="1"/>
        <v>0</v>
      </c>
      <c r="O307" s="72">
        <f t="shared" si="2"/>
        <v>0</v>
      </c>
      <c r="P307" s="72">
        <f t="shared" si="3"/>
        <v>0</v>
      </c>
      <c r="Q307" s="72">
        <f t="shared" si="4"/>
        <v>0</v>
      </c>
      <c r="R307" s="72">
        <f t="shared" si="5"/>
        <v>0</v>
      </c>
    </row>
    <row r="308" spans="1:18" x14ac:dyDescent="0.25">
      <c r="A308" s="26"/>
      <c r="B308" s="25" t="s">
        <v>447</v>
      </c>
      <c r="C308" s="15">
        <v>8</v>
      </c>
      <c r="D308" s="16">
        <v>100</v>
      </c>
      <c r="E308" s="15">
        <v>2</v>
      </c>
      <c r="F308" s="11">
        <v>1</v>
      </c>
      <c r="G308" s="11">
        <f>+ROUND(1.95/0.1+1,0)</f>
        <v>21</v>
      </c>
      <c r="H308" s="95"/>
      <c r="I308" s="95">
        <f>2*(0.15+0.3)+16*C308/1000</f>
        <v>1.028</v>
      </c>
      <c r="J308" s="100"/>
      <c r="K308" s="22"/>
      <c r="L308" s="72">
        <f t="shared" ref="L308" si="660">SUM(H308:J308)+K308</f>
        <v>1.028</v>
      </c>
      <c r="M308" s="72">
        <f t="shared" ref="M308:M313" si="661">+ROUND(IF(C308=8,PRODUCT(E308,F308,G308,L308),0),2)</f>
        <v>43.18</v>
      </c>
      <c r="N308" s="72">
        <f t="shared" ref="N308:N313" si="662">+ROUND(IF(C308=10,PRODUCT(E308,F308,G308,L308),0),2)</f>
        <v>0</v>
      </c>
      <c r="O308" s="72">
        <f t="shared" ref="O308:O313" si="663">+ROUND(IF(C308=12,PRODUCT(E308,F308,G308,L308),0),2)</f>
        <v>0</v>
      </c>
      <c r="P308" s="72">
        <f t="shared" ref="P308:P313" si="664">+ROUND(IF(C308=16,PRODUCT(E308,F308,G308,L308),0),2)</f>
        <v>0</v>
      </c>
      <c r="Q308" s="72">
        <f t="shared" ref="Q308:Q313" si="665">+ROUND(IF(C308=20,PRODUCT(E308,F308,G308,L308),0),2)</f>
        <v>0</v>
      </c>
      <c r="R308" s="72">
        <f t="shared" ref="R308:R313" si="666">+ROUND(IF(C308=25,PRODUCT(E308,F308,G308,L308),0),2)</f>
        <v>0</v>
      </c>
    </row>
    <row r="309" spans="1:18" x14ac:dyDescent="0.25">
      <c r="A309" s="26"/>
      <c r="B309" s="25"/>
      <c r="C309" s="15"/>
      <c r="D309" s="16"/>
      <c r="E309" s="15"/>
      <c r="F309" s="11"/>
      <c r="G309" s="11"/>
      <c r="H309" s="95"/>
      <c r="I309" s="95"/>
      <c r="J309" s="100"/>
      <c r="K309" s="22"/>
      <c r="L309" s="72"/>
      <c r="M309" s="72"/>
      <c r="N309" s="72"/>
      <c r="O309" s="72"/>
      <c r="P309" s="72"/>
      <c r="Q309" s="72"/>
      <c r="R309" s="72"/>
    </row>
    <row r="310" spans="1:18" x14ac:dyDescent="0.25">
      <c r="A310" s="26" t="s">
        <v>442</v>
      </c>
      <c r="B310" s="48" t="s">
        <v>489</v>
      </c>
      <c r="C310" s="15"/>
      <c r="D310" s="16"/>
      <c r="E310" s="15"/>
      <c r="F310" s="11"/>
      <c r="G310" s="11"/>
      <c r="H310" s="95"/>
      <c r="I310" s="95"/>
      <c r="J310" s="100"/>
      <c r="K310" s="22"/>
      <c r="L310" s="72">
        <f t="shared" ref="L310" si="667">SUM(H310:J310)+K310</f>
        <v>0</v>
      </c>
      <c r="M310" s="72">
        <f t="shared" si="661"/>
        <v>0</v>
      </c>
      <c r="N310" s="72">
        <f t="shared" si="662"/>
        <v>0</v>
      </c>
      <c r="O310" s="72">
        <f t="shared" si="663"/>
        <v>0</v>
      </c>
      <c r="P310" s="72">
        <f t="shared" si="664"/>
        <v>0</v>
      </c>
      <c r="Q310" s="72">
        <f t="shared" si="665"/>
        <v>0</v>
      </c>
      <c r="R310" s="72">
        <f t="shared" si="666"/>
        <v>0</v>
      </c>
    </row>
    <row r="311" spans="1:18" x14ac:dyDescent="0.25">
      <c r="A311" s="26"/>
      <c r="B311" s="25" t="s">
        <v>385</v>
      </c>
      <c r="C311" s="15">
        <v>16</v>
      </c>
      <c r="D311" s="16"/>
      <c r="E311" s="15">
        <v>2</v>
      </c>
      <c r="F311" s="11">
        <v>1</v>
      </c>
      <c r="G311" s="11">
        <v>2</v>
      </c>
      <c r="H311" s="95">
        <f>((0.79)/3)+0.1</f>
        <v>0.3633333333333334</v>
      </c>
      <c r="I311" s="95">
        <v>2.23</v>
      </c>
      <c r="J311" s="95">
        <f>0.58+10*$C311/1000</f>
        <v>0.74</v>
      </c>
      <c r="K311" s="22"/>
      <c r="L311" s="72">
        <f>SUM(H311:J311)+K311</f>
        <v>3.333333333333333</v>
      </c>
      <c r="M311" s="72">
        <f t="shared" si="661"/>
        <v>0</v>
      </c>
      <c r="N311" s="72">
        <f t="shared" si="662"/>
        <v>0</v>
      </c>
      <c r="O311" s="72">
        <f t="shared" si="663"/>
        <v>0</v>
      </c>
      <c r="P311" s="72">
        <f t="shared" si="664"/>
        <v>13.33</v>
      </c>
      <c r="Q311" s="72">
        <f t="shared" si="665"/>
        <v>0</v>
      </c>
      <c r="R311" s="72">
        <f t="shared" si="666"/>
        <v>0</v>
      </c>
    </row>
    <row r="312" spans="1:18" x14ac:dyDescent="0.25">
      <c r="A312" s="26"/>
      <c r="B312" s="25" t="s">
        <v>432</v>
      </c>
      <c r="C312" s="15">
        <v>16</v>
      </c>
      <c r="D312" s="16"/>
      <c r="E312" s="15">
        <v>2</v>
      </c>
      <c r="F312" s="11">
        <v>1</v>
      </c>
      <c r="G312" s="11">
        <v>2</v>
      </c>
      <c r="H312" s="95">
        <f>((0.79)/3)+0.1</f>
        <v>0.3633333333333334</v>
      </c>
      <c r="I312" s="95">
        <v>2.23</v>
      </c>
      <c r="J312" s="95">
        <f>0.58+10*$C312/1000</f>
        <v>0.74</v>
      </c>
      <c r="K312" s="22"/>
      <c r="L312" s="72">
        <f>SUM(H312:J312)+K312</f>
        <v>3.333333333333333</v>
      </c>
      <c r="M312" s="72">
        <f t="shared" si="661"/>
        <v>0</v>
      </c>
      <c r="N312" s="72">
        <f t="shared" si="662"/>
        <v>0</v>
      </c>
      <c r="O312" s="72">
        <f t="shared" si="663"/>
        <v>0</v>
      </c>
      <c r="P312" s="72">
        <f t="shared" si="664"/>
        <v>13.33</v>
      </c>
      <c r="Q312" s="72">
        <f t="shared" si="665"/>
        <v>0</v>
      </c>
      <c r="R312" s="72">
        <f t="shared" si="666"/>
        <v>0</v>
      </c>
    </row>
    <row r="313" spans="1:18" x14ac:dyDescent="0.25">
      <c r="A313" s="26"/>
      <c r="B313" s="25" t="s">
        <v>453</v>
      </c>
      <c r="C313" s="15">
        <v>8</v>
      </c>
      <c r="D313" s="16">
        <v>100</v>
      </c>
      <c r="E313" s="15">
        <v>2</v>
      </c>
      <c r="F313" s="11">
        <v>1</v>
      </c>
      <c r="G313" s="11">
        <f>+ROUND(2.23/0.1+1,0)</f>
        <v>23</v>
      </c>
      <c r="H313" s="95"/>
      <c r="I313" s="95">
        <f>2*(0.15+0.4)+16*C313/1000</f>
        <v>1.2280000000000002</v>
      </c>
      <c r="J313" s="100"/>
      <c r="K313" s="47"/>
      <c r="L313" s="72">
        <f t="shared" ref="L313" si="668">SUM(H313:J313)+K313</f>
        <v>1.2280000000000002</v>
      </c>
      <c r="M313" s="72">
        <f t="shared" si="661"/>
        <v>56.49</v>
      </c>
      <c r="N313" s="72">
        <f t="shared" si="662"/>
        <v>0</v>
      </c>
      <c r="O313" s="72">
        <f t="shared" si="663"/>
        <v>0</v>
      </c>
      <c r="P313" s="72">
        <f t="shared" si="664"/>
        <v>0</v>
      </c>
      <c r="Q313" s="72">
        <f t="shared" si="665"/>
        <v>0</v>
      </c>
      <c r="R313" s="72">
        <f t="shared" si="666"/>
        <v>0</v>
      </c>
    </row>
    <row r="314" spans="1:18" x14ac:dyDescent="0.25">
      <c r="A314" s="26"/>
      <c r="B314" s="25"/>
      <c r="C314" s="15"/>
      <c r="D314" s="16"/>
      <c r="E314" s="15"/>
      <c r="F314" s="11"/>
      <c r="G314" s="11"/>
      <c r="H314" s="95"/>
      <c r="I314" s="95"/>
      <c r="J314" s="100"/>
      <c r="K314" s="47"/>
      <c r="L314" s="72"/>
      <c r="M314" s="72"/>
      <c r="N314" s="72"/>
      <c r="O314" s="72"/>
      <c r="P314" s="72"/>
      <c r="Q314" s="72"/>
      <c r="R314" s="72"/>
    </row>
    <row r="315" spans="1:18" x14ac:dyDescent="0.25">
      <c r="A315" s="26" t="s">
        <v>436</v>
      </c>
      <c r="B315" s="48" t="s">
        <v>490</v>
      </c>
      <c r="C315" s="15"/>
      <c r="D315" s="16"/>
      <c r="E315" s="15"/>
      <c r="F315" s="11"/>
      <c r="G315" s="11"/>
      <c r="H315" s="95"/>
      <c r="I315" s="95"/>
      <c r="J315" s="100"/>
      <c r="K315" s="22"/>
      <c r="L315" s="72">
        <f t="shared" ref="L315" si="669">SUM(H315:J315)+K315</f>
        <v>0</v>
      </c>
      <c r="M315" s="72">
        <f t="shared" ref="M315:M320" si="670">+ROUND(IF(C315=8,PRODUCT(E315,F315,G315,L315),0),2)</f>
        <v>0</v>
      </c>
      <c r="N315" s="72">
        <f t="shared" ref="N315:N320" si="671">+ROUND(IF(C315=10,PRODUCT(E315,F315,G315,L315),0),2)</f>
        <v>0</v>
      </c>
      <c r="O315" s="72">
        <f t="shared" ref="O315:O320" si="672">+ROUND(IF(C315=12,PRODUCT(E315,F315,G315,L315),0),2)</f>
        <v>0</v>
      </c>
      <c r="P315" s="72">
        <f t="shared" ref="P315:P320" si="673">+ROUND(IF(C315=16,PRODUCT(E315,F315,G315,L315),0),2)</f>
        <v>0</v>
      </c>
      <c r="Q315" s="72">
        <f t="shared" ref="Q315:Q320" si="674">+ROUND(IF(C315=20,PRODUCT(E315,F315,G315,L315),0),2)</f>
        <v>0</v>
      </c>
      <c r="R315" s="72">
        <f t="shared" ref="R315:R320" si="675">+ROUND(IF(C315=25,PRODUCT(E315,F315,G315,L315),0),2)</f>
        <v>0</v>
      </c>
    </row>
    <row r="316" spans="1:18" x14ac:dyDescent="0.25">
      <c r="A316" s="26"/>
      <c r="B316" s="25" t="s">
        <v>385</v>
      </c>
      <c r="C316" s="15">
        <v>16</v>
      </c>
      <c r="D316" s="16"/>
      <c r="E316" s="15">
        <v>2</v>
      </c>
      <c r="F316" s="11">
        <v>1</v>
      </c>
      <c r="G316" s="11">
        <v>2</v>
      </c>
      <c r="H316" s="95">
        <f>0.58+8*$C316/1000</f>
        <v>0.70799999999999996</v>
      </c>
      <c r="I316" s="95">
        <v>5.1449999999999996</v>
      </c>
      <c r="J316" s="95">
        <f>0.58+8*$C316/1000</f>
        <v>0.70799999999999996</v>
      </c>
      <c r="K316" s="22"/>
      <c r="L316" s="72">
        <f>SUM(H316:J316)+K316</f>
        <v>6.5609999999999999</v>
      </c>
      <c r="M316" s="72">
        <f t="shared" si="670"/>
        <v>0</v>
      </c>
      <c r="N316" s="72">
        <f t="shared" si="671"/>
        <v>0</v>
      </c>
      <c r="O316" s="72">
        <f t="shared" si="672"/>
        <v>0</v>
      </c>
      <c r="P316" s="72">
        <f t="shared" si="673"/>
        <v>26.24</v>
      </c>
      <c r="Q316" s="72">
        <f t="shared" si="674"/>
        <v>0</v>
      </c>
      <c r="R316" s="72">
        <f t="shared" si="675"/>
        <v>0</v>
      </c>
    </row>
    <row r="317" spans="1:18" x14ac:dyDescent="0.25">
      <c r="A317" s="26"/>
      <c r="B317" s="25" t="s">
        <v>432</v>
      </c>
      <c r="C317" s="15">
        <v>16</v>
      </c>
      <c r="D317" s="16"/>
      <c r="E317" s="15">
        <v>2</v>
      </c>
      <c r="F317" s="11">
        <v>1</v>
      </c>
      <c r="G317" s="11">
        <v>2</v>
      </c>
      <c r="H317" s="95">
        <f>0.58+8*$C317/1000</f>
        <v>0.70799999999999996</v>
      </c>
      <c r="I317" s="95">
        <v>5.1449999999999996</v>
      </c>
      <c r="J317" s="95">
        <f>0.58+8*$C317/1000</f>
        <v>0.70799999999999996</v>
      </c>
      <c r="K317" s="22"/>
      <c r="L317" s="72">
        <f>SUM(H317:J317)+K317</f>
        <v>6.5609999999999999</v>
      </c>
      <c r="M317" s="72">
        <f t="shared" si="670"/>
        <v>0</v>
      </c>
      <c r="N317" s="72">
        <f t="shared" si="671"/>
        <v>0</v>
      </c>
      <c r="O317" s="72">
        <f t="shared" si="672"/>
        <v>0</v>
      </c>
      <c r="P317" s="72">
        <f t="shared" si="673"/>
        <v>26.24</v>
      </c>
      <c r="Q317" s="72">
        <f t="shared" si="674"/>
        <v>0</v>
      </c>
      <c r="R317" s="72">
        <f t="shared" si="675"/>
        <v>0</v>
      </c>
    </row>
    <row r="318" spans="1:18" x14ac:dyDescent="0.25">
      <c r="A318" s="26"/>
      <c r="B318" s="25" t="s">
        <v>450</v>
      </c>
      <c r="C318" s="15">
        <v>12</v>
      </c>
      <c r="D318" s="16"/>
      <c r="E318" s="15">
        <v>2</v>
      </c>
      <c r="F318" s="11">
        <v>1</v>
      </c>
      <c r="G318" s="11">
        <v>2</v>
      </c>
      <c r="H318" s="95"/>
      <c r="I318" s="95">
        <f>5.145-1</f>
        <v>4.1449999999999996</v>
      </c>
      <c r="J318" s="95"/>
      <c r="K318" s="22"/>
      <c r="L318" s="72">
        <f>SUM(H318:J318)+K318</f>
        <v>4.1449999999999996</v>
      </c>
      <c r="M318" s="72">
        <f t="shared" ref="M318" si="676">+ROUND(IF(C318=8,PRODUCT(E318,F318,G318,L318),0),2)</f>
        <v>0</v>
      </c>
      <c r="N318" s="72">
        <f t="shared" ref="N318" si="677">+ROUND(IF(C318=10,PRODUCT(E318,F318,G318,L318),0),2)</f>
        <v>0</v>
      </c>
      <c r="O318" s="72">
        <f t="shared" ref="O318" si="678">+ROUND(IF(C318=12,PRODUCT(E318,F318,G318,L318),0),2)</f>
        <v>16.579999999999998</v>
      </c>
      <c r="P318" s="72">
        <f t="shared" ref="P318" si="679">+ROUND(IF(C318=16,PRODUCT(E318,F318,G318,L318),0),2)</f>
        <v>0</v>
      </c>
      <c r="Q318" s="72">
        <f t="shared" ref="Q318" si="680">+ROUND(IF(C318=20,PRODUCT(E318,F318,G318,L318),0),2)</f>
        <v>0</v>
      </c>
      <c r="R318" s="72">
        <f t="shared" ref="R318" si="681">+ROUND(IF(C318=25,PRODUCT(E318,F318,G318,L318),0),2)</f>
        <v>0</v>
      </c>
    </row>
    <row r="319" spans="1:18" x14ac:dyDescent="0.25">
      <c r="A319" s="26"/>
      <c r="B319" s="25" t="s">
        <v>433</v>
      </c>
      <c r="C319" s="15">
        <v>12</v>
      </c>
      <c r="D319" s="16"/>
      <c r="E319" s="15">
        <v>2</v>
      </c>
      <c r="F319" s="11">
        <v>1</v>
      </c>
      <c r="G319" s="11">
        <v>4</v>
      </c>
      <c r="H319" s="95">
        <f>0.44+8*$C319/1000</f>
        <v>0.53600000000000003</v>
      </c>
      <c r="I319" s="95">
        <v>1.5</v>
      </c>
      <c r="J319" s="95"/>
      <c r="K319" s="22"/>
      <c r="L319" s="72">
        <f>SUM(H319:J319)+K319</f>
        <v>2.036</v>
      </c>
      <c r="M319" s="72">
        <f t="shared" ref="M319" si="682">+ROUND(IF(C319=8,PRODUCT(E319,F319,G319,L319),0),2)</f>
        <v>0</v>
      </c>
      <c r="N319" s="72">
        <f t="shared" ref="N319" si="683">+ROUND(IF(C319=10,PRODUCT(E319,F319,G319,L319),0),2)</f>
        <v>0</v>
      </c>
      <c r="O319" s="72">
        <f t="shared" ref="O319" si="684">+ROUND(IF(C319=12,PRODUCT(E319,F319,G319,L319),0),2)</f>
        <v>16.29</v>
      </c>
      <c r="P319" s="72">
        <f t="shared" ref="P319" si="685">+ROUND(IF(C319=16,PRODUCT(E319,F319,G319,L319),0),2)</f>
        <v>0</v>
      </c>
      <c r="Q319" s="72">
        <f t="shared" ref="Q319" si="686">+ROUND(IF(C319=20,PRODUCT(E319,F319,G319,L319),0),2)</f>
        <v>0</v>
      </c>
      <c r="R319" s="72">
        <f t="shared" ref="R319" si="687">+ROUND(IF(C319=25,PRODUCT(E319,F319,G319,L319),0),2)</f>
        <v>0</v>
      </c>
    </row>
    <row r="320" spans="1:18" x14ac:dyDescent="0.25">
      <c r="A320" s="26"/>
      <c r="B320" s="25" t="s">
        <v>448</v>
      </c>
      <c r="C320" s="15">
        <v>8</v>
      </c>
      <c r="D320" s="16">
        <v>100</v>
      </c>
      <c r="E320" s="15">
        <v>2</v>
      </c>
      <c r="F320" s="11">
        <v>1</v>
      </c>
      <c r="G320" s="11">
        <f>+ROUND(2.572/0.1,0)</f>
        <v>26</v>
      </c>
      <c r="H320" s="95"/>
      <c r="I320" s="95">
        <f>2*(0.15+0.45)+16*C320/1000</f>
        <v>1.3279999999999998</v>
      </c>
      <c r="J320" s="100"/>
      <c r="K320" s="47"/>
      <c r="L320" s="72">
        <f t="shared" ref="L320" si="688">SUM(H320:J320)+K320</f>
        <v>1.3279999999999998</v>
      </c>
      <c r="M320" s="72">
        <f t="shared" si="670"/>
        <v>69.06</v>
      </c>
      <c r="N320" s="72">
        <f t="shared" si="671"/>
        <v>0</v>
      </c>
      <c r="O320" s="72">
        <f t="shared" si="672"/>
        <v>0</v>
      </c>
      <c r="P320" s="72">
        <f t="shared" si="673"/>
        <v>0</v>
      </c>
      <c r="Q320" s="72">
        <f t="shared" si="674"/>
        <v>0</v>
      </c>
      <c r="R320" s="72">
        <f t="shared" si="675"/>
        <v>0</v>
      </c>
    </row>
    <row r="321" spans="1:18" x14ac:dyDescent="0.25">
      <c r="A321" s="26"/>
      <c r="B321" s="25"/>
      <c r="C321" s="15">
        <v>8</v>
      </c>
      <c r="D321" s="16">
        <v>150</v>
      </c>
      <c r="E321" s="15">
        <v>2</v>
      </c>
      <c r="F321" s="11">
        <v>1</v>
      </c>
      <c r="G321" s="11">
        <f>+ROUND(2.572/0.15+1,0)</f>
        <v>18</v>
      </c>
      <c r="H321" s="95"/>
      <c r="I321" s="95">
        <f>2*(0.15+0.45)+16*C321/1000</f>
        <v>1.3279999999999998</v>
      </c>
      <c r="J321" s="100"/>
      <c r="K321" s="22"/>
      <c r="L321" s="72">
        <f t="shared" ref="L321" si="689">SUM(H321:J321)+K321</f>
        <v>1.3279999999999998</v>
      </c>
      <c r="M321" s="72">
        <f t="shared" ref="M321:M325" si="690">+ROUND(IF(C321=8,PRODUCT(E321,F321,G321,L321),0),2)</f>
        <v>47.81</v>
      </c>
      <c r="N321" s="72">
        <f t="shared" ref="N321:N325" si="691">+ROUND(IF(C321=10,PRODUCT(E321,F321,G321,L321),0),2)</f>
        <v>0</v>
      </c>
      <c r="O321" s="72">
        <f t="shared" ref="O321:O325" si="692">+ROUND(IF(C321=12,PRODUCT(E321,F321,G321,L321),0),2)</f>
        <v>0</v>
      </c>
      <c r="P321" s="72">
        <f t="shared" ref="P321:P325" si="693">+ROUND(IF(C321=16,PRODUCT(E321,F321,G321,L321),0),2)</f>
        <v>0</v>
      </c>
      <c r="Q321" s="72">
        <f t="shared" ref="Q321:Q325" si="694">+ROUND(IF(C321=20,PRODUCT(E321,F321,G321,L321),0),2)</f>
        <v>0</v>
      </c>
      <c r="R321" s="72">
        <f t="shared" ref="R321:R325" si="695">+ROUND(IF(C321=25,PRODUCT(E321,F321,G321,L321),0),2)</f>
        <v>0</v>
      </c>
    </row>
    <row r="322" spans="1:18" x14ac:dyDescent="0.25">
      <c r="A322" s="26" t="s">
        <v>436</v>
      </c>
      <c r="B322" s="48" t="s">
        <v>491</v>
      </c>
      <c r="C322" s="15"/>
      <c r="D322" s="16"/>
      <c r="E322" s="15"/>
      <c r="F322" s="11"/>
      <c r="G322" s="11"/>
      <c r="H322" s="95"/>
      <c r="I322" s="95"/>
      <c r="J322" s="100"/>
      <c r="K322" s="22"/>
      <c r="L322" s="72">
        <f t="shared" ref="L322" si="696">SUM(H322:J322)+K322</f>
        <v>0</v>
      </c>
      <c r="M322" s="72">
        <f t="shared" si="690"/>
        <v>0</v>
      </c>
      <c r="N322" s="72">
        <f t="shared" si="691"/>
        <v>0</v>
      </c>
      <c r="O322" s="72">
        <f t="shared" si="692"/>
        <v>0</v>
      </c>
      <c r="P322" s="72">
        <f t="shared" si="693"/>
        <v>0</v>
      </c>
      <c r="Q322" s="72">
        <f t="shared" si="694"/>
        <v>0</v>
      </c>
      <c r="R322" s="72">
        <f t="shared" si="695"/>
        <v>0</v>
      </c>
    </row>
    <row r="323" spans="1:18" x14ac:dyDescent="0.25">
      <c r="A323" s="26"/>
      <c r="B323" s="25" t="s">
        <v>385</v>
      </c>
      <c r="C323" s="15">
        <v>16</v>
      </c>
      <c r="D323" s="16"/>
      <c r="E323" s="15">
        <v>2</v>
      </c>
      <c r="F323" s="11">
        <v>1</v>
      </c>
      <c r="G323" s="11">
        <v>2</v>
      </c>
      <c r="H323" s="95">
        <f>0.58+8*$C323/1000</f>
        <v>0.70799999999999996</v>
      </c>
      <c r="I323" s="95">
        <v>3.8</v>
      </c>
      <c r="J323" s="95">
        <f>0.58+8*$C323/1000</f>
        <v>0.70799999999999996</v>
      </c>
      <c r="K323" s="22"/>
      <c r="L323" s="72">
        <f>SUM(H323:J323)+K323</f>
        <v>5.2160000000000002</v>
      </c>
      <c r="M323" s="72">
        <f t="shared" si="690"/>
        <v>0</v>
      </c>
      <c r="N323" s="72">
        <f t="shared" si="691"/>
        <v>0</v>
      </c>
      <c r="O323" s="72">
        <f t="shared" si="692"/>
        <v>0</v>
      </c>
      <c r="P323" s="72">
        <f t="shared" si="693"/>
        <v>20.86</v>
      </c>
      <c r="Q323" s="72">
        <f t="shared" si="694"/>
        <v>0</v>
      </c>
      <c r="R323" s="72">
        <f t="shared" si="695"/>
        <v>0</v>
      </c>
    </row>
    <row r="324" spans="1:18" x14ac:dyDescent="0.25">
      <c r="A324" s="26"/>
      <c r="B324" s="25" t="s">
        <v>432</v>
      </c>
      <c r="C324" s="15">
        <v>16</v>
      </c>
      <c r="D324" s="16"/>
      <c r="E324" s="15">
        <v>2</v>
      </c>
      <c r="F324" s="11">
        <v>1</v>
      </c>
      <c r="G324" s="11">
        <v>2</v>
      </c>
      <c r="H324" s="95">
        <f>0.58+8*$C324/1000</f>
        <v>0.70799999999999996</v>
      </c>
      <c r="I324" s="95">
        <v>3.8</v>
      </c>
      <c r="J324" s="95">
        <f>0.58+8*$C324/1000</f>
        <v>0.70799999999999996</v>
      </c>
      <c r="K324" s="22"/>
      <c r="L324" s="72">
        <f>SUM(H324:J324)+K324</f>
        <v>5.2160000000000002</v>
      </c>
      <c r="M324" s="72">
        <f t="shared" si="690"/>
        <v>0</v>
      </c>
      <c r="N324" s="72">
        <f t="shared" si="691"/>
        <v>0</v>
      </c>
      <c r="O324" s="72">
        <f t="shared" si="692"/>
        <v>0</v>
      </c>
      <c r="P324" s="72">
        <f t="shared" si="693"/>
        <v>20.86</v>
      </c>
      <c r="Q324" s="72">
        <f t="shared" si="694"/>
        <v>0</v>
      </c>
      <c r="R324" s="72">
        <f t="shared" si="695"/>
        <v>0</v>
      </c>
    </row>
    <row r="325" spans="1:18" x14ac:dyDescent="0.25">
      <c r="A325" s="26"/>
      <c r="B325" s="25" t="s">
        <v>448</v>
      </c>
      <c r="C325" s="15">
        <v>8</v>
      </c>
      <c r="D325" s="16">
        <v>100</v>
      </c>
      <c r="E325" s="15">
        <v>2</v>
      </c>
      <c r="F325" s="11">
        <v>1</v>
      </c>
      <c r="G325" s="11">
        <f>+ROUND(2/0.1,0)</f>
        <v>20</v>
      </c>
      <c r="H325" s="95"/>
      <c r="I325" s="95">
        <f>2*(0.15+0.45)+16*C325/1000</f>
        <v>1.3279999999999998</v>
      </c>
      <c r="J325" s="100"/>
      <c r="K325" s="47"/>
      <c r="L325" s="72">
        <f t="shared" ref="L325" si="697">SUM(H325:J325)+K325</f>
        <v>1.3279999999999998</v>
      </c>
      <c r="M325" s="72">
        <f t="shared" si="690"/>
        <v>53.12</v>
      </c>
      <c r="N325" s="72">
        <f t="shared" si="691"/>
        <v>0</v>
      </c>
      <c r="O325" s="72">
        <f t="shared" si="692"/>
        <v>0</v>
      </c>
      <c r="P325" s="72">
        <f t="shared" si="693"/>
        <v>0</v>
      </c>
      <c r="Q325" s="72">
        <f t="shared" si="694"/>
        <v>0</v>
      </c>
      <c r="R325" s="72">
        <f t="shared" si="695"/>
        <v>0</v>
      </c>
    </row>
    <row r="326" spans="1:18" x14ac:dyDescent="0.25">
      <c r="A326" s="26"/>
      <c r="B326" s="25"/>
      <c r="C326" s="15">
        <v>8</v>
      </c>
      <c r="D326" s="16">
        <v>150</v>
      </c>
      <c r="E326" s="15">
        <v>2</v>
      </c>
      <c r="F326" s="11">
        <v>1</v>
      </c>
      <c r="G326" s="11">
        <f>+ROUND(1.8/0.15+1,0)</f>
        <v>13</v>
      </c>
      <c r="H326" s="95"/>
      <c r="I326" s="95">
        <f>2*(0.15+0.45)+16*C326/1000</f>
        <v>1.3279999999999998</v>
      </c>
      <c r="J326" s="100"/>
      <c r="K326" s="22"/>
      <c r="L326" s="72">
        <f t="shared" ref="L326" si="698">SUM(H326:J326)+K326</f>
        <v>1.3279999999999998</v>
      </c>
      <c r="M326" s="72">
        <f t="shared" ref="M326:M330" si="699">+ROUND(IF(C326=8,PRODUCT(E326,F326,G326,L326),0),2)</f>
        <v>34.53</v>
      </c>
      <c r="N326" s="72">
        <f t="shared" ref="N326:N330" si="700">+ROUND(IF(C326=10,PRODUCT(E326,F326,G326,L326),0),2)</f>
        <v>0</v>
      </c>
      <c r="O326" s="72">
        <f t="shared" ref="O326:O330" si="701">+ROUND(IF(C326=12,PRODUCT(E326,F326,G326,L326),0),2)</f>
        <v>0</v>
      </c>
      <c r="P326" s="72">
        <f t="shared" ref="P326:P330" si="702">+ROUND(IF(C326=16,PRODUCT(E326,F326,G326,L326),0),2)</f>
        <v>0</v>
      </c>
      <c r="Q326" s="72">
        <f t="shared" ref="Q326:Q330" si="703">+ROUND(IF(C326=20,PRODUCT(E326,F326,G326,L326),0),2)</f>
        <v>0</v>
      </c>
      <c r="R326" s="72">
        <f t="shared" ref="R326:R330" si="704">+ROUND(IF(C326=25,PRODUCT(E326,F326,G326,L326),0),2)</f>
        <v>0</v>
      </c>
    </row>
    <row r="327" spans="1:18" x14ac:dyDescent="0.25">
      <c r="A327" s="26" t="s">
        <v>439</v>
      </c>
      <c r="B327" s="48" t="s">
        <v>492</v>
      </c>
      <c r="C327" s="15"/>
      <c r="D327" s="16"/>
      <c r="E327" s="15"/>
      <c r="F327" s="11"/>
      <c r="G327" s="11"/>
      <c r="H327" s="95"/>
      <c r="I327" s="95"/>
      <c r="J327" s="100"/>
      <c r="K327" s="22"/>
      <c r="L327" s="72">
        <f t="shared" ref="L327" si="705">SUM(H327:J327)+K327</f>
        <v>0</v>
      </c>
      <c r="M327" s="72">
        <f t="shared" si="699"/>
        <v>0</v>
      </c>
      <c r="N327" s="72">
        <f t="shared" si="700"/>
        <v>0</v>
      </c>
      <c r="O327" s="72">
        <f t="shared" si="701"/>
        <v>0</v>
      </c>
      <c r="P327" s="72">
        <f t="shared" si="702"/>
        <v>0</v>
      </c>
      <c r="Q327" s="72">
        <f t="shared" si="703"/>
        <v>0</v>
      </c>
      <c r="R327" s="72">
        <f t="shared" si="704"/>
        <v>0</v>
      </c>
    </row>
    <row r="328" spans="1:18" x14ac:dyDescent="0.25">
      <c r="A328" s="26"/>
      <c r="B328" s="25" t="s">
        <v>385</v>
      </c>
      <c r="C328" s="15">
        <v>16</v>
      </c>
      <c r="D328" s="16"/>
      <c r="E328" s="15">
        <v>2</v>
      </c>
      <c r="F328" s="11">
        <v>1</v>
      </c>
      <c r="G328" s="11">
        <v>2</v>
      </c>
      <c r="H328" s="95">
        <f>0.58+8*$C328/1000</f>
        <v>0.70799999999999996</v>
      </c>
      <c r="I328" s="95">
        <v>2.95</v>
      </c>
      <c r="J328" s="95">
        <f>((0.79)/3)+0.1</f>
        <v>0.3633333333333334</v>
      </c>
      <c r="K328" s="22"/>
      <c r="L328" s="72">
        <f>SUM(H328:J328)+K328</f>
        <v>4.0213333333333336</v>
      </c>
      <c r="M328" s="72">
        <f t="shared" si="699"/>
        <v>0</v>
      </c>
      <c r="N328" s="72">
        <f t="shared" si="700"/>
        <v>0</v>
      </c>
      <c r="O328" s="72">
        <f t="shared" si="701"/>
        <v>0</v>
      </c>
      <c r="P328" s="72">
        <f t="shared" si="702"/>
        <v>16.09</v>
      </c>
      <c r="Q328" s="72">
        <f t="shared" si="703"/>
        <v>0</v>
      </c>
      <c r="R328" s="72">
        <f t="shared" si="704"/>
        <v>0</v>
      </c>
    </row>
    <row r="329" spans="1:18" x14ac:dyDescent="0.25">
      <c r="A329" s="26"/>
      <c r="B329" s="25" t="s">
        <v>432</v>
      </c>
      <c r="C329" s="15">
        <v>16</v>
      </c>
      <c r="D329" s="16"/>
      <c r="E329" s="15">
        <v>2</v>
      </c>
      <c r="F329" s="11">
        <v>1</v>
      </c>
      <c r="G329" s="11">
        <v>2</v>
      </c>
      <c r="H329" s="95">
        <f>0.58+8*$C329/1000</f>
        <v>0.70799999999999996</v>
      </c>
      <c r="I329" s="95">
        <v>2.95</v>
      </c>
      <c r="J329" s="95">
        <f>((0.79)/3)+0.1</f>
        <v>0.3633333333333334</v>
      </c>
      <c r="K329" s="22"/>
      <c r="L329" s="72">
        <f>SUM(H329:J329)+K329</f>
        <v>4.0213333333333336</v>
      </c>
      <c r="M329" s="72">
        <f t="shared" si="699"/>
        <v>0</v>
      </c>
      <c r="N329" s="72">
        <f t="shared" si="700"/>
        <v>0</v>
      </c>
      <c r="O329" s="72">
        <f t="shared" si="701"/>
        <v>0</v>
      </c>
      <c r="P329" s="72">
        <f t="shared" si="702"/>
        <v>16.09</v>
      </c>
      <c r="Q329" s="72">
        <f t="shared" si="703"/>
        <v>0</v>
      </c>
      <c r="R329" s="72">
        <f t="shared" si="704"/>
        <v>0</v>
      </c>
    </row>
    <row r="330" spans="1:18" x14ac:dyDescent="0.25">
      <c r="A330" s="26"/>
      <c r="B330" s="25" t="s">
        <v>447</v>
      </c>
      <c r="C330" s="15">
        <v>8</v>
      </c>
      <c r="D330" s="16">
        <v>100</v>
      </c>
      <c r="E330" s="15">
        <v>2</v>
      </c>
      <c r="F330" s="11">
        <v>1</v>
      </c>
      <c r="G330" s="11">
        <f>+ROUND(1.475/0.1,0)</f>
        <v>15</v>
      </c>
      <c r="H330" s="95"/>
      <c r="I330" s="95">
        <f>2*(0.15+0.3)+16*C330/1000</f>
        <v>1.028</v>
      </c>
      <c r="J330" s="100"/>
      <c r="K330" s="47"/>
      <c r="L330" s="72">
        <f t="shared" ref="L330" si="706">SUM(H330:J330)+K330</f>
        <v>1.028</v>
      </c>
      <c r="M330" s="72">
        <f t="shared" si="699"/>
        <v>30.84</v>
      </c>
      <c r="N330" s="72">
        <f t="shared" si="700"/>
        <v>0</v>
      </c>
      <c r="O330" s="72">
        <f t="shared" si="701"/>
        <v>0</v>
      </c>
      <c r="P330" s="72">
        <f t="shared" si="702"/>
        <v>0</v>
      </c>
      <c r="Q330" s="72">
        <f t="shared" si="703"/>
        <v>0</v>
      </c>
      <c r="R330" s="72">
        <f t="shared" si="704"/>
        <v>0</v>
      </c>
    </row>
    <row r="331" spans="1:18" x14ac:dyDescent="0.25">
      <c r="A331" s="26"/>
      <c r="B331" s="25"/>
      <c r="C331" s="15">
        <v>8</v>
      </c>
      <c r="D331" s="16">
        <v>150</v>
      </c>
      <c r="E331" s="15">
        <v>2</v>
      </c>
      <c r="F331" s="11">
        <v>1</v>
      </c>
      <c r="G331" s="11">
        <f>+ROUND(1.475/0.15+1,0)</f>
        <v>11</v>
      </c>
      <c r="H331" s="95"/>
      <c r="I331" s="95">
        <f>2*(0.15+0.3)+16*C331/1000</f>
        <v>1.028</v>
      </c>
      <c r="J331" s="100"/>
      <c r="K331" s="22"/>
      <c r="L331" s="72">
        <f t="shared" ref="L331" si="707">SUM(H331:J331)+K331</f>
        <v>1.028</v>
      </c>
      <c r="M331" s="72">
        <f t="shared" ref="M331:M335" si="708">+ROUND(IF(C331=8,PRODUCT(E331,F331,G331,L331),0),2)</f>
        <v>22.62</v>
      </c>
      <c r="N331" s="72">
        <f t="shared" ref="N331:N335" si="709">+ROUND(IF(C331=10,PRODUCT(E331,F331,G331,L331),0),2)</f>
        <v>0</v>
      </c>
      <c r="O331" s="72">
        <f t="shared" ref="O331:O335" si="710">+ROUND(IF(C331=12,PRODUCT(E331,F331,G331,L331),0),2)</f>
        <v>0</v>
      </c>
      <c r="P331" s="72">
        <f t="shared" ref="P331:P335" si="711">+ROUND(IF(C331=16,PRODUCT(E331,F331,G331,L331),0),2)</f>
        <v>0</v>
      </c>
      <c r="Q331" s="72">
        <f t="shared" ref="Q331:Q335" si="712">+ROUND(IF(C331=20,PRODUCT(E331,F331,G331,L331),0),2)</f>
        <v>0</v>
      </c>
      <c r="R331" s="72">
        <f t="shared" ref="R331:R335" si="713">+ROUND(IF(C331=25,PRODUCT(E331,F331,G331,L331),0),2)</f>
        <v>0</v>
      </c>
    </row>
    <row r="332" spans="1:18" x14ac:dyDescent="0.25">
      <c r="A332" s="26" t="s">
        <v>442</v>
      </c>
      <c r="B332" s="48" t="s">
        <v>493</v>
      </c>
      <c r="C332" s="15"/>
      <c r="D332" s="16"/>
      <c r="E332" s="15"/>
      <c r="F332" s="11"/>
      <c r="G332" s="11"/>
      <c r="H332" s="95"/>
      <c r="I332" s="95"/>
      <c r="J332" s="100"/>
      <c r="K332" s="22"/>
      <c r="L332" s="72">
        <f t="shared" ref="L332" si="714">SUM(H332:J332)+K332</f>
        <v>0</v>
      </c>
      <c r="M332" s="72">
        <f t="shared" si="708"/>
        <v>0</v>
      </c>
      <c r="N332" s="72">
        <f t="shared" si="709"/>
        <v>0</v>
      </c>
      <c r="O332" s="72">
        <f t="shared" si="710"/>
        <v>0</v>
      </c>
      <c r="P332" s="72">
        <f t="shared" si="711"/>
        <v>0</v>
      </c>
      <c r="Q332" s="72">
        <f t="shared" si="712"/>
        <v>0</v>
      </c>
      <c r="R332" s="72">
        <f t="shared" si="713"/>
        <v>0</v>
      </c>
    </row>
    <row r="333" spans="1:18" x14ac:dyDescent="0.25">
      <c r="A333" s="26"/>
      <c r="B333" s="25" t="s">
        <v>385</v>
      </c>
      <c r="C333" s="15">
        <v>16</v>
      </c>
      <c r="D333" s="16"/>
      <c r="E333" s="15">
        <v>2</v>
      </c>
      <c r="F333" s="11">
        <v>1</v>
      </c>
      <c r="G333" s="11">
        <v>2</v>
      </c>
      <c r="H333" s="95">
        <f>0.58+8*$C333/1000</f>
        <v>0.70799999999999996</v>
      </c>
      <c r="I333" s="95">
        <v>4.55</v>
      </c>
      <c r="J333" s="95">
        <f>0.58+8*$C333/1000</f>
        <v>0.70799999999999996</v>
      </c>
      <c r="K333" s="22"/>
      <c r="L333" s="72">
        <f>SUM(H333:J333)+K333</f>
        <v>5.9660000000000002</v>
      </c>
      <c r="M333" s="72">
        <f t="shared" si="708"/>
        <v>0</v>
      </c>
      <c r="N333" s="72">
        <f t="shared" si="709"/>
        <v>0</v>
      </c>
      <c r="O333" s="72">
        <f t="shared" si="710"/>
        <v>0</v>
      </c>
      <c r="P333" s="72">
        <f t="shared" si="711"/>
        <v>23.86</v>
      </c>
      <c r="Q333" s="72">
        <f t="shared" si="712"/>
        <v>0</v>
      </c>
      <c r="R333" s="72">
        <f t="shared" si="713"/>
        <v>0</v>
      </c>
    </row>
    <row r="334" spans="1:18" x14ac:dyDescent="0.25">
      <c r="A334" s="26"/>
      <c r="B334" s="25" t="s">
        <v>432</v>
      </c>
      <c r="C334" s="15">
        <v>16</v>
      </c>
      <c r="D334" s="16"/>
      <c r="E334" s="15">
        <v>2</v>
      </c>
      <c r="F334" s="11">
        <v>1</v>
      </c>
      <c r="G334" s="11">
        <v>2</v>
      </c>
      <c r="H334" s="95">
        <f>0.58+8*$C334/1000</f>
        <v>0.70799999999999996</v>
      </c>
      <c r="I334" s="95">
        <v>4.55</v>
      </c>
      <c r="J334" s="95">
        <f>0.58+8*$C334/1000</f>
        <v>0.70799999999999996</v>
      </c>
      <c r="K334" s="22"/>
      <c r="L334" s="72">
        <f>SUM(H334:J334)+K334</f>
        <v>5.9660000000000002</v>
      </c>
      <c r="M334" s="72">
        <f t="shared" si="708"/>
        <v>0</v>
      </c>
      <c r="N334" s="72">
        <f t="shared" si="709"/>
        <v>0</v>
      </c>
      <c r="O334" s="72">
        <f t="shared" si="710"/>
        <v>0</v>
      </c>
      <c r="P334" s="72">
        <f t="shared" si="711"/>
        <v>23.86</v>
      </c>
      <c r="Q334" s="72">
        <f t="shared" si="712"/>
        <v>0</v>
      </c>
      <c r="R334" s="72">
        <f t="shared" si="713"/>
        <v>0</v>
      </c>
    </row>
    <row r="335" spans="1:18" x14ac:dyDescent="0.25">
      <c r="A335" s="26"/>
      <c r="B335" s="25" t="s">
        <v>453</v>
      </c>
      <c r="C335" s="15">
        <v>8</v>
      </c>
      <c r="D335" s="16">
        <v>100</v>
      </c>
      <c r="E335" s="15">
        <v>2</v>
      </c>
      <c r="F335" s="11">
        <v>1</v>
      </c>
      <c r="G335" s="11">
        <f>+ROUND(2.275/0.1,0)</f>
        <v>23</v>
      </c>
      <c r="H335" s="95"/>
      <c r="I335" s="95">
        <f>2*(0.15+0.4)+16*C335/1000</f>
        <v>1.2280000000000002</v>
      </c>
      <c r="J335" s="100"/>
      <c r="K335" s="47"/>
      <c r="L335" s="72">
        <f t="shared" ref="L335" si="715">SUM(H335:J335)+K335</f>
        <v>1.2280000000000002</v>
      </c>
      <c r="M335" s="72">
        <f t="shared" si="708"/>
        <v>56.49</v>
      </c>
      <c r="N335" s="72">
        <f t="shared" si="709"/>
        <v>0</v>
      </c>
      <c r="O335" s="72">
        <f t="shared" si="710"/>
        <v>0</v>
      </c>
      <c r="P335" s="72">
        <f t="shared" si="711"/>
        <v>0</v>
      </c>
      <c r="Q335" s="72">
        <f t="shared" si="712"/>
        <v>0</v>
      </c>
      <c r="R335" s="72">
        <f t="shared" si="713"/>
        <v>0</v>
      </c>
    </row>
    <row r="336" spans="1:18" x14ac:dyDescent="0.25">
      <c r="A336" s="26"/>
      <c r="B336" s="25"/>
      <c r="C336" s="15">
        <v>8</v>
      </c>
      <c r="D336" s="16">
        <v>150</v>
      </c>
      <c r="E336" s="15">
        <v>2</v>
      </c>
      <c r="F336" s="11">
        <v>1</v>
      </c>
      <c r="G336" s="11">
        <f>+ROUND(2.275/0.15+1,0)</f>
        <v>16</v>
      </c>
      <c r="H336" s="95"/>
      <c r="I336" s="95">
        <f>2*(0.15+0.4)+16*C336/1000</f>
        <v>1.2280000000000002</v>
      </c>
      <c r="J336" s="100"/>
      <c r="K336" s="22"/>
      <c r="L336" s="72">
        <f t="shared" ref="L336" si="716">SUM(H336:J336)+K336</f>
        <v>1.2280000000000002</v>
      </c>
      <c r="M336" s="72">
        <f t="shared" ref="M336:M341" si="717">+ROUND(IF(C336=8,PRODUCT(E336,F336,G336,L336),0),2)</f>
        <v>39.299999999999997</v>
      </c>
      <c r="N336" s="72">
        <f t="shared" ref="N336:N341" si="718">+ROUND(IF(C336=10,PRODUCT(E336,F336,G336,L336),0),2)</f>
        <v>0</v>
      </c>
      <c r="O336" s="72">
        <f t="shared" ref="O336:O341" si="719">+ROUND(IF(C336=12,PRODUCT(E336,F336,G336,L336),0),2)</f>
        <v>0</v>
      </c>
      <c r="P336" s="72">
        <f t="shared" ref="P336:P341" si="720">+ROUND(IF(C336=16,PRODUCT(E336,F336,G336,L336),0),2)</f>
        <v>0</v>
      </c>
      <c r="Q336" s="72">
        <f t="shared" ref="Q336:Q341" si="721">+ROUND(IF(C336=20,PRODUCT(E336,F336,G336,L336),0),2)</f>
        <v>0</v>
      </c>
      <c r="R336" s="72">
        <f t="shared" ref="R336:R341" si="722">+ROUND(IF(C336=25,PRODUCT(E336,F336,G336,L336),0),2)</f>
        <v>0</v>
      </c>
    </row>
    <row r="337" spans="1:18" x14ac:dyDescent="0.25">
      <c r="A337" s="26" t="s">
        <v>436</v>
      </c>
      <c r="B337" s="48" t="s">
        <v>494</v>
      </c>
      <c r="C337" s="15"/>
      <c r="D337" s="16"/>
      <c r="E337" s="15"/>
      <c r="F337" s="11"/>
      <c r="G337" s="11"/>
      <c r="H337" s="95"/>
      <c r="I337" s="95"/>
      <c r="J337" s="100"/>
      <c r="K337" s="22"/>
      <c r="L337" s="72">
        <f t="shared" ref="L337" si="723">SUM(H337:J337)+K337</f>
        <v>0</v>
      </c>
      <c r="M337" s="72">
        <f t="shared" si="717"/>
        <v>0</v>
      </c>
      <c r="N337" s="72">
        <f t="shared" si="718"/>
        <v>0</v>
      </c>
      <c r="O337" s="72">
        <f t="shared" si="719"/>
        <v>0</v>
      </c>
      <c r="P337" s="72">
        <f t="shared" si="720"/>
        <v>0</v>
      </c>
      <c r="Q337" s="72">
        <f t="shared" si="721"/>
        <v>0</v>
      </c>
      <c r="R337" s="72">
        <f t="shared" si="722"/>
        <v>0</v>
      </c>
    </row>
    <row r="338" spans="1:18" x14ac:dyDescent="0.25">
      <c r="A338" s="26"/>
      <c r="B338" s="25" t="s">
        <v>385</v>
      </c>
      <c r="C338" s="15">
        <v>16</v>
      </c>
      <c r="D338" s="16"/>
      <c r="E338" s="15">
        <v>2</v>
      </c>
      <c r="F338" s="11">
        <v>1</v>
      </c>
      <c r="G338" s="11">
        <v>2</v>
      </c>
      <c r="H338" s="95">
        <f>0.58+8*$C338/1000</f>
        <v>0.70799999999999996</v>
      </c>
      <c r="I338" s="95">
        <v>3.05</v>
      </c>
      <c r="J338" s="95">
        <f>0.58+8*$C338/1000</f>
        <v>0.70799999999999996</v>
      </c>
      <c r="K338" s="22"/>
      <c r="L338" s="72">
        <f>SUM(H338:J338)+K338</f>
        <v>4.4660000000000002</v>
      </c>
      <c r="M338" s="72">
        <f t="shared" si="717"/>
        <v>0</v>
      </c>
      <c r="N338" s="72">
        <f t="shared" si="718"/>
        <v>0</v>
      </c>
      <c r="O338" s="72">
        <f t="shared" si="719"/>
        <v>0</v>
      </c>
      <c r="P338" s="72">
        <f t="shared" si="720"/>
        <v>17.86</v>
      </c>
      <c r="Q338" s="72">
        <f t="shared" si="721"/>
        <v>0</v>
      </c>
      <c r="R338" s="72">
        <f t="shared" si="722"/>
        <v>0</v>
      </c>
    </row>
    <row r="339" spans="1:18" x14ac:dyDescent="0.25">
      <c r="A339" s="26"/>
      <c r="B339" s="25" t="s">
        <v>432</v>
      </c>
      <c r="C339" s="15">
        <v>16</v>
      </c>
      <c r="D339" s="16"/>
      <c r="E339" s="15">
        <v>2</v>
      </c>
      <c r="F339" s="11">
        <v>1</v>
      </c>
      <c r="G339" s="11">
        <v>2</v>
      </c>
      <c r="H339" s="95">
        <f>0.58+8*$C339/1000</f>
        <v>0.70799999999999996</v>
      </c>
      <c r="I339" s="95">
        <v>3.05</v>
      </c>
      <c r="J339" s="95">
        <f>0.58+8*$C339/1000</f>
        <v>0.70799999999999996</v>
      </c>
      <c r="K339" s="22"/>
      <c r="L339" s="72">
        <f>SUM(H339:J339)+K339</f>
        <v>4.4660000000000002</v>
      </c>
      <c r="M339" s="72">
        <f t="shared" si="717"/>
        <v>0</v>
      </c>
      <c r="N339" s="72">
        <f t="shared" si="718"/>
        <v>0</v>
      </c>
      <c r="O339" s="72">
        <f t="shared" si="719"/>
        <v>0</v>
      </c>
      <c r="P339" s="72">
        <f t="shared" si="720"/>
        <v>17.86</v>
      </c>
      <c r="Q339" s="72">
        <f t="shared" si="721"/>
        <v>0</v>
      </c>
      <c r="R339" s="72">
        <f t="shared" si="722"/>
        <v>0</v>
      </c>
    </row>
    <row r="340" spans="1:18" x14ac:dyDescent="0.25">
      <c r="A340" s="26"/>
      <c r="B340" s="25" t="s">
        <v>448</v>
      </c>
      <c r="C340" s="15">
        <v>8</v>
      </c>
      <c r="D340" s="16">
        <v>100</v>
      </c>
      <c r="E340" s="15">
        <v>2</v>
      </c>
      <c r="F340" s="11">
        <v>1</v>
      </c>
      <c r="G340" s="11">
        <f>+ROUND(2/0.1,0)</f>
        <v>20</v>
      </c>
      <c r="H340" s="95"/>
      <c r="I340" s="95">
        <f>2*(0.15+0.45)+16*C340/1000</f>
        <v>1.3279999999999998</v>
      </c>
      <c r="J340" s="100"/>
      <c r="K340" s="47"/>
      <c r="L340" s="72">
        <f t="shared" ref="L340" si="724">SUM(H340:J340)+K340</f>
        <v>1.3279999999999998</v>
      </c>
      <c r="M340" s="72">
        <f t="shared" si="717"/>
        <v>53.12</v>
      </c>
      <c r="N340" s="72">
        <f t="shared" si="718"/>
        <v>0</v>
      </c>
      <c r="O340" s="72">
        <f t="shared" si="719"/>
        <v>0</v>
      </c>
      <c r="P340" s="72">
        <f t="shared" si="720"/>
        <v>0</v>
      </c>
      <c r="Q340" s="72">
        <f t="shared" si="721"/>
        <v>0</v>
      </c>
      <c r="R340" s="72">
        <f t="shared" si="722"/>
        <v>0</v>
      </c>
    </row>
    <row r="341" spans="1:18" x14ac:dyDescent="0.25">
      <c r="A341" s="26"/>
      <c r="B341" s="25"/>
      <c r="C341" s="15">
        <v>8</v>
      </c>
      <c r="D341" s="16">
        <v>150</v>
      </c>
      <c r="E341" s="15">
        <v>2</v>
      </c>
      <c r="F341" s="11">
        <v>1</v>
      </c>
      <c r="G341" s="11">
        <f>+ROUND(1.05/0.15+1,0)</f>
        <v>8</v>
      </c>
      <c r="H341" s="95"/>
      <c r="I341" s="95">
        <f>2*(0.15+0.45)+16*C341/1000</f>
        <v>1.3279999999999998</v>
      </c>
      <c r="J341" s="100"/>
      <c r="K341" s="47"/>
      <c r="L341" s="72">
        <f t="shared" ref="L341" si="725">SUM(H341:J341)+K341</f>
        <v>1.3279999999999998</v>
      </c>
      <c r="M341" s="72">
        <f t="shared" si="717"/>
        <v>21.25</v>
      </c>
      <c r="N341" s="72">
        <f t="shared" si="718"/>
        <v>0</v>
      </c>
      <c r="O341" s="72">
        <f t="shared" si="719"/>
        <v>0</v>
      </c>
      <c r="P341" s="72">
        <f t="shared" si="720"/>
        <v>0</v>
      </c>
      <c r="Q341" s="72">
        <f t="shared" si="721"/>
        <v>0</v>
      </c>
      <c r="R341" s="72">
        <f t="shared" si="722"/>
        <v>0</v>
      </c>
    </row>
    <row r="342" spans="1:18" x14ac:dyDescent="0.25">
      <c r="A342" s="26"/>
      <c r="B342" s="25"/>
      <c r="C342" s="15"/>
      <c r="D342" s="16"/>
      <c r="E342" s="15"/>
      <c r="F342" s="11"/>
      <c r="G342" s="11"/>
      <c r="H342" s="95"/>
      <c r="I342" s="95"/>
      <c r="J342" s="100"/>
      <c r="K342" s="47"/>
      <c r="L342" s="72"/>
      <c r="M342" s="72"/>
      <c r="N342" s="72"/>
      <c r="O342" s="72"/>
      <c r="P342" s="72"/>
      <c r="Q342" s="72"/>
      <c r="R342" s="72"/>
    </row>
    <row r="343" spans="1:18" x14ac:dyDescent="0.25">
      <c r="A343" s="26" t="s">
        <v>442</v>
      </c>
      <c r="B343" s="48" t="s">
        <v>495</v>
      </c>
      <c r="C343" s="15"/>
      <c r="D343" s="16"/>
      <c r="E343" s="15"/>
      <c r="F343" s="11"/>
      <c r="G343" s="11"/>
      <c r="H343" s="95"/>
      <c r="I343" s="95"/>
      <c r="J343" s="100"/>
      <c r="K343" s="22"/>
      <c r="L343" s="72">
        <f t="shared" ref="L343" si="726">SUM(H343:J343)+K343</f>
        <v>0</v>
      </c>
      <c r="M343" s="72">
        <f t="shared" ref="M343:M346" si="727">+ROUND(IF(C343=8,PRODUCT(E343,F343,G343,L343),0),2)</f>
        <v>0</v>
      </c>
      <c r="N343" s="72">
        <f t="shared" ref="N343:N346" si="728">+ROUND(IF(C343=10,PRODUCT(E343,F343,G343,L343),0),2)</f>
        <v>0</v>
      </c>
      <c r="O343" s="72">
        <f t="shared" ref="O343:O346" si="729">+ROUND(IF(C343=12,PRODUCT(E343,F343,G343,L343),0),2)</f>
        <v>0</v>
      </c>
      <c r="P343" s="72">
        <f t="shared" ref="P343:P346" si="730">+ROUND(IF(C343=16,PRODUCT(E343,F343,G343,L343),0),2)</f>
        <v>0</v>
      </c>
      <c r="Q343" s="72">
        <f t="shared" ref="Q343:Q346" si="731">+ROUND(IF(C343=20,PRODUCT(E343,F343,G343,L343),0),2)</f>
        <v>0</v>
      </c>
      <c r="R343" s="72">
        <f t="shared" ref="R343:R346" si="732">+ROUND(IF(C343=25,PRODUCT(E343,F343,G343,L343),0),2)</f>
        <v>0</v>
      </c>
    </row>
    <row r="344" spans="1:18" x14ac:dyDescent="0.25">
      <c r="A344" s="26"/>
      <c r="B344" s="25" t="s">
        <v>385</v>
      </c>
      <c r="C344" s="15">
        <v>16</v>
      </c>
      <c r="D344" s="16"/>
      <c r="E344" s="15">
        <v>2</v>
      </c>
      <c r="F344" s="11">
        <v>1</v>
      </c>
      <c r="G344" s="11">
        <v>2</v>
      </c>
      <c r="H344" s="95">
        <f>0.58+8*$C344/1000</f>
        <v>0.70799999999999996</v>
      </c>
      <c r="I344" s="95">
        <v>2.5150000000000001</v>
      </c>
      <c r="J344" s="95">
        <f>((0.79)/3)+0.1</f>
        <v>0.3633333333333334</v>
      </c>
      <c r="K344" s="22"/>
      <c r="L344" s="72">
        <f>SUM(H344:J344)+K344</f>
        <v>3.5863333333333332</v>
      </c>
      <c r="M344" s="72">
        <f t="shared" si="727"/>
        <v>0</v>
      </c>
      <c r="N344" s="72">
        <f t="shared" si="728"/>
        <v>0</v>
      </c>
      <c r="O344" s="72">
        <f t="shared" si="729"/>
        <v>0</v>
      </c>
      <c r="P344" s="72">
        <f t="shared" si="730"/>
        <v>14.35</v>
      </c>
      <c r="Q344" s="72">
        <f t="shared" si="731"/>
        <v>0</v>
      </c>
      <c r="R344" s="72">
        <f t="shared" si="732"/>
        <v>0</v>
      </c>
    </row>
    <row r="345" spans="1:18" x14ac:dyDescent="0.25">
      <c r="A345" s="26"/>
      <c r="B345" s="25" t="s">
        <v>432</v>
      </c>
      <c r="C345" s="15">
        <v>16</v>
      </c>
      <c r="D345" s="16"/>
      <c r="E345" s="15">
        <v>2</v>
      </c>
      <c r="F345" s="11">
        <v>1</v>
      </c>
      <c r="G345" s="11">
        <v>2</v>
      </c>
      <c r="H345" s="95">
        <f>0.58+8*$C345/1000</f>
        <v>0.70799999999999996</v>
      </c>
      <c r="I345" s="95">
        <v>2.5150000000000001</v>
      </c>
      <c r="J345" s="95">
        <f>((0.79)/3)+0.1</f>
        <v>0.3633333333333334</v>
      </c>
      <c r="K345" s="22"/>
      <c r="L345" s="72">
        <f>SUM(H345:J345)+K345</f>
        <v>3.5863333333333332</v>
      </c>
      <c r="M345" s="72">
        <f t="shared" si="727"/>
        <v>0</v>
      </c>
      <c r="N345" s="72">
        <f t="shared" si="728"/>
        <v>0</v>
      </c>
      <c r="O345" s="72">
        <f t="shared" si="729"/>
        <v>0</v>
      </c>
      <c r="P345" s="72">
        <f t="shared" si="730"/>
        <v>14.35</v>
      </c>
      <c r="Q345" s="72">
        <f t="shared" si="731"/>
        <v>0</v>
      </c>
      <c r="R345" s="72">
        <f t="shared" si="732"/>
        <v>0</v>
      </c>
    </row>
    <row r="346" spans="1:18" x14ac:dyDescent="0.25">
      <c r="A346" s="26"/>
      <c r="B346" s="25" t="s">
        <v>453</v>
      </c>
      <c r="C346" s="15">
        <v>8</v>
      </c>
      <c r="D346" s="16">
        <v>100</v>
      </c>
      <c r="E346" s="15">
        <v>2</v>
      </c>
      <c r="F346" s="11">
        <v>1</v>
      </c>
      <c r="G346" s="11">
        <f>+ROUND(2.515/0.1,0)</f>
        <v>25</v>
      </c>
      <c r="H346" s="95"/>
      <c r="I346" s="95">
        <f>2*(0.15+0.4)+16*C346/1000</f>
        <v>1.2280000000000002</v>
      </c>
      <c r="J346" s="100"/>
      <c r="K346" s="47"/>
      <c r="L346" s="72">
        <f t="shared" ref="L346" si="733">SUM(H346:J346)+K346</f>
        <v>1.2280000000000002</v>
      </c>
      <c r="M346" s="72">
        <f t="shared" si="727"/>
        <v>61.4</v>
      </c>
      <c r="N346" s="72">
        <f t="shared" si="728"/>
        <v>0</v>
      </c>
      <c r="O346" s="72">
        <f t="shared" si="729"/>
        <v>0</v>
      </c>
      <c r="P346" s="72">
        <f t="shared" si="730"/>
        <v>0</v>
      </c>
      <c r="Q346" s="72">
        <f t="shared" si="731"/>
        <v>0</v>
      </c>
      <c r="R346" s="72">
        <f t="shared" si="732"/>
        <v>0</v>
      </c>
    </row>
    <row r="347" spans="1:18" x14ac:dyDescent="0.25">
      <c r="A347" s="26"/>
      <c r="B347" s="25"/>
      <c r="C347" s="15"/>
      <c r="D347" s="16"/>
      <c r="E347" s="15"/>
      <c r="F347" s="11"/>
      <c r="G347" s="11"/>
      <c r="H347" s="95"/>
      <c r="I347" s="95"/>
      <c r="J347" s="100"/>
      <c r="K347" s="47"/>
      <c r="L347" s="72"/>
      <c r="M347" s="72"/>
      <c r="N347" s="72"/>
      <c r="O347" s="72"/>
      <c r="P347" s="72"/>
      <c r="Q347" s="72"/>
      <c r="R347" s="72"/>
    </row>
    <row r="348" spans="1:18" x14ac:dyDescent="0.25">
      <c r="A348" s="26" t="s">
        <v>498</v>
      </c>
      <c r="B348" s="48" t="s">
        <v>496</v>
      </c>
      <c r="C348" s="15"/>
      <c r="D348" s="16"/>
      <c r="E348" s="15"/>
      <c r="F348" s="11"/>
      <c r="G348" s="11"/>
      <c r="H348" s="95"/>
      <c r="I348" s="95"/>
      <c r="J348" s="100"/>
      <c r="K348" s="22"/>
      <c r="L348" s="72">
        <f t="shared" ref="L348" si="734">SUM(H348:J348)+K348</f>
        <v>0</v>
      </c>
      <c r="M348" s="72">
        <f t="shared" ref="M348:M351" si="735">+ROUND(IF(C348=8,PRODUCT(E348,F348,G348,L348),0),2)</f>
        <v>0</v>
      </c>
      <c r="N348" s="72">
        <f t="shared" ref="N348:N351" si="736">+ROUND(IF(C348=10,PRODUCT(E348,F348,G348,L348),0),2)</f>
        <v>0</v>
      </c>
      <c r="O348" s="72">
        <f t="shared" ref="O348:O351" si="737">+ROUND(IF(C348=12,PRODUCT(E348,F348,G348,L348),0),2)</f>
        <v>0</v>
      </c>
      <c r="P348" s="72">
        <f t="shared" ref="P348:P351" si="738">+ROUND(IF(C348=16,PRODUCT(E348,F348,G348,L348),0),2)</f>
        <v>0</v>
      </c>
      <c r="Q348" s="72">
        <f t="shared" ref="Q348:Q351" si="739">+ROUND(IF(C348=20,PRODUCT(E348,F348,G348,L348),0),2)</f>
        <v>0</v>
      </c>
      <c r="R348" s="72">
        <f t="shared" ref="R348:R351" si="740">+ROUND(IF(C348=25,PRODUCT(E348,F348,G348,L348),0),2)</f>
        <v>0</v>
      </c>
    </row>
    <row r="349" spans="1:18" x14ac:dyDescent="0.25">
      <c r="A349" s="26"/>
      <c r="B349" s="25" t="s">
        <v>385</v>
      </c>
      <c r="C349" s="15">
        <v>16</v>
      </c>
      <c r="D349" s="16"/>
      <c r="E349" s="15">
        <v>2</v>
      </c>
      <c r="F349" s="11">
        <v>1</v>
      </c>
      <c r="G349" s="11">
        <v>2</v>
      </c>
      <c r="H349" s="95">
        <f>0.58+8*$C349/1000</f>
        <v>0.70799999999999996</v>
      </c>
      <c r="I349" s="95">
        <v>3.1150000000000002</v>
      </c>
      <c r="J349" s="95">
        <f>((0.79)/3)+0.1</f>
        <v>0.3633333333333334</v>
      </c>
      <c r="K349" s="22"/>
      <c r="L349" s="72">
        <f>SUM(H349:J349)+K349</f>
        <v>4.1863333333333337</v>
      </c>
      <c r="M349" s="72">
        <f t="shared" si="735"/>
        <v>0</v>
      </c>
      <c r="N349" s="72">
        <f t="shared" si="736"/>
        <v>0</v>
      </c>
      <c r="O349" s="72">
        <f t="shared" si="737"/>
        <v>0</v>
      </c>
      <c r="P349" s="72">
        <f t="shared" si="738"/>
        <v>16.75</v>
      </c>
      <c r="Q349" s="72">
        <f t="shared" si="739"/>
        <v>0</v>
      </c>
      <c r="R349" s="72">
        <f t="shared" si="740"/>
        <v>0</v>
      </c>
    </row>
    <row r="350" spans="1:18" x14ac:dyDescent="0.25">
      <c r="A350" s="26"/>
      <c r="B350" s="25" t="s">
        <v>432</v>
      </c>
      <c r="C350" s="15">
        <v>16</v>
      </c>
      <c r="D350" s="16"/>
      <c r="E350" s="15">
        <v>2</v>
      </c>
      <c r="F350" s="11">
        <v>1</v>
      </c>
      <c r="G350" s="11">
        <v>2</v>
      </c>
      <c r="H350" s="95">
        <f>0.58+8*$C350/1000</f>
        <v>0.70799999999999996</v>
      </c>
      <c r="I350" s="95">
        <v>3.1150000000000002</v>
      </c>
      <c r="J350" s="95">
        <f>((0.79)/3)+0.1</f>
        <v>0.3633333333333334</v>
      </c>
      <c r="K350" s="22"/>
      <c r="L350" s="72">
        <f>SUM(H350:J350)+K350</f>
        <v>4.1863333333333337</v>
      </c>
      <c r="M350" s="72">
        <f t="shared" si="735"/>
        <v>0</v>
      </c>
      <c r="N350" s="72">
        <f t="shared" si="736"/>
        <v>0</v>
      </c>
      <c r="O350" s="72">
        <f t="shared" si="737"/>
        <v>0</v>
      </c>
      <c r="P350" s="72">
        <f t="shared" si="738"/>
        <v>16.75</v>
      </c>
      <c r="Q350" s="72">
        <f t="shared" si="739"/>
        <v>0</v>
      </c>
      <c r="R350" s="72">
        <f t="shared" si="740"/>
        <v>0</v>
      </c>
    </row>
    <row r="351" spans="1:18" x14ac:dyDescent="0.25">
      <c r="A351" s="26"/>
      <c r="B351" s="25" t="s">
        <v>481</v>
      </c>
      <c r="C351" s="15">
        <v>8</v>
      </c>
      <c r="D351" s="16">
        <v>100</v>
      </c>
      <c r="E351" s="15">
        <v>2</v>
      </c>
      <c r="F351" s="11">
        <v>1</v>
      </c>
      <c r="G351" s="11">
        <f>+ROUND(1.8/0.1+1,0)</f>
        <v>19</v>
      </c>
      <c r="H351" s="95"/>
      <c r="I351" s="95">
        <f>2*(0.18+0.4)+16*C351/1000</f>
        <v>1.2880000000000003</v>
      </c>
      <c r="J351" s="100"/>
      <c r="K351" s="47"/>
      <c r="L351" s="72">
        <f t="shared" ref="L351" si="741">SUM(H351:J351)+K351</f>
        <v>1.2880000000000003</v>
      </c>
      <c r="M351" s="72">
        <f t="shared" si="735"/>
        <v>48.94</v>
      </c>
      <c r="N351" s="72">
        <f t="shared" si="736"/>
        <v>0</v>
      </c>
      <c r="O351" s="72">
        <f t="shared" si="737"/>
        <v>0</v>
      </c>
      <c r="P351" s="72">
        <f t="shared" si="738"/>
        <v>0</v>
      </c>
      <c r="Q351" s="72">
        <f t="shared" si="739"/>
        <v>0</v>
      </c>
      <c r="R351" s="72">
        <f t="shared" si="740"/>
        <v>0</v>
      </c>
    </row>
    <row r="352" spans="1:18" x14ac:dyDescent="0.25">
      <c r="A352" s="26"/>
      <c r="B352" s="25"/>
      <c r="C352" s="15">
        <v>8</v>
      </c>
      <c r="D352" s="16">
        <v>150</v>
      </c>
      <c r="E352" s="15">
        <v>2</v>
      </c>
      <c r="F352" s="11">
        <v>1</v>
      </c>
      <c r="G352" s="11">
        <f>+ROUND(1.315/0.15+1,0)</f>
        <v>10</v>
      </c>
      <c r="H352" s="95"/>
      <c r="I352" s="95">
        <f>2*(0.18+0.4)+16*C352/1000</f>
        <v>1.2880000000000003</v>
      </c>
      <c r="J352" s="100"/>
      <c r="K352" s="47"/>
      <c r="L352" s="72">
        <f t="shared" ref="L352" si="742">SUM(H352:J352)+K352</f>
        <v>1.2880000000000003</v>
      </c>
      <c r="M352" s="72">
        <f t="shared" ref="M352" si="743">+ROUND(IF(C352=8,PRODUCT(E352,F352,G352,L352),0),2)</f>
        <v>25.76</v>
      </c>
      <c r="N352" s="72">
        <f t="shared" ref="N352" si="744">+ROUND(IF(C352=10,PRODUCT(E352,F352,G352,L352),0),2)</f>
        <v>0</v>
      </c>
      <c r="O352" s="72">
        <f t="shared" ref="O352" si="745">+ROUND(IF(C352=12,PRODUCT(E352,F352,G352,L352),0),2)</f>
        <v>0</v>
      </c>
      <c r="P352" s="72">
        <f t="shared" ref="P352" si="746">+ROUND(IF(C352=16,PRODUCT(E352,F352,G352,L352),0),2)</f>
        <v>0</v>
      </c>
      <c r="Q352" s="72">
        <f t="shared" ref="Q352" si="747">+ROUND(IF(C352=20,PRODUCT(E352,F352,G352,L352),0),2)</f>
        <v>0</v>
      </c>
      <c r="R352" s="72">
        <f t="shared" ref="R352" si="748">+ROUND(IF(C352=25,PRODUCT(E352,F352,G352,L352),0),2)</f>
        <v>0</v>
      </c>
    </row>
    <row r="353" spans="1:18" x14ac:dyDescent="0.25">
      <c r="A353" s="26"/>
      <c r="B353" s="25"/>
      <c r="C353" s="15"/>
      <c r="D353" s="16"/>
      <c r="E353" s="15"/>
      <c r="F353" s="11"/>
      <c r="G353" s="11"/>
      <c r="H353" s="95"/>
      <c r="I353" s="95"/>
      <c r="J353" s="100"/>
      <c r="K353" s="47"/>
      <c r="L353" s="72"/>
      <c r="M353" s="72"/>
      <c r="N353" s="72"/>
      <c r="O353" s="72"/>
      <c r="P353" s="72"/>
      <c r="Q353" s="72"/>
      <c r="R353" s="72"/>
    </row>
    <row r="354" spans="1:18" x14ac:dyDescent="0.25">
      <c r="A354" s="26" t="s">
        <v>439</v>
      </c>
      <c r="B354" s="48" t="s">
        <v>497</v>
      </c>
      <c r="C354" s="15"/>
      <c r="D354" s="16"/>
      <c r="E354" s="15"/>
      <c r="F354" s="11"/>
      <c r="G354" s="11"/>
      <c r="H354" s="95"/>
      <c r="I354" s="95"/>
      <c r="J354" s="100"/>
      <c r="K354" s="22"/>
      <c r="L354" s="72">
        <f t="shared" ref="L354" si="749">SUM(H354:J354)+K354</f>
        <v>0</v>
      </c>
      <c r="M354" s="72">
        <f t="shared" ref="M354:M362" si="750">+ROUND(IF(C354=8,PRODUCT(E354,F354,G354,L354),0),2)</f>
        <v>0</v>
      </c>
      <c r="N354" s="72">
        <f t="shared" ref="N354:N362" si="751">+ROUND(IF(C354=10,PRODUCT(E354,F354,G354,L354),0),2)</f>
        <v>0</v>
      </c>
      <c r="O354" s="72">
        <f t="shared" ref="O354:O362" si="752">+ROUND(IF(C354=12,PRODUCT(E354,F354,G354,L354),0),2)</f>
        <v>0</v>
      </c>
      <c r="P354" s="72">
        <f t="shared" ref="P354:P362" si="753">+ROUND(IF(C354=16,PRODUCT(E354,F354,G354,L354),0),2)</f>
        <v>0</v>
      </c>
      <c r="Q354" s="72">
        <f t="shared" ref="Q354:Q362" si="754">+ROUND(IF(C354=20,PRODUCT(E354,F354,G354,L354),0),2)</f>
        <v>0</v>
      </c>
      <c r="R354" s="72">
        <f t="shared" ref="R354:R362" si="755">+ROUND(IF(C354=25,PRODUCT(E354,F354,G354,L354),0),2)</f>
        <v>0</v>
      </c>
    </row>
    <row r="355" spans="1:18" x14ac:dyDescent="0.25">
      <c r="A355" s="26"/>
      <c r="B355" s="25" t="s">
        <v>385</v>
      </c>
      <c r="C355" s="15">
        <v>12</v>
      </c>
      <c r="D355" s="16"/>
      <c r="E355" s="15">
        <v>2</v>
      </c>
      <c r="F355" s="11">
        <v>1</v>
      </c>
      <c r="G355" s="11">
        <v>2</v>
      </c>
      <c r="H355" s="95">
        <f>((0.59)/3)+0.1</f>
        <v>0.29666666666666663</v>
      </c>
      <c r="I355" s="95">
        <v>2.3450000000000002</v>
      </c>
      <c r="J355" s="95">
        <f>((0.59)/3)+0.1</f>
        <v>0.29666666666666663</v>
      </c>
      <c r="K355" s="22"/>
      <c r="L355" s="72">
        <f>SUM(H355:J355)+K355</f>
        <v>2.9383333333333335</v>
      </c>
      <c r="M355" s="72">
        <f t="shared" si="750"/>
        <v>0</v>
      </c>
      <c r="N355" s="72">
        <f t="shared" si="751"/>
        <v>0</v>
      </c>
      <c r="O355" s="72">
        <f t="shared" si="752"/>
        <v>11.75</v>
      </c>
      <c r="P355" s="72">
        <f t="shared" si="753"/>
        <v>0</v>
      </c>
      <c r="Q355" s="72">
        <f t="shared" si="754"/>
        <v>0</v>
      </c>
      <c r="R355" s="72">
        <f t="shared" si="755"/>
        <v>0</v>
      </c>
    </row>
    <row r="356" spans="1:18" x14ac:dyDescent="0.25">
      <c r="A356" s="26"/>
      <c r="B356" s="25" t="s">
        <v>432</v>
      </c>
      <c r="C356" s="15">
        <v>12</v>
      </c>
      <c r="D356" s="16"/>
      <c r="E356" s="15">
        <v>2</v>
      </c>
      <c r="F356" s="11">
        <v>1</v>
      </c>
      <c r="G356" s="11">
        <v>2</v>
      </c>
      <c r="H356" s="95">
        <f>((0.59)/3)+0.1</f>
        <v>0.29666666666666663</v>
      </c>
      <c r="I356" s="95">
        <v>2.3450000000000002</v>
      </c>
      <c r="J356" s="95">
        <f>((0.59)/3)+0.1</f>
        <v>0.29666666666666663</v>
      </c>
      <c r="K356" s="22"/>
      <c r="L356" s="72">
        <f>SUM(H356:J356)+K356</f>
        <v>2.9383333333333335</v>
      </c>
      <c r="M356" s="72">
        <f t="shared" si="750"/>
        <v>0</v>
      </c>
      <c r="N356" s="72">
        <f t="shared" si="751"/>
        <v>0</v>
      </c>
      <c r="O356" s="72">
        <f t="shared" si="752"/>
        <v>11.75</v>
      </c>
      <c r="P356" s="72">
        <f t="shared" si="753"/>
        <v>0</v>
      </c>
      <c r="Q356" s="72">
        <f t="shared" si="754"/>
        <v>0</v>
      </c>
      <c r="R356" s="72">
        <f t="shared" si="755"/>
        <v>0</v>
      </c>
    </row>
    <row r="357" spans="1:18" x14ac:dyDescent="0.25">
      <c r="A357" s="26"/>
      <c r="B357" s="25" t="s">
        <v>447</v>
      </c>
      <c r="C357" s="15">
        <v>10</v>
      </c>
      <c r="D357" s="16">
        <v>100</v>
      </c>
      <c r="E357" s="15">
        <v>2</v>
      </c>
      <c r="F357" s="11">
        <v>1</v>
      </c>
      <c r="G357" s="11">
        <f>+ROUND(2.345/0.1+1,0)</f>
        <v>24</v>
      </c>
      <c r="H357" s="95"/>
      <c r="I357" s="95">
        <f>2*(0.15+0.3)+16*C357/1000</f>
        <v>1.0599999999999998</v>
      </c>
      <c r="J357" s="100"/>
      <c r="K357" s="47"/>
      <c r="L357" s="72">
        <f t="shared" ref="L357" si="756">SUM(H357:J357)+K357</f>
        <v>1.0599999999999998</v>
      </c>
      <c r="M357" s="72">
        <f t="shared" si="750"/>
        <v>0</v>
      </c>
      <c r="N357" s="72">
        <f t="shared" si="751"/>
        <v>50.88</v>
      </c>
      <c r="O357" s="72">
        <f t="shared" si="752"/>
        <v>0</v>
      </c>
      <c r="P357" s="72">
        <f t="shared" si="753"/>
        <v>0</v>
      </c>
      <c r="Q357" s="72">
        <f t="shared" si="754"/>
        <v>0</v>
      </c>
      <c r="R357" s="72">
        <f t="shared" si="755"/>
        <v>0</v>
      </c>
    </row>
    <row r="358" spans="1:18" x14ac:dyDescent="0.25">
      <c r="A358" s="26"/>
      <c r="B358" s="25"/>
      <c r="C358" s="15"/>
      <c r="D358" s="16"/>
      <c r="E358" s="15"/>
      <c r="F358" s="11"/>
      <c r="G358" s="11"/>
      <c r="H358" s="95"/>
      <c r="I358" s="95"/>
      <c r="J358" s="100"/>
      <c r="K358" s="47"/>
      <c r="L358" s="72"/>
      <c r="M358" s="72"/>
      <c r="N358" s="72"/>
      <c r="O358" s="72"/>
      <c r="P358" s="72"/>
      <c r="Q358" s="72"/>
      <c r="R358" s="72"/>
    </row>
    <row r="359" spans="1:18" x14ac:dyDescent="0.25">
      <c r="A359" s="26" t="s">
        <v>459</v>
      </c>
      <c r="B359" s="48" t="s">
        <v>499</v>
      </c>
      <c r="C359" s="15"/>
      <c r="D359" s="16"/>
      <c r="E359" s="15"/>
      <c r="F359" s="11"/>
      <c r="G359" s="11"/>
      <c r="H359" s="95"/>
      <c r="I359" s="95"/>
      <c r="J359" s="100"/>
      <c r="K359" s="22"/>
      <c r="L359" s="72">
        <f t="shared" ref="L359" si="757">SUM(H359:J359)+K359</f>
        <v>0</v>
      </c>
      <c r="M359" s="72">
        <f t="shared" si="750"/>
        <v>0</v>
      </c>
      <c r="N359" s="72">
        <f t="shared" si="751"/>
        <v>0</v>
      </c>
      <c r="O359" s="72">
        <f t="shared" si="752"/>
        <v>0</v>
      </c>
      <c r="P359" s="72">
        <f t="shared" si="753"/>
        <v>0</v>
      </c>
      <c r="Q359" s="72">
        <f t="shared" si="754"/>
        <v>0</v>
      </c>
      <c r="R359" s="72">
        <f t="shared" si="755"/>
        <v>0</v>
      </c>
    </row>
    <row r="360" spans="1:18" x14ac:dyDescent="0.25">
      <c r="A360" s="26"/>
      <c r="B360" s="25" t="s">
        <v>385</v>
      </c>
      <c r="C360" s="15">
        <v>16</v>
      </c>
      <c r="D360" s="16"/>
      <c r="E360" s="15">
        <v>2</v>
      </c>
      <c r="F360" s="11">
        <v>1</v>
      </c>
      <c r="G360" s="11">
        <v>2</v>
      </c>
      <c r="H360" s="95">
        <f>0.58+8*$C360/1000</f>
        <v>0.70799999999999996</v>
      </c>
      <c r="I360" s="95">
        <v>3.2</v>
      </c>
      <c r="J360" s="95">
        <f>0.58+8*$C360/1000</f>
        <v>0.70799999999999996</v>
      </c>
      <c r="K360" s="22"/>
      <c r="L360" s="72">
        <f>SUM(H360:J360)+K360</f>
        <v>4.6160000000000005</v>
      </c>
      <c r="M360" s="72">
        <f t="shared" si="750"/>
        <v>0</v>
      </c>
      <c r="N360" s="72">
        <f t="shared" si="751"/>
        <v>0</v>
      </c>
      <c r="O360" s="72">
        <f t="shared" si="752"/>
        <v>0</v>
      </c>
      <c r="P360" s="72">
        <f t="shared" si="753"/>
        <v>18.46</v>
      </c>
      <c r="Q360" s="72">
        <f t="shared" si="754"/>
        <v>0</v>
      </c>
      <c r="R360" s="72">
        <f t="shared" si="755"/>
        <v>0</v>
      </c>
    </row>
    <row r="361" spans="1:18" x14ac:dyDescent="0.25">
      <c r="A361" s="26"/>
      <c r="B361" s="25" t="s">
        <v>432</v>
      </c>
      <c r="C361" s="15">
        <v>16</v>
      </c>
      <c r="D361" s="16"/>
      <c r="E361" s="15">
        <v>2</v>
      </c>
      <c r="F361" s="11">
        <v>1</v>
      </c>
      <c r="G361" s="11">
        <v>2</v>
      </c>
      <c r="H361" s="95">
        <f>0.58+8*$C361/1000</f>
        <v>0.70799999999999996</v>
      </c>
      <c r="I361" s="95">
        <v>3.2</v>
      </c>
      <c r="J361" s="95">
        <f>0.58+8*$C361/1000</f>
        <v>0.70799999999999996</v>
      </c>
      <c r="K361" s="22"/>
      <c r="L361" s="72">
        <f>SUM(H361:J361)+K361</f>
        <v>4.6160000000000005</v>
      </c>
      <c r="M361" s="72">
        <f t="shared" si="750"/>
        <v>0</v>
      </c>
      <c r="N361" s="72">
        <f t="shared" si="751"/>
        <v>0</v>
      </c>
      <c r="O361" s="72">
        <f t="shared" si="752"/>
        <v>0</v>
      </c>
      <c r="P361" s="72">
        <f t="shared" si="753"/>
        <v>18.46</v>
      </c>
      <c r="Q361" s="72">
        <f t="shared" si="754"/>
        <v>0</v>
      </c>
      <c r="R361" s="72">
        <f t="shared" si="755"/>
        <v>0</v>
      </c>
    </row>
    <row r="362" spans="1:18" x14ac:dyDescent="0.25">
      <c r="A362" s="26"/>
      <c r="B362" s="25" t="s">
        <v>476</v>
      </c>
      <c r="C362" s="15">
        <v>10</v>
      </c>
      <c r="D362" s="16">
        <v>100</v>
      </c>
      <c r="E362" s="15">
        <v>2</v>
      </c>
      <c r="F362" s="11">
        <v>1</v>
      </c>
      <c r="G362" s="11">
        <f>+ROUND(1.8/0.1,0)</f>
        <v>18</v>
      </c>
      <c r="H362" s="95"/>
      <c r="I362" s="95">
        <f>2*(0.18+0.45)+16*C362/1000</f>
        <v>1.42</v>
      </c>
      <c r="J362" s="100"/>
      <c r="K362" s="47"/>
      <c r="L362" s="72">
        <f t="shared" ref="L362" si="758">SUM(H362:J362)+K362</f>
        <v>1.42</v>
      </c>
      <c r="M362" s="72">
        <f t="shared" si="750"/>
        <v>0</v>
      </c>
      <c r="N362" s="72">
        <f t="shared" si="751"/>
        <v>51.12</v>
      </c>
      <c r="O362" s="72">
        <f t="shared" si="752"/>
        <v>0</v>
      </c>
      <c r="P362" s="72">
        <f t="shared" si="753"/>
        <v>0</v>
      </c>
      <c r="Q362" s="72">
        <f t="shared" si="754"/>
        <v>0</v>
      </c>
      <c r="R362" s="72">
        <f t="shared" si="755"/>
        <v>0</v>
      </c>
    </row>
    <row r="363" spans="1:18" x14ac:dyDescent="0.25">
      <c r="A363" s="26"/>
      <c r="B363" s="25"/>
      <c r="C363" s="15">
        <v>10</v>
      </c>
      <c r="D363" s="16">
        <v>150</v>
      </c>
      <c r="E363" s="15">
        <v>2</v>
      </c>
      <c r="F363" s="11">
        <v>1</v>
      </c>
      <c r="G363" s="11">
        <f>+ROUND(1.2/0.15+1,0)</f>
        <v>9</v>
      </c>
      <c r="H363" s="95"/>
      <c r="I363" s="95">
        <f>2*(0.18+0.45)+16*C363/1000</f>
        <v>1.42</v>
      </c>
      <c r="J363" s="100"/>
      <c r="K363" s="47"/>
      <c r="L363" s="72">
        <f t="shared" ref="L363" si="759">SUM(H363:J363)+K363</f>
        <v>1.42</v>
      </c>
      <c r="M363" s="72">
        <f t="shared" ref="M363:M367" si="760">+ROUND(IF(C363=8,PRODUCT(E363,F363,G363,L363),0),2)</f>
        <v>0</v>
      </c>
      <c r="N363" s="72">
        <f t="shared" ref="N363:N367" si="761">+ROUND(IF(C363=10,PRODUCT(E363,F363,G363,L363),0),2)</f>
        <v>25.56</v>
      </c>
      <c r="O363" s="72">
        <f t="shared" ref="O363:O367" si="762">+ROUND(IF(C363=12,PRODUCT(E363,F363,G363,L363),0),2)</f>
        <v>0</v>
      </c>
      <c r="P363" s="72">
        <f t="shared" ref="P363:P367" si="763">+ROUND(IF(C363=16,PRODUCT(E363,F363,G363,L363),0),2)</f>
        <v>0</v>
      </c>
      <c r="Q363" s="72">
        <f t="shared" ref="Q363:Q367" si="764">+ROUND(IF(C363=20,PRODUCT(E363,F363,G363,L363),0),2)</f>
        <v>0</v>
      </c>
      <c r="R363" s="72">
        <f t="shared" ref="R363:R367" si="765">+ROUND(IF(C363=25,PRODUCT(E363,F363,G363,L363),0),2)</f>
        <v>0</v>
      </c>
    </row>
    <row r="364" spans="1:18" x14ac:dyDescent="0.25">
      <c r="A364" s="26" t="s">
        <v>498</v>
      </c>
      <c r="B364" s="48" t="s">
        <v>500</v>
      </c>
      <c r="C364" s="15"/>
      <c r="D364" s="16"/>
      <c r="E364" s="15"/>
      <c r="F364" s="11"/>
      <c r="G364" s="11"/>
      <c r="H364" s="95"/>
      <c r="I364" s="95"/>
      <c r="J364" s="100"/>
      <c r="K364" s="22"/>
      <c r="L364" s="72">
        <f t="shared" ref="L364" si="766">SUM(H364:J364)+K364</f>
        <v>0</v>
      </c>
      <c r="M364" s="72">
        <f t="shared" si="760"/>
        <v>0</v>
      </c>
      <c r="N364" s="72">
        <f t="shared" si="761"/>
        <v>0</v>
      </c>
      <c r="O364" s="72">
        <f t="shared" si="762"/>
        <v>0</v>
      </c>
      <c r="P364" s="72">
        <f t="shared" si="763"/>
        <v>0</v>
      </c>
      <c r="Q364" s="72">
        <f t="shared" si="764"/>
        <v>0</v>
      </c>
      <c r="R364" s="72">
        <f t="shared" si="765"/>
        <v>0</v>
      </c>
    </row>
    <row r="365" spans="1:18" x14ac:dyDescent="0.25">
      <c r="A365" s="26"/>
      <c r="B365" s="25" t="s">
        <v>385</v>
      </c>
      <c r="C365" s="15">
        <v>12</v>
      </c>
      <c r="D365" s="16"/>
      <c r="E365" s="15">
        <v>2</v>
      </c>
      <c r="F365" s="11">
        <v>1</v>
      </c>
      <c r="G365" s="11">
        <v>2</v>
      </c>
      <c r="H365" s="95">
        <f>((0.59)/3)+0.1</f>
        <v>0.29666666666666663</v>
      </c>
      <c r="I365" s="95">
        <v>0.35</v>
      </c>
      <c r="J365" s="95">
        <f>((0.59)/3)+0.1</f>
        <v>0.29666666666666663</v>
      </c>
      <c r="K365" s="22"/>
      <c r="L365" s="72">
        <f>SUM(H365:J365)+K365</f>
        <v>0.94333333333333325</v>
      </c>
      <c r="M365" s="72">
        <f t="shared" si="760"/>
        <v>0</v>
      </c>
      <c r="N365" s="72">
        <f t="shared" si="761"/>
        <v>0</v>
      </c>
      <c r="O365" s="72">
        <f t="shared" si="762"/>
        <v>3.77</v>
      </c>
      <c r="P365" s="72">
        <f t="shared" si="763"/>
        <v>0</v>
      </c>
      <c r="Q365" s="72">
        <f t="shared" si="764"/>
        <v>0</v>
      </c>
      <c r="R365" s="72">
        <f t="shared" si="765"/>
        <v>0</v>
      </c>
    </row>
    <row r="366" spans="1:18" x14ac:dyDescent="0.25">
      <c r="A366" s="26"/>
      <c r="B366" s="25" t="s">
        <v>432</v>
      </c>
      <c r="C366" s="15">
        <v>12</v>
      </c>
      <c r="D366" s="16"/>
      <c r="E366" s="15">
        <v>2</v>
      </c>
      <c r="F366" s="11">
        <v>1</v>
      </c>
      <c r="G366" s="11">
        <v>2</v>
      </c>
      <c r="H366" s="95">
        <f>((0.59)/3)+0.1</f>
        <v>0.29666666666666663</v>
      </c>
      <c r="I366" s="95">
        <v>0.35</v>
      </c>
      <c r="J366" s="95">
        <f>((0.59)/3)+0.1</f>
        <v>0.29666666666666663</v>
      </c>
      <c r="K366" s="22"/>
      <c r="L366" s="72">
        <f>SUM(H366:J366)+K366</f>
        <v>0.94333333333333325</v>
      </c>
      <c r="M366" s="72">
        <f t="shared" si="760"/>
        <v>0</v>
      </c>
      <c r="N366" s="72">
        <f t="shared" si="761"/>
        <v>0</v>
      </c>
      <c r="O366" s="72">
        <f t="shared" si="762"/>
        <v>3.77</v>
      </c>
      <c r="P366" s="72">
        <f t="shared" si="763"/>
        <v>0</v>
      </c>
      <c r="Q366" s="72">
        <f t="shared" si="764"/>
        <v>0</v>
      </c>
      <c r="R366" s="72">
        <f t="shared" si="765"/>
        <v>0</v>
      </c>
    </row>
    <row r="367" spans="1:18" x14ac:dyDescent="0.25">
      <c r="A367" s="26"/>
      <c r="B367" s="25" t="s">
        <v>481</v>
      </c>
      <c r="C367" s="15">
        <v>10</v>
      </c>
      <c r="D367" s="16">
        <v>100</v>
      </c>
      <c r="E367" s="15">
        <v>2</v>
      </c>
      <c r="F367" s="11">
        <v>1</v>
      </c>
      <c r="G367" s="11">
        <f>+ROUND(0.35/0.1+1,0)</f>
        <v>5</v>
      </c>
      <c r="H367" s="95"/>
      <c r="I367" s="95">
        <f>2*(0.18+0.4)+16*C367/1000</f>
        <v>1.32</v>
      </c>
      <c r="J367" s="100"/>
      <c r="K367" s="47"/>
      <c r="L367" s="72">
        <f t="shared" ref="L367" si="767">SUM(H367:J367)+K367</f>
        <v>1.32</v>
      </c>
      <c r="M367" s="72">
        <f t="shared" si="760"/>
        <v>0</v>
      </c>
      <c r="N367" s="72">
        <f t="shared" si="761"/>
        <v>13.2</v>
      </c>
      <c r="O367" s="72">
        <f t="shared" si="762"/>
        <v>0</v>
      </c>
      <c r="P367" s="72">
        <f t="shared" si="763"/>
        <v>0</v>
      </c>
      <c r="Q367" s="72">
        <f t="shared" si="764"/>
        <v>0</v>
      </c>
      <c r="R367" s="72">
        <f t="shared" si="765"/>
        <v>0</v>
      </c>
    </row>
    <row r="368" spans="1:18" x14ac:dyDescent="0.25">
      <c r="A368" s="26"/>
      <c r="B368" s="25"/>
      <c r="C368" s="15"/>
      <c r="D368" s="16"/>
      <c r="E368" s="15"/>
      <c r="F368" s="11"/>
      <c r="G368" s="11"/>
      <c r="H368" s="95"/>
      <c r="I368" s="95"/>
      <c r="J368" s="100"/>
      <c r="K368" s="47"/>
      <c r="L368" s="72"/>
      <c r="M368" s="72"/>
      <c r="N368" s="72"/>
      <c r="O368" s="72"/>
      <c r="P368" s="72"/>
      <c r="Q368" s="72"/>
      <c r="R368" s="72"/>
    </row>
    <row r="369" spans="1:18" x14ac:dyDescent="0.25">
      <c r="A369" s="26" t="s">
        <v>442</v>
      </c>
      <c r="B369" s="48" t="s">
        <v>501</v>
      </c>
      <c r="C369" s="15"/>
      <c r="D369" s="16"/>
      <c r="E369" s="15"/>
      <c r="F369" s="11"/>
      <c r="G369" s="11"/>
      <c r="H369" s="95"/>
      <c r="I369" s="95"/>
      <c r="J369" s="100"/>
      <c r="K369" s="22"/>
      <c r="L369" s="72">
        <f t="shared" ref="L369" si="768">SUM(H369:J369)+K369</f>
        <v>0</v>
      </c>
      <c r="M369" s="72">
        <f t="shared" ref="M369:M374" si="769">+ROUND(IF(C369=8,PRODUCT(E369,F369,G369,L369),0),2)</f>
        <v>0</v>
      </c>
      <c r="N369" s="72">
        <f t="shared" ref="N369:N374" si="770">+ROUND(IF(C369=10,PRODUCT(E369,F369,G369,L369),0),2)</f>
        <v>0</v>
      </c>
      <c r="O369" s="72">
        <f t="shared" ref="O369:O374" si="771">+ROUND(IF(C369=12,PRODUCT(E369,F369,G369,L369),0),2)</f>
        <v>0</v>
      </c>
      <c r="P369" s="72">
        <f t="shared" ref="P369:P374" si="772">+ROUND(IF(C369=16,PRODUCT(E369,F369,G369,L369),0),2)</f>
        <v>0</v>
      </c>
      <c r="Q369" s="72">
        <f t="shared" ref="Q369:Q374" si="773">+ROUND(IF(C369=20,PRODUCT(E369,F369,G369,L369),0),2)</f>
        <v>0</v>
      </c>
      <c r="R369" s="72">
        <f t="shared" ref="R369:R374" si="774">+ROUND(IF(C369=25,PRODUCT(E369,F369,G369,L369),0),2)</f>
        <v>0</v>
      </c>
    </row>
    <row r="370" spans="1:18" x14ac:dyDescent="0.25">
      <c r="A370" s="26"/>
      <c r="B370" s="25" t="s">
        <v>385</v>
      </c>
      <c r="C370" s="15">
        <v>16</v>
      </c>
      <c r="D370" s="16"/>
      <c r="E370" s="15">
        <v>2</v>
      </c>
      <c r="F370" s="11">
        <v>1</v>
      </c>
      <c r="G370" s="11">
        <v>2</v>
      </c>
      <c r="H370" s="95">
        <f>0.58+10*$C370/1000</f>
        <v>0.74</v>
      </c>
      <c r="I370" s="95">
        <v>2.36</v>
      </c>
      <c r="J370" s="95">
        <f>((0.79)/3)+0.1</f>
        <v>0.3633333333333334</v>
      </c>
      <c r="K370" s="22"/>
      <c r="L370" s="72">
        <f>SUM(H370:J370)+K370</f>
        <v>3.4633333333333329</v>
      </c>
      <c r="M370" s="72">
        <f t="shared" si="769"/>
        <v>0</v>
      </c>
      <c r="N370" s="72">
        <f t="shared" si="770"/>
        <v>0</v>
      </c>
      <c r="O370" s="72">
        <f t="shared" si="771"/>
        <v>0</v>
      </c>
      <c r="P370" s="72">
        <f t="shared" si="772"/>
        <v>13.85</v>
      </c>
      <c r="Q370" s="72">
        <f t="shared" si="773"/>
        <v>0</v>
      </c>
      <c r="R370" s="72">
        <f t="shared" si="774"/>
        <v>0</v>
      </c>
    </row>
    <row r="371" spans="1:18" x14ac:dyDescent="0.25">
      <c r="A371" s="26"/>
      <c r="B371" s="25" t="s">
        <v>432</v>
      </c>
      <c r="C371" s="15">
        <v>16</v>
      </c>
      <c r="D371" s="16"/>
      <c r="E371" s="15">
        <v>2</v>
      </c>
      <c r="F371" s="11">
        <v>1</v>
      </c>
      <c r="G371" s="11">
        <v>2</v>
      </c>
      <c r="H371" s="95">
        <f>0.58+10*$C371/1000</f>
        <v>0.74</v>
      </c>
      <c r="I371" s="95">
        <v>2.36</v>
      </c>
      <c r="J371" s="95">
        <f>((0.79)/3)+0.1</f>
        <v>0.3633333333333334</v>
      </c>
      <c r="K371" s="22"/>
      <c r="L371" s="72">
        <f>SUM(H371:J371)+K371</f>
        <v>3.4633333333333329</v>
      </c>
      <c r="M371" s="72">
        <f t="shared" si="769"/>
        <v>0</v>
      </c>
      <c r="N371" s="72">
        <f t="shared" si="770"/>
        <v>0</v>
      </c>
      <c r="O371" s="72">
        <f t="shared" si="771"/>
        <v>0</v>
      </c>
      <c r="P371" s="72">
        <f t="shared" si="772"/>
        <v>13.85</v>
      </c>
      <c r="Q371" s="72">
        <f t="shared" si="773"/>
        <v>0</v>
      </c>
      <c r="R371" s="72">
        <f t="shared" si="774"/>
        <v>0</v>
      </c>
    </row>
    <row r="372" spans="1:18" x14ac:dyDescent="0.25">
      <c r="A372" s="26"/>
      <c r="B372" s="25" t="s">
        <v>433</v>
      </c>
      <c r="C372" s="15">
        <v>12</v>
      </c>
      <c r="D372" s="16"/>
      <c r="E372" s="15">
        <v>2</v>
      </c>
      <c r="F372" s="11">
        <v>1</v>
      </c>
      <c r="G372" s="11">
        <v>2</v>
      </c>
      <c r="H372" s="95">
        <f>0.44+10*$C372/1000</f>
        <v>0.56000000000000005</v>
      </c>
      <c r="I372" s="95">
        <v>0.6</v>
      </c>
      <c r="J372" s="100"/>
      <c r="K372" s="22"/>
      <c r="L372" s="72">
        <f>SUM(H372:J372)+K372</f>
        <v>1.1600000000000001</v>
      </c>
      <c r="M372" s="72">
        <f t="shared" si="769"/>
        <v>0</v>
      </c>
      <c r="N372" s="72">
        <f t="shared" si="770"/>
        <v>0</v>
      </c>
      <c r="O372" s="72">
        <f t="shared" si="771"/>
        <v>4.6399999999999997</v>
      </c>
      <c r="P372" s="72">
        <f t="shared" si="772"/>
        <v>0</v>
      </c>
      <c r="Q372" s="72">
        <f t="shared" si="773"/>
        <v>0</v>
      </c>
      <c r="R372" s="72">
        <f t="shared" si="774"/>
        <v>0</v>
      </c>
    </row>
    <row r="373" spans="1:18" x14ac:dyDescent="0.25">
      <c r="A373" s="26"/>
      <c r="B373" s="25" t="s">
        <v>453</v>
      </c>
      <c r="C373" s="15">
        <v>8</v>
      </c>
      <c r="D373" s="16">
        <v>100</v>
      </c>
      <c r="E373" s="15">
        <v>2</v>
      </c>
      <c r="F373" s="11">
        <v>1</v>
      </c>
      <c r="G373" s="11">
        <f>+ROUND(1.82/0.1,0)</f>
        <v>18</v>
      </c>
      <c r="H373" s="95"/>
      <c r="I373" s="95">
        <f>2*(0.15+0.4)+16*C373/1000</f>
        <v>1.2280000000000002</v>
      </c>
      <c r="J373" s="100"/>
      <c r="K373" s="47"/>
      <c r="L373" s="72">
        <f t="shared" ref="L373:L374" si="775">SUM(H373:J373)+K373</f>
        <v>1.2280000000000002</v>
      </c>
      <c r="M373" s="72">
        <f t="shared" si="769"/>
        <v>44.21</v>
      </c>
      <c r="N373" s="72">
        <f t="shared" si="770"/>
        <v>0</v>
      </c>
      <c r="O373" s="72">
        <f t="shared" si="771"/>
        <v>0</v>
      </c>
      <c r="P373" s="72">
        <f t="shared" si="772"/>
        <v>0</v>
      </c>
      <c r="Q373" s="72">
        <f t="shared" si="773"/>
        <v>0</v>
      </c>
      <c r="R373" s="72">
        <f t="shared" si="774"/>
        <v>0</v>
      </c>
    </row>
    <row r="374" spans="1:18" x14ac:dyDescent="0.25">
      <c r="A374" s="26"/>
      <c r="B374" s="25"/>
      <c r="C374" s="15">
        <v>8</v>
      </c>
      <c r="D374" s="16">
        <v>100</v>
      </c>
      <c r="E374" s="15">
        <v>2</v>
      </c>
      <c r="F374" s="11">
        <v>1</v>
      </c>
      <c r="G374" s="11">
        <f>+ROUND(0.35/0.1+1,0)</f>
        <v>5</v>
      </c>
      <c r="H374" s="95"/>
      <c r="I374" s="95">
        <f>2*(0.15+0.4)+16*C374/1000</f>
        <v>1.2280000000000002</v>
      </c>
      <c r="J374" s="100"/>
      <c r="K374" s="47"/>
      <c r="L374" s="72">
        <f t="shared" si="775"/>
        <v>1.2280000000000002</v>
      </c>
      <c r="M374" s="72">
        <f t="shared" si="769"/>
        <v>12.28</v>
      </c>
      <c r="N374" s="72">
        <f t="shared" si="770"/>
        <v>0</v>
      </c>
      <c r="O374" s="72">
        <f t="shared" si="771"/>
        <v>0</v>
      </c>
      <c r="P374" s="72">
        <f t="shared" si="772"/>
        <v>0</v>
      </c>
      <c r="Q374" s="72">
        <f t="shared" si="773"/>
        <v>0</v>
      </c>
      <c r="R374" s="72">
        <f t="shared" si="774"/>
        <v>0</v>
      </c>
    </row>
    <row r="375" spans="1:18" x14ac:dyDescent="0.25">
      <c r="A375" s="26"/>
      <c r="B375" s="25"/>
      <c r="C375" s="15"/>
      <c r="D375" s="16"/>
      <c r="E375" s="15"/>
      <c r="F375" s="11"/>
      <c r="G375" s="11"/>
      <c r="H375" s="95"/>
      <c r="I375" s="95"/>
      <c r="J375" s="100"/>
      <c r="K375" s="22"/>
      <c r="L375" s="72"/>
      <c r="M375" s="72"/>
      <c r="N375" s="72"/>
      <c r="O375" s="72"/>
      <c r="P375" s="72"/>
      <c r="Q375" s="72"/>
      <c r="R375" s="72"/>
    </row>
    <row r="376" spans="1:18" x14ac:dyDescent="0.25">
      <c r="A376" s="26" t="s">
        <v>498</v>
      </c>
      <c r="B376" s="48" t="s">
        <v>502</v>
      </c>
      <c r="C376" s="15"/>
      <c r="D376" s="16"/>
      <c r="E376" s="15"/>
      <c r="F376" s="11"/>
      <c r="G376" s="11"/>
      <c r="H376" s="95"/>
      <c r="I376" s="95"/>
      <c r="J376" s="100"/>
      <c r="K376" s="22"/>
      <c r="L376" s="72">
        <f t="shared" ref="L376" si="776">SUM(H376:J376)+K376</f>
        <v>0</v>
      </c>
      <c r="M376" s="72">
        <f t="shared" si="0"/>
        <v>0</v>
      </c>
      <c r="N376" s="72">
        <f t="shared" si="1"/>
        <v>0</v>
      </c>
      <c r="O376" s="72">
        <f t="shared" si="2"/>
        <v>0</v>
      </c>
      <c r="P376" s="72">
        <f t="shared" si="3"/>
        <v>0</v>
      </c>
      <c r="Q376" s="72">
        <f t="shared" si="4"/>
        <v>0</v>
      </c>
      <c r="R376" s="72">
        <f t="shared" si="5"/>
        <v>0</v>
      </c>
    </row>
    <row r="377" spans="1:18" x14ac:dyDescent="0.25">
      <c r="A377" s="26"/>
      <c r="B377" s="25" t="s">
        <v>385</v>
      </c>
      <c r="C377" s="15">
        <v>16</v>
      </c>
      <c r="D377" s="16"/>
      <c r="E377" s="15">
        <v>2</v>
      </c>
      <c r="F377" s="11">
        <v>1</v>
      </c>
      <c r="G377" s="11">
        <v>2</v>
      </c>
      <c r="H377" s="95">
        <f>0.58+8*$C377/1000</f>
        <v>0.70799999999999996</v>
      </c>
      <c r="I377" s="95">
        <v>5.7750000000000004</v>
      </c>
      <c r="J377" s="95">
        <f>((0.79)/3)+0.1</f>
        <v>0.3633333333333334</v>
      </c>
      <c r="K377" s="22"/>
      <c r="L377" s="72">
        <f>SUM(H377:J377)+K377</f>
        <v>6.8463333333333338</v>
      </c>
      <c r="M377" s="72">
        <f t="shared" si="0"/>
        <v>0</v>
      </c>
      <c r="N377" s="72">
        <f t="shared" si="1"/>
        <v>0</v>
      </c>
      <c r="O377" s="72">
        <f t="shared" si="2"/>
        <v>0</v>
      </c>
      <c r="P377" s="72">
        <f t="shared" si="3"/>
        <v>27.39</v>
      </c>
      <c r="Q377" s="72">
        <f t="shared" si="4"/>
        <v>0</v>
      </c>
      <c r="R377" s="72">
        <f t="shared" si="5"/>
        <v>0</v>
      </c>
    </row>
    <row r="378" spans="1:18" x14ac:dyDescent="0.25">
      <c r="A378" s="26"/>
      <c r="B378" s="25" t="s">
        <v>432</v>
      </c>
      <c r="C378" s="15">
        <v>16</v>
      </c>
      <c r="D378" s="16"/>
      <c r="E378" s="15">
        <v>2</v>
      </c>
      <c r="F378" s="11">
        <v>1</v>
      </c>
      <c r="G378" s="11">
        <v>2</v>
      </c>
      <c r="H378" s="95">
        <f>0.58+8*$C378/1000</f>
        <v>0.70799999999999996</v>
      </c>
      <c r="I378" s="95">
        <v>5.7750000000000004</v>
      </c>
      <c r="J378" s="95">
        <f>((0.79)/3)+0.1</f>
        <v>0.3633333333333334</v>
      </c>
      <c r="K378" s="22"/>
      <c r="L378" s="72">
        <f>SUM(H378:J378)+K378</f>
        <v>6.8463333333333338</v>
      </c>
      <c r="M378" s="72">
        <f t="shared" si="0"/>
        <v>0</v>
      </c>
      <c r="N378" s="72">
        <f t="shared" si="1"/>
        <v>0</v>
      </c>
      <c r="O378" s="72">
        <f t="shared" si="2"/>
        <v>0</v>
      </c>
      <c r="P378" s="72">
        <f t="shared" si="3"/>
        <v>27.39</v>
      </c>
      <c r="Q378" s="72">
        <f t="shared" si="4"/>
        <v>0</v>
      </c>
      <c r="R378" s="72">
        <f t="shared" si="5"/>
        <v>0</v>
      </c>
    </row>
    <row r="379" spans="1:18" x14ac:dyDescent="0.25">
      <c r="A379" s="26"/>
      <c r="B379" s="25" t="s">
        <v>433</v>
      </c>
      <c r="C379" s="15">
        <v>12</v>
      </c>
      <c r="D379" s="16"/>
      <c r="E379" s="15">
        <v>2</v>
      </c>
      <c r="F379" s="11">
        <v>1</v>
      </c>
      <c r="G379" s="11">
        <v>2</v>
      </c>
      <c r="H379" s="95"/>
      <c r="I379" s="95">
        <f>0.9+0.23+0.8</f>
        <v>1.9300000000000002</v>
      </c>
      <c r="J379" s="100"/>
      <c r="K379" s="22"/>
      <c r="L379" s="72">
        <f>SUM(H379:J379)+K379</f>
        <v>1.9300000000000002</v>
      </c>
      <c r="M379" s="72">
        <f t="shared" si="0"/>
        <v>0</v>
      </c>
      <c r="N379" s="72">
        <f t="shared" si="1"/>
        <v>0</v>
      </c>
      <c r="O379" s="72">
        <f t="shared" si="2"/>
        <v>7.72</v>
      </c>
      <c r="P379" s="72">
        <f t="shared" si="3"/>
        <v>0</v>
      </c>
      <c r="Q379" s="72">
        <f t="shared" si="4"/>
        <v>0</v>
      </c>
      <c r="R379" s="72">
        <f t="shared" si="5"/>
        <v>0</v>
      </c>
    </row>
    <row r="380" spans="1:18" x14ac:dyDescent="0.25">
      <c r="A380" s="26"/>
      <c r="B380" s="25" t="s">
        <v>481</v>
      </c>
      <c r="C380" s="15">
        <v>8</v>
      </c>
      <c r="D380" s="16">
        <v>100</v>
      </c>
      <c r="E380" s="15">
        <v>2</v>
      </c>
      <c r="F380" s="11">
        <v>1</v>
      </c>
      <c r="G380" s="11">
        <f>+ROUND(1.8/0.1,0)</f>
        <v>18</v>
      </c>
      <c r="H380" s="95"/>
      <c r="I380" s="95">
        <f>2*(0.18+0.4)+16*C380/1000</f>
        <v>1.2880000000000003</v>
      </c>
      <c r="J380" s="100"/>
      <c r="K380" s="47"/>
      <c r="L380" s="72">
        <f t="shared" ref="L380:L382" si="777">SUM(H380:J380)+K380</f>
        <v>1.2880000000000003</v>
      </c>
      <c r="M380" s="72">
        <f t="shared" si="0"/>
        <v>46.37</v>
      </c>
      <c r="N380" s="72">
        <f t="shared" si="1"/>
        <v>0</v>
      </c>
      <c r="O380" s="72">
        <f t="shared" si="2"/>
        <v>0</v>
      </c>
      <c r="P380" s="72">
        <f t="shared" si="3"/>
        <v>0</v>
      </c>
      <c r="Q380" s="72">
        <f t="shared" si="4"/>
        <v>0</v>
      </c>
      <c r="R380" s="72">
        <f t="shared" si="5"/>
        <v>0</v>
      </c>
    </row>
    <row r="381" spans="1:18" x14ac:dyDescent="0.25">
      <c r="A381" s="26"/>
      <c r="B381" s="25"/>
      <c r="C381" s="15">
        <v>8</v>
      </c>
      <c r="D381" s="16">
        <v>150</v>
      </c>
      <c r="E381" s="15">
        <v>2</v>
      </c>
      <c r="F381" s="11">
        <v>1</v>
      </c>
      <c r="G381" s="11">
        <f>+ROUND(1.4/0.15+1,0)</f>
        <v>10</v>
      </c>
      <c r="H381" s="95"/>
      <c r="I381" s="95">
        <f t="shared" ref="I381:I383" si="778">2*(0.18+0.4)+16*C381/1000</f>
        <v>1.2880000000000003</v>
      </c>
      <c r="J381" s="100"/>
      <c r="K381" s="47"/>
      <c r="L381" s="72">
        <f t="shared" si="777"/>
        <v>1.2880000000000003</v>
      </c>
      <c r="M381" s="72">
        <f t="shared" si="0"/>
        <v>25.76</v>
      </c>
      <c r="N381" s="72">
        <f t="shared" si="1"/>
        <v>0</v>
      </c>
      <c r="O381" s="72">
        <f t="shared" si="2"/>
        <v>0</v>
      </c>
      <c r="P381" s="72">
        <f t="shared" si="3"/>
        <v>0</v>
      </c>
      <c r="Q381" s="72">
        <f t="shared" si="4"/>
        <v>0</v>
      </c>
      <c r="R381" s="72">
        <f t="shared" si="5"/>
        <v>0</v>
      </c>
    </row>
    <row r="382" spans="1:18" x14ac:dyDescent="0.25">
      <c r="A382" s="26"/>
      <c r="B382" s="25" t="s">
        <v>481</v>
      </c>
      <c r="C382" s="15">
        <v>8</v>
      </c>
      <c r="D382" s="16">
        <v>100</v>
      </c>
      <c r="E382" s="15">
        <v>2</v>
      </c>
      <c r="F382" s="11">
        <v>1</v>
      </c>
      <c r="G382" s="11">
        <f>+ROUND(1.8/0.1+1,0)</f>
        <v>19</v>
      </c>
      <c r="H382" s="95"/>
      <c r="I382" s="95">
        <f t="shared" si="778"/>
        <v>1.2880000000000003</v>
      </c>
      <c r="J382" s="100"/>
      <c r="K382" s="47"/>
      <c r="L382" s="72">
        <f t="shared" si="777"/>
        <v>1.2880000000000003</v>
      </c>
      <c r="M382" s="72">
        <f t="shared" si="0"/>
        <v>48.94</v>
      </c>
      <c r="N382" s="72">
        <f t="shared" si="1"/>
        <v>0</v>
      </c>
      <c r="O382" s="72">
        <f t="shared" si="2"/>
        <v>0</v>
      </c>
      <c r="P382" s="72">
        <f t="shared" si="3"/>
        <v>0</v>
      </c>
      <c r="Q382" s="72">
        <f t="shared" si="4"/>
        <v>0</v>
      </c>
      <c r="R382" s="72">
        <f t="shared" si="5"/>
        <v>0</v>
      </c>
    </row>
    <row r="383" spans="1:18" x14ac:dyDescent="0.25">
      <c r="A383" s="26"/>
      <c r="B383" s="25"/>
      <c r="C383" s="15">
        <v>8</v>
      </c>
      <c r="D383" s="16">
        <v>150</v>
      </c>
      <c r="E383" s="15">
        <v>2</v>
      </c>
      <c r="F383" s="11">
        <v>1</v>
      </c>
      <c r="G383" s="11">
        <f>+ROUND(0.535/0.15+1,0)</f>
        <v>5</v>
      </c>
      <c r="H383" s="95"/>
      <c r="I383" s="95">
        <f t="shared" si="778"/>
        <v>1.2880000000000003</v>
      </c>
      <c r="J383" s="100"/>
      <c r="K383" s="47"/>
      <c r="L383" s="72">
        <f t="shared" ref="L383" si="779">SUM(H383:J383)+K383</f>
        <v>1.2880000000000003</v>
      </c>
      <c r="M383" s="72">
        <f t="shared" ref="M383" si="780">+ROUND(IF(C383=8,PRODUCT(E383,F383,G383,L383),0),2)</f>
        <v>12.88</v>
      </c>
      <c r="N383" s="72">
        <f t="shared" ref="N383" si="781">+ROUND(IF(C383=10,PRODUCT(E383,F383,G383,L383),0),2)</f>
        <v>0</v>
      </c>
      <c r="O383" s="72">
        <f t="shared" ref="O383" si="782">+ROUND(IF(C383=12,PRODUCT(E383,F383,G383,L383),0),2)</f>
        <v>0</v>
      </c>
      <c r="P383" s="72">
        <f t="shared" ref="P383" si="783">+ROUND(IF(C383=16,PRODUCT(E383,F383,G383,L383),0),2)</f>
        <v>0</v>
      </c>
      <c r="Q383" s="72">
        <f t="shared" ref="Q383" si="784">+ROUND(IF(C383=20,PRODUCT(E383,F383,G383,L383),0),2)</f>
        <v>0</v>
      </c>
      <c r="R383" s="72">
        <f t="shared" ref="R383" si="785">+ROUND(IF(C383=25,PRODUCT(E383,F383,G383,L383),0),2)</f>
        <v>0</v>
      </c>
    </row>
    <row r="384" spans="1:18" x14ac:dyDescent="0.25">
      <c r="A384" s="26"/>
      <c r="B384" s="25"/>
      <c r="C384" s="15"/>
      <c r="D384" s="16"/>
      <c r="E384" s="15"/>
      <c r="F384" s="11"/>
      <c r="G384" s="11"/>
      <c r="H384" s="95"/>
      <c r="I384" s="95"/>
      <c r="J384" s="100"/>
      <c r="K384" s="47"/>
      <c r="L384" s="72"/>
      <c r="M384" s="72"/>
      <c r="N384" s="72"/>
      <c r="O384" s="72"/>
      <c r="P384" s="72"/>
      <c r="Q384" s="72"/>
      <c r="R384" s="72"/>
    </row>
    <row r="385" spans="1:18" ht="30" x14ac:dyDescent="0.25">
      <c r="A385" s="102" t="s">
        <v>754</v>
      </c>
      <c r="B385" s="103" t="s">
        <v>503</v>
      </c>
      <c r="C385" s="15"/>
      <c r="D385" s="16"/>
      <c r="E385" s="15"/>
      <c r="F385" s="11"/>
      <c r="G385" s="11"/>
      <c r="H385" s="95"/>
      <c r="I385" s="95"/>
      <c r="J385" s="100"/>
      <c r="K385" s="22"/>
      <c r="L385" s="72">
        <f t="shared" ref="L385" si="786">SUM(H385:J385)+K385</f>
        <v>0</v>
      </c>
      <c r="M385" s="72">
        <f t="shared" ref="M385:M388" si="787">+ROUND(IF(C385=8,PRODUCT(E385,F385,G385,L385),0),2)</f>
        <v>0</v>
      </c>
      <c r="N385" s="72">
        <f t="shared" ref="N385:N388" si="788">+ROUND(IF(C385=10,PRODUCT(E385,F385,G385,L385),0),2)</f>
        <v>0</v>
      </c>
      <c r="O385" s="72">
        <f t="shared" ref="O385:O388" si="789">+ROUND(IF(C385=12,PRODUCT(E385,F385,G385,L385),0),2)</f>
        <v>0</v>
      </c>
      <c r="P385" s="72">
        <f t="shared" ref="P385:P388" si="790">+ROUND(IF(C385=16,PRODUCT(E385,F385,G385,L385),0),2)</f>
        <v>0</v>
      </c>
      <c r="Q385" s="72">
        <f t="shared" ref="Q385:Q388" si="791">+ROUND(IF(C385=20,PRODUCT(E385,F385,G385,L385),0),2)</f>
        <v>0</v>
      </c>
      <c r="R385" s="72">
        <f t="shared" ref="R385:R388" si="792">+ROUND(IF(C385=25,PRODUCT(E385,F385,G385,L385),0),2)</f>
        <v>0</v>
      </c>
    </row>
    <row r="386" spans="1:18" x14ac:dyDescent="0.25">
      <c r="A386" s="26"/>
      <c r="B386" s="25" t="s">
        <v>385</v>
      </c>
      <c r="C386" s="15">
        <v>16</v>
      </c>
      <c r="D386" s="16"/>
      <c r="E386" s="15">
        <v>2</v>
      </c>
      <c r="F386" s="11">
        <v>1</v>
      </c>
      <c r="G386" s="11">
        <v>2</v>
      </c>
      <c r="H386" s="95">
        <f>0.58+8*$C386/1000</f>
        <v>0.70799999999999996</v>
      </c>
      <c r="I386" s="95">
        <v>6.27</v>
      </c>
      <c r="J386" s="95">
        <f>0.58+8*$C386/1000</f>
        <v>0.70799999999999996</v>
      </c>
      <c r="K386" s="22"/>
      <c r="L386" s="72">
        <f>SUM(H386:J386)+K386</f>
        <v>7.6859999999999999</v>
      </c>
      <c r="M386" s="72">
        <f t="shared" si="787"/>
        <v>0</v>
      </c>
      <c r="N386" s="72">
        <f t="shared" si="788"/>
        <v>0</v>
      </c>
      <c r="O386" s="72">
        <f t="shared" si="789"/>
        <v>0</v>
      </c>
      <c r="P386" s="72">
        <f t="shared" si="790"/>
        <v>30.74</v>
      </c>
      <c r="Q386" s="72">
        <f t="shared" si="791"/>
        <v>0</v>
      </c>
      <c r="R386" s="72">
        <f t="shared" si="792"/>
        <v>0</v>
      </c>
    </row>
    <row r="387" spans="1:18" x14ac:dyDescent="0.25">
      <c r="A387" s="26"/>
      <c r="B387" s="25" t="s">
        <v>432</v>
      </c>
      <c r="C387" s="15">
        <v>16</v>
      </c>
      <c r="D387" s="16"/>
      <c r="E387" s="15">
        <v>2</v>
      </c>
      <c r="F387" s="11">
        <v>1</v>
      </c>
      <c r="G387" s="11">
        <v>2</v>
      </c>
      <c r="H387" s="95">
        <f>0.58+8*$C387/1000</f>
        <v>0.70799999999999996</v>
      </c>
      <c r="I387" s="95">
        <v>6.27</v>
      </c>
      <c r="J387" s="95">
        <f>0.58+8*$C387/1000</f>
        <v>0.70799999999999996</v>
      </c>
      <c r="K387" s="22"/>
      <c r="L387" s="72">
        <f>SUM(H387:J387)+K387</f>
        <v>7.6859999999999999</v>
      </c>
      <c r="M387" s="72">
        <f t="shared" si="787"/>
        <v>0</v>
      </c>
      <c r="N387" s="72">
        <f t="shared" si="788"/>
        <v>0</v>
      </c>
      <c r="O387" s="72">
        <f t="shared" si="789"/>
        <v>0</v>
      </c>
      <c r="P387" s="72">
        <f t="shared" si="790"/>
        <v>30.74</v>
      </c>
      <c r="Q387" s="72">
        <f t="shared" si="791"/>
        <v>0</v>
      </c>
      <c r="R387" s="72">
        <f t="shared" si="792"/>
        <v>0</v>
      </c>
    </row>
    <row r="388" spans="1:18" x14ac:dyDescent="0.25">
      <c r="A388" s="26"/>
      <c r="B388" s="25" t="s">
        <v>476</v>
      </c>
      <c r="C388" s="15">
        <v>8</v>
      </c>
      <c r="D388" s="16">
        <v>100</v>
      </c>
      <c r="E388" s="15">
        <v>2</v>
      </c>
      <c r="F388" s="11">
        <v>1</v>
      </c>
      <c r="G388" s="11">
        <f>+ROUND(2/0.1+1,0)</f>
        <v>21</v>
      </c>
      <c r="H388" s="95"/>
      <c r="I388" s="95">
        <f>2*(0.18+0.45)+16*C388/1000</f>
        <v>1.3879999999999999</v>
      </c>
      <c r="J388" s="100"/>
      <c r="K388" s="47"/>
      <c r="L388" s="72">
        <f t="shared" ref="L388" si="793">SUM(H388:J388)+K388</f>
        <v>1.3879999999999999</v>
      </c>
      <c r="M388" s="72">
        <f t="shared" si="787"/>
        <v>58.3</v>
      </c>
      <c r="N388" s="72">
        <f t="shared" si="788"/>
        <v>0</v>
      </c>
      <c r="O388" s="72">
        <f t="shared" si="789"/>
        <v>0</v>
      </c>
      <c r="P388" s="72">
        <f t="shared" si="790"/>
        <v>0</v>
      </c>
      <c r="Q388" s="72">
        <f t="shared" si="791"/>
        <v>0</v>
      </c>
      <c r="R388" s="72">
        <f t="shared" si="792"/>
        <v>0</v>
      </c>
    </row>
    <row r="389" spans="1:18" x14ac:dyDescent="0.25">
      <c r="A389" s="26"/>
      <c r="B389" s="25"/>
      <c r="C389" s="15">
        <v>8</v>
      </c>
      <c r="D389" s="16">
        <v>150</v>
      </c>
      <c r="E389" s="15">
        <v>2</v>
      </c>
      <c r="F389" s="11">
        <v>1</v>
      </c>
      <c r="G389" s="11">
        <f>+ROUND(0.54/0.15+1,0)</f>
        <v>5</v>
      </c>
      <c r="H389" s="95"/>
      <c r="I389" s="95">
        <f>2*(0.18+0.45)+16*C389/1000</f>
        <v>1.3879999999999999</v>
      </c>
      <c r="J389" s="100"/>
      <c r="K389" s="47"/>
      <c r="L389" s="72">
        <f t="shared" ref="L389:L390" si="794">SUM(H389:J389)+K389</f>
        <v>1.3879999999999999</v>
      </c>
      <c r="M389" s="72">
        <f t="shared" ref="M389:M390" si="795">+ROUND(IF(C389=8,PRODUCT(E389,F389,G389,L389),0),2)</f>
        <v>13.88</v>
      </c>
      <c r="N389" s="72">
        <f t="shared" ref="N389:N390" si="796">+ROUND(IF(C389=10,PRODUCT(E389,F389,G389,L389),0),2)</f>
        <v>0</v>
      </c>
      <c r="O389" s="72">
        <f t="shared" ref="O389:O390" si="797">+ROUND(IF(C389=12,PRODUCT(E389,F389,G389,L389),0),2)</f>
        <v>0</v>
      </c>
      <c r="P389" s="72">
        <f t="shared" ref="P389:P390" si="798">+ROUND(IF(C389=16,PRODUCT(E389,F389,G389,L389),0),2)</f>
        <v>0</v>
      </c>
      <c r="Q389" s="72">
        <f t="shared" ref="Q389:Q390" si="799">+ROUND(IF(C389=20,PRODUCT(E389,F389,G389,L389),0),2)</f>
        <v>0</v>
      </c>
      <c r="R389" s="72">
        <f t="shared" ref="R389:R390" si="800">+ROUND(IF(C389=25,PRODUCT(E389,F389,G389,L389),0),2)</f>
        <v>0</v>
      </c>
    </row>
    <row r="390" spans="1:18" x14ac:dyDescent="0.25">
      <c r="A390" s="26"/>
      <c r="B390" s="25" t="s">
        <v>481</v>
      </c>
      <c r="C390" s="15">
        <v>8</v>
      </c>
      <c r="D390" s="16">
        <v>100</v>
      </c>
      <c r="E390" s="15">
        <v>2</v>
      </c>
      <c r="F390" s="11">
        <v>1</v>
      </c>
      <c r="G390" s="11">
        <f>+ROUND(2/0.1+1,0)</f>
        <v>21</v>
      </c>
      <c r="H390" s="95"/>
      <c r="I390" s="95">
        <f>2*(0.18+0.4)+16*C390/1000</f>
        <v>1.2880000000000003</v>
      </c>
      <c r="J390" s="100"/>
      <c r="K390" s="47"/>
      <c r="L390" s="72">
        <f t="shared" si="794"/>
        <v>1.2880000000000003</v>
      </c>
      <c r="M390" s="72">
        <f t="shared" si="795"/>
        <v>54.1</v>
      </c>
      <c r="N390" s="72">
        <f t="shared" si="796"/>
        <v>0</v>
      </c>
      <c r="O390" s="72">
        <f t="shared" si="797"/>
        <v>0</v>
      </c>
      <c r="P390" s="72">
        <f t="shared" si="798"/>
        <v>0</v>
      </c>
      <c r="Q390" s="72">
        <f t="shared" si="799"/>
        <v>0</v>
      </c>
      <c r="R390" s="72">
        <f t="shared" si="800"/>
        <v>0</v>
      </c>
    </row>
    <row r="391" spans="1:18" x14ac:dyDescent="0.25">
      <c r="A391" s="26"/>
      <c r="B391" s="25"/>
      <c r="C391" s="15">
        <v>8</v>
      </c>
      <c r="D391" s="16">
        <v>150</v>
      </c>
      <c r="E391" s="15">
        <v>2</v>
      </c>
      <c r="F391" s="11">
        <v>1</v>
      </c>
      <c r="G391" s="11">
        <f>+ROUND(1.43/0.15+1,0)</f>
        <v>11</v>
      </c>
      <c r="H391" s="95"/>
      <c r="I391" s="95">
        <f>2*(0.18+0.4)+16*C391/1000</f>
        <v>1.2880000000000003</v>
      </c>
      <c r="J391" s="100"/>
      <c r="K391" s="47"/>
      <c r="L391" s="72">
        <f t="shared" ref="L391" si="801">SUM(H391:J391)+K391</f>
        <v>1.2880000000000003</v>
      </c>
      <c r="M391" s="72">
        <f t="shared" ref="M391" si="802">+ROUND(IF(C391=8,PRODUCT(E391,F391,G391,L391),0),2)</f>
        <v>28.34</v>
      </c>
      <c r="N391" s="72">
        <f t="shared" ref="N391" si="803">+ROUND(IF(C391=10,PRODUCT(E391,F391,G391,L391),0),2)</f>
        <v>0</v>
      </c>
      <c r="O391" s="72">
        <f t="shared" ref="O391" si="804">+ROUND(IF(C391=12,PRODUCT(E391,F391,G391,L391),0),2)</f>
        <v>0</v>
      </c>
      <c r="P391" s="72">
        <f t="shared" ref="P391" si="805">+ROUND(IF(C391=16,PRODUCT(E391,F391,G391,L391),0),2)</f>
        <v>0</v>
      </c>
      <c r="Q391" s="72">
        <f t="shared" ref="Q391" si="806">+ROUND(IF(C391=20,PRODUCT(E391,F391,G391,L391),0),2)</f>
        <v>0</v>
      </c>
      <c r="R391" s="72">
        <f t="shared" ref="R391" si="807">+ROUND(IF(C391=25,PRODUCT(E391,F391,G391,L391),0),2)</f>
        <v>0</v>
      </c>
    </row>
    <row r="392" spans="1:18" x14ac:dyDescent="0.25">
      <c r="A392" s="26"/>
      <c r="B392" s="25"/>
      <c r="C392" s="15"/>
      <c r="D392" s="16"/>
      <c r="E392" s="15"/>
      <c r="F392" s="11"/>
      <c r="G392" s="11"/>
      <c r="H392" s="95"/>
      <c r="I392" s="95"/>
      <c r="J392" s="100"/>
      <c r="K392" s="47"/>
      <c r="L392" s="72"/>
      <c r="M392" s="72"/>
      <c r="N392" s="72"/>
      <c r="O392" s="72"/>
      <c r="P392" s="72"/>
      <c r="Q392" s="72"/>
      <c r="R392" s="72"/>
    </row>
    <row r="393" spans="1:18" x14ac:dyDescent="0.25">
      <c r="A393" s="26" t="s">
        <v>436</v>
      </c>
      <c r="B393" s="48" t="s">
        <v>755</v>
      </c>
      <c r="C393" s="15"/>
      <c r="D393" s="16"/>
      <c r="E393" s="15"/>
      <c r="F393" s="11"/>
      <c r="G393" s="11"/>
      <c r="H393" s="95"/>
      <c r="I393" s="95"/>
      <c r="J393" s="100"/>
      <c r="K393" s="22"/>
      <c r="L393" s="72">
        <f t="shared" ref="L393" si="808">SUM(H393:J393)+K393</f>
        <v>0</v>
      </c>
      <c r="M393" s="72">
        <f t="shared" ref="M393:M396" si="809">+ROUND(IF(C393=8,PRODUCT(E393,F393,G393,L393),0),2)</f>
        <v>0</v>
      </c>
      <c r="N393" s="72">
        <f t="shared" ref="N393:N396" si="810">+ROUND(IF(C393=10,PRODUCT(E393,F393,G393,L393),0),2)</f>
        <v>0</v>
      </c>
      <c r="O393" s="72">
        <f t="shared" ref="O393:O396" si="811">+ROUND(IF(C393=12,PRODUCT(E393,F393,G393,L393),0),2)</f>
        <v>0</v>
      </c>
      <c r="P393" s="72">
        <f t="shared" ref="P393:P396" si="812">+ROUND(IF(C393=16,PRODUCT(E393,F393,G393,L393),0),2)</f>
        <v>0</v>
      </c>
      <c r="Q393" s="72">
        <f t="shared" ref="Q393:Q396" si="813">+ROUND(IF(C393=20,PRODUCT(E393,F393,G393,L393),0),2)</f>
        <v>0</v>
      </c>
      <c r="R393" s="72">
        <f t="shared" ref="R393:R396" si="814">+ROUND(IF(C393=25,PRODUCT(E393,F393,G393,L393),0),2)</f>
        <v>0</v>
      </c>
    </row>
    <row r="394" spans="1:18" x14ac:dyDescent="0.25">
      <c r="A394" s="26"/>
      <c r="B394" s="25" t="s">
        <v>385</v>
      </c>
      <c r="C394" s="15">
        <v>16</v>
      </c>
      <c r="D394" s="16"/>
      <c r="E394" s="15">
        <v>4</v>
      </c>
      <c r="F394" s="11">
        <v>1</v>
      </c>
      <c r="G394" s="11">
        <v>2</v>
      </c>
      <c r="H394" s="95">
        <f>0.58+8*$C394/1000</f>
        <v>0.70799999999999996</v>
      </c>
      <c r="I394" s="95">
        <v>2.2250000000000001</v>
      </c>
      <c r="J394" s="95">
        <f>((0.79)/3)+0.1</f>
        <v>0.3633333333333334</v>
      </c>
      <c r="K394" s="22"/>
      <c r="L394" s="72">
        <f>SUM(H394:J394)+K394</f>
        <v>3.2963333333333331</v>
      </c>
      <c r="M394" s="72">
        <f t="shared" si="809"/>
        <v>0</v>
      </c>
      <c r="N394" s="72">
        <f t="shared" si="810"/>
        <v>0</v>
      </c>
      <c r="O394" s="72">
        <f t="shared" si="811"/>
        <v>0</v>
      </c>
      <c r="P394" s="72">
        <f t="shared" si="812"/>
        <v>26.37</v>
      </c>
      <c r="Q394" s="72">
        <f t="shared" si="813"/>
        <v>0</v>
      </c>
      <c r="R394" s="72">
        <f t="shared" si="814"/>
        <v>0</v>
      </c>
    </row>
    <row r="395" spans="1:18" x14ac:dyDescent="0.25">
      <c r="A395" s="26"/>
      <c r="B395" s="25" t="s">
        <v>432</v>
      </c>
      <c r="C395" s="15">
        <v>16</v>
      </c>
      <c r="D395" s="16"/>
      <c r="E395" s="15">
        <v>4</v>
      </c>
      <c r="F395" s="11">
        <v>1</v>
      </c>
      <c r="G395" s="11">
        <v>2</v>
      </c>
      <c r="H395" s="95">
        <f>0.58+8*$C395/1000</f>
        <v>0.70799999999999996</v>
      </c>
      <c r="I395" s="95">
        <v>2.2250000000000001</v>
      </c>
      <c r="J395" s="95">
        <f>((0.79)/3)+0.1</f>
        <v>0.3633333333333334</v>
      </c>
      <c r="K395" s="22"/>
      <c r="L395" s="72">
        <f>SUM(H395:J395)+K395</f>
        <v>3.2963333333333331</v>
      </c>
      <c r="M395" s="72">
        <f t="shared" si="809"/>
        <v>0</v>
      </c>
      <c r="N395" s="72">
        <f t="shared" si="810"/>
        <v>0</v>
      </c>
      <c r="O395" s="72">
        <f t="shared" si="811"/>
        <v>0</v>
      </c>
      <c r="P395" s="72">
        <f t="shared" si="812"/>
        <v>26.37</v>
      </c>
      <c r="Q395" s="72">
        <f t="shared" si="813"/>
        <v>0</v>
      </c>
      <c r="R395" s="72">
        <f t="shared" si="814"/>
        <v>0</v>
      </c>
    </row>
    <row r="396" spans="1:18" x14ac:dyDescent="0.25">
      <c r="A396" s="26"/>
      <c r="B396" s="25" t="s">
        <v>448</v>
      </c>
      <c r="C396" s="15">
        <v>8</v>
      </c>
      <c r="D396" s="16">
        <v>100</v>
      </c>
      <c r="E396" s="15">
        <v>4</v>
      </c>
      <c r="F396" s="11">
        <v>1</v>
      </c>
      <c r="G396" s="11">
        <f>+ROUND(2.225/0.1+1,0)</f>
        <v>23</v>
      </c>
      <c r="H396" s="95"/>
      <c r="I396" s="95">
        <f>2*(0.15+0.45)+16*C396/1000</f>
        <v>1.3279999999999998</v>
      </c>
      <c r="J396" s="100"/>
      <c r="K396" s="47"/>
      <c r="L396" s="72">
        <f t="shared" ref="L396" si="815">SUM(H396:J396)+K396</f>
        <v>1.3279999999999998</v>
      </c>
      <c r="M396" s="72">
        <f t="shared" si="809"/>
        <v>122.18</v>
      </c>
      <c r="N396" s="72">
        <f t="shared" si="810"/>
        <v>0</v>
      </c>
      <c r="O396" s="72">
        <f t="shared" si="811"/>
        <v>0</v>
      </c>
      <c r="P396" s="72">
        <f t="shared" si="812"/>
        <v>0</v>
      </c>
      <c r="Q396" s="72">
        <f t="shared" si="813"/>
        <v>0</v>
      </c>
      <c r="R396" s="72">
        <f t="shared" si="814"/>
        <v>0</v>
      </c>
    </row>
    <row r="397" spans="1:18" x14ac:dyDescent="0.25">
      <c r="A397" s="26"/>
      <c r="B397" s="25"/>
      <c r="C397" s="15"/>
      <c r="D397" s="16"/>
      <c r="E397" s="15"/>
      <c r="F397" s="11"/>
      <c r="G397" s="11"/>
      <c r="H397" s="95"/>
      <c r="I397" s="95"/>
      <c r="J397" s="100"/>
      <c r="K397" s="47"/>
      <c r="L397" s="72"/>
      <c r="M397" s="72"/>
      <c r="N397" s="72"/>
      <c r="O397" s="72"/>
      <c r="P397" s="72"/>
      <c r="Q397" s="72"/>
      <c r="R397" s="72"/>
    </row>
    <row r="398" spans="1:18" x14ac:dyDescent="0.25">
      <c r="A398" s="26" t="s">
        <v>442</v>
      </c>
      <c r="B398" s="48" t="s">
        <v>504</v>
      </c>
      <c r="C398" s="15"/>
      <c r="D398" s="16"/>
      <c r="E398" s="15"/>
      <c r="F398" s="11"/>
      <c r="G398" s="11"/>
      <c r="H398" s="95"/>
      <c r="I398" s="95"/>
      <c r="J398" s="100"/>
      <c r="K398" s="22"/>
      <c r="L398" s="72">
        <f t="shared" ref="L398" si="816">SUM(H398:J398)+K398</f>
        <v>0</v>
      </c>
      <c r="M398" s="72">
        <f t="shared" si="0"/>
        <v>0</v>
      </c>
      <c r="N398" s="72">
        <f t="shared" si="1"/>
        <v>0</v>
      </c>
      <c r="O398" s="72">
        <f t="shared" si="2"/>
        <v>0</v>
      </c>
      <c r="P398" s="72">
        <f t="shared" si="3"/>
        <v>0</v>
      </c>
      <c r="Q398" s="72">
        <f t="shared" si="4"/>
        <v>0</v>
      </c>
      <c r="R398" s="72">
        <f t="shared" si="5"/>
        <v>0</v>
      </c>
    </row>
    <row r="399" spans="1:18" x14ac:dyDescent="0.25">
      <c r="A399" s="26"/>
      <c r="B399" s="25" t="s">
        <v>385</v>
      </c>
      <c r="C399" s="15">
        <v>16</v>
      </c>
      <c r="D399" s="16"/>
      <c r="E399" s="15">
        <v>2</v>
      </c>
      <c r="F399" s="11">
        <v>1</v>
      </c>
      <c r="G399" s="11">
        <v>2</v>
      </c>
      <c r="H399" s="95">
        <f>0.58+8*$C399/1000</f>
        <v>0.70799999999999996</v>
      </c>
      <c r="I399" s="95">
        <v>3.14</v>
      </c>
      <c r="J399" s="95">
        <f>0.58+8*$C399/1000</f>
        <v>0.70799999999999996</v>
      </c>
      <c r="K399" s="22"/>
      <c r="L399" s="72">
        <f>SUM(H399:J399)+K399</f>
        <v>4.556</v>
      </c>
      <c r="M399" s="72">
        <f t="shared" si="0"/>
        <v>0</v>
      </c>
      <c r="N399" s="72">
        <f t="shared" si="1"/>
        <v>0</v>
      </c>
      <c r="O399" s="72">
        <f t="shared" si="2"/>
        <v>0</v>
      </c>
      <c r="P399" s="72">
        <f t="shared" si="3"/>
        <v>18.22</v>
      </c>
      <c r="Q399" s="72">
        <f t="shared" si="4"/>
        <v>0</v>
      </c>
      <c r="R399" s="72">
        <f t="shared" si="5"/>
        <v>0</v>
      </c>
    </row>
    <row r="400" spans="1:18" x14ac:dyDescent="0.25">
      <c r="A400" s="26"/>
      <c r="B400" s="25" t="s">
        <v>432</v>
      </c>
      <c r="C400" s="15">
        <v>16</v>
      </c>
      <c r="D400" s="16"/>
      <c r="E400" s="15">
        <v>2</v>
      </c>
      <c r="F400" s="11">
        <v>1</v>
      </c>
      <c r="G400" s="11">
        <v>2</v>
      </c>
      <c r="H400" s="95">
        <f>0.58+8*$C400/1000</f>
        <v>0.70799999999999996</v>
      </c>
      <c r="I400" s="95">
        <v>3.14</v>
      </c>
      <c r="J400" s="95">
        <f>0.58+8*$C400/1000</f>
        <v>0.70799999999999996</v>
      </c>
      <c r="K400" s="22"/>
      <c r="L400" s="72">
        <f>SUM(H400:J400)+K400</f>
        <v>4.556</v>
      </c>
      <c r="M400" s="72">
        <f t="shared" si="0"/>
        <v>0</v>
      </c>
      <c r="N400" s="72">
        <f t="shared" si="1"/>
        <v>0</v>
      </c>
      <c r="O400" s="72">
        <f t="shared" si="2"/>
        <v>0</v>
      </c>
      <c r="P400" s="72">
        <f t="shared" si="3"/>
        <v>18.22</v>
      </c>
      <c r="Q400" s="72">
        <f t="shared" si="4"/>
        <v>0</v>
      </c>
      <c r="R400" s="72">
        <f t="shared" si="5"/>
        <v>0</v>
      </c>
    </row>
    <row r="401" spans="1:18" x14ac:dyDescent="0.25">
      <c r="A401" s="26"/>
      <c r="B401" s="25" t="s">
        <v>462</v>
      </c>
      <c r="C401" s="15">
        <v>8</v>
      </c>
      <c r="D401" s="16">
        <v>100</v>
      </c>
      <c r="E401" s="15">
        <v>2</v>
      </c>
      <c r="F401" s="11">
        <v>1</v>
      </c>
      <c r="G401" s="11">
        <f>+ROUND(1.8/0.1,0)</f>
        <v>18</v>
      </c>
      <c r="H401" s="95"/>
      <c r="I401" s="95">
        <f>2*(0.15+0.4)+16*C401/1000</f>
        <v>1.2280000000000002</v>
      </c>
      <c r="J401" s="100"/>
      <c r="K401" s="47"/>
      <c r="L401" s="72">
        <f t="shared" ref="L401:L402" si="817">SUM(H401:J401)+K401</f>
        <v>1.2280000000000002</v>
      </c>
      <c r="M401" s="72">
        <f t="shared" si="0"/>
        <v>44.21</v>
      </c>
      <c r="N401" s="72">
        <f t="shared" si="1"/>
        <v>0</v>
      </c>
      <c r="O401" s="72">
        <f t="shared" si="2"/>
        <v>0</v>
      </c>
      <c r="P401" s="72">
        <f t="shared" si="3"/>
        <v>0</v>
      </c>
      <c r="Q401" s="72">
        <f t="shared" si="4"/>
        <v>0</v>
      </c>
      <c r="R401" s="72">
        <f t="shared" si="5"/>
        <v>0</v>
      </c>
    </row>
    <row r="402" spans="1:18" x14ac:dyDescent="0.25">
      <c r="A402" s="26"/>
      <c r="B402" s="25"/>
      <c r="C402" s="15">
        <v>8</v>
      </c>
      <c r="D402" s="16">
        <v>150</v>
      </c>
      <c r="E402" s="15">
        <v>2</v>
      </c>
      <c r="F402" s="11">
        <v>1</v>
      </c>
      <c r="G402" s="11">
        <f>+ROUND(1.34/0.15+1,0)</f>
        <v>10</v>
      </c>
      <c r="H402" s="95"/>
      <c r="I402" s="95">
        <f>2*(0.15+0.4)+16*C402/1000</f>
        <v>1.2280000000000002</v>
      </c>
      <c r="J402" s="100"/>
      <c r="K402" s="47"/>
      <c r="L402" s="72">
        <f t="shared" si="817"/>
        <v>1.2280000000000002</v>
      </c>
      <c r="M402" s="72">
        <f t="shared" ref="M402:M407" si="818">+ROUND(IF(C402=8,PRODUCT(E402,F402,G402,L402),0),2)</f>
        <v>24.56</v>
      </c>
      <c r="N402" s="72">
        <f t="shared" ref="N402:N407" si="819">+ROUND(IF(C402=10,PRODUCT(E402,F402,G402,L402),0),2)</f>
        <v>0</v>
      </c>
      <c r="O402" s="72">
        <f t="shared" ref="O402:O407" si="820">+ROUND(IF(C402=12,PRODUCT(E402,F402,G402,L402),0),2)</f>
        <v>0</v>
      </c>
      <c r="P402" s="72">
        <f t="shared" ref="P402:P407" si="821">+ROUND(IF(C402=16,PRODUCT(E402,F402,G402,L402),0),2)</f>
        <v>0</v>
      </c>
      <c r="Q402" s="72">
        <f t="shared" ref="Q402:Q407" si="822">+ROUND(IF(C402=20,PRODUCT(E402,F402,G402,L402),0),2)</f>
        <v>0</v>
      </c>
      <c r="R402" s="72">
        <f t="shared" ref="R402:R407" si="823">+ROUND(IF(C402=25,PRODUCT(E402,F402,G402,L402),0),2)</f>
        <v>0</v>
      </c>
    </row>
    <row r="403" spans="1:18" x14ac:dyDescent="0.25">
      <c r="A403" s="26"/>
      <c r="B403" s="25"/>
      <c r="C403" s="15"/>
      <c r="D403" s="16"/>
      <c r="E403" s="15"/>
      <c r="F403" s="11"/>
      <c r="G403" s="11"/>
      <c r="H403" s="95"/>
      <c r="I403" s="95"/>
      <c r="J403" s="100"/>
      <c r="K403" s="47"/>
      <c r="L403" s="72"/>
      <c r="M403" s="72"/>
      <c r="N403" s="72"/>
      <c r="O403" s="72"/>
      <c r="P403" s="72"/>
      <c r="Q403" s="72"/>
      <c r="R403" s="72"/>
    </row>
    <row r="404" spans="1:18" ht="30" x14ac:dyDescent="0.25">
      <c r="A404" s="102" t="s">
        <v>756</v>
      </c>
      <c r="B404" s="103" t="s">
        <v>505</v>
      </c>
      <c r="C404" s="15"/>
      <c r="D404" s="16"/>
      <c r="E404" s="15"/>
      <c r="F404" s="11"/>
      <c r="G404" s="11"/>
      <c r="H404" s="95"/>
      <c r="I404" s="95"/>
      <c r="J404" s="100"/>
      <c r="K404" s="22"/>
      <c r="L404" s="72">
        <f t="shared" ref="L404" si="824">SUM(H404:J404)+K404</f>
        <v>0</v>
      </c>
      <c r="M404" s="72">
        <f t="shared" si="818"/>
        <v>0</v>
      </c>
      <c r="N404" s="72">
        <f t="shared" si="819"/>
        <v>0</v>
      </c>
      <c r="O404" s="72">
        <f t="shared" si="820"/>
        <v>0</v>
      </c>
      <c r="P404" s="72">
        <f t="shared" si="821"/>
        <v>0</v>
      </c>
      <c r="Q404" s="72">
        <f t="shared" si="822"/>
        <v>0</v>
      </c>
      <c r="R404" s="72">
        <f t="shared" si="823"/>
        <v>0</v>
      </c>
    </row>
    <row r="405" spans="1:18" x14ac:dyDescent="0.25">
      <c r="A405" s="26"/>
      <c r="B405" s="25" t="s">
        <v>385</v>
      </c>
      <c r="C405" s="15">
        <v>16</v>
      </c>
      <c r="D405" s="16"/>
      <c r="E405" s="15">
        <v>2</v>
      </c>
      <c r="F405" s="11">
        <v>1</v>
      </c>
      <c r="G405" s="11">
        <v>2</v>
      </c>
      <c r="H405" s="95">
        <f>0.58+8*$C405/1000</f>
        <v>0.70799999999999996</v>
      </c>
      <c r="I405" s="95">
        <v>5.72</v>
      </c>
      <c r="J405" s="95">
        <f>0.58+8*$C405/1000</f>
        <v>0.70799999999999996</v>
      </c>
      <c r="K405" s="22"/>
      <c r="L405" s="72">
        <f>SUM(H405:J405)+K405</f>
        <v>7.1360000000000001</v>
      </c>
      <c r="M405" s="72">
        <f t="shared" si="818"/>
        <v>0</v>
      </c>
      <c r="N405" s="72">
        <f t="shared" si="819"/>
        <v>0</v>
      </c>
      <c r="O405" s="72">
        <f t="shared" si="820"/>
        <v>0</v>
      </c>
      <c r="P405" s="72">
        <f t="shared" si="821"/>
        <v>28.54</v>
      </c>
      <c r="Q405" s="72">
        <f t="shared" si="822"/>
        <v>0</v>
      </c>
      <c r="R405" s="72">
        <f t="shared" si="823"/>
        <v>0</v>
      </c>
    </row>
    <row r="406" spans="1:18" x14ac:dyDescent="0.25">
      <c r="A406" s="26"/>
      <c r="B406" s="25" t="s">
        <v>432</v>
      </c>
      <c r="C406" s="15">
        <v>16</v>
      </c>
      <c r="D406" s="16"/>
      <c r="E406" s="15">
        <v>2</v>
      </c>
      <c r="F406" s="11">
        <v>1</v>
      </c>
      <c r="G406" s="11">
        <v>2</v>
      </c>
      <c r="H406" s="95">
        <f>0.58+8*$C406/1000</f>
        <v>0.70799999999999996</v>
      </c>
      <c r="I406" s="95">
        <v>5.72</v>
      </c>
      <c r="J406" s="95">
        <f>0.58+8*$C406/1000</f>
        <v>0.70799999999999996</v>
      </c>
      <c r="K406" s="22"/>
      <c r="L406" s="72">
        <f>SUM(H406:J406)+K406</f>
        <v>7.1360000000000001</v>
      </c>
      <c r="M406" s="72">
        <f t="shared" si="818"/>
        <v>0</v>
      </c>
      <c r="N406" s="72">
        <f t="shared" si="819"/>
        <v>0</v>
      </c>
      <c r="O406" s="72">
        <f t="shared" si="820"/>
        <v>0</v>
      </c>
      <c r="P406" s="72">
        <f t="shared" si="821"/>
        <v>28.54</v>
      </c>
      <c r="Q406" s="72">
        <f t="shared" si="822"/>
        <v>0</v>
      </c>
      <c r="R406" s="72">
        <f t="shared" si="823"/>
        <v>0</v>
      </c>
    </row>
    <row r="407" spans="1:18" x14ac:dyDescent="0.25">
      <c r="A407" s="26"/>
      <c r="B407" s="25" t="s">
        <v>453</v>
      </c>
      <c r="C407" s="15">
        <v>8</v>
      </c>
      <c r="D407" s="16">
        <v>100</v>
      </c>
      <c r="E407" s="15">
        <v>2</v>
      </c>
      <c r="F407" s="11">
        <v>1</v>
      </c>
      <c r="G407" s="11">
        <f>+ROUND(1.8/0.1+1,0)</f>
        <v>19</v>
      </c>
      <c r="H407" s="95"/>
      <c r="I407" s="95">
        <f>2*(0.15+0.4)+16*C407/1000</f>
        <v>1.2280000000000002</v>
      </c>
      <c r="J407" s="100"/>
      <c r="K407" s="47"/>
      <c r="L407" s="72">
        <f t="shared" ref="L407:L408" si="825">SUM(H407:J407)+K407</f>
        <v>1.2280000000000002</v>
      </c>
      <c r="M407" s="72">
        <f t="shared" si="818"/>
        <v>46.66</v>
      </c>
      <c r="N407" s="72">
        <f t="shared" si="819"/>
        <v>0</v>
      </c>
      <c r="O407" s="72">
        <f t="shared" si="820"/>
        <v>0</v>
      </c>
      <c r="P407" s="72">
        <f t="shared" si="821"/>
        <v>0</v>
      </c>
      <c r="Q407" s="72">
        <f t="shared" si="822"/>
        <v>0</v>
      </c>
      <c r="R407" s="72">
        <f t="shared" si="823"/>
        <v>0</v>
      </c>
    </row>
    <row r="408" spans="1:18" x14ac:dyDescent="0.25">
      <c r="A408" s="26"/>
      <c r="B408" s="25"/>
      <c r="C408" s="15">
        <v>8</v>
      </c>
      <c r="D408" s="16">
        <v>150</v>
      </c>
      <c r="E408" s="15">
        <v>2</v>
      </c>
      <c r="F408" s="11">
        <v>1</v>
      </c>
      <c r="G408" s="11">
        <f>+ROUND(1.63/0.15+1,0)</f>
        <v>12</v>
      </c>
      <c r="H408" s="95"/>
      <c r="I408" s="95">
        <f>2*(0.15+0.4)+16*C408/1000</f>
        <v>1.2280000000000002</v>
      </c>
      <c r="J408" s="100"/>
      <c r="K408" s="47"/>
      <c r="L408" s="72">
        <f t="shared" si="825"/>
        <v>1.2280000000000002</v>
      </c>
      <c r="M408" s="72">
        <f t="shared" ref="M408:M409" si="826">+ROUND(IF(C408=8,PRODUCT(E408,F408,G408,L408),0),2)</f>
        <v>29.47</v>
      </c>
      <c r="N408" s="72">
        <f t="shared" ref="N408:N409" si="827">+ROUND(IF(C408=10,PRODUCT(E408,F408,G408,L408),0),2)</f>
        <v>0</v>
      </c>
      <c r="O408" s="72">
        <f t="shared" ref="O408:O409" si="828">+ROUND(IF(C408=12,PRODUCT(E408,F408,G408,L408),0),2)</f>
        <v>0</v>
      </c>
      <c r="P408" s="72">
        <f t="shared" ref="P408:P409" si="829">+ROUND(IF(C408=16,PRODUCT(E408,F408,G408,L408),0),2)</f>
        <v>0</v>
      </c>
      <c r="Q408" s="72">
        <f t="shared" ref="Q408:Q409" si="830">+ROUND(IF(C408=20,PRODUCT(E408,F408,G408,L408),0),2)</f>
        <v>0</v>
      </c>
      <c r="R408" s="72">
        <f t="shared" ref="R408:R409" si="831">+ROUND(IF(C408=25,PRODUCT(E408,F408,G408,L408),0),2)</f>
        <v>0</v>
      </c>
    </row>
    <row r="409" spans="1:18" x14ac:dyDescent="0.25">
      <c r="A409" s="26"/>
      <c r="B409" s="25" t="s">
        <v>481</v>
      </c>
      <c r="C409" s="15">
        <v>8</v>
      </c>
      <c r="D409" s="16">
        <v>100</v>
      </c>
      <c r="E409" s="15">
        <v>2</v>
      </c>
      <c r="F409" s="11">
        <v>1</v>
      </c>
      <c r="G409" s="11">
        <f>+ROUND(1.99/0.1+1,0)</f>
        <v>21</v>
      </c>
      <c r="H409" s="95"/>
      <c r="I409" s="95">
        <f>2*(0.18+0.4)+16*C409/1000</f>
        <v>1.2880000000000003</v>
      </c>
      <c r="J409" s="100"/>
      <c r="K409" s="47"/>
      <c r="L409" s="72">
        <f t="shared" ref="L409" si="832">SUM(H409:J409)+K409</f>
        <v>1.2880000000000003</v>
      </c>
      <c r="M409" s="72">
        <f t="shared" si="826"/>
        <v>54.1</v>
      </c>
      <c r="N409" s="72">
        <f t="shared" si="827"/>
        <v>0</v>
      </c>
      <c r="O409" s="72">
        <f t="shared" si="828"/>
        <v>0</v>
      </c>
      <c r="P409" s="72">
        <f t="shared" si="829"/>
        <v>0</v>
      </c>
      <c r="Q409" s="72">
        <f t="shared" si="830"/>
        <v>0</v>
      </c>
      <c r="R409" s="72">
        <f t="shared" si="831"/>
        <v>0</v>
      </c>
    </row>
    <row r="410" spans="1:18" x14ac:dyDescent="0.25">
      <c r="A410" s="26"/>
      <c r="B410" s="25"/>
      <c r="C410" s="15"/>
      <c r="D410" s="16"/>
      <c r="E410" s="15"/>
      <c r="F410" s="11"/>
      <c r="G410" s="11"/>
      <c r="H410" s="95"/>
      <c r="I410" s="95"/>
      <c r="J410" s="100"/>
      <c r="K410" s="47"/>
      <c r="L410" s="72"/>
      <c r="M410" s="72"/>
      <c r="N410" s="72"/>
      <c r="O410" s="72"/>
      <c r="P410" s="72"/>
      <c r="Q410" s="72"/>
      <c r="R410" s="72"/>
    </row>
    <row r="411" spans="1:18" x14ac:dyDescent="0.25">
      <c r="A411" s="26" t="s">
        <v>442</v>
      </c>
      <c r="B411" s="48" t="s">
        <v>506</v>
      </c>
      <c r="C411" s="15"/>
      <c r="D411" s="16"/>
      <c r="E411" s="15"/>
      <c r="F411" s="11"/>
      <c r="G411" s="11"/>
      <c r="H411" s="95"/>
      <c r="I411" s="95"/>
      <c r="J411" s="100"/>
      <c r="K411" s="22"/>
      <c r="L411" s="72">
        <f t="shared" ref="L411" si="833">SUM(H411:J411)+K411</f>
        <v>0</v>
      </c>
      <c r="M411" s="72">
        <f t="shared" ref="M411:M415" si="834">+ROUND(IF(C411=8,PRODUCT(E411,F411,G411,L411),0),2)</f>
        <v>0</v>
      </c>
      <c r="N411" s="72">
        <f t="shared" ref="N411:N415" si="835">+ROUND(IF(C411=10,PRODUCT(E411,F411,G411,L411),0),2)</f>
        <v>0</v>
      </c>
      <c r="O411" s="72">
        <f t="shared" ref="O411:O415" si="836">+ROUND(IF(C411=12,PRODUCT(E411,F411,G411,L411),0),2)</f>
        <v>0</v>
      </c>
      <c r="P411" s="72">
        <f t="shared" ref="P411:P415" si="837">+ROUND(IF(C411=16,PRODUCT(E411,F411,G411,L411),0),2)</f>
        <v>0</v>
      </c>
      <c r="Q411" s="72">
        <f t="shared" ref="Q411:Q415" si="838">+ROUND(IF(C411=20,PRODUCT(E411,F411,G411,L411),0),2)</f>
        <v>0</v>
      </c>
      <c r="R411" s="72">
        <f t="shared" ref="R411:R415" si="839">+ROUND(IF(C411=25,PRODUCT(E411,F411,G411,L411),0),2)</f>
        <v>0</v>
      </c>
    </row>
    <row r="412" spans="1:18" x14ac:dyDescent="0.25">
      <c r="A412" s="26"/>
      <c r="B412" s="25" t="s">
        <v>385</v>
      </c>
      <c r="C412" s="15">
        <v>16</v>
      </c>
      <c r="D412" s="16"/>
      <c r="E412" s="15">
        <v>4</v>
      </c>
      <c r="F412" s="11">
        <v>1</v>
      </c>
      <c r="G412" s="11">
        <v>2</v>
      </c>
      <c r="H412" s="95">
        <f>0.58+8*$C412/1000</f>
        <v>0.70799999999999996</v>
      </c>
      <c r="I412" s="95">
        <v>3.06</v>
      </c>
      <c r="J412" s="95">
        <f>0.58+8*$C412/1000</f>
        <v>0.70799999999999996</v>
      </c>
      <c r="K412" s="22"/>
      <c r="L412" s="72">
        <f>SUM(H412:J412)+K412</f>
        <v>4.476</v>
      </c>
      <c r="M412" s="72">
        <f t="shared" si="834"/>
        <v>0</v>
      </c>
      <c r="N412" s="72">
        <f t="shared" si="835"/>
        <v>0</v>
      </c>
      <c r="O412" s="72">
        <f t="shared" si="836"/>
        <v>0</v>
      </c>
      <c r="P412" s="72">
        <f t="shared" si="837"/>
        <v>35.81</v>
      </c>
      <c r="Q412" s="72">
        <f t="shared" si="838"/>
        <v>0</v>
      </c>
      <c r="R412" s="72">
        <f t="shared" si="839"/>
        <v>0</v>
      </c>
    </row>
    <row r="413" spans="1:18" x14ac:dyDescent="0.25">
      <c r="A413" s="26"/>
      <c r="B413" s="25" t="s">
        <v>432</v>
      </c>
      <c r="C413" s="15">
        <v>16</v>
      </c>
      <c r="D413" s="16"/>
      <c r="E413" s="15">
        <v>4</v>
      </c>
      <c r="F413" s="11">
        <v>1</v>
      </c>
      <c r="G413" s="11">
        <v>2</v>
      </c>
      <c r="H413" s="95">
        <f>0.58+8*$C413/1000</f>
        <v>0.70799999999999996</v>
      </c>
      <c r="I413" s="95">
        <v>3.06</v>
      </c>
      <c r="J413" s="95">
        <f>0.58+8*$C413/1000</f>
        <v>0.70799999999999996</v>
      </c>
      <c r="K413" s="22">
        <f>49*C413/1000</f>
        <v>0.78400000000000003</v>
      </c>
      <c r="L413" s="72">
        <f>SUM(H413:J413)+K413</f>
        <v>5.26</v>
      </c>
      <c r="M413" s="72">
        <f t="shared" si="834"/>
        <v>0</v>
      </c>
      <c r="N413" s="72">
        <f t="shared" si="835"/>
        <v>0</v>
      </c>
      <c r="O413" s="72">
        <f t="shared" si="836"/>
        <v>0</v>
      </c>
      <c r="P413" s="72">
        <f t="shared" si="837"/>
        <v>42.08</v>
      </c>
      <c r="Q413" s="72">
        <f t="shared" si="838"/>
        <v>0</v>
      </c>
      <c r="R413" s="72">
        <f t="shared" si="839"/>
        <v>0</v>
      </c>
    </row>
    <row r="414" spans="1:18" x14ac:dyDescent="0.25">
      <c r="A414" s="26"/>
      <c r="B414" s="25" t="s">
        <v>453</v>
      </c>
      <c r="C414" s="15">
        <v>8</v>
      </c>
      <c r="D414" s="16">
        <v>100</v>
      </c>
      <c r="E414" s="15">
        <v>4</v>
      </c>
      <c r="F414" s="11">
        <v>2</v>
      </c>
      <c r="G414" s="11">
        <f>+ROUND(1.8/0.1,0)</f>
        <v>18</v>
      </c>
      <c r="H414" s="95"/>
      <c r="I414" s="95">
        <f t="shared" ref="I414:I415" si="840">2*(0.14+0.39)+24*C414/1000</f>
        <v>1.252</v>
      </c>
      <c r="J414" s="100"/>
      <c r="K414" s="47"/>
      <c r="L414" s="72">
        <f t="shared" ref="L414:L415" si="841">SUM(H414:J414)+K414</f>
        <v>1.252</v>
      </c>
      <c r="M414" s="72">
        <f t="shared" si="834"/>
        <v>180.29</v>
      </c>
      <c r="N414" s="72">
        <f t="shared" si="835"/>
        <v>0</v>
      </c>
      <c r="O414" s="72">
        <f t="shared" si="836"/>
        <v>0</v>
      </c>
      <c r="P414" s="72">
        <f t="shared" si="837"/>
        <v>0</v>
      </c>
      <c r="Q414" s="72">
        <f t="shared" si="838"/>
        <v>0</v>
      </c>
      <c r="R414" s="72">
        <f t="shared" si="839"/>
        <v>0</v>
      </c>
    </row>
    <row r="415" spans="1:18" x14ac:dyDescent="0.25">
      <c r="A415" s="26"/>
      <c r="B415" s="25"/>
      <c r="C415" s="15">
        <v>8</v>
      </c>
      <c r="D415" s="16">
        <v>150</v>
      </c>
      <c r="E415" s="15">
        <v>4</v>
      </c>
      <c r="F415" s="11">
        <v>2</v>
      </c>
      <c r="G415" s="11">
        <f>+ROUND(1.26/0.15+1,0)</f>
        <v>9</v>
      </c>
      <c r="H415" s="95"/>
      <c r="I415" s="95">
        <f t="shared" si="840"/>
        <v>1.252</v>
      </c>
      <c r="J415" s="100"/>
      <c r="K415" s="47"/>
      <c r="L415" s="72">
        <f t="shared" si="841"/>
        <v>1.252</v>
      </c>
      <c r="M415" s="72">
        <f t="shared" si="834"/>
        <v>90.14</v>
      </c>
      <c r="N415" s="72">
        <f t="shared" si="835"/>
        <v>0</v>
      </c>
      <c r="O415" s="72">
        <f t="shared" si="836"/>
        <v>0</v>
      </c>
      <c r="P415" s="72">
        <f t="shared" si="837"/>
        <v>0</v>
      </c>
      <c r="Q415" s="72">
        <f t="shared" si="838"/>
        <v>0</v>
      </c>
      <c r="R415" s="72">
        <f t="shared" si="839"/>
        <v>0</v>
      </c>
    </row>
    <row r="416" spans="1:18" x14ac:dyDescent="0.25">
      <c r="A416" s="26"/>
      <c r="B416" s="25"/>
      <c r="C416" s="15"/>
      <c r="D416" s="16"/>
      <c r="E416" s="15"/>
      <c r="F416" s="11"/>
      <c r="G416" s="11"/>
      <c r="H416" s="95"/>
      <c r="I416" s="95"/>
      <c r="J416" s="100"/>
      <c r="K416" s="47"/>
      <c r="L416" s="72"/>
      <c r="M416" s="72"/>
      <c r="N416" s="72"/>
      <c r="O416" s="72"/>
      <c r="P416" s="72"/>
      <c r="Q416" s="72"/>
      <c r="R416" s="72"/>
    </row>
    <row r="417" spans="1:18" x14ac:dyDescent="0.25">
      <c r="A417" s="26" t="s">
        <v>439</v>
      </c>
      <c r="B417" s="48" t="s">
        <v>507</v>
      </c>
      <c r="C417" s="15"/>
      <c r="D417" s="16"/>
      <c r="E417" s="15"/>
      <c r="F417" s="11"/>
      <c r="G417" s="11"/>
      <c r="H417" s="95"/>
      <c r="I417" s="95"/>
      <c r="J417" s="100"/>
      <c r="K417" s="22"/>
      <c r="L417" s="72">
        <f t="shared" ref="L417" si="842">SUM(H417:J417)+K417</f>
        <v>0</v>
      </c>
      <c r="M417" s="72">
        <f t="shared" ref="M417:M421" si="843">+ROUND(IF(C417=8,PRODUCT(E417,F417,G417,L417),0),2)</f>
        <v>0</v>
      </c>
      <c r="N417" s="72">
        <f t="shared" ref="N417:N421" si="844">+ROUND(IF(C417=10,PRODUCT(E417,F417,G417,L417),0),2)</f>
        <v>0</v>
      </c>
      <c r="O417" s="72">
        <f t="shared" ref="O417:O421" si="845">+ROUND(IF(C417=12,PRODUCT(E417,F417,G417,L417),0),2)</f>
        <v>0</v>
      </c>
      <c r="P417" s="72">
        <f t="shared" ref="P417:P421" si="846">+ROUND(IF(C417=16,PRODUCT(E417,F417,G417,L417),0),2)</f>
        <v>0</v>
      </c>
      <c r="Q417" s="72">
        <f t="shared" ref="Q417:Q421" si="847">+ROUND(IF(C417=20,PRODUCT(E417,F417,G417,L417),0),2)</f>
        <v>0</v>
      </c>
      <c r="R417" s="72">
        <f t="shared" ref="R417:R421" si="848">+ROUND(IF(C417=25,PRODUCT(E417,F417,G417,L417),0),2)</f>
        <v>0</v>
      </c>
    </row>
    <row r="418" spans="1:18" x14ac:dyDescent="0.25">
      <c r="A418" s="26"/>
      <c r="B418" s="25" t="s">
        <v>385</v>
      </c>
      <c r="C418" s="15">
        <v>16</v>
      </c>
      <c r="D418" s="16"/>
      <c r="E418" s="15">
        <v>4</v>
      </c>
      <c r="F418" s="11">
        <v>1</v>
      </c>
      <c r="G418" s="11">
        <v>2</v>
      </c>
      <c r="H418" s="95">
        <f>0.58+8*$C418/1000</f>
        <v>0.70799999999999996</v>
      </c>
      <c r="I418" s="95">
        <v>3.63</v>
      </c>
      <c r="J418" s="95">
        <f>0.58+8*$C418/1000</f>
        <v>0.70799999999999996</v>
      </c>
      <c r="K418" s="22"/>
      <c r="L418" s="72">
        <f>SUM(H418:J418)+K418</f>
        <v>5.0460000000000003</v>
      </c>
      <c r="M418" s="72">
        <f t="shared" si="843"/>
        <v>0</v>
      </c>
      <c r="N418" s="72">
        <f t="shared" si="844"/>
        <v>0</v>
      </c>
      <c r="O418" s="72">
        <f t="shared" si="845"/>
        <v>0</v>
      </c>
      <c r="P418" s="72">
        <f t="shared" si="846"/>
        <v>40.369999999999997</v>
      </c>
      <c r="Q418" s="72">
        <f t="shared" si="847"/>
        <v>0</v>
      </c>
      <c r="R418" s="72">
        <f t="shared" si="848"/>
        <v>0</v>
      </c>
    </row>
    <row r="419" spans="1:18" x14ac:dyDescent="0.25">
      <c r="A419" s="26"/>
      <c r="B419" s="25" t="s">
        <v>432</v>
      </c>
      <c r="C419" s="15">
        <v>16</v>
      </c>
      <c r="D419" s="16"/>
      <c r="E419" s="15">
        <v>4</v>
      </c>
      <c r="F419" s="11">
        <v>1</v>
      </c>
      <c r="G419" s="11">
        <v>2</v>
      </c>
      <c r="H419" s="95">
        <f>0.58+8*$C419/1000</f>
        <v>0.70799999999999996</v>
      </c>
      <c r="I419" s="95">
        <v>3.63</v>
      </c>
      <c r="J419" s="95">
        <f>0.58+8*$C419/1000</f>
        <v>0.70799999999999996</v>
      </c>
      <c r="K419" s="22"/>
      <c r="L419" s="72">
        <f>SUM(H419:J419)+K419</f>
        <v>5.0460000000000003</v>
      </c>
      <c r="M419" s="72">
        <f t="shared" si="843"/>
        <v>0</v>
      </c>
      <c r="N419" s="72">
        <f t="shared" si="844"/>
        <v>0</v>
      </c>
      <c r="O419" s="72">
        <f t="shared" si="845"/>
        <v>0</v>
      </c>
      <c r="P419" s="72">
        <f t="shared" si="846"/>
        <v>40.369999999999997</v>
      </c>
      <c r="Q419" s="72">
        <f t="shared" si="847"/>
        <v>0</v>
      </c>
      <c r="R419" s="72">
        <f t="shared" si="848"/>
        <v>0</v>
      </c>
    </row>
    <row r="420" spans="1:18" x14ac:dyDescent="0.25">
      <c r="A420" s="26"/>
      <c r="B420" s="25" t="s">
        <v>433</v>
      </c>
      <c r="C420" s="15">
        <v>12</v>
      </c>
      <c r="D420" s="16"/>
      <c r="E420" s="15">
        <v>4</v>
      </c>
      <c r="F420" s="11">
        <v>1</v>
      </c>
      <c r="G420" s="11">
        <v>2</v>
      </c>
      <c r="H420" s="95"/>
      <c r="I420" s="95">
        <v>0.85</v>
      </c>
      <c r="J420" s="100"/>
      <c r="K420" s="22"/>
      <c r="L420" s="72">
        <f>SUM(H420:J420)+K420</f>
        <v>0.85</v>
      </c>
      <c r="M420" s="72">
        <f t="shared" ref="M420" si="849">+ROUND(IF(C420=8,PRODUCT(E420,F420,G420,L420),0),2)</f>
        <v>0</v>
      </c>
      <c r="N420" s="72">
        <f t="shared" ref="N420" si="850">+ROUND(IF(C420=10,PRODUCT(E420,F420,G420,L420),0),2)</f>
        <v>0</v>
      </c>
      <c r="O420" s="72">
        <f t="shared" ref="O420" si="851">+ROUND(IF(C420=12,PRODUCT(E420,F420,G420,L420),0),2)</f>
        <v>6.8</v>
      </c>
      <c r="P420" s="72">
        <f t="shared" ref="P420" si="852">+ROUND(IF(C420=16,PRODUCT(E420,F420,G420,L420),0),2)</f>
        <v>0</v>
      </c>
      <c r="Q420" s="72">
        <f t="shared" ref="Q420" si="853">+ROUND(IF(C420=20,PRODUCT(E420,F420,G420,L420),0),2)</f>
        <v>0</v>
      </c>
      <c r="R420" s="72">
        <f t="shared" ref="R420" si="854">+ROUND(IF(C420=25,PRODUCT(E420,F420,G420,L420),0),2)</f>
        <v>0</v>
      </c>
    </row>
    <row r="421" spans="1:18" x14ac:dyDescent="0.25">
      <c r="A421" s="26"/>
      <c r="B421" s="25" t="s">
        <v>757</v>
      </c>
      <c r="C421" s="15">
        <v>8</v>
      </c>
      <c r="D421" s="16">
        <v>100</v>
      </c>
      <c r="E421" s="15">
        <v>4</v>
      </c>
      <c r="F421" s="11">
        <v>2</v>
      </c>
      <c r="G421" s="11">
        <f>+ROUND(0.28/0.1+1,0)</f>
        <v>4</v>
      </c>
      <c r="H421" s="95"/>
      <c r="I421" s="95">
        <f>2*(0.15+0.3)+16*C421/1000</f>
        <v>1.028</v>
      </c>
      <c r="J421" s="100"/>
      <c r="K421" s="47"/>
      <c r="L421" s="72">
        <f t="shared" ref="L421" si="855">SUM(H421:J421)+K421</f>
        <v>1.028</v>
      </c>
      <c r="M421" s="72">
        <f t="shared" si="843"/>
        <v>32.9</v>
      </c>
      <c r="N421" s="72">
        <f t="shared" si="844"/>
        <v>0</v>
      </c>
      <c r="O421" s="72">
        <f t="shared" si="845"/>
        <v>0</v>
      </c>
      <c r="P421" s="72">
        <f t="shared" si="846"/>
        <v>0</v>
      </c>
      <c r="Q421" s="72">
        <f t="shared" si="847"/>
        <v>0</v>
      </c>
      <c r="R421" s="72">
        <f t="shared" si="848"/>
        <v>0</v>
      </c>
    </row>
    <row r="422" spans="1:18" x14ac:dyDescent="0.25">
      <c r="A422" s="26"/>
      <c r="B422" s="25" t="s">
        <v>757</v>
      </c>
      <c r="C422" s="15">
        <v>8</v>
      </c>
      <c r="D422" s="16">
        <v>100</v>
      </c>
      <c r="E422" s="15">
        <v>4</v>
      </c>
      <c r="F422" s="11">
        <v>2</v>
      </c>
      <c r="G422" s="11">
        <f>+ROUND(1.525/0.1,0)</f>
        <v>15</v>
      </c>
      <c r="H422" s="95"/>
      <c r="I422" s="95">
        <f>2*(0.15+0.3)+16*C422/1000</f>
        <v>1.028</v>
      </c>
      <c r="J422" s="100"/>
      <c r="K422" s="47"/>
      <c r="L422" s="72">
        <f t="shared" ref="L422" si="856">SUM(H422:J422)+K422</f>
        <v>1.028</v>
      </c>
      <c r="M422" s="72">
        <f t="shared" ref="M422" si="857">+ROUND(IF(C422=8,PRODUCT(E422,F422,G422,L422),0),2)</f>
        <v>123.36</v>
      </c>
      <c r="N422" s="72">
        <f t="shared" ref="N422" si="858">+ROUND(IF(C422=10,PRODUCT(E422,F422,G422,L422),0),2)</f>
        <v>0</v>
      </c>
      <c r="O422" s="72">
        <f t="shared" ref="O422" si="859">+ROUND(IF(C422=12,PRODUCT(E422,F422,G422,L422),0),2)</f>
        <v>0</v>
      </c>
      <c r="P422" s="72">
        <f t="shared" ref="P422" si="860">+ROUND(IF(C422=16,PRODUCT(E422,F422,G422,L422),0),2)</f>
        <v>0</v>
      </c>
      <c r="Q422" s="72">
        <f t="shared" ref="Q422" si="861">+ROUND(IF(C422=20,PRODUCT(E422,F422,G422,L422),0),2)</f>
        <v>0</v>
      </c>
      <c r="R422" s="72">
        <f t="shared" ref="R422" si="862">+ROUND(IF(C422=25,PRODUCT(E422,F422,G422,L422),0),2)</f>
        <v>0</v>
      </c>
    </row>
    <row r="423" spans="1:18" x14ac:dyDescent="0.25">
      <c r="A423" s="26"/>
      <c r="B423" s="25"/>
      <c r="C423" s="15">
        <v>8</v>
      </c>
      <c r="D423" s="16">
        <v>150</v>
      </c>
      <c r="E423" s="15">
        <v>4</v>
      </c>
      <c r="F423" s="11">
        <v>2</v>
      </c>
      <c r="G423" s="11">
        <f>+ROUND(1.525/0.15+1,0)</f>
        <v>11</v>
      </c>
      <c r="H423" s="95"/>
      <c r="I423" s="95">
        <f>2*(0.15+0.3)+16*C423/1000</f>
        <v>1.028</v>
      </c>
      <c r="J423" s="100"/>
      <c r="K423" s="47"/>
      <c r="L423" s="72">
        <f t="shared" ref="L423" si="863">SUM(H423:J423)+K423</f>
        <v>1.028</v>
      </c>
      <c r="M423" s="72">
        <f t="shared" ref="M423:M435" si="864">+ROUND(IF(C423=8,PRODUCT(E423,F423,G423,L423),0),2)</f>
        <v>90.46</v>
      </c>
      <c r="N423" s="72">
        <f t="shared" si="1"/>
        <v>0</v>
      </c>
      <c r="O423" s="72">
        <f t="shared" si="2"/>
        <v>0</v>
      </c>
      <c r="P423" s="72">
        <f t="shared" si="3"/>
        <v>0</v>
      </c>
      <c r="Q423" s="72">
        <f t="shared" si="4"/>
        <v>0</v>
      </c>
      <c r="R423" s="72">
        <f t="shared" si="5"/>
        <v>0</v>
      </c>
    </row>
    <row r="424" spans="1:18" x14ac:dyDescent="0.25">
      <c r="A424" s="26" t="s">
        <v>442</v>
      </c>
      <c r="B424" s="48" t="s">
        <v>509</v>
      </c>
      <c r="C424" s="15"/>
      <c r="D424" s="16"/>
      <c r="E424" s="15"/>
      <c r="F424" s="11"/>
      <c r="G424" s="11"/>
      <c r="H424" s="95"/>
      <c r="I424" s="95"/>
      <c r="J424" s="100"/>
      <c r="K424" s="22"/>
      <c r="L424" s="72">
        <f t="shared" ref="L424" si="865">SUM(H424:J424)+K424</f>
        <v>0</v>
      </c>
      <c r="M424" s="72">
        <f t="shared" si="864"/>
        <v>0</v>
      </c>
      <c r="N424" s="72">
        <f t="shared" si="1"/>
        <v>0</v>
      </c>
      <c r="O424" s="72">
        <f t="shared" si="2"/>
        <v>0</v>
      </c>
      <c r="P424" s="72">
        <f t="shared" si="3"/>
        <v>0</v>
      </c>
      <c r="Q424" s="72">
        <f t="shared" si="4"/>
        <v>0</v>
      </c>
      <c r="R424" s="72">
        <f t="shared" si="5"/>
        <v>0</v>
      </c>
    </row>
    <row r="425" spans="1:18" x14ac:dyDescent="0.25">
      <c r="A425" s="26"/>
      <c r="B425" s="25" t="s">
        <v>385</v>
      </c>
      <c r="C425" s="15">
        <v>16</v>
      </c>
      <c r="D425" s="16"/>
      <c r="E425" s="15">
        <v>2</v>
      </c>
      <c r="F425" s="11">
        <v>1</v>
      </c>
      <c r="G425" s="11">
        <v>2</v>
      </c>
      <c r="H425" s="95">
        <f>((0.79)/3)+0.1</f>
        <v>0.3633333333333334</v>
      </c>
      <c r="I425" s="95">
        <v>7</v>
      </c>
      <c r="J425" s="95">
        <f>((0.79)/3)+0.1</f>
        <v>0.3633333333333334</v>
      </c>
      <c r="K425" s="22"/>
      <c r="L425" s="72">
        <f>SUM(H425:J425)+K425</f>
        <v>7.7266666666666666</v>
      </c>
      <c r="M425" s="72">
        <f t="shared" si="864"/>
        <v>0</v>
      </c>
      <c r="N425" s="72">
        <f t="shared" si="1"/>
        <v>0</v>
      </c>
      <c r="O425" s="72">
        <f t="shared" si="2"/>
        <v>0</v>
      </c>
      <c r="P425" s="72">
        <f t="shared" si="3"/>
        <v>30.91</v>
      </c>
      <c r="Q425" s="72">
        <f t="shared" si="4"/>
        <v>0</v>
      </c>
      <c r="R425" s="72">
        <f t="shared" si="5"/>
        <v>0</v>
      </c>
    </row>
    <row r="426" spans="1:18" x14ac:dyDescent="0.25">
      <c r="A426" s="26"/>
      <c r="B426" s="25" t="s">
        <v>432</v>
      </c>
      <c r="C426" s="15">
        <v>16</v>
      </c>
      <c r="D426" s="16"/>
      <c r="E426" s="15">
        <v>2</v>
      </c>
      <c r="F426" s="11">
        <v>1</v>
      </c>
      <c r="G426" s="11">
        <v>2</v>
      </c>
      <c r="H426" s="95">
        <f>((0.79)/3)+0.1</f>
        <v>0.3633333333333334</v>
      </c>
      <c r="I426" s="95">
        <v>7</v>
      </c>
      <c r="J426" s="95">
        <f>((0.79)/3)+0.1</f>
        <v>0.3633333333333334</v>
      </c>
      <c r="K426" s="22"/>
      <c r="L426" s="72">
        <f>SUM(H426:J426)+K426</f>
        <v>7.7266666666666666</v>
      </c>
      <c r="M426" s="72">
        <f t="shared" si="864"/>
        <v>0</v>
      </c>
      <c r="N426" s="72">
        <f t="shared" si="1"/>
        <v>0</v>
      </c>
      <c r="O426" s="72">
        <f t="shared" si="2"/>
        <v>0</v>
      </c>
      <c r="P426" s="72">
        <f t="shared" si="3"/>
        <v>30.91</v>
      </c>
      <c r="Q426" s="72">
        <f t="shared" si="4"/>
        <v>0</v>
      </c>
      <c r="R426" s="72">
        <f t="shared" si="5"/>
        <v>0</v>
      </c>
    </row>
    <row r="427" spans="1:18" x14ac:dyDescent="0.25">
      <c r="A427" s="26"/>
      <c r="B427" s="25" t="s">
        <v>462</v>
      </c>
      <c r="C427" s="15">
        <v>8</v>
      </c>
      <c r="D427" s="16">
        <v>100</v>
      </c>
      <c r="E427" s="15">
        <v>2</v>
      </c>
      <c r="F427" s="11">
        <v>2</v>
      </c>
      <c r="G427" s="11">
        <f>+ROUND(1.8/0.1,0)</f>
        <v>18</v>
      </c>
      <c r="H427" s="95"/>
      <c r="I427" s="95">
        <f>2*(0.15+0.4)+16*C427/1000</f>
        <v>1.2280000000000002</v>
      </c>
      <c r="J427" s="100"/>
      <c r="K427" s="47"/>
      <c r="L427" s="72">
        <f t="shared" ref="L427:L428" si="866">SUM(H427:J427)+K427</f>
        <v>1.2280000000000002</v>
      </c>
      <c r="M427" s="72">
        <f t="shared" si="864"/>
        <v>88.42</v>
      </c>
      <c r="N427" s="72">
        <f t="shared" si="1"/>
        <v>0</v>
      </c>
      <c r="O427" s="72">
        <f t="shared" si="2"/>
        <v>0</v>
      </c>
      <c r="P427" s="72">
        <f t="shared" si="3"/>
        <v>0</v>
      </c>
      <c r="Q427" s="72">
        <f t="shared" si="4"/>
        <v>0</v>
      </c>
      <c r="R427" s="72">
        <f t="shared" si="5"/>
        <v>0</v>
      </c>
    </row>
    <row r="428" spans="1:18" x14ac:dyDescent="0.25">
      <c r="A428" s="26"/>
      <c r="B428" s="25"/>
      <c r="C428" s="15">
        <v>8</v>
      </c>
      <c r="D428" s="16">
        <v>150</v>
      </c>
      <c r="E428" s="15">
        <v>2</v>
      </c>
      <c r="F428" s="11">
        <v>2</v>
      </c>
      <c r="G428" s="11">
        <f>+ROUND(1.585/0.15+1,0)</f>
        <v>12</v>
      </c>
      <c r="H428" s="95"/>
      <c r="I428" s="95">
        <f>2*(0.15+0.4)+16*C428/1000</f>
        <v>1.2280000000000002</v>
      </c>
      <c r="J428" s="100"/>
      <c r="K428" s="47"/>
      <c r="L428" s="72">
        <f t="shared" si="866"/>
        <v>1.2280000000000002</v>
      </c>
      <c r="M428" s="72">
        <f t="shared" si="864"/>
        <v>58.94</v>
      </c>
      <c r="N428" s="72">
        <f t="shared" si="1"/>
        <v>0</v>
      </c>
      <c r="O428" s="72">
        <f t="shared" si="2"/>
        <v>0</v>
      </c>
      <c r="P428" s="72">
        <f t="shared" si="3"/>
        <v>0</v>
      </c>
      <c r="Q428" s="72">
        <f t="shared" si="4"/>
        <v>0</v>
      </c>
      <c r="R428" s="72">
        <f t="shared" si="5"/>
        <v>0</v>
      </c>
    </row>
    <row r="429" spans="1:18" x14ac:dyDescent="0.25">
      <c r="A429" s="26" t="s">
        <v>442</v>
      </c>
      <c r="B429" s="48" t="s">
        <v>510</v>
      </c>
      <c r="C429" s="15"/>
      <c r="D429" s="16"/>
      <c r="E429" s="15"/>
      <c r="F429" s="11"/>
      <c r="G429" s="11"/>
      <c r="H429" s="95"/>
      <c r="I429" s="95"/>
      <c r="J429" s="100"/>
      <c r="K429" s="22"/>
      <c r="L429" s="72">
        <f t="shared" ref="L429" si="867">SUM(H429:J429)+K429</f>
        <v>0</v>
      </c>
      <c r="M429" s="72">
        <f t="shared" si="864"/>
        <v>0</v>
      </c>
      <c r="N429" s="72">
        <f t="shared" si="1"/>
        <v>0</v>
      </c>
      <c r="O429" s="72">
        <f t="shared" si="2"/>
        <v>0</v>
      </c>
      <c r="P429" s="72">
        <f t="shared" si="3"/>
        <v>0</v>
      </c>
      <c r="Q429" s="72">
        <f t="shared" si="4"/>
        <v>0</v>
      </c>
      <c r="R429" s="72">
        <f t="shared" si="5"/>
        <v>0</v>
      </c>
    </row>
    <row r="430" spans="1:18" x14ac:dyDescent="0.25">
      <c r="A430" s="26"/>
      <c r="B430" s="25" t="s">
        <v>385</v>
      </c>
      <c r="C430" s="15">
        <v>16</v>
      </c>
      <c r="D430" s="16"/>
      <c r="E430" s="15">
        <v>2</v>
      </c>
      <c r="F430" s="11">
        <v>2</v>
      </c>
      <c r="G430" s="11">
        <v>2</v>
      </c>
      <c r="H430" s="95">
        <f>0.58+8*$C430/1000</f>
        <v>0.70799999999999996</v>
      </c>
      <c r="I430" s="95">
        <v>5.15</v>
      </c>
      <c r="J430" s="95">
        <f>((0.79)/3)+0.1</f>
        <v>0.3633333333333334</v>
      </c>
      <c r="K430" s="22"/>
      <c r="L430" s="72">
        <f>SUM(H430:J430)+K430</f>
        <v>6.2213333333333338</v>
      </c>
      <c r="M430" s="72">
        <f t="shared" si="864"/>
        <v>0</v>
      </c>
      <c r="N430" s="72">
        <f t="shared" si="1"/>
        <v>0</v>
      </c>
      <c r="O430" s="72">
        <f t="shared" si="2"/>
        <v>0</v>
      </c>
      <c r="P430" s="72">
        <f t="shared" si="3"/>
        <v>49.77</v>
      </c>
      <c r="Q430" s="72">
        <f t="shared" si="4"/>
        <v>0</v>
      </c>
      <c r="R430" s="72">
        <f t="shared" si="5"/>
        <v>0</v>
      </c>
    </row>
    <row r="431" spans="1:18" x14ac:dyDescent="0.25">
      <c r="A431" s="26"/>
      <c r="B431" s="25" t="s">
        <v>385</v>
      </c>
      <c r="C431" s="15">
        <v>16</v>
      </c>
      <c r="D431" s="16"/>
      <c r="E431" s="15">
        <v>2</v>
      </c>
      <c r="F431" s="11">
        <v>1</v>
      </c>
      <c r="G431" s="11">
        <v>2</v>
      </c>
      <c r="H431" s="95">
        <v>0.79</v>
      </c>
      <c r="I431" s="95">
        <v>3</v>
      </c>
      <c r="J431" s="95">
        <v>0.79</v>
      </c>
      <c r="K431" s="22"/>
      <c r="L431" s="72">
        <f>SUM(H431:J431)+K431</f>
        <v>4.58</v>
      </c>
      <c r="M431" s="72">
        <f t="shared" ref="M431" si="868">+ROUND(IF(C431=8,PRODUCT(E431,F431,G431,L431),0),2)</f>
        <v>0</v>
      </c>
      <c r="N431" s="72">
        <f t="shared" ref="N431" si="869">+ROUND(IF(C431=10,PRODUCT(E431,F431,G431,L431),0),2)</f>
        <v>0</v>
      </c>
      <c r="O431" s="72">
        <f t="shared" ref="O431" si="870">+ROUND(IF(C431=12,PRODUCT(E431,F431,G431,L431),0),2)</f>
        <v>0</v>
      </c>
      <c r="P431" s="72">
        <f t="shared" ref="P431" si="871">+ROUND(IF(C431=16,PRODUCT(E431,F431,G431,L431),0),2)</f>
        <v>18.32</v>
      </c>
      <c r="Q431" s="72">
        <f t="shared" ref="Q431" si="872">+ROUND(IF(C431=20,PRODUCT(E431,F431,G431,L431),0),2)</f>
        <v>0</v>
      </c>
      <c r="R431" s="72">
        <f t="shared" ref="R431" si="873">+ROUND(IF(C431=25,PRODUCT(E431,F431,G431,L431),0),2)</f>
        <v>0</v>
      </c>
    </row>
    <row r="432" spans="1:18" x14ac:dyDescent="0.25">
      <c r="A432" s="26"/>
      <c r="B432" s="25" t="s">
        <v>432</v>
      </c>
      <c r="C432" s="15">
        <v>16</v>
      </c>
      <c r="D432" s="16"/>
      <c r="E432" s="15">
        <v>2</v>
      </c>
      <c r="F432" s="11">
        <v>1</v>
      </c>
      <c r="G432" s="11">
        <v>2</v>
      </c>
      <c r="H432" s="95">
        <f>0.58+8*$C432/1000</f>
        <v>0.70799999999999996</v>
      </c>
      <c r="I432" s="95">
        <v>13.9</v>
      </c>
      <c r="J432" s="95">
        <f>0.58+8*$C432/1000</f>
        <v>0.70799999999999996</v>
      </c>
      <c r="K432" s="22">
        <v>0.79</v>
      </c>
      <c r="L432" s="72">
        <f>SUM(H432:J432)+K432</f>
        <v>16.106000000000002</v>
      </c>
      <c r="M432" s="72">
        <f t="shared" si="864"/>
        <v>0</v>
      </c>
      <c r="N432" s="72">
        <f t="shared" si="1"/>
        <v>0</v>
      </c>
      <c r="O432" s="72">
        <f t="shared" si="2"/>
        <v>0</v>
      </c>
      <c r="P432" s="72">
        <f t="shared" si="3"/>
        <v>64.42</v>
      </c>
      <c r="Q432" s="72">
        <f t="shared" si="4"/>
        <v>0</v>
      </c>
      <c r="R432" s="72">
        <f t="shared" si="5"/>
        <v>0</v>
      </c>
    </row>
    <row r="433" spans="1:18" x14ac:dyDescent="0.25">
      <c r="A433" s="26"/>
      <c r="B433" s="25" t="s">
        <v>453</v>
      </c>
      <c r="C433" s="15">
        <v>8</v>
      </c>
      <c r="D433" s="16">
        <v>100</v>
      </c>
      <c r="E433" s="15">
        <v>2</v>
      </c>
      <c r="F433" s="11">
        <v>2</v>
      </c>
      <c r="G433" s="11">
        <f>+ROUND(1.8/0.1,0)</f>
        <v>18</v>
      </c>
      <c r="H433" s="95"/>
      <c r="I433" s="95">
        <f t="shared" ref="I433:I434" si="874">2*(0.15+0.4)+16*C433/1000</f>
        <v>1.2280000000000002</v>
      </c>
      <c r="J433" s="100"/>
      <c r="K433" s="47"/>
      <c r="L433" s="72">
        <f t="shared" ref="L433:L435" si="875">SUM(H433:J433)+K433</f>
        <v>1.2280000000000002</v>
      </c>
      <c r="M433" s="72">
        <f t="shared" si="864"/>
        <v>88.42</v>
      </c>
      <c r="N433" s="72">
        <f t="shared" si="1"/>
        <v>0</v>
      </c>
      <c r="O433" s="72">
        <f t="shared" si="2"/>
        <v>0</v>
      </c>
      <c r="P433" s="72">
        <f t="shared" si="3"/>
        <v>0</v>
      </c>
      <c r="Q433" s="72">
        <f t="shared" si="4"/>
        <v>0</v>
      </c>
      <c r="R433" s="72">
        <f t="shared" si="5"/>
        <v>0</v>
      </c>
    </row>
    <row r="434" spans="1:18" x14ac:dyDescent="0.25">
      <c r="A434" s="26"/>
      <c r="B434" s="25"/>
      <c r="C434" s="15">
        <v>8</v>
      </c>
      <c r="D434" s="16">
        <v>150</v>
      </c>
      <c r="E434" s="15">
        <v>2</v>
      </c>
      <c r="F434" s="11">
        <v>2</v>
      </c>
      <c r="G434" s="11">
        <f>+ROUND(1.45/0.15+1,0)</f>
        <v>11</v>
      </c>
      <c r="H434" s="95"/>
      <c r="I434" s="95">
        <f t="shared" si="874"/>
        <v>1.2280000000000002</v>
      </c>
      <c r="J434" s="100"/>
      <c r="K434" s="47"/>
      <c r="L434" s="72">
        <f t="shared" si="875"/>
        <v>1.2280000000000002</v>
      </c>
      <c r="M434" s="72">
        <f t="shared" si="864"/>
        <v>54.03</v>
      </c>
      <c r="N434" s="72">
        <f t="shared" si="1"/>
        <v>0</v>
      </c>
      <c r="O434" s="72">
        <f t="shared" si="2"/>
        <v>0</v>
      </c>
      <c r="P434" s="72">
        <f t="shared" si="3"/>
        <v>0</v>
      </c>
      <c r="Q434" s="72">
        <f t="shared" si="4"/>
        <v>0</v>
      </c>
      <c r="R434" s="72">
        <f t="shared" si="5"/>
        <v>0</v>
      </c>
    </row>
    <row r="435" spans="1:18" x14ac:dyDescent="0.25">
      <c r="A435" s="26"/>
      <c r="B435" s="25" t="s">
        <v>453</v>
      </c>
      <c r="C435" s="15">
        <v>8</v>
      </c>
      <c r="D435" s="16">
        <v>100</v>
      </c>
      <c r="E435" s="15">
        <v>2</v>
      </c>
      <c r="F435" s="11">
        <v>2</v>
      </c>
      <c r="G435" s="11">
        <f>+ROUND(1.7/0.1+1,0)</f>
        <v>18</v>
      </c>
      <c r="H435" s="95"/>
      <c r="I435" s="95">
        <f>2*(0.15+0.4)+16*C435/1000</f>
        <v>1.2280000000000002</v>
      </c>
      <c r="J435" s="100"/>
      <c r="K435" s="47"/>
      <c r="L435" s="72">
        <f t="shared" si="875"/>
        <v>1.2280000000000002</v>
      </c>
      <c r="M435" s="72">
        <f t="shared" si="864"/>
        <v>88.42</v>
      </c>
      <c r="N435" s="72">
        <f t="shared" si="1"/>
        <v>0</v>
      </c>
      <c r="O435" s="72">
        <f t="shared" si="2"/>
        <v>0</v>
      </c>
      <c r="P435" s="72">
        <f t="shared" si="3"/>
        <v>0</v>
      </c>
      <c r="Q435" s="72">
        <f t="shared" si="4"/>
        <v>0</v>
      </c>
      <c r="R435" s="72">
        <f t="shared" si="5"/>
        <v>0</v>
      </c>
    </row>
    <row r="436" spans="1:18" x14ac:dyDescent="0.25">
      <c r="A436" s="26"/>
      <c r="B436" s="25" t="s">
        <v>447</v>
      </c>
      <c r="C436" s="15">
        <v>8</v>
      </c>
      <c r="D436" s="16">
        <v>100</v>
      </c>
      <c r="E436" s="15">
        <v>2</v>
      </c>
      <c r="F436" s="11">
        <v>2</v>
      </c>
      <c r="G436" s="11">
        <f>+ROUND(1.385/0.1+1,0)</f>
        <v>15</v>
      </c>
      <c r="H436" s="95"/>
      <c r="I436" s="95">
        <f>2*(0.15+0.3)+16*C436/1000</f>
        <v>1.028</v>
      </c>
      <c r="J436" s="100"/>
      <c r="K436" s="47"/>
      <c r="L436" s="72">
        <f t="shared" ref="L436" si="876">SUM(H436:J436)+K436</f>
        <v>1.028</v>
      </c>
      <c r="M436" s="72">
        <f t="shared" ref="M436:M443" si="877">+ROUND(IF(C436=8,PRODUCT(E436,F436,G436,L436),0),2)</f>
        <v>61.68</v>
      </c>
      <c r="N436" s="72">
        <f t="shared" ref="N436:N443" si="878">+ROUND(IF(C436=10,PRODUCT(E436,F436,G436,L436),0),2)</f>
        <v>0</v>
      </c>
      <c r="O436" s="72">
        <f t="shared" ref="O436:O443" si="879">+ROUND(IF(C436=12,PRODUCT(E436,F436,G436,L436),0),2)</f>
        <v>0</v>
      </c>
      <c r="P436" s="72">
        <f t="shared" ref="P436:P443" si="880">+ROUND(IF(C436=16,PRODUCT(E436,F436,G436,L436),0),2)</f>
        <v>0</v>
      </c>
      <c r="Q436" s="72">
        <f t="shared" ref="Q436:Q443" si="881">+ROUND(IF(C436=20,PRODUCT(E436,F436,G436,L436),0),2)</f>
        <v>0</v>
      </c>
      <c r="R436" s="72">
        <f t="shared" ref="R436:R443" si="882">+ROUND(IF(C436=25,PRODUCT(E436,F436,G436,L436),0),2)</f>
        <v>0</v>
      </c>
    </row>
    <row r="437" spans="1:18" x14ac:dyDescent="0.25">
      <c r="A437" s="26"/>
      <c r="B437" s="25"/>
      <c r="C437" s="15">
        <v>8</v>
      </c>
      <c r="D437" s="16">
        <v>150</v>
      </c>
      <c r="E437" s="15">
        <v>2</v>
      </c>
      <c r="F437" s="11">
        <v>2</v>
      </c>
      <c r="G437" s="11">
        <f>+ROUND(1.585/0.15+1,0)</f>
        <v>12</v>
      </c>
      <c r="H437" s="95"/>
      <c r="I437" s="95">
        <f>2*(0.15+0.4)+16*C437/1000</f>
        <v>1.2280000000000002</v>
      </c>
      <c r="J437" s="100"/>
      <c r="K437" s="47"/>
      <c r="L437" s="72">
        <f t="shared" ref="L437" si="883">SUM(H437:J437)+K437</f>
        <v>1.2280000000000002</v>
      </c>
      <c r="M437" s="72">
        <f t="shared" si="877"/>
        <v>58.94</v>
      </c>
      <c r="N437" s="72">
        <f t="shared" si="878"/>
        <v>0</v>
      </c>
      <c r="O437" s="72">
        <f t="shared" si="879"/>
        <v>0</v>
      </c>
      <c r="P437" s="72">
        <f t="shared" si="880"/>
        <v>0</v>
      </c>
      <c r="Q437" s="72">
        <f t="shared" si="881"/>
        <v>0</v>
      </c>
      <c r="R437" s="72">
        <f t="shared" si="882"/>
        <v>0</v>
      </c>
    </row>
    <row r="438" spans="1:18" x14ac:dyDescent="0.25">
      <c r="A438" s="26" t="s">
        <v>442</v>
      </c>
      <c r="B438" s="48" t="s">
        <v>818</v>
      </c>
      <c r="C438" s="15"/>
      <c r="D438" s="16"/>
      <c r="E438" s="15"/>
      <c r="F438" s="11"/>
      <c r="G438" s="11"/>
      <c r="H438" s="95"/>
      <c r="I438" s="95"/>
      <c r="J438" s="100"/>
      <c r="K438" s="22"/>
      <c r="L438" s="72">
        <f t="shared" ref="L438" si="884">SUM(H438:J438)+K438</f>
        <v>0</v>
      </c>
      <c r="M438" s="72">
        <f t="shared" si="877"/>
        <v>0</v>
      </c>
      <c r="N438" s="72">
        <f t="shared" si="878"/>
        <v>0</v>
      </c>
      <c r="O438" s="72">
        <f t="shared" si="879"/>
        <v>0</v>
      </c>
      <c r="P438" s="72">
        <f t="shared" si="880"/>
        <v>0</v>
      </c>
      <c r="Q438" s="72">
        <f t="shared" si="881"/>
        <v>0</v>
      </c>
      <c r="R438" s="72">
        <f t="shared" si="882"/>
        <v>0</v>
      </c>
    </row>
    <row r="439" spans="1:18" x14ac:dyDescent="0.25">
      <c r="A439" s="26"/>
      <c r="B439" s="25" t="s">
        <v>385</v>
      </c>
      <c r="C439" s="15">
        <v>16</v>
      </c>
      <c r="D439" s="16"/>
      <c r="E439" s="15">
        <v>4</v>
      </c>
      <c r="F439" s="11">
        <v>1</v>
      </c>
      <c r="G439" s="11">
        <v>2</v>
      </c>
      <c r="H439" s="95">
        <f>0.58+8*$C439/1000</f>
        <v>0.70799999999999996</v>
      </c>
      <c r="I439" s="95">
        <v>5.05</v>
      </c>
      <c r="J439" s="95">
        <f>((0.79)/3)+0.1</f>
        <v>0.3633333333333334</v>
      </c>
      <c r="K439" s="22"/>
      <c r="L439" s="72">
        <f>SUM(H439:J439)+K439</f>
        <v>6.1213333333333333</v>
      </c>
      <c r="M439" s="72">
        <f t="shared" si="877"/>
        <v>0</v>
      </c>
      <c r="N439" s="72">
        <f t="shared" si="878"/>
        <v>0</v>
      </c>
      <c r="O439" s="72">
        <f t="shared" si="879"/>
        <v>0</v>
      </c>
      <c r="P439" s="72">
        <f t="shared" si="880"/>
        <v>48.97</v>
      </c>
      <c r="Q439" s="72">
        <f t="shared" si="881"/>
        <v>0</v>
      </c>
      <c r="R439" s="72">
        <f t="shared" si="882"/>
        <v>0</v>
      </c>
    </row>
    <row r="440" spans="1:18" x14ac:dyDescent="0.25">
      <c r="A440" s="26"/>
      <c r="B440" s="25" t="s">
        <v>432</v>
      </c>
      <c r="C440" s="15">
        <v>16</v>
      </c>
      <c r="D440" s="16"/>
      <c r="E440" s="15">
        <v>4</v>
      </c>
      <c r="F440" s="11">
        <v>1</v>
      </c>
      <c r="G440" s="11">
        <v>2</v>
      </c>
      <c r="H440" s="95">
        <f>0.58+8*$C440/1000</f>
        <v>0.70799999999999996</v>
      </c>
      <c r="I440" s="95">
        <v>5.05</v>
      </c>
      <c r="J440" s="95">
        <f>((0.79)/3)+0.1</f>
        <v>0.3633333333333334</v>
      </c>
      <c r="K440" s="22">
        <v>0.79</v>
      </c>
      <c r="L440" s="72">
        <f>SUM(H440:J440)+K440</f>
        <v>6.9113333333333333</v>
      </c>
      <c r="M440" s="72">
        <f t="shared" si="877"/>
        <v>0</v>
      </c>
      <c r="N440" s="72">
        <f t="shared" si="878"/>
        <v>0</v>
      </c>
      <c r="O440" s="72">
        <f t="shared" si="879"/>
        <v>0</v>
      </c>
      <c r="P440" s="72">
        <f t="shared" si="880"/>
        <v>55.29</v>
      </c>
      <c r="Q440" s="72">
        <f t="shared" si="881"/>
        <v>0</v>
      </c>
      <c r="R440" s="72">
        <f t="shared" si="882"/>
        <v>0</v>
      </c>
    </row>
    <row r="441" spans="1:18" x14ac:dyDescent="0.25">
      <c r="A441" s="26"/>
      <c r="B441" s="25" t="s">
        <v>453</v>
      </c>
      <c r="C441" s="15">
        <v>8</v>
      </c>
      <c r="D441" s="16">
        <v>100</v>
      </c>
      <c r="E441" s="15">
        <v>4</v>
      </c>
      <c r="F441" s="11">
        <v>1</v>
      </c>
      <c r="G441" s="11">
        <f>+ROUND(1.8/0.1,0)</f>
        <v>18</v>
      </c>
      <c r="H441" s="95"/>
      <c r="I441" s="95">
        <f t="shared" ref="I441:I442" si="885">2*(0.15+0.4)+16*C441/1000</f>
        <v>1.2280000000000002</v>
      </c>
      <c r="J441" s="100"/>
      <c r="K441" s="47"/>
      <c r="L441" s="72">
        <f t="shared" ref="L441:L443" si="886">SUM(H441:J441)+K441</f>
        <v>1.2280000000000002</v>
      </c>
      <c r="M441" s="72">
        <f t="shared" si="877"/>
        <v>88.42</v>
      </c>
      <c r="N441" s="72">
        <f t="shared" si="878"/>
        <v>0</v>
      </c>
      <c r="O441" s="72">
        <f t="shared" si="879"/>
        <v>0</v>
      </c>
      <c r="P441" s="72">
        <f t="shared" si="880"/>
        <v>0</v>
      </c>
      <c r="Q441" s="72">
        <f t="shared" si="881"/>
        <v>0</v>
      </c>
      <c r="R441" s="72">
        <f t="shared" si="882"/>
        <v>0</v>
      </c>
    </row>
    <row r="442" spans="1:18" x14ac:dyDescent="0.25">
      <c r="A442" s="26"/>
      <c r="B442" s="25"/>
      <c r="C442" s="15">
        <v>8</v>
      </c>
      <c r="D442" s="16">
        <v>150</v>
      </c>
      <c r="E442" s="15">
        <v>4</v>
      </c>
      <c r="F442" s="11">
        <v>1</v>
      </c>
      <c r="G442" s="11">
        <f>+ROUND(1.45/0.15+1,0)</f>
        <v>11</v>
      </c>
      <c r="H442" s="95"/>
      <c r="I442" s="95">
        <f t="shared" si="885"/>
        <v>1.2280000000000002</v>
      </c>
      <c r="J442" s="100"/>
      <c r="K442" s="47"/>
      <c r="L442" s="72">
        <f t="shared" si="886"/>
        <v>1.2280000000000002</v>
      </c>
      <c r="M442" s="72">
        <f t="shared" si="877"/>
        <v>54.03</v>
      </c>
      <c r="N442" s="72">
        <f t="shared" si="878"/>
        <v>0</v>
      </c>
      <c r="O442" s="72">
        <f t="shared" si="879"/>
        <v>0</v>
      </c>
      <c r="P442" s="72">
        <f t="shared" si="880"/>
        <v>0</v>
      </c>
      <c r="Q442" s="72">
        <f t="shared" si="881"/>
        <v>0</v>
      </c>
      <c r="R442" s="72">
        <f t="shared" si="882"/>
        <v>0</v>
      </c>
    </row>
    <row r="443" spans="1:18" x14ac:dyDescent="0.25">
      <c r="A443" s="26"/>
      <c r="B443" s="25" t="s">
        <v>453</v>
      </c>
      <c r="C443" s="15">
        <v>8</v>
      </c>
      <c r="D443" s="16">
        <v>100</v>
      </c>
      <c r="E443" s="15">
        <v>4</v>
      </c>
      <c r="F443" s="11">
        <v>1</v>
      </c>
      <c r="G443" s="11">
        <f>+ROUND(1.7/0.1+1,0)</f>
        <v>18</v>
      </c>
      <c r="H443" s="95"/>
      <c r="I443" s="95">
        <f>2*(0.15+0.4)+16*C443/1000</f>
        <v>1.2280000000000002</v>
      </c>
      <c r="J443" s="100"/>
      <c r="K443" s="47"/>
      <c r="L443" s="72">
        <f t="shared" si="886"/>
        <v>1.2280000000000002</v>
      </c>
      <c r="M443" s="72">
        <f t="shared" si="877"/>
        <v>88.42</v>
      </c>
      <c r="N443" s="72">
        <f t="shared" si="878"/>
        <v>0</v>
      </c>
      <c r="O443" s="72">
        <f t="shared" si="879"/>
        <v>0</v>
      </c>
      <c r="P443" s="72">
        <f t="shared" si="880"/>
        <v>0</v>
      </c>
      <c r="Q443" s="72">
        <f t="shared" si="881"/>
        <v>0</v>
      </c>
      <c r="R443" s="72">
        <f t="shared" si="882"/>
        <v>0</v>
      </c>
    </row>
    <row r="444" spans="1:18" x14ac:dyDescent="0.25">
      <c r="A444" s="26"/>
      <c r="B444" s="25"/>
      <c r="C444" s="15">
        <v>8</v>
      </c>
      <c r="D444" s="16">
        <v>150</v>
      </c>
      <c r="E444" s="15">
        <v>2</v>
      </c>
      <c r="F444" s="11">
        <v>2</v>
      </c>
      <c r="G444" s="11">
        <f>+ROUND(1.585/0.15+1,0)</f>
        <v>12</v>
      </c>
      <c r="H444" s="95"/>
      <c r="I444" s="95">
        <f>2*(0.15+0.4)+16*C444/1000</f>
        <v>1.2280000000000002</v>
      </c>
      <c r="J444" s="100"/>
      <c r="K444" s="47"/>
      <c r="L444" s="72">
        <f t="shared" ref="L444" si="887">SUM(H444:J444)+K444</f>
        <v>1.2280000000000002</v>
      </c>
      <c r="M444" s="72">
        <f t="shared" ref="M444:M449" si="888">+ROUND(IF(C444=8,PRODUCT(E444,F444,G444,L444),0),2)</f>
        <v>58.94</v>
      </c>
      <c r="N444" s="72">
        <f t="shared" ref="N444:N449" si="889">+ROUND(IF(C444=10,PRODUCT(E444,F444,G444,L444),0),2)</f>
        <v>0</v>
      </c>
      <c r="O444" s="72">
        <f t="shared" ref="O444:O449" si="890">+ROUND(IF(C444=12,PRODUCT(E444,F444,G444,L444),0),2)</f>
        <v>0</v>
      </c>
      <c r="P444" s="72">
        <f t="shared" ref="P444:P449" si="891">+ROUND(IF(C444=16,PRODUCT(E444,F444,G444,L444),0),2)</f>
        <v>0</v>
      </c>
      <c r="Q444" s="72">
        <f t="shared" ref="Q444:Q449" si="892">+ROUND(IF(C444=20,PRODUCT(E444,F444,G444,L444),0),2)</f>
        <v>0</v>
      </c>
      <c r="R444" s="72">
        <f t="shared" ref="R444:R449" si="893">+ROUND(IF(C444=25,PRODUCT(E444,F444,G444,L444),0),2)</f>
        <v>0</v>
      </c>
    </row>
    <row r="445" spans="1:18" x14ac:dyDescent="0.25">
      <c r="A445" s="26" t="s">
        <v>439</v>
      </c>
      <c r="B445" s="48" t="s">
        <v>819</v>
      </c>
      <c r="C445" s="15"/>
      <c r="D445" s="16"/>
      <c r="E445" s="15"/>
      <c r="F445" s="11"/>
      <c r="G445" s="11"/>
      <c r="H445" s="95"/>
      <c r="I445" s="95"/>
      <c r="J445" s="100"/>
      <c r="K445" s="22"/>
      <c r="L445" s="72">
        <f t="shared" ref="L445" si="894">SUM(H445:J445)+K445</f>
        <v>0</v>
      </c>
      <c r="M445" s="72">
        <f t="shared" si="888"/>
        <v>0</v>
      </c>
      <c r="N445" s="72">
        <f t="shared" si="889"/>
        <v>0</v>
      </c>
      <c r="O445" s="72">
        <f t="shared" si="890"/>
        <v>0</v>
      </c>
      <c r="P445" s="72">
        <f t="shared" si="891"/>
        <v>0</v>
      </c>
      <c r="Q445" s="72">
        <f t="shared" si="892"/>
        <v>0</v>
      </c>
      <c r="R445" s="72">
        <f t="shared" si="893"/>
        <v>0</v>
      </c>
    </row>
    <row r="446" spans="1:18" x14ac:dyDescent="0.25">
      <c r="A446" s="26"/>
      <c r="B446" s="25" t="s">
        <v>385</v>
      </c>
      <c r="C446" s="15">
        <v>16</v>
      </c>
      <c r="D446" s="16"/>
      <c r="E446" s="15">
        <v>2</v>
      </c>
      <c r="F446" s="11">
        <v>1</v>
      </c>
      <c r="G446" s="11">
        <v>2</v>
      </c>
      <c r="H446" s="95">
        <f>((0.79)/3)+0.1</f>
        <v>0.3633333333333334</v>
      </c>
      <c r="I446" s="95">
        <v>3.17</v>
      </c>
      <c r="J446" s="95">
        <f>((0.79)/3)+0.1</f>
        <v>0.3633333333333334</v>
      </c>
      <c r="K446" s="22"/>
      <c r="L446" s="72">
        <f>SUM(H446:J446)+K446</f>
        <v>3.8966666666666665</v>
      </c>
      <c r="M446" s="72">
        <f t="shared" si="888"/>
        <v>0</v>
      </c>
      <c r="N446" s="72">
        <f t="shared" si="889"/>
        <v>0</v>
      </c>
      <c r="O446" s="72">
        <f t="shared" si="890"/>
        <v>0</v>
      </c>
      <c r="P446" s="72">
        <f t="shared" si="891"/>
        <v>15.59</v>
      </c>
      <c r="Q446" s="72">
        <f t="shared" si="892"/>
        <v>0</v>
      </c>
      <c r="R446" s="72">
        <f t="shared" si="893"/>
        <v>0</v>
      </c>
    </row>
    <row r="447" spans="1:18" x14ac:dyDescent="0.25">
      <c r="A447" s="26"/>
      <c r="B447" s="25" t="s">
        <v>432</v>
      </c>
      <c r="C447" s="15">
        <v>16</v>
      </c>
      <c r="D447" s="16"/>
      <c r="E447" s="15">
        <v>2</v>
      </c>
      <c r="F447" s="11">
        <v>1</v>
      </c>
      <c r="G447" s="11">
        <v>2</v>
      </c>
      <c r="H447" s="95">
        <f>((0.79)/3)+0.1</f>
        <v>0.3633333333333334</v>
      </c>
      <c r="I447" s="95">
        <v>3.17</v>
      </c>
      <c r="J447" s="95">
        <f>((0.79)/3)+0.1</f>
        <v>0.3633333333333334</v>
      </c>
      <c r="K447" s="22">
        <v>0.79</v>
      </c>
      <c r="L447" s="72">
        <f>SUM(H447:J447)+K447</f>
        <v>4.6866666666666665</v>
      </c>
      <c r="M447" s="72">
        <f t="shared" si="888"/>
        <v>0</v>
      </c>
      <c r="N447" s="72">
        <f t="shared" si="889"/>
        <v>0</v>
      </c>
      <c r="O447" s="72">
        <f t="shared" si="890"/>
        <v>0</v>
      </c>
      <c r="P447" s="72">
        <f t="shared" si="891"/>
        <v>18.75</v>
      </c>
      <c r="Q447" s="72">
        <f t="shared" si="892"/>
        <v>0</v>
      </c>
      <c r="R447" s="72">
        <f t="shared" si="893"/>
        <v>0</v>
      </c>
    </row>
    <row r="448" spans="1:18" x14ac:dyDescent="0.25">
      <c r="A448" s="26"/>
      <c r="B448" s="25" t="s">
        <v>447</v>
      </c>
      <c r="C448" s="15">
        <v>8</v>
      </c>
      <c r="D448" s="16">
        <v>100</v>
      </c>
      <c r="E448" s="15">
        <v>2</v>
      </c>
      <c r="F448" s="11">
        <v>1</v>
      </c>
      <c r="G448" s="11">
        <f>+ROUND(1.585/0.1,0)</f>
        <v>16</v>
      </c>
      <c r="H448" s="95"/>
      <c r="I448" s="95">
        <f>2*(0.15+0.3)+16*C448/1000</f>
        <v>1.028</v>
      </c>
      <c r="J448" s="100"/>
      <c r="K448" s="47"/>
      <c r="L448" s="72">
        <f t="shared" ref="L448:L449" si="895">SUM(H448:J448)+K448</f>
        <v>1.028</v>
      </c>
      <c r="M448" s="72">
        <f t="shared" si="888"/>
        <v>32.9</v>
      </c>
      <c r="N448" s="72">
        <f t="shared" si="889"/>
        <v>0</v>
      </c>
      <c r="O448" s="72">
        <f t="shared" si="890"/>
        <v>0</v>
      </c>
      <c r="P448" s="72">
        <f t="shared" si="891"/>
        <v>0</v>
      </c>
      <c r="Q448" s="72">
        <f t="shared" si="892"/>
        <v>0</v>
      </c>
      <c r="R448" s="72">
        <f t="shared" si="893"/>
        <v>0</v>
      </c>
    </row>
    <row r="449" spans="1:18" x14ac:dyDescent="0.25">
      <c r="A449" s="26"/>
      <c r="B449" s="25"/>
      <c r="C449" s="15">
        <v>8</v>
      </c>
      <c r="D449" s="16">
        <v>150</v>
      </c>
      <c r="E449" s="15">
        <v>2</v>
      </c>
      <c r="F449" s="11">
        <v>1</v>
      </c>
      <c r="G449" s="11">
        <f>+ROUND(1.585/0.15+1,0)</f>
        <v>12</v>
      </c>
      <c r="H449" s="95"/>
      <c r="I449" s="95">
        <f>2*(0.15+0.3)+16*C449/1000</f>
        <v>1.028</v>
      </c>
      <c r="J449" s="100"/>
      <c r="K449" s="47"/>
      <c r="L449" s="72">
        <f t="shared" si="895"/>
        <v>1.028</v>
      </c>
      <c r="M449" s="72">
        <f t="shared" si="888"/>
        <v>24.67</v>
      </c>
      <c r="N449" s="72">
        <f t="shared" si="889"/>
        <v>0</v>
      </c>
      <c r="O449" s="72">
        <f t="shared" si="890"/>
        <v>0</v>
      </c>
      <c r="P449" s="72">
        <f t="shared" si="891"/>
        <v>0</v>
      </c>
      <c r="Q449" s="72">
        <f t="shared" si="892"/>
        <v>0</v>
      </c>
      <c r="R449" s="72">
        <f t="shared" si="893"/>
        <v>0</v>
      </c>
    </row>
    <row r="450" spans="1:18" x14ac:dyDescent="0.25">
      <c r="A450" s="26"/>
      <c r="B450" s="25"/>
      <c r="C450" s="15">
        <v>8</v>
      </c>
      <c r="D450" s="16">
        <v>150</v>
      </c>
      <c r="E450" s="15">
        <v>2</v>
      </c>
      <c r="F450" s="11">
        <v>2</v>
      </c>
      <c r="G450" s="11">
        <f>+ROUND(1.585/0.15+1,0)</f>
        <v>12</v>
      </c>
      <c r="H450" s="95"/>
      <c r="I450" s="95">
        <f>2*(0.15+0.4)+16*C450/1000</f>
        <v>1.2280000000000002</v>
      </c>
      <c r="J450" s="100"/>
      <c r="K450" s="47"/>
      <c r="L450" s="72">
        <f t="shared" ref="L450" si="896">SUM(H450:J450)+K450</f>
        <v>1.2280000000000002</v>
      </c>
      <c r="M450" s="72">
        <f t="shared" ref="M450:M455" si="897">+ROUND(IF(C450=8,PRODUCT(E450,F450,G450,L450),0),2)</f>
        <v>58.94</v>
      </c>
      <c r="N450" s="72">
        <f t="shared" ref="N450:N455" si="898">+ROUND(IF(C450=10,PRODUCT(E450,F450,G450,L450),0),2)</f>
        <v>0</v>
      </c>
      <c r="O450" s="72">
        <f t="shared" ref="O450:O455" si="899">+ROUND(IF(C450=12,PRODUCT(E450,F450,G450,L450),0),2)</f>
        <v>0</v>
      </c>
      <c r="P450" s="72">
        <f t="shared" ref="P450:P455" si="900">+ROUND(IF(C450=16,PRODUCT(E450,F450,G450,L450),0),2)</f>
        <v>0</v>
      </c>
      <c r="Q450" s="72">
        <f t="shared" ref="Q450:Q455" si="901">+ROUND(IF(C450=20,PRODUCT(E450,F450,G450,L450),0),2)</f>
        <v>0</v>
      </c>
      <c r="R450" s="72">
        <f t="shared" ref="R450:R455" si="902">+ROUND(IF(C450=25,PRODUCT(E450,F450,G450,L450),0),2)</f>
        <v>0</v>
      </c>
    </row>
    <row r="451" spans="1:18" x14ac:dyDescent="0.25">
      <c r="A451" s="26" t="s">
        <v>442</v>
      </c>
      <c r="B451" s="48" t="s">
        <v>820</v>
      </c>
      <c r="C451" s="15"/>
      <c r="D451" s="16"/>
      <c r="E451" s="15"/>
      <c r="F451" s="11"/>
      <c r="G451" s="11"/>
      <c r="H451" s="95"/>
      <c r="I451" s="95"/>
      <c r="J451" s="100"/>
      <c r="K451" s="22"/>
      <c r="L451" s="72">
        <f t="shared" ref="L451" si="903">SUM(H451:J451)+K451</f>
        <v>0</v>
      </c>
      <c r="M451" s="72">
        <f t="shared" si="897"/>
        <v>0</v>
      </c>
      <c r="N451" s="72">
        <f t="shared" si="898"/>
        <v>0</v>
      </c>
      <c r="O451" s="72">
        <f t="shared" si="899"/>
        <v>0</v>
      </c>
      <c r="P451" s="72">
        <f t="shared" si="900"/>
        <v>0</v>
      </c>
      <c r="Q451" s="72">
        <f t="shared" si="901"/>
        <v>0</v>
      </c>
      <c r="R451" s="72">
        <f t="shared" si="902"/>
        <v>0</v>
      </c>
    </row>
    <row r="452" spans="1:18" x14ac:dyDescent="0.25">
      <c r="A452" s="26"/>
      <c r="B452" s="25" t="s">
        <v>385</v>
      </c>
      <c r="C452" s="15">
        <v>16</v>
      </c>
      <c r="D452" s="16"/>
      <c r="E452" s="15">
        <v>2</v>
      </c>
      <c r="F452" s="96">
        <v>0.5</v>
      </c>
      <c r="G452" s="11">
        <v>2</v>
      </c>
      <c r="H452" s="95">
        <f>((0.79)/3)+0.1</f>
        <v>0.3633333333333334</v>
      </c>
      <c r="I452" s="95">
        <v>5.58</v>
      </c>
      <c r="J452" s="95">
        <v>0.57999999999999996</v>
      </c>
      <c r="K452" s="22"/>
      <c r="L452" s="72">
        <f>SUM(H452:J452)+K452</f>
        <v>6.5233333333333334</v>
      </c>
      <c r="M452" s="72">
        <f t="shared" si="897"/>
        <v>0</v>
      </c>
      <c r="N452" s="72">
        <f t="shared" si="898"/>
        <v>0</v>
      </c>
      <c r="O452" s="72">
        <f t="shared" si="899"/>
        <v>0</v>
      </c>
      <c r="P452" s="72">
        <f t="shared" si="900"/>
        <v>13.05</v>
      </c>
      <c r="Q452" s="72">
        <f t="shared" si="901"/>
        <v>0</v>
      </c>
      <c r="R452" s="72">
        <f t="shared" si="902"/>
        <v>0</v>
      </c>
    </row>
    <row r="453" spans="1:18" x14ac:dyDescent="0.25">
      <c r="A453" s="26"/>
      <c r="B453" s="25" t="s">
        <v>432</v>
      </c>
      <c r="C453" s="15">
        <v>16</v>
      </c>
      <c r="D453" s="16"/>
      <c r="E453" s="15">
        <v>2</v>
      </c>
      <c r="F453" s="96">
        <v>0.5</v>
      </c>
      <c r="G453" s="11">
        <v>2</v>
      </c>
      <c r="H453" s="95">
        <f>((0.79)/3)+0.1</f>
        <v>0.3633333333333334</v>
      </c>
      <c r="I453" s="95">
        <v>5.58</v>
      </c>
      <c r="J453" s="95">
        <v>0.57999999999999996</v>
      </c>
      <c r="K453" s="22">
        <v>0.79</v>
      </c>
      <c r="L453" s="72">
        <f>SUM(H453:J453)+K453</f>
        <v>7.3133333333333335</v>
      </c>
      <c r="M453" s="72">
        <f t="shared" si="897"/>
        <v>0</v>
      </c>
      <c r="N453" s="72">
        <f t="shared" si="898"/>
        <v>0</v>
      </c>
      <c r="O453" s="72">
        <f t="shared" si="899"/>
        <v>0</v>
      </c>
      <c r="P453" s="72">
        <f t="shared" si="900"/>
        <v>14.63</v>
      </c>
      <c r="Q453" s="72">
        <f t="shared" si="901"/>
        <v>0</v>
      </c>
      <c r="R453" s="72">
        <f t="shared" si="902"/>
        <v>0</v>
      </c>
    </row>
    <row r="454" spans="1:18" x14ac:dyDescent="0.25">
      <c r="A454" s="26"/>
      <c r="B454" s="25" t="s">
        <v>453</v>
      </c>
      <c r="C454" s="15">
        <v>8</v>
      </c>
      <c r="D454" s="16">
        <v>100</v>
      </c>
      <c r="E454" s="15">
        <v>2</v>
      </c>
      <c r="F454" s="96">
        <v>0.5</v>
      </c>
      <c r="G454" s="11">
        <f>+ROUND(1.8/0.1,0)</f>
        <v>18</v>
      </c>
      <c r="H454" s="95"/>
      <c r="I454" s="95">
        <f>2*(0.15+0.4)+16*C454/1000</f>
        <v>1.2280000000000002</v>
      </c>
      <c r="J454" s="100"/>
      <c r="K454" s="47"/>
      <c r="L454" s="72">
        <f t="shared" ref="L454:L455" si="904">SUM(H454:J454)+K454</f>
        <v>1.2280000000000002</v>
      </c>
      <c r="M454" s="72">
        <f t="shared" si="897"/>
        <v>22.1</v>
      </c>
      <c r="N454" s="72">
        <f t="shared" si="898"/>
        <v>0</v>
      </c>
      <c r="O454" s="72">
        <f t="shared" si="899"/>
        <v>0</v>
      </c>
      <c r="P454" s="72">
        <f t="shared" si="900"/>
        <v>0</v>
      </c>
      <c r="Q454" s="72">
        <f t="shared" si="901"/>
        <v>0</v>
      </c>
      <c r="R454" s="72">
        <f t="shared" si="902"/>
        <v>0</v>
      </c>
    </row>
    <row r="455" spans="1:18" x14ac:dyDescent="0.25">
      <c r="A455" s="26"/>
      <c r="B455" s="25"/>
      <c r="C455" s="15">
        <v>8</v>
      </c>
      <c r="D455" s="16">
        <v>150</v>
      </c>
      <c r="E455" s="15">
        <v>2</v>
      </c>
      <c r="F455" s="96">
        <v>0.5</v>
      </c>
      <c r="G455" s="11">
        <f>+ROUND(1.78/0.15+1,0)</f>
        <v>13</v>
      </c>
      <c r="H455" s="95"/>
      <c r="I455" s="95">
        <f>2*(0.15+0.4)+16*C455/1000</f>
        <v>1.2280000000000002</v>
      </c>
      <c r="J455" s="100"/>
      <c r="K455" s="47"/>
      <c r="L455" s="72">
        <f t="shared" si="904"/>
        <v>1.2280000000000002</v>
      </c>
      <c r="M455" s="72">
        <f t="shared" si="897"/>
        <v>15.96</v>
      </c>
      <c r="N455" s="72">
        <f t="shared" si="898"/>
        <v>0</v>
      </c>
      <c r="O455" s="72">
        <f t="shared" si="899"/>
        <v>0</v>
      </c>
      <c r="P455" s="72">
        <f t="shared" si="900"/>
        <v>0</v>
      </c>
      <c r="Q455" s="72">
        <f t="shared" si="901"/>
        <v>0</v>
      </c>
      <c r="R455" s="72">
        <f t="shared" si="902"/>
        <v>0</v>
      </c>
    </row>
    <row r="456" spans="1:18" x14ac:dyDescent="0.25">
      <c r="A456" s="26"/>
      <c r="B456" s="25" t="s">
        <v>453</v>
      </c>
      <c r="C456" s="15">
        <v>8</v>
      </c>
      <c r="D456" s="16">
        <v>100</v>
      </c>
      <c r="E456" s="15">
        <v>2</v>
      </c>
      <c r="F456" s="96">
        <v>0.5</v>
      </c>
      <c r="G456" s="11">
        <f>+ROUND(2/0.1+1,0)</f>
        <v>21</v>
      </c>
      <c r="H456" s="95"/>
      <c r="I456" s="95">
        <f>2*(0.15+0.4)+16*C456/1000</f>
        <v>1.2280000000000002</v>
      </c>
      <c r="J456" s="100"/>
      <c r="K456" s="47"/>
      <c r="L456" s="72">
        <f t="shared" ref="L456" si="905">SUM(H456:J456)+K456</f>
        <v>1.2280000000000002</v>
      </c>
      <c r="M456" s="72">
        <f t="shared" ref="M456:M461" si="906">+ROUND(IF(C456=8,PRODUCT(E456,F456,G456,L456),0),2)</f>
        <v>25.79</v>
      </c>
      <c r="N456" s="72">
        <f t="shared" ref="N456:N461" si="907">+ROUND(IF(C456=10,PRODUCT(E456,F456,G456,L456),0),2)</f>
        <v>0</v>
      </c>
      <c r="O456" s="72">
        <f t="shared" ref="O456:O461" si="908">+ROUND(IF(C456=12,PRODUCT(E456,F456,G456,L456),0),2)</f>
        <v>0</v>
      </c>
      <c r="P456" s="72">
        <f t="shared" ref="P456:P461" si="909">+ROUND(IF(C456=16,PRODUCT(E456,F456,G456,L456),0),2)</f>
        <v>0</v>
      </c>
      <c r="Q456" s="72">
        <f t="shared" ref="Q456:Q461" si="910">+ROUND(IF(C456=20,PRODUCT(E456,F456,G456,L456),0),2)</f>
        <v>0</v>
      </c>
      <c r="R456" s="72">
        <f t="shared" ref="R456:R461" si="911">+ROUND(IF(C456=25,PRODUCT(E456,F456,G456,L456),0),2)</f>
        <v>0</v>
      </c>
    </row>
    <row r="457" spans="1:18" x14ac:dyDescent="0.25">
      <c r="A457" s="26"/>
      <c r="B457" s="25"/>
      <c r="C457" s="15">
        <v>8</v>
      </c>
      <c r="D457" s="16">
        <v>150</v>
      </c>
      <c r="E457" s="15">
        <v>2</v>
      </c>
      <c r="F457" s="11">
        <v>1</v>
      </c>
      <c r="G457" s="11">
        <f>+ROUND(1.3/0.15+1,0)</f>
        <v>10</v>
      </c>
      <c r="H457" s="95"/>
      <c r="I457" s="95">
        <f>2*(0.15+0.45)+16*C457/1000</f>
        <v>1.3279999999999998</v>
      </c>
      <c r="J457" s="100"/>
      <c r="K457" s="22"/>
      <c r="L457" s="72">
        <f>SUM(H457:J457)+K457</f>
        <v>1.3279999999999998</v>
      </c>
      <c r="M457" s="72">
        <f t="shared" si="906"/>
        <v>26.56</v>
      </c>
      <c r="N457" s="72">
        <f t="shared" si="907"/>
        <v>0</v>
      </c>
      <c r="O457" s="72">
        <f t="shared" si="908"/>
        <v>0</v>
      </c>
      <c r="P457" s="72">
        <f t="shared" si="909"/>
        <v>0</v>
      </c>
      <c r="Q457" s="72">
        <f t="shared" si="910"/>
        <v>0</v>
      </c>
      <c r="R457" s="72">
        <f t="shared" si="911"/>
        <v>0</v>
      </c>
    </row>
    <row r="458" spans="1:18" x14ac:dyDescent="0.25">
      <c r="A458" s="26" t="s">
        <v>437</v>
      </c>
      <c r="B458" s="48" t="s">
        <v>438</v>
      </c>
      <c r="C458" s="15"/>
      <c r="D458" s="16"/>
      <c r="E458" s="15"/>
      <c r="F458" s="11"/>
      <c r="G458" s="11"/>
      <c r="H458" s="95"/>
      <c r="I458" s="95"/>
      <c r="J458" s="100"/>
      <c r="K458" s="22"/>
      <c r="L458" s="72">
        <f t="shared" ref="L458" si="912">SUM(H458:J458)+K458</f>
        <v>0</v>
      </c>
      <c r="M458" s="72">
        <f t="shared" si="906"/>
        <v>0</v>
      </c>
      <c r="N458" s="72">
        <f t="shared" si="907"/>
        <v>0</v>
      </c>
      <c r="O458" s="72">
        <f t="shared" si="908"/>
        <v>0</v>
      </c>
      <c r="P458" s="72">
        <f t="shared" si="909"/>
        <v>0</v>
      </c>
      <c r="Q458" s="72">
        <f t="shared" si="910"/>
        <v>0</v>
      </c>
      <c r="R458" s="72">
        <f t="shared" si="911"/>
        <v>0</v>
      </c>
    </row>
    <row r="459" spans="1:18" x14ac:dyDescent="0.25">
      <c r="A459" s="26"/>
      <c r="B459" s="25" t="s">
        <v>385</v>
      </c>
      <c r="C459" s="15">
        <v>12</v>
      </c>
      <c r="D459" s="16"/>
      <c r="E459" s="15">
        <v>6</v>
      </c>
      <c r="F459" s="11">
        <v>1</v>
      </c>
      <c r="G459" s="11">
        <v>2</v>
      </c>
      <c r="H459" s="95">
        <f>0.36+8*$C459/1000</f>
        <v>0.45599999999999996</v>
      </c>
      <c r="I459" s="95">
        <v>1.5249999999999999</v>
      </c>
      <c r="J459" s="95">
        <f>0.36+8*$C459/1000</f>
        <v>0.45599999999999996</v>
      </c>
      <c r="K459" s="22"/>
      <c r="L459" s="72">
        <f>SUM(H459:J459)+K459</f>
        <v>2.4369999999999998</v>
      </c>
      <c r="M459" s="72">
        <f t="shared" si="906"/>
        <v>0</v>
      </c>
      <c r="N459" s="72">
        <f t="shared" si="907"/>
        <v>0</v>
      </c>
      <c r="O459" s="72">
        <f t="shared" si="908"/>
        <v>29.24</v>
      </c>
      <c r="P459" s="72">
        <f t="shared" si="909"/>
        <v>0</v>
      </c>
      <c r="Q459" s="72">
        <f t="shared" si="910"/>
        <v>0</v>
      </c>
      <c r="R459" s="72">
        <f t="shared" si="911"/>
        <v>0</v>
      </c>
    </row>
    <row r="460" spans="1:18" x14ac:dyDescent="0.25">
      <c r="A460" s="26"/>
      <c r="B460" s="25" t="s">
        <v>432</v>
      </c>
      <c r="C460" s="15">
        <v>12</v>
      </c>
      <c r="D460" s="16"/>
      <c r="E460" s="15">
        <v>6</v>
      </c>
      <c r="F460" s="11">
        <v>1</v>
      </c>
      <c r="G460" s="11">
        <v>2</v>
      </c>
      <c r="H460" s="95">
        <f>0.36+8*$C460/1000</f>
        <v>0.45599999999999996</v>
      </c>
      <c r="I460" s="95">
        <v>1.5249999999999999</v>
      </c>
      <c r="J460" s="95">
        <f>0.36+8*$C460/1000</f>
        <v>0.45599999999999996</v>
      </c>
      <c r="K460" s="22"/>
      <c r="L460" s="72">
        <f t="shared" ref="L460" si="913">SUM(H460:J460)+K460</f>
        <v>2.4369999999999998</v>
      </c>
      <c r="M460" s="72">
        <f t="shared" si="906"/>
        <v>0</v>
      </c>
      <c r="N460" s="72">
        <f t="shared" si="907"/>
        <v>0</v>
      </c>
      <c r="O460" s="72">
        <f t="shared" si="908"/>
        <v>29.24</v>
      </c>
      <c r="P460" s="72">
        <f t="shared" si="909"/>
        <v>0</v>
      </c>
      <c r="Q460" s="72">
        <f t="shared" si="910"/>
        <v>0</v>
      </c>
      <c r="R460" s="72">
        <f t="shared" si="911"/>
        <v>0</v>
      </c>
    </row>
    <row r="461" spans="1:18" x14ac:dyDescent="0.25">
      <c r="A461" s="26"/>
      <c r="B461" s="25" t="s">
        <v>434</v>
      </c>
      <c r="C461" s="15">
        <v>8</v>
      </c>
      <c r="D461" s="16">
        <v>150</v>
      </c>
      <c r="E461" s="15">
        <v>6</v>
      </c>
      <c r="F461" s="11">
        <v>1</v>
      </c>
      <c r="G461" s="11">
        <f>+ROUND(1.525/0.15+1,0)</f>
        <v>11</v>
      </c>
      <c r="H461" s="95"/>
      <c r="I461" s="95">
        <f>2*(0.05+0.3)+16*C461/1000</f>
        <v>0.82799999999999996</v>
      </c>
      <c r="J461" s="100"/>
      <c r="K461" s="47"/>
      <c r="L461" s="72">
        <f>SUM(H461:J461)+K461</f>
        <v>0.82799999999999996</v>
      </c>
      <c r="M461" s="72">
        <f t="shared" si="906"/>
        <v>54.65</v>
      </c>
      <c r="N461" s="72">
        <f t="shared" si="907"/>
        <v>0</v>
      </c>
      <c r="O461" s="72">
        <f t="shared" si="908"/>
        <v>0</v>
      </c>
      <c r="P461" s="72">
        <f t="shared" si="909"/>
        <v>0</v>
      </c>
      <c r="Q461" s="72">
        <f t="shared" si="910"/>
        <v>0</v>
      </c>
      <c r="R461" s="72">
        <f t="shared" si="911"/>
        <v>0</v>
      </c>
    </row>
    <row r="462" spans="1:18" x14ac:dyDescent="0.25">
      <c r="A462" s="26"/>
      <c r="B462" s="25"/>
      <c r="C462" s="15"/>
      <c r="D462" s="16"/>
      <c r="E462" s="15"/>
      <c r="F462" s="11"/>
      <c r="G462" s="11"/>
      <c r="H462" s="95"/>
      <c r="I462" s="95"/>
      <c r="J462" s="100"/>
      <c r="K462" s="22"/>
      <c r="L462" s="72"/>
      <c r="M462" s="72"/>
      <c r="N462" s="72"/>
      <c r="O462" s="72"/>
      <c r="P462" s="72"/>
      <c r="Q462" s="72"/>
      <c r="R462" s="72"/>
    </row>
    <row r="463" spans="1:18" x14ac:dyDescent="0.25">
      <c r="A463" s="26" t="s">
        <v>437</v>
      </c>
      <c r="B463" s="48" t="s">
        <v>438</v>
      </c>
      <c r="C463" s="15"/>
      <c r="D463" s="16"/>
      <c r="E463" s="15"/>
      <c r="F463" s="11"/>
      <c r="G463" s="11"/>
      <c r="H463" s="95"/>
      <c r="I463" s="95"/>
      <c r="J463" s="100"/>
      <c r="K463" s="22"/>
      <c r="L463" s="72">
        <f t="shared" ref="L463" si="914">SUM(H463:J463)+K463</f>
        <v>0</v>
      </c>
      <c r="M463" s="72">
        <f t="shared" ref="M463:M466" si="915">+ROUND(IF(C463=8,PRODUCT(E463,F463,G463,L463),0),2)</f>
        <v>0</v>
      </c>
      <c r="N463" s="72">
        <f t="shared" ref="N463:N466" si="916">+ROUND(IF(C463=10,PRODUCT(E463,F463,G463,L463),0),2)</f>
        <v>0</v>
      </c>
      <c r="O463" s="72">
        <f t="shared" ref="O463:O466" si="917">+ROUND(IF(C463=12,PRODUCT(E463,F463,G463,L463),0),2)</f>
        <v>0</v>
      </c>
      <c r="P463" s="72">
        <f t="shared" ref="P463:P466" si="918">+ROUND(IF(C463=16,PRODUCT(E463,F463,G463,L463),0),2)</f>
        <v>0</v>
      </c>
      <c r="Q463" s="72">
        <f t="shared" ref="Q463:Q466" si="919">+ROUND(IF(C463=20,PRODUCT(E463,F463,G463,L463),0),2)</f>
        <v>0</v>
      </c>
      <c r="R463" s="72">
        <f t="shared" ref="R463:R466" si="920">+ROUND(IF(C463=25,PRODUCT(E463,F463,G463,L463),0),2)</f>
        <v>0</v>
      </c>
    </row>
    <row r="464" spans="1:18" x14ac:dyDescent="0.25">
      <c r="A464" s="26"/>
      <c r="B464" s="25" t="s">
        <v>385</v>
      </c>
      <c r="C464" s="15">
        <v>12</v>
      </c>
      <c r="D464" s="16"/>
      <c r="E464" s="15">
        <v>10</v>
      </c>
      <c r="F464" s="11">
        <v>1</v>
      </c>
      <c r="G464" s="11">
        <v>2</v>
      </c>
      <c r="H464" s="95">
        <f>0.36+8*$C464/1000</f>
        <v>0.45599999999999996</v>
      </c>
      <c r="I464" s="95">
        <v>1.9</v>
      </c>
      <c r="J464" s="95">
        <f>0.36+8*$C464/1000</f>
        <v>0.45599999999999996</v>
      </c>
      <c r="K464" s="22"/>
      <c r="L464" s="72">
        <f>SUM(H464:J464)+K464</f>
        <v>2.8119999999999998</v>
      </c>
      <c r="M464" s="72">
        <f t="shared" si="915"/>
        <v>0</v>
      </c>
      <c r="N464" s="72">
        <f t="shared" si="916"/>
        <v>0</v>
      </c>
      <c r="O464" s="72">
        <f t="shared" si="917"/>
        <v>56.24</v>
      </c>
      <c r="P464" s="72">
        <f t="shared" si="918"/>
        <v>0</v>
      </c>
      <c r="Q464" s="72">
        <f t="shared" si="919"/>
        <v>0</v>
      </c>
      <c r="R464" s="72">
        <f t="shared" si="920"/>
        <v>0</v>
      </c>
    </row>
    <row r="465" spans="1:18" x14ac:dyDescent="0.25">
      <c r="A465" s="26"/>
      <c r="B465" s="25" t="s">
        <v>432</v>
      </c>
      <c r="C465" s="15">
        <v>12</v>
      </c>
      <c r="D465" s="16"/>
      <c r="E465" s="15">
        <v>10</v>
      </c>
      <c r="F465" s="11">
        <v>1</v>
      </c>
      <c r="G465" s="11">
        <v>2</v>
      </c>
      <c r="H465" s="95">
        <f>0.36+8*$C465/1000</f>
        <v>0.45599999999999996</v>
      </c>
      <c r="I465" s="95">
        <v>1.9</v>
      </c>
      <c r="J465" s="95">
        <f>0.36+8*$C465/1000</f>
        <v>0.45599999999999996</v>
      </c>
      <c r="K465" s="22"/>
      <c r="L465" s="72">
        <f t="shared" ref="L465" si="921">SUM(H465:J465)+K465</f>
        <v>2.8119999999999998</v>
      </c>
      <c r="M465" s="72">
        <f t="shared" si="915"/>
        <v>0</v>
      </c>
      <c r="N465" s="72">
        <f t="shared" si="916"/>
        <v>0</v>
      </c>
      <c r="O465" s="72">
        <f t="shared" si="917"/>
        <v>56.24</v>
      </c>
      <c r="P465" s="72">
        <f t="shared" si="918"/>
        <v>0</v>
      </c>
      <c r="Q465" s="72">
        <f t="shared" si="919"/>
        <v>0</v>
      </c>
      <c r="R465" s="72">
        <f t="shared" si="920"/>
        <v>0</v>
      </c>
    </row>
    <row r="466" spans="1:18" x14ac:dyDescent="0.25">
      <c r="A466" s="26"/>
      <c r="B466" s="25" t="s">
        <v>434</v>
      </c>
      <c r="C466" s="15">
        <v>8</v>
      </c>
      <c r="D466" s="16">
        <v>150</v>
      </c>
      <c r="E466" s="15">
        <v>10</v>
      </c>
      <c r="F466" s="11">
        <v>1</v>
      </c>
      <c r="G466" s="11">
        <f>+ROUND(1.9/0.15+1,0)</f>
        <v>14</v>
      </c>
      <c r="H466" s="95"/>
      <c r="I466" s="95">
        <f>2*(0.05+0.3)+16*C466/1000</f>
        <v>0.82799999999999996</v>
      </c>
      <c r="J466" s="100"/>
      <c r="K466" s="47"/>
      <c r="L466" s="72">
        <f>SUM(H466:J466)+K466</f>
        <v>0.82799999999999996</v>
      </c>
      <c r="M466" s="72">
        <f t="shared" si="915"/>
        <v>115.92</v>
      </c>
      <c r="N466" s="72">
        <f t="shared" si="916"/>
        <v>0</v>
      </c>
      <c r="O466" s="72">
        <f t="shared" si="917"/>
        <v>0</v>
      </c>
      <c r="P466" s="72">
        <f t="shared" si="918"/>
        <v>0</v>
      </c>
      <c r="Q466" s="72">
        <f t="shared" si="919"/>
        <v>0</v>
      </c>
      <c r="R466" s="72">
        <f t="shared" si="920"/>
        <v>0</v>
      </c>
    </row>
    <row r="467" spans="1:18" x14ac:dyDescent="0.25">
      <c r="A467" s="26"/>
      <c r="B467" s="25"/>
      <c r="C467" s="15"/>
      <c r="D467" s="16"/>
      <c r="E467" s="15"/>
      <c r="F467" s="11"/>
      <c r="G467" s="11"/>
      <c r="H467" s="95"/>
      <c r="I467" s="95"/>
      <c r="J467" s="100"/>
      <c r="K467" s="22"/>
      <c r="L467" s="72"/>
      <c r="M467" s="72"/>
      <c r="N467" s="72"/>
      <c r="O467" s="72"/>
      <c r="P467" s="72"/>
      <c r="Q467" s="72"/>
      <c r="R467" s="72"/>
    </row>
    <row r="468" spans="1:18" x14ac:dyDescent="0.25">
      <c r="A468" s="26" t="s">
        <v>439</v>
      </c>
      <c r="B468" s="48" t="s">
        <v>438</v>
      </c>
      <c r="C468" s="15"/>
      <c r="D468" s="16"/>
      <c r="E468" s="15"/>
      <c r="F468" s="11"/>
      <c r="G468" s="11"/>
      <c r="H468" s="95"/>
      <c r="I468" s="95"/>
      <c r="J468" s="100"/>
      <c r="K468" s="22"/>
      <c r="L468" s="72">
        <f t="shared" ref="L468" si="922">SUM(H468:J468)+K468</f>
        <v>0</v>
      </c>
      <c r="M468" s="72">
        <f t="shared" ref="M468:M471" si="923">+ROUND(IF(C468=8,PRODUCT(E468,F468,G468,L468),0),2)</f>
        <v>0</v>
      </c>
      <c r="N468" s="72">
        <f t="shared" ref="N468:N471" si="924">+ROUND(IF(C468=10,PRODUCT(E468,F468,G468,L468),0),2)</f>
        <v>0</v>
      </c>
      <c r="O468" s="72">
        <f t="shared" ref="O468:O471" si="925">+ROUND(IF(C468=12,PRODUCT(E468,F468,G468,L468),0),2)</f>
        <v>0</v>
      </c>
      <c r="P468" s="72">
        <f t="shared" ref="P468:P471" si="926">+ROUND(IF(C468=16,PRODUCT(E468,F468,G468,L468),0),2)</f>
        <v>0</v>
      </c>
      <c r="Q468" s="72">
        <f t="shared" ref="Q468:Q471" si="927">+ROUND(IF(C468=20,PRODUCT(E468,F468,G468,L468),0),2)</f>
        <v>0</v>
      </c>
      <c r="R468" s="72">
        <f t="shared" ref="R468:R471" si="928">+ROUND(IF(C468=25,PRODUCT(E468,F468,G468,L468),0),2)</f>
        <v>0</v>
      </c>
    </row>
    <row r="469" spans="1:18" x14ac:dyDescent="0.25">
      <c r="A469" s="26"/>
      <c r="B469" s="25" t="s">
        <v>385</v>
      </c>
      <c r="C469" s="15">
        <v>12</v>
      </c>
      <c r="D469" s="16"/>
      <c r="E469" s="15">
        <v>6</v>
      </c>
      <c r="F469" s="11">
        <v>1</v>
      </c>
      <c r="G469" s="11">
        <v>2</v>
      </c>
      <c r="H469" s="95">
        <f>0.36+8*$C469/1000</f>
        <v>0.45599999999999996</v>
      </c>
      <c r="I469" s="95">
        <v>0.315</v>
      </c>
      <c r="J469" s="95">
        <f>0.36+8*$C469/1000</f>
        <v>0.45599999999999996</v>
      </c>
      <c r="K469" s="22"/>
      <c r="L469" s="72">
        <f>SUM(H469:J469)+K469</f>
        <v>1.2269999999999999</v>
      </c>
      <c r="M469" s="72">
        <f t="shared" si="923"/>
        <v>0</v>
      </c>
      <c r="N469" s="72">
        <f t="shared" si="924"/>
        <v>0</v>
      </c>
      <c r="O469" s="72">
        <f t="shared" si="925"/>
        <v>14.72</v>
      </c>
      <c r="P469" s="72">
        <f t="shared" si="926"/>
        <v>0</v>
      </c>
      <c r="Q469" s="72">
        <f t="shared" si="927"/>
        <v>0</v>
      </c>
      <c r="R469" s="72">
        <f t="shared" si="928"/>
        <v>0</v>
      </c>
    </row>
    <row r="470" spans="1:18" x14ac:dyDescent="0.25">
      <c r="A470" s="26"/>
      <c r="B470" s="25" t="s">
        <v>432</v>
      </c>
      <c r="C470" s="15">
        <v>12</v>
      </c>
      <c r="D470" s="16"/>
      <c r="E470" s="15">
        <v>6</v>
      </c>
      <c r="F470" s="11">
        <v>1</v>
      </c>
      <c r="G470" s="11">
        <v>2</v>
      </c>
      <c r="H470" s="95">
        <f>0.36+8*$C470/1000</f>
        <v>0.45599999999999996</v>
      </c>
      <c r="I470" s="95">
        <v>0.315</v>
      </c>
      <c r="J470" s="95">
        <f>0.36+8*$C470/1000</f>
        <v>0.45599999999999996</v>
      </c>
      <c r="K470" s="22"/>
      <c r="L470" s="72">
        <f t="shared" ref="L470" si="929">SUM(H470:J470)+K470</f>
        <v>1.2269999999999999</v>
      </c>
      <c r="M470" s="72">
        <f t="shared" si="923"/>
        <v>0</v>
      </c>
      <c r="N470" s="72">
        <f t="shared" si="924"/>
        <v>0</v>
      </c>
      <c r="O470" s="72">
        <f t="shared" si="925"/>
        <v>14.72</v>
      </c>
      <c r="P470" s="72">
        <f t="shared" si="926"/>
        <v>0</v>
      </c>
      <c r="Q470" s="72">
        <f t="shared" si="927"/>
        <v>0</v>
      </c>
      <c r="R470" s="72">
        <f t="shared" si="928"/>
        <v>0</v>
      </c>
    </row>
    <row r="471" spans="1:18" x14ac:dyDescent="0.25">
      <c r="A471" s="26"/>
      <c r="B471" s="25" t="s">
        <v>434</v>
      </c>
      <c r="C471" s="15">
        <v>8</v>
      </c>
      <c r="D471" s="16">
        <v>150</v>
      </c>
      <c r="E471" s="15">
        <v>6</v>
      </c>
      <c r="F471" s="11">
        <v>1</v>
      </c>
      <c r="G471" s="11">
        <f>+ROUND(0.315/0.15+1,0)</f>
        <v>3</v>
      </c>
      <c r="H471" s="95"/>
      <c r="I471" s="95">
        <f>2*(0.1+0.3)+16*C471/1000</f>
        <v>0.92800000000000005</v>
      </c>
      <c r="J471" s="100"/>
      <c r="K471" s="47"/>
      <c r="L471" s="72">
        <f>SUM(H471:J471)+K471</f>
        <v>0.92800000000000005</v>
      </c>
      <c r="M471" s="72">
        <f t="shared" si="923"/>
        <v>16.7</v>
      </c>
      <c r="N471" s="72">
        <f t="shared" si="924"/>
        <v>0</v>
      </c>
      <c r="O471" s="72">
        <f t="shared" si="925"/>
        <v>0</v>
      </c>
      <c r="P471" s="72">
        <f t="shared" si="926"/>
        <v>0</v>
      </c>
      <c r="Q471" s="72">
        <f t="shared" si="927"/>
        <v>0</v>
      </c>
      <c r="R471" s="72">
        <f t="shared" si="928"/>
        <v>0</v>
      </c>
    </row>
    <row r="472" spans="1:18" x14ac:dyDescent="0.25">
      <c r="A472" s="26"/>
      <c r="B472" s="25"/>
      <c r="C472" s="15"/>
      <c r="D472" s="16"/>
      <c r="E472" s="15"/>
      <c r="F472" s="11"/>
      <c r="G472" s="11"/>
      <c r="H472" s="95"/>
      <c r="I472" s="95"/>
      <c r="J472" s="100"/>
      <c r="K472" s="22"/>
      <c r="L472" s="72"/>
      <c r="M472" s="72"/>
      <c r="N472" s="72"/>
      <c r="O472" s="72"/>
      <c r="P472" s="72"/>
      <c r="Q472" s="72"/>
      <c r="R472" s="72"/>
    </row>
    <row r="473" spans="1:18" x14ac:dyDescent="0.25">
      <c r="A473" s="26" t="s">
        <v>821</v>
      </c>
      <c r="B473" s="48" t="s">
        <v>438</v>
      </c>
      <c r="C473" s="15"/>
      <c r="D473" s="16"/>
      <c r="E473" s="15"/>
      <c r="F473" s="11"/>
      <c r="G473" s="11"/>
      <c r="H473" s="95"/>
      <c r="I473" s="95"/>
      <c r="J473" s="100"/>
      <c r="K473" s="22"/>
      <c r="L473" s="72">
        <f t="shared" ref="L473" si="930">SUM(H473:J473)+K473</f>
        <v>0</v>
      </c>
      <c r="M473" s="72">
        <f t="shared" ref="M473:M476" si="931">+ROUND(IF(C473=8,PRODUCT(E473,F473,G473,L473),0),2)</f>
        <v>0</v>
      </c>
      <c r="N473" s="72">
        <f t="shared" ref="N473:N476" si="932">+ROUND(IF(C473=10,PRODUCT(E473,F473,G473,L473),0),2)</f>
        <v>0</v>
      </c>
      <c r="O473" s="72">
        <f t="shared" ref="O473:O476" si="933">+ROUND(IF(C473=12,PRODUCT(E473,F473,G473,L473),0),2)</f>
        <v>0</v>
      </c>
      <c r="P473" s="72">
        <f t="shared" ref="P473:P476" si="934">+ROUND(IF(C473=16,PRODUCT(E473,F473,G473,L473),0),2)</f>
        <v>0</v>
      </c>
      <c r="Q473" s="72">
        <f t="shared" ref="Q473:Q476" si="935">+ROUND(IF(C473=20,PRODUCT(E473,F473,G473,L473),0),2)</f>
        <v>0</v>
      </c>
      <c r="R473" s="72">
        <f t="shared" ref="R473:R476" si="936">+ROUND(IF(C473=25,PRODUCT(E473,F473,G473,L473),0),2)</f>
        <v>0</v>
      </c>
    </row>
    <row r="474" spans="1:18" x14ac:dyDescent="0.25">
      <c r="A474" s="26"/>
      <c r="B474" s="25" t="s">
        <v>385</v>
      </c>
      <c r="C474" s="15">
        <v>12</v>
      </c>
      <c r="D474" s="16"/>
      <c r="E474" s="15">
        <v>2</v>
      </c>
      <c r="F474" s="11">
        <v>1</v>
      </c>
      <c r="G474" s="11">
        <v>2</v>
      </c>
      <c r="H474" s="95">
        <f>0.36+8*$C474/1000</f>
        <v>0.45599999999999996</v>
      </c>
      <c r="I474" s="95">
        <v>1.3049999999999999</v>
      </c>
      <c r="J474" s="95">
        <f>0.36+8*$C474/1000</f>
        <v>0.45599999999999996</v>
      </c>
      <c r="K474" s="22"/>
      <c r="L474" s="72">
        <f>SUM(H474:J474)+K474</f>
        <v>2.2169999999999996</v>
      </c>
      <c r="M474" s="72">
        <f t="shared" si="931"/>
        <v>0</v>
      </c>
      <c r="N474" s="72">
        <f t="shared" si="932"/>
        <v>0</v>
      </c>
      <c r="O474" s="72">
        <f t="shared" si="933"/>
        <v>8.8699999999999992</v>
      </c>
      <c r="P474" s="72">
        <f t="shared" si="934"/>
        <v>0</v>
      </c>
      <c r="Q474" s="72">
        <f t="shared" si="935"/>
        <v>0</v>
      </c>
      <c r="R474" s="72">
        <f t="shared" si="936"/>
        <v>0</v>
      </c>
    </row>
    <row r="475" spans="1:18" x14ac:dyDescent="0.25">
      <c r="A475" s="26"/>
      <c r="B475" s="25" t="s">
        <v>432</v>
      </c>
      <c r="C475" s="15">
        <v>12</v>
      </c>
      <c r="D475" s="16"/>
      <c r="E475" s="15">
        <v>2</v>
      </c>
      <c r="F475" s="11">
        <v>1</v>
      </c>
      <c r="G475" s="11">
        <v>2</v>
      </c>
      <c r="H475" s="95">
        <f>0.36+8*$C475/1000</f>
        <v>0.45599999999999996</v>
      </c>
      <c r="I475" s="95">
        <v>1.3049999999999999</v>
      </c>
      <c r="J475" s="95">
        <f>0.36+8*$C475/1000</f>
        <v>0.45599999999999996</v>
      </c>
      <c r="K475" s="22"/>
      <c r="L475" s="72">
        <f t="shared" ref="L475" si="937">SUM(H475:J475)+K475</f>
        <v>2.2169999999999996</v>
      </c>
      <c r="M475" s="72">
        <f t="shared" si="931"/>
        <v>0</v>
      </c>
      <c r="N475" s="72">
        <f t="shared" si="932"/>
        <v>0</v>
      </c>
      <c r="O475" s="72">
        <f t="shared" si="933"/>
        <v>8.8699999999999992</v>
      </c>
      <c r="P475" s="72">
        <f t="shared" si="934"/>
        <v>0</v>
      </c>
      <c r="Q475" s="72">
        <f t="shared" si="935"/>
        <v>0</v>
      </c>
      <c r="R475" s="72">
        <f t="shared" si="936"/>
        <v>0</v>
      </c>
    </row>
    <row r="476" spans="1:18" x14ac:dyDescent="0.25">
      <c r="A476" s="26"/>
      <c r="B476" s="25" t="s">
        <v>434</v>
      </c>
      <c r="C476" s="15">
        <v>8</v>
      </c>
      <c r="D476" s="16">
        <v>150</v>
      </c>
      <c r="E476" s="15">
        <v>2</v>
      </c>
      <c r="F476" s="11">
        <v>1</v>
      </c>
      <c r="G476" s="11">
        <f>+ROUND(1.395/0.15+1,0)</f>
        <v>10</v>
      </c>
      <c r="H476" s="95"/>
      <c r="I476" s="95">
        <f>2*(0.065+0.3)+16*C476/1000</f>
        <v>0.85799999999999998</v>
      </c>
      <c r="J476" s="100"/>
      <c r="K476" s="47"/>
      <c r="L476" s="72">
        <f>SUM(H476:J476)+K476</f>
        <v>0.85799999999999998</v>
      </c>
      <c r="M476" s="72">
        <f t="shared" si="931"/>
        <v>17.16</v>
      </c>
      <c r="N476" s="72">
        <f t="shared" si="932"/>
        <v>0</v>
      </c>
      <c r="O476" s="72">
        <f t="shared" si="933"/>
        <v>0</v>
      </c>
      <c r="P476" s="72">
        <f t="shared" si="934"/>
        <v>0</v>
      </c>
      <c r="Q476" s="72">
        <f t="shared" si="935"/>
        <v>0</v>
      </c>
      <c r="R476" s="72">
        <f t="shared" si="936"/>
        <v>0</v>
      </c>
    </row>
    <row r="477" spans="1:18" x14ac:dyDescent="0.25">
      <c r="A477" s="26"/>
      <c r="B477" s="25"/>
      <c r="C477" s="15"/>
      <c r="D477" s="16"/>
      <c r="E477" s="15"/>
      <c r="F477" s="11"/>
      <c r="G477" s="11"/>
      <c r="H477" s="95"/>
      <c r="I477" s="95"/>
      <c r="J477" s="100"/>
      <c r="K477" s="22"/>
      <c r="L477" s="72"/>
      <c r="M477" s="72"/>
      <c r="N477" s="72"/>
      <c r="O477" s="72"/>
      <c r="P477" s="72"/>
      <c r="Q477" s="72"/>
      <c r="R477" s="72"/>
    </row>
    <row r="478" spans="1:18" x14ac:dyDescent="0.25">
      <c r="A478" s="26" t="s">
        <v>437</v>
      </c>
      <c r="B478" s="48" t="s">
        <v>438</v>
      </c>
      <c r="C478" s="15"/>
      <c r="D478" s="16"/>
      <c r="E478" s="15"/>
      <c r="F478" s="11"/>
      <c r="G478" s="11"/>
      <c r="H478" s="95"/>
      <c r="I478" s="95"/>
      <c r="J478" s="100"/>
      <c r="K478" s="22"/>
      <c r="L478" s="72">
        <f t="shared" ref="L478" si="938">SUM(H478:J478)+K478</f>
        <v>0</v>
      </c>
      <c r="M478" s="72">
        <f t="shared" ref="M478:M481" si="939">+ROUND(IF(C478=8,PRODUCT(E478,F478,G478,L478),0),2)</f>
        <v>0</v>
      </c>
      <c r="N478" s="72">
        <f t="shared" ref="N478:N481" si="940">+ROUND(IF(C478=10,PRODUCT(E478,F478,G478,L478),0),2)</f>
        <v>0</v>
      </c>
      <c r="O478" s="72">
        <f t="shared" ref="O478:O481" si="941">+ROUND(IF(C478=12,PRODUCT(E478,F478,G478,L478),0),2)</f>
        <v>0</v>
      </c>
      <c r="P478" s="72">
        <f t="shared" ref="P478:P481" si="942">+ROUND(IF(C478=16,PRODUCT(E478,F478,G478,L478),0),2)</f>
        <v>0</v>
      </c>
      <c r="Q478" s="72">
        <f t="shared" ref="Q478:Q481" si="943">+ROUND(IF(C478=20,PRODUCT(E478,F478,G478,L478),0),2)</f>
        <v>0</v>
      </c>
      <c r="R478" s="72">
        <f t="shared" ref="R478:R481" si="944">+ROUND(IF(C478=25,PRODUCT(E478,F478,G478,L478),0),2)</f>
        <v>0</v>
      </c>
    </row>
    <row r="479" spans="1:18" x14ac:dyDescent="0.25">
      <c r="A479" s="26"/>
      <c r="B479" s="25" t="s">
        <v>385</v>
      </c>
      <c r="C479" s="15">
        <v>12</v>
      </c>
      <c r="D479" s="16"/>
      <c r="E479" s="15">
        <v>6</v>
      </c>
      <c r="F479" s="11">
        <v>1</v>
      </c>
      <c r="G479" s="11">
        <v>2</v>
      </c>
      <c r="H479" s="95">
        <f>0.36+8*$C479/1000</f>
        <v>0.45599999999999996</v>
      </c>
      <c r="I479" s="95">
        <v>1.385</v>
      </c>
      <c r="J479" s="95">
        <f>0.36+8*$C479/1000</f>
        <v>0.45599999999999996</v>
      </c>
      <c r="K479" s="22"/>
      <c r="L479" s="72">
        <f>SUM(H479:J479)+K479</f>
        <v>2.2969999999999997</v>
      </c>
      <c r="M479" s="72">
        <f t="shared" si="939"/>
        <v>0</v>
      </c>
      <c r="N479" s="72">
        <f t="shared" si="940"/>
        <v>0</v>
      </c>
      <c r="O479" s="72">
        <f t="shared" si="941"/>
        <v>27.56</v>
      </c>
      <c r="P479" s="72">
        <f t="shared" si="942"/>
        <v>0</v>
      </c>
      <c r="Q479" s="72">
        <f t="shared" si="943"/>
        <v>0</v>
      </c>
      <c r="R479" s="72">
        <f t="shared" si="944"/>
        <v>0</v>
      </c>
    </row>
    <row r="480" spans="1:18" x14ac:dyDescent="0.25">
      <c r="A480" s="26"/>
      <c r="B480" s="25" t="s">
        <v>432</v>
      </c>
      <c r="C480" s="15">
        <v>12</v>
      </c>
      <c r="D480" s="16"/>
      <c r="E480" s="15">
        <v>6</v>
      </c>
      <c r="F480" s="11">
        <v>1</v>
      </c>
      <c r="G480" s="11">
        <v>2</v>
      </c>
      <c r="H480" s="95">
        <f>0.36+8*$C480/1000</f>
        <v>0.45599999999999996</v>
      </c>
      <c r="I480" s="95">
        <v>1.385</v>
      </c>
      <c r="J480" s="95">
        <f>0.36+8*$C480/1000</f>
        <v>0.45599999999999996</v>
      </c>
      <c r="K480" s="22"/>
      <c r="L480" s="72">
        <f t="shared" ref="L480" si="945">SUM(H480:J480)+K480</f>
        <v>2.2969999999999997</v>
      </c>
      <c r="M480" s="72">
        <f t="shared" si="939"/>
        <v>0</v>
      </c>
      <c r="N480" s="72">
        <f t="shared" si="940"/>
        <v>0</v>
      </c>
      <c r="O480" s="72">
        <f t="shared" si="941"/>
        <v>27.56</v>
      </c>
      <c r="P480" s="72">
        <f t="shared" si="942"/>
        <v>0</v>
      </c>
      <c r="Q480" s="72">
        <f t="shared" si="943"/>
        <v>0</v>
      </c>
      <c r="R480" s="72">
        <f t="shared" si="944"/>
        <v>0</v>
      </c>
    </row>
    <row r="481" spans="1:22" x14ac:dyDescent="0.25">
      <c r="A481" s="26"/>
      <c r="B481" s="25" t="s">
        <v>434</v>
      </c>
      <c r="C481" s="15">
        <v>8</v>
      </c>
      <c r="D481" s="16">
        <v>150</v>
      </c>
      <c r="E481" s="15">
        <v>6</v>
      </c>
      <c r="F481" s="11">
        <v>1</v>
      </c>
      <c r="G481" s="11">
        <f>+ROUND(1.385/0.15+1,0)</f>
        <v>10</v>
      </c>
      <c r="H481" s="95"/>
      <c r="I481" s="95">
        <f>2*(0.05+0.3)+16*C481/1000</f>
        <v>0.82799999999999996</v>
      </c>
      <c r="J481" s="100"/>
      <c r="K481" s="47"/>
      <c r="L481" s="72">
        <f>SUM(H481:J481)+K481</f>
        <v>0.82799999999999996</v>
      </c>
      <c r="M481" s="72">
        <f t="shared" si="939"/>
        <v>49.68</v>
      </c>
      <c r="N481" s="72">
        <f t="shared" si="940"/>
        <v>0</v>
      </c>
      <c r="O481" s="72">
        <f t="shared" si="941"/>
        <v>0</v>
      </c>
      <c r="P481" s="72">
        <f t="shared" si="942"/>
        <v>0</v>
      </c>
      <c r="Q481" s="72">
        <f t="shared" si="943"/>
        <v>0</v>
      </c>
      <c r="R481" s="72">
        <f t="shared" si="944"/>
        <v>0</v>
      </c>
    </row>
    <row r="482" spans="1:22" x14ac:dyDescent="0.25">
      <c r="A482" s="26"/>
      <c r="B482" s="25"/>
      <c r="C482" s="15"/>
      <c r="D482" s="16"/>
      <c r="E482" s="15"/>
      <c r="F482" s="11"/>
      <c r="G482" s="11"/>
      <c r="H482" s="95"/>
      <c r="I482" s="95"/>
      <c r="J482" s="100"/>
      <c r="K482" s="22"/>
      <c r="L482" s="72"/>
      <c r="M482" s="72"/>
      <c r="N482" s="72"/>
      <c r="O482" s="72"/>
      <c r="P482" s="72"/>
      <c r="Q482" s="72"/>
      <c r="R482" s="72"/>
    </row>
    <row r="483" spans="1:22" x14ac:dyDescent="0.25">
      <c r="A483" s="26" t="s">
        <v>437</v>
      </c>
      <c r="B483" s="48" t="s">
        <v>438</v>
      </c>
      <c r="C483" s="15"/>
      <c r="D483" s="16"/>
      <c r="E483" s="15"/>
      <c r="F483" s="11"/>
      <c r="G483" s="11"/>
      <c r="H483" s="95"/>
      <c r="I483" s="95"/>
      <c r="J483" s="100"/>
      <c r="K483" s="22"/>
      <c r="L483" s="72">
        <f t="shared" ref="L483" si="946">SUM(H483:J483)+K483</f>
        <v>0</v>
      </c>
      <c r="M483" s="72">
        <f t="shared" ref="M483:M486" si="947">+ROUND(IF(C483=8,PRODUCT(E483,F483,G483,L483),0),2)</f>
        <v>0</v>
      </c>
      <c r="N483" s="72">
        <f t="shared" ref="N483:N486" si="948">+ROUND(IF(C483=10,PRODUCT(E483,F483,G483,L483),0),2)</f>
        <v>0</v>
      </c>
      <c r="O483" s="72">
        <f t="shared" ref="O483:O486" si="949">+ROUND(IF(C483=12,PRODUCT(E483,F483,G483,L483),0),2)</f>
        <v>0</v>
      </c>
      <c r="P483" s="72">
        <f t="shared" ref="P483:P486" si="950">+ROUND(IF(C483=16,PRODUCT(E483,F483,G483,L483),0),2)</f>
        <v>0</v>
      </c>
      <c r="Q483" s="72">
        <f t="shared" ref="Q483:Q486" si="951">+ROUND(IF(C483=20,PRODUCT(E483,F483,G483,L483),0),2)</f>
        <v>0</v>
      </c>
      <c r="R483" s="72">
        <f t="shared" ref="R483:R486" si="952">+ROUND(IF(C483=25,PRODUCT(E483,F483,G483,L483),0),2)</f>
        <v>0</v>
      </c>
    </row>
    <row r="484" spans="1:22" x14ac:dyDescent="0.25">
      <c r="A484" s="26"/>
      <c r="B484" s="25" t="s">
        <v>385</v>
      </c>
      <c r="C484" s="15">
        <v>12</v>
      </c>
      <c r="D484" s="16"/>
      <c r="E484" s="15">
        <v>2</v>
      </c>
      <c r="F484" s="11">
        <v>1</v>
      </c>
      <c r="G484" s="11">
        <v>2</v>
      </c>
      <c r="H484" s="95">
        <f>0.36+8*$C484/1000</f>
        <v>0.45599999999999996</v>
      </c>
      <c r="I484" s="95">
        <v>1.885</v>
      </c>
      <c r="J484" s="95">
        <f>0.36+8*$C484/1000</f>
        <v>0.45599999999999996</v>
      </c>
      <c r="K484" s="22"/>
      <c r="L484" s="72">
        <f>SUM(H484:J484)+K484</f>
        <v>2.7970000000000002</v>
      </c>
      <c r="M484" s="72">
        <f t="shared" si="947"/>
        <v>0</v>
      </c>
      <c r="N484" s="72">
        <f t="shared" si="948"/>
        <v>0</v>
      </c>
      <c r="O484" s="72">
        <f t="shared" si="949"/>
        <v>11.19</v>
      </c>
      <c r="P484" s="72">
        <f t="shared" si="950"/>
        <v>0</v>
      </c>
      <c r="Q484" s="72">
        <f t="shared" si="951"/>
        <v>0</v>
      </c>
      <c r="R484" s="72">
        <f t="shared" si="952"/>
        <v>0</v>
      </c>
    </row>
    <row r="485" spans="1:22" x14ac:dyDescent="0.25">
      <c r="A485" s="26"/>
      <c r="B485" s="25" t="s">
        <v>432</v>
      </c>
      <c r="C485" s="15">
        <v>12</v>
      </c>
      <c r="D485" s="16"/>
      <c r="E485" s="15">
        <v>2</v>
      </c>
      <c r="F485" s="11">
        <v>1</v>
      </c>
      <c r="G485" s="11">
        <v>2</v>
      </c>
      <c r="H485" s="95">
        <f>0.36+8*$C485/1000</f>
        <v>0.45599999999999996</v>
      </c>
      <c r="I485" s="95">
        <v>1.885</v>
      </c>
      <c r="J485" s="95">
        <f>0.36+8*$C485/1000</f>
        <v>0.45599999999999996</v>
      </c>
      <c r="K485" s="22"/>
      <c r="L485" s="72">
        <f t="shared" ref="L485" si="953">SUM(H485:J485)+K485</f>
        <v>2.7970000000000002</v>
      </c>
      <c r="M485" s="72">
        <f t="shared" si="947"/>
        <v>0</v>
      </c>
      <c r="N485" s="72">
        <f t="shared" si="948"/>
        <v>0</v>
      </c>
      <c r="O485" s="72">
        <f t="shared" si="949"/>
        <v>11.19</v>
      </c>
      <c r="P485" s="72">
        <f t="shared" si="950"/>
        <v>0</v>
      </c>
      <c r="Q485" s="72">
        <f t="shared" si="951"/>
        <v>0</v>
      </c>
      <c r="R485" s="72">
        <f t="shared" si="952"/>
        <v>0</v>
      </c>
    </row>
    <row r="486" spans="1:22" x14ac:dyDescent="0.25">
      <c r="A486" s="26"/>
      <c r="B486" s="25" t="s">
        <v>434</v>
      </c>
      <c r="C486" s="15">
        <v>8</v>
      </c>
      <c r="D486" s="16">
        <v>150</v>
      </c>
      <c r="E486" s="15">
        <v>2</v>
      </c>
      <c r="F486" s="11">
        <v>1</v>
      </c>
      <c r="G486" s="11">
        <f>+ROUND(1.185/0.15+1,0)</f>
        <v>9</v>
      </c>
      <c r="H486" s="95"/>
      <c r="I486" s="95">
        <f>2*(0.05+0.3)+16*C486/1000</f>
        <v>0.82799999999999996</v>
      </c>
      <c r="J486" s="100"/>
      <c r="K486" s="47"/>
      <c r="L486" s="72">
        <f>SUM(H486:J486)+K486</f>
        <v>0.82799999999999996</v>
      </c>
      <c r="M486" s="72">
        <f t="shared" si="947"/>
        <v>14.9</v>
      </c>
      <c r="N486" s="72">
        <f t="shared" si="948"/>
        <v>0</v>
      </c>
      <c r="O486" s="72">
        <f t="shared" si="949"/>
        <v>0</v>
      </c>
      <c r="P486" s="72">
        <f t="shared" si="950"/>
        <v>0</v>
      </c>
      <c r="Q486" s="72">
        <f t="shared" si="951"/>
        <v>0</v>
      </c>
      <c r="R486" s="72">
        <f t="shared" si="952"/>
        <v>0</v>
      </c>
    </row>
    <row r="487" spans="1:22" x14ac:dyDescent="0.25">
      <c r="A487" s="26"/>
      <c r="B487" s="25"/>
      <c r="C487" s="15"/>
      <c r="D487" s="16"/>
      <c r="E487" s="15"/>
      <c r="F487" s="11"/>
      <c r="G487" s="11"/>
      <c r="H487" s="12"/>
      <c r="I487" s="12"/>
      <c r="J487" s="47"/>
      <c r="K487" s="22"/>
      <c r="L487" s="72">
        <f>SUM(H487:J487)+K487</f>
        <v>0</v>
      </c>
      <c r="M487" s="72">
        <f t="shared" si="0"/>
        <v>0</v>
      </c>
      <c r="N487" s="72">
        <f t="shared" si="1"/>
        <v>0</v>
      </c>
      <c r="O487" s="72">
        <f t="shared" si="2"/>
        <v>0</v>
      </c>
      <c r="P487" s="72">
        <f t="shared" si="3"/>
        <v>0</v>
      </c>
      <c r="Q487" s="72">
        <f t="shared" si="4"/>
        <v>0</v>
      </c>
      <c r="R487" s="72">
        <f t="shared" si="5"/>
        <v>0</v>
      </c>
    </row>
    <row r="488" spans="1:22" x14ac:dyDescent="0.25">
      <c r="A488" s="26"/>
      <c r="B488" s="48" t="s">
        <v>748</v>
      </c>
      <c r="C488" s="33"/>
      <c r="D488" s="34"/>
      <c r="E488" s="33"/>
      <c r="F488" s="35"/>
      <c r="G488" s="35"/>
      <c r="H488" s="36"/>
      <c r="I488" s="36"/>
      <c r="J488" s="98"/>
      <c r="K488" s="49"/>
      <c r="L488" s="36"/>
      <c r="M488" s="37">
        <f t="shared" ref="M488:R488" si="954">SUM(M5:M487)</f>
        <v>10945.620000000004</v>
      </c>
      <c r="N488" s="37">
        <f t="shared" si="954"/>
        <v>254.92</v>
      </c>
      <c r="O488" s="37">
        <f t="shared" si="954"/>
        <v>1090.8300000000002</v>
      </c>
      <c r="P488" s="37">
        <f t="shared" si="954"/>
        <v>4400.7999999999984</v>
      </c>
      <c r="Q488" s="37">
        <f t="shared" si="954"/>
        <v>116.86</v>
      </c>
      <c r="R488" s="37">
        <f t="shared" si="954"/>
        <v>54.31</v>
      </c>
      <c r="S488" s="50"/>
    </row>
    <row r="489" spans="1:22" x14ac:dyDescent="0.25">
      <c r="A489" s="26"/>
      <c r="B489" s="25" t="s">
        <v>746</v>
      </c>
      <c r="C489" s="15"/>
      <c r="D489" s="16"/>
      <c r="E489" s="15"/>
      <c r="F489" s="11"/>
      <c r="G489" s="11"/>
      <c r="H489" s="12"/>
      <c r="I489" s="12"/>
      <c r="J489" s="47"/>
      <c r="K489" s="22"/>
      <c r="L489" s="12"/>
      <c r="M489" s="95">
        <v>0.39500000000000002</v>
      </c>
      <c r="N489" s="12">
        <v>0.61699999999999999</v>
      </c>
      <c r="O489" s="12">
        <v>0.88800000000000001</v>
      </c>
      <c r="P489" s="12">
        <v>1.58</v>
      </c>
      <c r="Q489" s="12">
        <v>2.4700000000000002</v>
      </c>
      <c r="R489" s="12">
        <v>3.85</v>
      </c>
    </row>
    <row r="490" spans="1:22" x14ac:dyDescent="0.25">
      <c r="A490" s="22"/>
      <c r="B490" s="22" t="s">
        <v>747</v>
      </c>
      <c r="C490" s="29"/>
      <c r="D490" s="39"/>
      <c r="E490" s="29"/>
      <c r="F490" s="29"/>
      <c r="G490" s="29"/>
      <c r="H490" s="22"/>
      <c r="I490" s="22"/>
      <c r="J490" s="47"/>
      <c r="K490" s="22"/>
      <c r="L490" s="22"/>
      <c r="M490" s="22">
        <f>M488*M489</f>
        <v>4323.5199000000021</v>
      </c>
      <c r="N490" s="22">
        <f t="shared" ref="N490" si="955">N488*N489</f>
        <v>157.28564</v>
      </c>
      <c r="O490" s="22">
        <f t="shared" ref="O490" si="956">O488*O489</f>
        <v>968.65704000000017</v>
      </c>
      <c r="P490" s="22">
        <f t="shared" ref="P490" si="957">P488*P489</f>
        <v>6953.2639999999974</v>
      </c>
      <c r="Q490" s="22">
        <f t="shared" ref="Q490" si="958">Q488*Q489</f>
        <v>288.64420000000001</v>
      </c>
      <c r="R490" s="22">
        <f t="shared" ref="R490" si="959">R488*R489</f>
        <v>209.09350000000001</v>
      </c>
      <c r="S490" s="50">
        <f>SUM(M490:R490)</f>
        <v>12900.46428</v>
      </c>
      <c r="U490" s="3">
        <v>13631.668400000004</v>
      </c>
      <c r="V490" s="27">
        <f>U490-S490</f>
        <v>731.20412000000397</v>
      </c>
    </row>
    <row r="491" spans="1:22" x14ac:dyDescent="0.25">
      <c r="A491" s="26"/>
      <c r="B491" s="45"/>
      <c r="C491" s="15"/>
      <c r="D491" s="16"/>
      <c r="E491" s="15"/>
      <c r="F491" s="11"/>
      <c r="G491" s="11"/>
      <c r="H491" s="12"/>
      <c r="I491" s="12"/>
      <c r="J491" s="47"/>
      <c r="K491" s="22"/>
      <c r="L491" s="72">
        <f t="shared" ref="L491" si="960">SUM(H491:J491)+K491</f>
        <v>0</v>
      </c>
      <c r="M491" s="72">
        <f t="shared" si="0"/>
        <v>0</v>
      </c>
      <c r="N491" s="72">
        <f t="shared" si="1"/>
        <v>0</v>
      </c>
      <c r="O491" s="72">
        <f t="shared" si="2"/>
        <v>0</v>
      </c>
      <c r="P491" s="72">
        <f t="shared" si="3"/>
        <v>0</v>
      </c>
      <c r="Q491" s="72">
        <f t="shared" si="4"/>
        <v>0</v>
      </c>
      <c r="R491" s="72">
        <f t="shared" si="5"/>
        <v>0</v>
      </c>
    </row>
    <row r="492" spans="1:22" x14ac:dyDescent="0.25">
      <c r="A492" s="26"/>
      <c r="B492" s="45"/>
      <c r="C492" s="15"/>
      <c r="D492" s="16"/>
      <c r="E492" s="15"/>
      <c r="F492" s="11"/>
      <c r="G492" s="11"/>
      <c r="H492" s="12"/>
      <c r="I492" s="12"/>
      <c r="J492" s="47"/>
      <c r="K492" s="22"/>
      <c r="L492" s="72"/>
      <c r="M492" s="72"/>
      <c r="N492" s="72"/>
      <c r="O492" s="72"/>
      <c r="P492" s="72"/>
      <c r="Q492" s="72"/>
      <c r="R492" s="72"/>
    </row>
    <row r="493" spans="1:22" x14ac:dyDescent="0.25">
      <c r="A493" s="26"/>
      <c r="B493" s="45" t="s">
        <v>511</v>
      </c>
      <c r="C493" s="15"/>
      <c r="D493" s="16"/>
      <c r="E493" s="15"/>
      <c r="F493" s="11"/>
      <c r="G493" s="11"/>
      <c r="H493" s="12"/>
      <c r="I493" s="12"/>
      <c r="J493" s="47"/>
      <c r="K493" s="22"/>
      <c r="L493" s="72"/>
      <c r="M493" s="72"/>
      <c r="N493" s="72"/>
      <c r="O493" s="72"/>
      <c r="P493" s="72"/>
      <c r="Q493" s="72"/>
      <c r="R493" s="72"/>
    </row>
    <row r="494" spans="1:22" x14ac:dyDescent="0.25">
      <c r="A494" s="26"/>
      <c r="B494" s="48" t="s">
        <v>797</v>
      </c>
      <c r="C494" s="15"/>
      <c r="D494" s="16"/>
      <c r="E494" s="15"/>
      <c r="F494" s="11"/>
      <c r="G494" s="11"/>
      <c r="H494" s="12"/>
      <c r="I494" s="12"/>
      <c r="J494" s="47"/>
      <c r="K494" s="22"/>
      <c r="L494" s="72"/>
      <c r="M494" s="72"/>
      <c r="N494" s="72"/>
      <c r="O494" s="72"/>
      <c r="P494" s="72"/>
      <c r="Q494" s="72"/>
      <c r="R494" s="72"/>
    </row>
    <row r="495" spans="1:22" x14ac:dyDescent="0.25">
      <c r="A495" s="26"/>
      <c r="B495" s="45" t="s">
        <v>761</v>
      </c>
      <c r="C495" s="15"/>
      <c r="D495" s="16"/>
      <c r="E495" s="15"/>
      <c r="F495" s="11"/>
      <c r="G495" s="11"/>
      <c r="H495" s="12"/>
      <c r="I495" s="12"/>
      <c r="J495" s="47"/>
      <c r="K495" s="22"/>
      <c r="L495" s="72"/>
      <c r="M495" s="72">
        <f t="shared" ref="M495:M508" si="961">+ROUND(IF(C495=8,PRODUCT(E495,F495,G495,L495),0),2)</f>
        <v>0</v>
      </c>
      <c r="N495" s="72">
        <f t="shared" ref="N495:N508" si="962">+ROUND(IF(C495=10,PRODUCT(E495,F495,G495,L495),0),2)</f>
        <v>0</v>
      </c>
      <c r="O495" s="72">
        <f t="shared" ref="O495:O508" si="963">+ROUND(IF(C495=12,PRODUCT(E495,F495,G495,L495),0),2)</f>
        <v>0</v>
      </c>
      <c r="P495" s="72">
        <f t="shared" ref="P495:P508" si="964">+ROUND(IF(C495=16,PRODUCT(E495,F495,G495,L495),0),2)</f>
        <v>0</v>
      </c>
      <c r="Q495" s="72">
        <f t="shared" ref="Q495:Q508" si="965">+ROUND(IF(C495=20,PRODUCT(E495,F495,G495,L495),0),2)</f>
        <v>0</v>
      </c>
      <c r="R495" s="72">
        <f t="shared" ref="R495:R508" si="966">+ROUND(IF(C495=25,PRODUCT(E495,F495,G495,L495),0),2)</f>
        <v>0</v>
      </c>
    </row>
    <row r="496" spans="1:22" x14ac:dyDescent="0.25">
      <c r="A496" s="26"/>
      <c r="B496" s="104" t="s">
        <v>758</v>
      </c>
      <c r="C496" s="15">
        <v>8</v>
      </c>
      <c r="D496" s="16">
        <v>200</v>
      </c>
      <c r="E496" s="15">
        <v>2</v>
      </c>
      <c r="F496" s="11">
        <v>1</v>
      </c>
      <c r="G496" s="11">
        <v>19</v>
      </c>
      <c r="H496" s="95"/>
      <c r="I496" s="95">
        <f>3.2+0.175+0.175</f>
        <v>3.55</v>
      </c>
      <c r="J496" s="100"/>
      <c r="K496" s="22"/>
      <c r="L496" s="72">
        <f t="shared" ref="L496" si="967">SUM(H496:J496)+K496</f>
        <v>3.55</v>
      </c>
      <c r="M496" s="72">
        <f t="shared" si="961"/>
        <v>134.9</v>
      </c>
      <c r="N496" s="72">
        <f t="shared" si="962"/>
        <v>0</v>
      </c>
      <c r="O496" s="72">
        <f t="shared" si="963"/>
        <v>0</v>
      </c>
      <c r="P496" s="72">
        <f t="shared" si="964"/>
        <v>0</v>
      </c>
      <c r="Q496" s="72">
        <f t="shared" si="965"/>
        <v>0</v>
      </c>
      <c r="R496" s="72">
        <f t="shared" si="966"/>
        <v>0</v>
      </c>
    </row>
    <row r="497" spans="1:18" x14ac:dyDescent="0.25">
      <c r="A497" s="26"/>
      <c r="B497" s="104" t="s">
        <v>521</v>
      </c>
      <c r="C497" s="15">
        <v>8</v>
      </c>
      <c r="D497" s="16">
        <v>200</v>
      </c>
      <c r="E497" s="15">
        <v>2</v>
      </c>
      <c r="F497" s="11">
        <v>1</v>
      </c>
      <c r="G497" s="11">
        <f>+ROUND(3.2/(D497/1000)+1,0)</f>
        <v>17</v>
      </c>
      <c r="H497" s="95"/>
      <c r="I497" s="95">
        <f>0.175+3.55+0.2+0.5</f>
        <v>4.4249999999999998</v>
      </c>
      <c r="J497" s="100"/>
      <c r="K497" s="47"/>
      <c r="L497" s="72">
        <f>SUM(H497:J497)+K497</f>
        <v>4.4249999999999998</v>
      </c>
      <c r="M497" s="72">
        <f t="shared" si="961"/>
        <v>150.44999999999999</v>
      </c>
      <c r="N497" s="72">
        <f t="shared" si="962"/>
        <v>0</v>
      </c>
      <c r="O497" s="72">
        <f t="shared" si="963"/>
        <v>0</v>
      </c>
      <c r="P497" s="72">
        <f t="shared" si="964"/>
        <v>0</v>
      </c>
      <c r="Q497" s="72">
        <f t="shared" si="965"/>
        <v>0</v>
      </c>
      <c r="R497" s="72">
        <f t="shared" si="966"/>
        <v>0</v>
      </c>
    </row>
    <row r="498" spans="1:18" x14ac:dyDescent="0.25">
      <c r="A498" s="26"/>
      <c r="B498" s="104" t="s">
        <v>512</v>
      </c>
      <c r="C498" s="15">
        <v>8</v>
      </c>
      <c r="D498" s="16">
        <v>200</v>
      </c>
      <c r="E498" s="15">
        <v>2</v>
      </c>
      <c r="F498" s="11">
        <v>1</v>
      </c>
      <c r="G498" s="11">
        <v>9</v>
      </c>
      <c r="H498" s="95"/>
      <c r="I498" s="95">
        <f>0.1+0.55+0.55</f>
        <v>1.2000000000000002</v>
      </c>
      <c r="J498" s="100"/>
      <c r="K498" s="22"/>
      <c r="L498" s="72">
        <f>SUM(H498:J498)+K498</f>
        <v>1.2000000000000002</v>
      </c>
      <c r="M498" s="72">
        <f t="shared" si="961"/>
        <v>21.6</v>
      </c>
      <c r="N498" s="72">
        <f t="shared" si="962"/>
        <v>0</v>
      </c>
      <c r="O498" s="72">
        <f t="shared" si="963"/>
        <v>0</v>
      </c>
      <c r="P498" s="72">
        <f t="shared" si="964"/>
        <v>0</v>
      </c>
      <c r="Q498" s="72">
        <f t="shared" si="965"/>
        <v>0</v>
      </c>
      <c r="R498" s="72">
        <f t="shared" si="966"/>
        <v>0</v>
      </c>
    </row>
    <row r="499" spans="1:18" x14ac:dyDescent="0.25">
      <c r="A499" s="26"/>
      <c r="B499" s="104" t="s">
        <v>512</v>
      </c>
      <c r="C499" s="15">
        <v>8</v>
      </c>
      <c r="D499" s="16">
        <v>200</v>
      </c>
      <c r="E499" s="15">
        <v>2</v>
      </c>
      <c r="F499" s="11">
        <v>1</v>
      </c>
      <c r="G499" s="11">
        <v>9</v>
      </c>
      <c r="H499" s="95"/>
      <c r="I499" s="95">
        <f>0.1+0.55</f>
        <v>0.65</v>
      </c>
      <c r="J499" s="100"/>
      <c r="K499" s="22"/>
      <c r="L499" s="72">
        <f t="shared" ref="L499" si="968">SUM(H499:J499)+K499</f>
        <v>0.65</v>
      </c>
      <c r="M499" s="72">
        <f t="shared" si="961"/>
        <v>11.7</v>
      </c>
      <c r="N499" s="72">
        <f t="shared" si="962"/>
        <v>0</v>
      </c>
      <c r="O499" s="72">
        <f t="shared" si="963"/>
        <v>0</v>
      </c>
      <c r="P499" s="72">
        <f t="shared" si="964"/>
        <v>0</v>
      </c>
      <c r="Q499" s="72">
        <f t="shared" si="965"/>
        <v>0</v>
      </c>
      <c r="R499" s="72">
        <f t="shared" si="966"/>
        <v>0</v>
      </c>
    </row>
    <row r="500" spans="1:18" x14ac:dyDescent="0.25">
      <c r="A500" s="26"/>
      <c r="B500" s="104" t="s">
        <v>512</v>
      </c>
      <c r="C500" s="15">
        <v>8</v>
      </c>
      <c r="D500" s="16">
        <v>200</v>
      </c>
      <c r="E500" s="15">
        <v>2</v>
      </c>
      <c r="F500" s="11">
        <v>1</v>
      </c>
      <c r="G500" s="11">
        <v>17</v>
      </c>
      <c r="H500" s="95">
        <v>0.1</v>
      </c>
      <c r="I500" s="95">
        <f>0.55+0.175</f>
        <v>0.72500000000000009</v>
      </c>
      <c r="J500" s="100"/>
      <c r="K500" s="22"/>
      <c r="L500" s="72">
        <f t="shared" ref="L500:L508" si="969">SUM(H500:J500)+K500</f>
        <v>0.82500000000000007</v>
      </c>
      <c r="M500" s="72">
        <f t="shared" si="961"/>
        <v>28.05</v>
      </c>
      <c r="N500" s="72">
        <f t="shared" si="962"/>
        <v>0</v>
      </c>
      <c r="O500" s="72">
        <f t="shared" si="963"/>
        <v>0</v>
      </c>
      <c r="P500" s="72">
        <f t="shared" si="964"/>
        <v>0</v>
      </c>
      <c r="Q500" s="72">
        <f t="shared" si="965"/>
        <v>0</v>
      </c>
      <c r="R500" s="72">
        <f t="shared" si="966"/>
        <v>0</v>
      </c>
    </row>
    <row r="501" spans="1:18" x14ac:dyDescent="0.25">
      <c r="A501" s="26"/>
      <c r="B501" s="104" t="s">
        <v>514</v>
      </c>
      <c r="C501" s="15">
        <v>8</v>
      </c>
      <c r="D501" s="16">
        <v>100</v>
      </c>
      <c r="E501" s="15">
        <v>2</v>
      </c>
      <c r="F501" s="11">
        <v>1</v>
      </c>
      <c r="G501" s="11">
        <v>11</v>
      </c>
      <c r="H501" s="95"/>
      <c r="I501" s="95">
        <f>0.1+0.55+0.55</f>
        <v>1.2000000000000002</v>
      </c>
      <c r="J501" s="100"/>
      <c r="K501" s="22"/>
      <c r="L501" s="72">
        <f t="shared" si="969"/>
        <v>1.2000000000000002</v>
      </c>
      <c r="M501" s="72">
        <f t="shared" si="961"/>
        <v>26.4</v>
      </c>
      <c r="N501" s="72">
        <f t="shared" si="962"/>
        <v>0</v>
      </c>
      <c r="O501" s="72">
        <f t="shared" si="963"/>
        <v>0</v>
      </c>
      <c r="P501" s="72">
        <f t="shared" si="964"/>
        <v>0</v>
      </c>
      <c r="Q501" s="72">
        <f t="shared" si="965"/>
        <v>0</v>
      </c>
      <c r="R501" s="72">
        <f t="shared" si="966"/>
        <v>0</v>
      </c>
    </row>
    <row r="502" spans="1:18" x14ac:dyDescent="0.25">
      <c r="A502" s="26"/>
      <c r="B502" s="104" t="s">
        <v>514</v>
      </c>
      <c r="C502" s="15">
        <v>8</v>
      </c>
      <c r="D502" s="16">
        <v>100</v>
      </c>
      <c r="E502" s="15">
        <v>2</v>
      </c>
      <c r="F502" s="11">
        <v>1</v>
      </c>
      <c r="G502" s="11">
        <v>10</v>
      </c>
      <c r="H502" s="95"/>
      <c r="I502" s="95">
        <f>0.1+0.55</f>
        <v>0.65</v>
      </c>
      <c r="J502" s="100"/>
      <c r="K502" s="22"/>
      <c r="L502" s="72">
        <f t="shared" si="969"/>
        <v>0.65</v>
      </c>
      <c r="M502" s="72">
        <f t="shared" si="961"/>
        <v>13</v>
      </c>
      <c r="N502" s="72">
        <f t="shared" si="962"/>
        <v>0</v>
      </c>
      <c r="O502" s="72">
        <f t="shared" si="963"/>
        <v>0</v>
      </c>
      <c r="P502" s="72">
        <f t="shared" si="964"/>
        <v>0</v>
      </c>
      <c r="Q502" s="72">
        <f t="shared" si="965"/>
        <v>0</v>
      </c>
      <c r="R502" s="72">
        <f t="shared" si="966"/>
        <v>0</v>
      </c>
    </row>
    <row r="503" spans="1:18" x14ac:dyDescent="0.25">
      <c r="A503" s="26"/>
      <c r="B503" s="104" t="s">
        <v>513</v>
      </c>
      <c r="C503" s="15">
        <v>8</v>
      </c>
      <c r="D503" s="16">
        <v>175</v>
      </c>
      <c r="E503" s="15">
        <v>2</v>
      </c>
      <c r="F503" s="11">
        <v>1</v>
      </c>
      <c r="G503" s="11">
        <f>+ROUND(3.2/(D503/1000)+1,0)/2</f>
        <v>9.5</v>
      </c>
      <c r="H503" s="95"/>
      <c r="I503" s="95">
        <f>0.1+1.2</f>
        <v>1.3</v>
      </c>
      <c r="J503" s="100"/>
      <c r="K503" s="22"/>
      <c r="L503" s="72">
        <f t="shared" si="969"/>
        <v>1.3</v>
      </c>
      <c r="M503" s="72">
        <f t="shared" si="961"/>
        <v>24.7</v>
      </c>
      <c r="N503" s="72">
        <f t="shared" si="962"/>
        <v>0</v>
      </c>
      <c r="O503" s="72">
        <f t="shared" si="963"/>
        <v>0</v>
      </c>
      <c r="P503" s="72">
        <f t="shared" si="964"/>
        <v>0</v>
      </c>
      <c r="Q503" s="72">
        <f t="shared" si="965"/>
        <v>0</v>
      </c>
      <c r="R503" s="72">
        <f t="shared" si="966"/>
        <v>0</v>
      </c>
    </row>
    <row r="504" spans="1:18" x14ac:dyDescent="0.25">
      <c r="A504" s="26"/>
      <c r="B504" s="104" t="s">
        <v>513</v>
      </c>
      <c r="C504" s="15">
        <v>8</v>
      </c>
      <c r="D504" s="16">
        <v>175</v>
      </c>
      <c r="E504" s="15">
        <v>2</v>
      </c>
      <c r="F504" s="11">
        <v>1</v>
      </c>
      <c r="G504" s="11">
        <f>+ROUND(3.2/(D504/1000)+1,0)/2</f>
        <v>9.5</v>
      </c>
      <c r="H504" s="95"/>
      <c r="I504" s="95">
        <f>0.1+0.6</f>
        <v>0.7</v>
      </c>
      <c r="J504" s="100"/>
      <c r="K504" s="22"/>
      <c r="L504" s="72">
        <f t="shared" si="969"/>
        <v>0.7</v>
      </c>
      <c r="M504" s="72">
        <f t="shared" si="961"/>
        <v>13.3</v>
      </c>
      <c r="N504" s="72">
        <f t="shared" si="962"/>
        <v>0</v>
      </c>
      <c r="O504" s="72">
        <f t="shared" si="963"/>
        <v>0</v>
      </c>
      <c r="P504" s="72">
        <f t="shared" si="964"/>
        <v>0</v>
      </c>
      <c r="Q504" s="72">
        <f t="shared" si="965"/>
        <v>0</v>
      </c>
      <c r="R504" s="72">
        <f t="shared" si="966"/>
        <v>0</v>
      </c>
    </row>
    <row r="505" spans="1:18" x14ac:dyDescent="0.25">
      <c r="A505" s="26"/>
      <c r="B505" s="104" t="s">
        <v>759</v>
      </c>
      <c r="C505" s="15">
        <v>8</v>
      </c>
      <c r="D505" s="16">
        <v>200</v>
      </c>
      <c r="E505" s="15">
        <v>2</v>
      </c>
      <c r="F505" s="11">
        <v>1</v>
      </c>
      <c r="G505" s="11">
        <f>+ROUND(1.1/(D505/1000)+1,0)</f>
        <v>7</v>
      </c>
      <c r="H505" s="95">
        <v>0.2</v>
      </c>
      <c r="I505" s="95">
        <v>3.55</v>
      </c>
      <c r="J505" s="100"/>
      <c r="K505" s="22"/>
      <c r="L505" s="72">
        <f t="shared" si="969"/>
        <v>3.75</v>
      </c>
      <c r="M505" s="72">
        <f t="shared" si="961"/>
        <v>52.5</v>
      </c>
      <c r="N505" s="72">
        <f t="shared" si="962"/>
        <v>0</v>
      </c>
      <c r="O505" s="72">
        <f t="shared" si="963"/>
        <v>0</v>
      </c>
      <c r="P505" s="72">
        <f t="shared" si="964"/>
        <v>0</v>
      </c>
      <c r="Q505" s="72">
        <f t="shared" si="965"/>
        <v>0</v>
      </c>
      <c r="R505" s="72">
        <f t="shared" si="966"/>
        <v>0</v>
      </c>
    </row>
    <row r="506" spans="1:18" x14ac:dyDescent="0.25">
      <c r="A506" s="26"/>
      <c r="B506" s="104" t="s">
        <v>759</v>
      </c>
      <c r="C506" s="15">
        <v>8</v>
      </c>
      <c r="D506" s="16">
        <v>200</v>
      </c>
      <c r="E506" s="15">
        <v>2</v>
      </c>
      <c r="F506" s="11">
        <v>1</v>
      </c>
      <c r="G506" s="11">
        <f>+ROUND(1.1/(D506/1000)+1,0)</f>
        <v>7</v>
      </c>
      <c r="H506" s="95">
        <v>0.2</v>
      </c>
      <c r="I506" s="95">
        <v>3.55</v>
      </c>
      <c r="J506" s="100"/>
      <c r="K506" s="22"/>
      <c r="L506" s="72">
        <f t="shared" si="969"/>
        <v>3.75</v>
      </c>
      <c r="M506" s="72">
        <f t="shared" si="961"/>
        <v>52.5</v>
      </c>
      <c r="N506" s="72">
        <f t="shared" si="962"/>
        <v>0</v>
      </c>
      <c r="O506" s="72">
        <f t="shared" si="963"/>
        <v>0</v>
      </c>
      <c r="P506" s="72">
        <f t="shared" si="964"/>
        <v>0</v>
      </c>
      <c r="Q506" s="72">
        <f t="shared" si="965"/>
        <v>0</v>
      </c>
      <c r="R506" s="72">
        <f t="shared" si="966"/>
        <v>0</v>
      </c>
    </row>
    <row r="507" spans="1:18" x14ac:dyDescent="0.25">
      <c r="A507" s="26"/>
      <c r="B507" s="104" t="s">
        <v>759</v>
      </c>
      <c r="C507" s="15">
        <v>8</v>
      </c>
      <c r="D507" s="16">
        <v>200</v>
      </c>
      <c r="E507" s="15">
        <v>2</v>
      </c>
      <c r="F507" s="11">
        <v>1</v>
      </c>
      <c r="G507" s="11">
        <f>+ROUND(0.6/(D507/1000)+1,0)</f>
        <v>4</v>
      </c>
      <c r="H507" s="95">
        <v>0.2</v>
      </c>
      <c r="I507" s="95">
        <v>3.2</v>
      </c>
      <c r="J507" s="100"/>
      <c r="K507" s="22"/>
      <c r="L507" s="72">
        <f t="shared" si="969"/>
        <v>3.4000000000000004</v>
      </c>
      <c r="M507" s="72">
        <f t="shared" si="961"/>
        <v>27.2</v>
      </c>
      <c r="N507" s="72">
        <f t="shared" si="962"/>
        <v>0</v>
      </c>
      <c r="O507" s="72">
        <f t="shared" si="963"/>
        <v>0</v>
      </c>
      <c r="P507" s="72">
        <f t="shared" si="964"/>
        <v>0</v>
      </c>
      <c r="Q507" s="72">
        <f t="shared" si="965"/>
        <v>0</v>
      </c>
      <c r="R507" s="72">
        <f t="shared" si="966"/>
        <v>0</v>
      </c>
    </row>
    <row r="508" spans="1:18" x14ac:dyDescent="0.25">
      <c r="A508" s="26"/>
      <c r="B508" s="104" t="s">
        <v>759</v>
      </c>
      <c r="C508" s="15">
        <v>8</v>
      </c>
      <c r="D508" s="16">
        <v>200</v>
      </c>
      <c r="E508" s="15">
        <v>2</v>
      </c>
      <c r="F508" s="11">
        <v>1</v>
      </c>
      <c r="G508" s="11">
        <f>+ROUND(1.2/(D508/1000)+1,0)</f>
        <v>7</v>
      </c>
      <c r="H508" s="95">
        <v>0.2</v>
      </c>
      <c r="I508" s="95">
        <v>3.2</v>
      </c>
      <c r="J508" s="100"/>
      <c r="K508" s="22"/>
      <c r="L508" s="72">
        <f t="shared" si="969"/>
        <v>3.4000000000000004</v>
      </c>
      <c r="M508" s="72">
        <f t="shared" si="961"/>
        <v>47.6</v>
      </c>
      <c r="N508" s="72">
        <f t="shared" si="962"/>
        <v>0</v>
      </c>
      <c r="O508" s="72">
        <f t="shared" si="963"/>
        <v>0</v>
      </c>
      <c r="P508" s="72">
        <f t="shared" si="964"/>
        <v>0</v>
      </c>
      <c r="Q508" s="72">
        <f t="shared" si="965"/>
        <v>0</v>
      </c>
      <c r="R508" s="72">
        <f t="shared" si="966"/>
        <v>0</v>
      </c>
    </row>
    <row r="509" spans="1:18" x14ac:dyDescent="0.25">
      <c r="A509" s="26"/>
      <c r="B509" s="104" t="s">
        <v>512</v>
      </c>
      <c r="C509" s="15">
        <v>8</v>
      </c>
      <c r="D509" s="16">
        <v>200</v>
      </c>
      <c r="E509" s="15">
        <v>2</v>
      </c>
      <c r="F509" s="11">
        <v>1</v>
      </c>
      <c r="G509" s="11">
        <v>7</v>
      </c>
      <c r="H509" s="95">
        <v>0.1</v>
      </c>
      <c r="I509" s="95">
        <v>0.72499999999999998</v>
      </c>
      <c r="J509" s="100"/>
      <c r="K509" s="22"/>
      <c r="L509" s="72">
        <f t="shared" ref="L509" si="970">SUM(H509:J509)+K509</f>
        <v>0.82499999999999996</v>
      </c>
      <c r="M509" s="72">
        <f t="shared" ref="M509" si="971">+ROUND(IF(C509=8,PRODUCT(E509,F509,G509,L509),0),2)</f>
        <v>11.55</v>
      </c>
      <c r="N509" s="72">
        <f t="shared" ref="N509" si="972">+ROUND(IF(C509=10,PRODUCT(E509,F509,G509,L509),0),2)</f>
        <v>0</v>
      </c>
      <c r="O509" s="72">
        <f t="shared" ref="O509" si="973">+ROUND(IF(C509=12,PRODUCT(E509,F509,G509,L509),0),2)</f>
        <v>0</v>
      </c>
      <c r="P509" s="72">
        <f t="shared" ref="P509" si="974">+ROUND(IF(C509=16,PRODUCT(E509,F509,G509,L509),0),2)</f>
        <v>0</v>
      </c>
      <c r="Q509" s="72">
        <f t="shared" ref="Q509" si="975">+ROUND(IF(C509=20,PRODUCT(E509,F509,G509,L509),0),2)</f>
        <v>0</v>
      </c>
      <c r="R509" s="72">
        <f t="shared" ref="R509" si="976">+ROUND(IF(C509=25,PRODUCT(E509,F509,G509,L509),0),2)</f>
        <v>0</v>
      </c>
    </row>
    <row r="510" spans="1:18" x14ac:dyDescent="0.25">
      <c r="A510" s="26"/>
      <c r="B510" s="25"/>
      <c r="C510" s="15"/>
      <c r="D510" s="16"/>
      <c r="E510" s="15"/>
      <c r="F510" s="11"/>
      <c r="G510" s="11"/>
      <c r="H510" s="95"/>
      <c r="I510" s="95"/>
      <c r="J510" s="100"/>
      <c r="K510" s="22"/>
      <c r="L510" s="72"/>
      <c r="M510" s="72"/>
      <c r="N510" s="72"/>
      <c r="O510" s="72"/>
      <c r="P510" s="72"/>
      <c r="Q510" s="72"/>
      <c r="R510" s="72"/>
    </row>
    <row r="511" spans="1:18" x14ac:dyDescent="0.25">
      <c r="A511" s="26"/>
      <c r="B511" s="45" t="s">
        <v>762</v>
      </c>
      <c r="C511" s="15"/>
      <c r="D511" s="16"/>
      <c r="E511" s="15"/>
      <c r="F511" s="11"/>
      <c r="G511" s="11"/>
      <c r="H511" s="12"/>
      <c r="I511" s="12"/>
      <c r="J511" s="47"/>
      <c r="K511" s="22"/>
      <c r="L511" s="72"/>
      <c r="M511" s="72">
        <f t="shared" si="0"/>
        <v>0</v>
      </c>
      <c r="N511" s="72">
        <f t="shared" si="1"/>
        <v>0</v>
      </c>
      <c r="O511" s="72">
        <f t="shared" si="2"/>
        <v>0</v>
      </c>
      <c r="P511" s="72">
        <f t="shared" si="3"/>
        <v>0</v>
      </c>
      <c r="Q511" s="72">
        <f t="shared" si="4"/>
        <v>0</v>
      </c>
      <c r="R511" s="72">
        <f t="shared" si="5"/>
        <v>0</v>
      </c>
    </row>
    <row r="512" spans="1:18" x14ac:dyDescent="0.25">
      <c r="A512" s="26"/>
      <c r="B512" s="104" t="s">
        <v>758</v>
      </c>
      <c r="C512" s="15">
        <v>8</v>
      </c>
      <c r="D512" s="16">
        <v>200</v>
      </c>
      <c r="E512" s="15">
        <v>2</v>
      </c>
      <c r="F512" s="11">
        <v>1</v>
      </c>
      <c r="G512" s="11">
        <v>18</v>
      </c>
      <c r="H512" s="95"/>
      <c r="I512" s="95">
        <f>3.575+0.175+0.175</f>
        <v>3.9249999999999998</v>
      </c>
      <c r="J512" s="100"/>
      <c r="K512" s="22"/>
      <c r="L512" s="72">
        <f t="shared" ref="L512" si="977">SUM(H512:J512)+K512</f>
        <v>3.9249999999999998</v>
      </c>
      <c r="M512" s="72">
        <f t="shared" ref="M512" si="978">+ROUND(IF(C512=8,PRODUCT(E512,F512,G512,L512),0),2)</f>
        <v>141.30000000000001</v>
      </c>
      <c r="N512" s="72">
        <f t="shared" ref="N512" si="979">+ROUND(IF(C512=10,PRODUCT(E512,F512,G512,L512),0),2)</f>
        <v>0</v>
      </c>
      <c r="O512" s="72">
        <f t="shared" ref="O512" si="980">+ROUND(IF(C512=12,PRODUCT(E512,F512,G512,L512),0),2)</f>
        <v>0</v>
      </c>
      <c r="P512" s="72">
        <f t="shared" ref="P512" si="981">+ROUND(IF(C512=16,PRODUCT(E512,F512,G512,L512),0),2)</f>
        <v>0</v>
      </c>
      <c r="Q512" s="72">
        <f t="shared" ref="Q512" si="982">+ROUND(IF(C512=20,PRODUCT(E512,F512,G512,L512),0),2)</f>
        <v>0</v>
      </c>
      <c r="R512" s="72">
        <f t="shared" ref="R512" si="983">+ROUND(IF(C512=25,PRODUCT(E512,F512,G512,L512),0),2)</f>
        <v>0</v>
      </c>
    </row>
    <row r="513" spans="1:18" x14ac:dyDescent="0.25">
      <c r="A513" s="26"/>
      <c r="B513" s="104" t="s">
        <v>521</v>
      </c>
      <c r="C513" s="15">
        <v>8</v>
      </c>
      <c r="D513" s="16">
        <v>200</v>
      </c>
      <c r="E513" s="15">
        <v>2</v>
      </c>
      <c r="F513" s="11">
        <v>1</v>
      </c>
      <c r="G513" s="11">
        <v>18</v>
      </c>
      <c r="H513" s="95"/>
      <c r="I513" s="95">
        <f>0.175+3.55+0.2+0.5</f>
        <v>4.4249999999999998</v>
      </c>
      <c r="J513" s="100"/>
      <c r="K513" s="47"/>
      <c r="L513" s="72">
        <f>SUM(H513:J513)+K513</f>
        <v>4.4249999999999998</v>
      </c>
      <c r="M513" s="72">
        <f t="shared" si="0"/>
        <v>159.30000000000001</v>
      </c>
      <c r="N513" s="72">
        <f t="shared" si="1"/>
        <v>0</v>
      </c>
      <c r="O513" s="72">
        <f t="shared" si="2"/>
        <v>0</v>
      </c>
      <c r="P513" s="72">
        <f t="shared" si="3"/>
        <v>0</v>
      </c>
      <c r="Q513" s="72">
        <f t="shared" si="4"/>
        <v>0</v>
      </c>
      <c r="R513" s="72">
        <f t="shared" si="5"/>
        <v>0</v>
      </c>
    </row>
    <row r="514" spans="1:18" x14ac:dyDescent="0.25">
      <c r="A514" s="26"/>
      <c r="B514" s="104" t="s">
        <v>512</v>
      </c>
      <c r="C514" s="15">
        <v>8</v>
      </c>
      <c r="D514" s="16">
        <v>200</v>
      </c>
      <c r="E514" s="15">
        <v>2</v>
      </c>
      <c r="F514" s="11">
        <v>1</v>
      </c>
      <c r="G514" s="11">
        <f>+ROUND(3.55/(D514/1000)+1,0)</f>
        <v>19</v>
      </c>
      <c r="H514" s="95">
        <v>0.1</v>
      </c>
      <c r="I514" s="95">
        <f>0.6+0.175</f>
        <v>0.77499999999999991</v>
      </c>
      <c r="J514" s="100"/>
      <c r="K514" s="22"/>
      <c r="L514" s="72">
        <f>SUM(H514:J514)+K514</f>
        <v>0.87499999999999989</v>
      </c>
      <c r="M514" s="72">
        <f t="shared" si="0"/>
        <v>33.25</v>
      </c>
      <c r="N514" s="72">
        <f t="shared" si="1"/>
        <v>0</v>
      </c>
      <c r="O514" s="72">
        <f t="shared" si="2"/>
        <v>0</v>
      </c>
      <c r="P514" s="72">
        <f t="shared" si="3"/>
        <v>0</v>
      </c>
      <c r="Q514" s="72">
        <f t="shared" si="4"/>
        <v>0</v>
      </c>
      <c r="R514" s="72">
        <f t="shared" si="5"/>
        <v>0</v>
      </c>
    </row>
    <row r="515" spans="1:18" x14ac:dyDescent="0.25">
      <c r="A515" s="26"/>
      <c r="B515" s="104" t="s">
        <v>512</v>
      </c>
      <c r="C515" s="15">
        <v>8</v>
      </c>
      <c r="D515" s="16">
        <v>200</v>
      </c>
      <c r="E515" s="15">
        <v>2</v>
      </c>
      <c r="F515" s="11">
        <v>1</v>
      </c>
      <c r="G515" s="11">
        <v>18</v>
      </c>
      <c r="H515" s="95">
        <v>0.1</v>
      </c>
      <c r="I515" s="95">
        <f>0.6+0.175</f>
        <v>0.77499999999999991</v>
      </c>
      <c r="J515" s="100"/>
      <c r="K515" s="22"/>
      <c r="L515" s="72">
        <f t="shared" ref="L515" si="984">SUM(H515:J515)+K515</f>
        <v>0.87499999999999989</v>
      </c>
      <c r="M515" s="72">
        <f t="shared" si="0"/>
        <v>31.5</v>
      </c>
      <c r="N515" s="72">
        <f t="shared" si="1"/>
        <v>0</v>
      </c>
      <c r="O515" s="72">
        <f t="shared" si="2"/>
        <v>0</v>
      </c>
      <c r="P515" s="72">
        <f t="shared" si="3"/>
        <v>0</v>
      </c>
      <c r="Q515" s="72">
        <f t="shared" si="4"/>
        <v>0</v>
      </c>
      <c r="R515" s="72">
        <f t="shared" si="5"/>
        <v>0</v>
      </c>
    </row>
    <row r="516" spans="1:18" x14ac:dyDescent="0.25">
      <c r="A516" s="26"/>
      <c r="B516" s="104" t="s">
        <v>512</v>
      </c>
      <c r="C516" s="15">
        <v>8</v>
      </c>
      <c r="D516" s="16">
        <v>200</v>
      </c>
      <c r="E516" s="15">
        <v>2</v>
      </c>
      <c r="F516" s="11">
        <v>1</v>
      </c>
      <c r="G516" s="11">
        <v>11</v>
      </c>
      <c r="H516" s="95">
        <v>0.1</v>
      </c>
      <c r="I516" s="95">
        <f>0.6+0.175</f>
        <v>0.77499999999999991</v>
      </c>
      <c r="J516" s="100"/>
      <c r="K516" s="22"/>
      <c r="L516" s="72">
        <f t="shared" ref="L516:L524" si="985">SUM(H516:J516)+K516</f>
        <v>0.87499999999999989</v>
      </c>
      <c r="M516" s="72">
        <f t="shared" si="0"/>
        <v>19.25</v>
      </c>
      <c r="N516" s="72">
        <f t="shared" si="1"/>
        <v>0</v>
      </c>
      <c r="O516" s="72">
        <f t="shared" si="2"/>
        <v>0</v>
      </c>
      <c r="P516" s="72">
        <f t="shared" si="3"/>
        <v>0</v>
      </c>
      <c r="Q516" s="72">
        <f t="shared" si="4"/>
        <v>0</v>
      </c>
      <c r="R516" s="72">
        <f t="shared" si="5"/>
        <v>0</v>
      </c>
    </row>
    <row r="517" spans="1:18" x14ac:dyDescent="0.25">
      <c r="A517" s="26"/>
      <c r="B517" s="104" t="s">
        <v>513</v>
      </c>
      <c r="C517" s="15">
        <v>8</v>
      </c>
      <c r="D517" s="16">
        <v>175</v>
      </c>
      <c r="E517" s="15">
        <v>2</v>
      </c>
      <c r="F517" s="11">
        <v>1</v>
      </c>
      <c r="G517" s="11">
        <v>3</v>
      </c>
      <c r="H517" s="95"/>
      <c r="I517" s="95">
        <f>0.1+1.2</f>
        <v>1.3</v>
      </c>
      <c r="J517" s="100"/>
      <c r="K517" s="22"/>
      <c r="L517" s="72">
        <f t="shared" si="985"/>
        <v>1.3</v>
      </c>
      <c r="M517" s="72">
        <f t="shared" si="0"/>
        <v>7.8</v>
      </c>
      <c r="N517" s="72">
        <f t="shared" si="1"/>
        <v>0</v>
      </c>
      <c r="O517" s="72">
        <f t="shared" si="2"/>
        <v>0</v>
      </c>
      <c r="P517" s="72">
        <f t="shared" si="3"/>
        <v>0</v>
      </c>
      <c r="Q517" s="72">
        <f t="shared" si="4"/>
        <v>0</v>
      </c>
      <c r="R517" s="72">
        <f t="shared" si="5"/>
        <v>0</v>
      </c>
    </row>
    <row r="518" spans="1:18" x14ac:dyDescent="0.25">
      <c r="A518" s="26"/>
      <c r="B518" s="104" t="s">
        <v>513</v>
      </c>
      <c r="C518" s="15">
        <v>8</v>
      </c>
      <c r="D518" s="16">
        <v>175</v>
      </c>
      <c r="E518" s="15">
        <v>2</v>
      </c>
      <c r="F518" s="11">
        <v>1</v>
      </c>
      <c r="G518" s="11">
        <v>3</v>
      </c>
      <c r="H518" s="95"/>
      <c r="I518" s="95">
        <f>0.1+0.6</f>
        <v>0.7</v>
      </c>
      <c r="J518" s="100"/>
      <c r="K518" s="22"/>
      <c r="L518" s="72">
        <f t="shared" si="985"/>
        <v>0.7</v>
      </c>
      <c r="M518" s="72">
        <f t="shared" ref="M518" si="986">+ROUND(IF(C518=8,PRODUCT(E518,F518,G518,L518),0),2)</f>
        <v>4.2</v>
      </c>
      <c r="N518" s="72">
        <f t="shared" ref="N518" si="987">+ROUND(IF(C518=10,PRODUCT(E518,F518,G518,L518),0),2)</f>
        <v>0</v>
      </c>
      <c r="O518" s="72">
        <f t="shared" ref="O518" si="988">+ROUND(IF(C518=12,PRODUCT(E518,F518,G518,L518),0),2)</f>
        <v>0</v>
      </c>
      <c r="P518" s="72">
        <f t="shared" ref="P518" si="989">+ROUND(IF(C518=16,PRODUCT(E518,F518,G518,L518),0),2)</f>
        <v>0</v>
      </c>
      <c r="Q518" s="72">
        <f t="shared" ref="Q518" si="990">+ROUND(IF(C518=20,PRODUCT(E518,F518,G518,L518),0),2)</f>
        <v>0</v>
      </c>
      <c r="R518" s="72">
        <f t="shared" ref="R518" si="991">+ROUND(IF(C518=25,PRODUCT(E518,F518,G518,L518),0),2)</f>
        <v>0</v>
      </c>
    </row>
    <row r="519" spans="1:18" x14ac:dyDescent="0.25">
      <c r="A519" s="26"/>
      <c r="B519" s="104" t="s">
        <v>512</v>
      </c>
      <c r="C519" s="15">
        <v>8</v>
      </c>
      <c r="D519" s="16">
        <v>200</v>
      </c>
      <c r="E519" s="15">
        <v>2</v>
      </c>
      <c r="F519" s="11">
        <v>1</v>
      </c>
      <c r="G519" s="11">
        <v>9</v>
      </c>
      <c r="H519" s="95"/>
      <c r="I519" s="95">
        <f>0.1+1.2</f>
        <v>1.3</v>
      </c>
      <c r="J519" s="100"/>
      <c r="K519" s="22"/>
      <c r="L519" s="72">
        <f t="shared" si="985"/>
        <v>1.3</v>
      </c>
      <c r="M519" s="72">
        <f t="shared" ref="M519" si="992">+ROUND(IF(C519=8,PRODUCT(E519,F519,G519,L519),0),2)</f>
        <v>23.4</v>
      </c>
      <c r="N519" s="72">
        <f t="shared" ref="N519" si="993">+ROUND(IF(C519=10,PRODUCT(E519,F519,G519,L519),0),2)</f>
        <v>0</v>
      </c>
      <c r="O519" s="72">
        <f t="shared" ref="O519" si="994">+ROUND(IF(C519=12,PRODUCT(E519,F519,G519,L519),0),2)</f>
        <v>0</v>
      </c>
      <c r="P519" s="72">
        <f t="shared" ref="P519" si="995">+ROUND(IF(C519=16,PRODUCT(E519,F519,G519,L519),0),2)</f>
        <v>0</v>
      </c>
      <c r="Q519" s="72">
        <f t="shared" ref="Q519" si="996">+ROUND(IF(C519=20,PRODUCT(E519,F519,G519,L519),0),2)</f>
        <v>0</v>
      </c>
      <c r="R519" s="72">
        <f t="shared" ref="R519" si="997">+ROUND(IF(C519=25,PRODUCT(E519,F519,G519,L519),0),2)</f>
        <v>0</v>
      </c>
    </row>
    <row r="520" spans="1:18" x14ac:dyDescent="0.25">
      <c r="A520" s="26"/>
      <c r="B520" s="104" t="s">
        <v>512</v>
      </c>
      <c r="C520" s="15">
        <v>8</v>
      </c>
      <c r="D520" s="16">
        <v>200</v>
      </c>
      <c r="E520" s="15">
        <v>2</v>
      </c>
      <c r="F520" s="11">
        <v>1</v>
      </c>
      <c r="G520" s="11">
        <v>9</v>
      </c>
      <c r="H520" s="95"/>
      <c r="I520" s="95">
        <f>0.1+0.6</f>
        <v>0.7</v>
      </c>
      <c r="J520" s="100"/>
      <c r="K520" s="22"/>
      <c r="L520" s="72">
        <f t="shared" si="985"/>
        <v>0.7</v>
      </c>
      <c r="M520" s="72">
        <f t="shared" ref="M520" si="998">+ROUND(IF(C520=8,PRODUCT(E520,F520,G520,L520),0),2)</f>
        <v>12.6</v>
      </c>
      <c r="N520" s="72">
        <f t="shared" ref="N520" si="999">+ROUND(IF(C520=10,PRODUCT(E520,F520,G520,L520),0),2)</f>
        <v>0</v>
      </c>
      <c r="O520" s="72">
        <f t="shared" ref="O520" si="1000">+ROUND(IF(C520=12,PRODUCT(E520,F520,G520,L520),0),2)</f>
        <v>0</v>
      </c>
      <c r="P520" s="72">
        <f t="shared" ref="P520" si="1001">+ROUND(IF(C520=16,PRODUCT(E520,F520,G520,L520),0),2)</f>
        <v>0</v>
      </c>
      <c r="Q520" s="72">
        <f t="shared" ref="Q520" si="1002">+ROUND(IF(C520=20,PRODUCT(E520,F520,G520,L520),0),2)</f>
        <v>0</v>
      </c>
      <c r="R520" s="72">
        <f t="shared" ref="R520" si="1003">+ROUND(IF(C520=25,PRODUCT(E520,F520,G520,L520),0),2)</f>
        <v>0</v>
      </c>
    </row>
    <row r="521" spans="1:18" x14ac:dyDescent="0.25">
      <c r="A521" s="26"/>
      <c r="B521" s="104" t="s">
        <v>759</v>
      </c>
      <c r="C521" s="15">
        <v>8</v>
      </c>
      <c r="D521" s="16">
        <v>200</v>
      </c>
      <c r="E521" s="15">
        <v>2</v>
      </c>
      <c r="F521" s="11">
        <v>1</v>
      </c>
      <c r="G521" s="11">
        <f>+ROUND(0.6/(D521/1000)+1,0)</f>
        <v>4</v>
      </c>
      <c r="H521" s="95">
        <v>0.2</v>
      </c>
      <c r="I521" s="95">
        <v>2.9</v>
      </c>
      <c r="J521" s="100"/>
      <c r="K521" s="22"/>
      <c r="L521" s="72">
        <f t="shared" si="985"/>
        <v>3.1</v>
      </c>
      <c r="M521" s="72">
        <f t="shared" ref="M521" si="1004">+ROUND(IF(C521=8,PRODUCT(E521,F521,G521,L521),0),2)</f>
        <v>24.8</v>
      </c>
      <c r="N521" s="72">
        <f t="shared" ref="N521" si="1005">+ROUND(IF(C521=10,PRODUCT(E521,F521,G521,L521),0),2)</f>
        <v>0</v>
      </c>
      <c r="O521" s="72">
        <f t="shared" ref="O521" si="1006">+ROUND(IF(C521=12,PRODUCT(E521,F521,G521,L521),0),2)</f>
        <v>0</v>
      </c>
      <c r="P521" s="72">
        <f t="shared" ref="P521" si="1007">+ROUND(IF(C521=16,PRODUCT(E521,F521,G521,L521),0),2)</f>
        <v>0</v>
      </c>
      <c r="Q521" s="72">
        <f t="shared" ref="Q521" si="1008">+ROUND(IF(C521=20,PRODUCT(E521,F521,G521,L521),0),2)</f>
        <v>0</v>
      </c>
      <c r="R521" s="72">
        <f t="shared" ref="R521" si="1009">+ROUND(IF(C521=25,PRODUCT(E521,F521,G521,L521),0),2)</f>
        <v>0</v>
      </c>
    </row>
    <row r="522" spans="1:18" x14ac:dyDescent="0.25">
      <c r="A522" s="26"/>
      <c r="B522" s="104" t="s">
        <v>759</v>
      </c>
      <c r="C522" s="15">
        <v>8</v>
      </c>
      <c r="D522" s="16">
        <v>200</v>
      </c>
      <c r="E522" s="15">
        <v>2</v>
      </c>
      <c r="F522" s="11">
        <v>1</v>
      </c>
      <c r="G522" s="11">
        <f>+ROUND(1.2/(D522/1000)+1,0)</f>
        <v>7</v>
      </c>
      <c r="H522" s="95">
        <v>0.2</v>
      </c>
      <c r="I522" s="95">
        <v>2.9</v>
      </c>
      <c r="J522" s="100"/>
      <c r="K522" s="22"/>
      <c r="L522" s="72">
        <f t="shared" si="985"/>
        <v>3.1</v>
      </c>
      <c r="M522" s="72">
        <f t="shared" ref="M522:M523" si="1010">+ROUND(IF(C522=8,PRODUCT(E522,F522,G522,L522),0),2)</f>
        <v>43.4</v>
      </c>
      <c r="N522" s="72">
        <f t="shared" ref="N522:N523" si="1011">+ROUND(IF(C522=10,PRODUCT(E522,F522,G522,L522),0),2)</f>
        <v>0</v>
      </c>
      <c r="O522" s="72">
        <f t="shared" ref="O522:O523" si="1012">+ROUND(IF(C522=12,PRODUCT(E522,F522,G522,L522),0),2)</f>
        <v>0</v>
      </c>
      <c r="P522" s="72">
        <f t="shared" ref="P522:P523" si="1013">+ROUND(IF(C522=16,PRODUCT(E522,F522,G522,L522),0),2)</f>
        <v>0</v>
      </c>
      <c r="Q522" s="72">
        <f t="shared" ref="Q522:Q523" si="1014">+ROUND(IF(C522=20,PRODUCT(E522,F522,G522,L522),0),2)</f>
        <v>0</v>
      </c>
      <c r="R522" s="72">
        <f t="shared" ref="R522:R523" si="1015">+ROUND(IF(C522=25,PRODUCT(E522,F522,G522,L522),0),2)</f>
        <v>0</v>
      </c>
    </row>
    <row r="523" spans="1:18" x14ac:dyDescent="0.25">
      <c r="A523" s="26"/>
      <c r="B523" s="104" t="s">
        <v>759</v>
      </c>
      <c r="C523" s="15">
        <v>8</v>
      </c>
      <c r="D523" s="16">
        <v>200</v>
      </c>
      <c r="E523" s="15">
        <v>2</v>
      </c>
      <c r="F523" s="11">
        <v>1</v>
      </c>
      <c r="G523" s="11">
        <f>+ROUND(0.6/(D523/1000)+1,0)</f>
        <v>4</v>
      </c>
      <c r="H523" s="95">
        <v>0.2</v>
      </c>
      <c r="I523" s="95">
        <v>2.6</v>
      </c>
      <c r="J523" s="100"/>
      <c r="K523" s="22"/>
      <c r="L523" s="72">
        <f t="shared" si="985"/>
        <v>2.8000000000000003</v>
      </c>
      <c r="M523" s="72">
        <f t="shared" si="1010"/>
        <v>22.4</v>
      </c>
      <c r="N523" s="72">
        <f t="shared" si="1011"/>
        <v>0</v>
      </c>
      <c r="O523" s="72">
        <f t="shared" si="1012"/>
        <v>0</v>
      </c>
      <c r="P523" s="72">
        <f t="shared" si="1013"/>
        <v>0</v>
      </c>
      <c r="Q523" s="72">
        <f t="shared" si="1014"/>
        <v>0</v>
      </c>
      <c r="R523" s="72">
        <f t="shared" si="1015"/>
        <v>0</v>
      </c>
    </row>
    <row r="524" spans="1:18" x14ac:dyDescent="0.25">
      <c r="A524" s="26"/>
      <c r="B524" s="104" t="s">
        <v>759</v>
      </c>
      <c r="C524" s="15">
        <v>8</v>
      </c>
      <c r="D524" s="16">
        <v>200</v>
      </c>
      <c r="E524" s="15">
        <v>2</v>
      </c>
      <c r="F524" s="11">
        <v>1</v>
      </c>
      <c r="G524" s="11">
        <f>+ROUND(1.2/(D524/1000)+1,0)</f>
        <v>7</v>
      </c>
      <c r="H524" s="95">
        <v>0.2</v>
      </c>
      <c r="I524" s="95">
        <v>2.6</v>
      </c>
      <c r="J524" s="100"/>
      <c r="K524" s="22"/>
      <c r="L524" s="72">
        <f t="shared" si="985"/>
        <v>2.8000000000000003</v>
      </c>
      <c r="M524" s="72">
        <f t="shared" ref="M524" si="1016">+ROUND(IF(C524=8,PRODUCT(E524,F524,G524,L524),0),2)</f>
        <v>39.200000000000003</v>
      </c>
      <c r="N524" s="72">
        <f t="shared" ref="N524" si="1017">+ROUND(IF(C524=10,PRODUCT(E524,F524,G524,L524),0),2)</f>
        <v>0</v>
      </c>
      <c r="O524" s="72">
        <f t="shared" ref="O524" si="1018">+ROUND(IF(C524=12,PRODUCT(E524,F524,G524,L524),0),2)</f>
        <v>0</v>
      </c>
      <c r="P524" s="72">
        <f t="shared" ref="P524" si="1019">+ROUND(IF(C524=16,PRODUCT(E524,F524,G524,L524),0),2)</f>
        <v>0</v>
      </c>
      <c r="Q524" s="72">
        <f t="shared" ref="Q524" si="1020">+ROUND(IF(C524=20,PRODUCT(E524,F524,G524,L524),0),2)</f>
        <v>0</v>
      </c>
      <c r="R524" s="72">
        <f t="shared" ref="R524" si="1021">+ROUND(IF(C524=25,PRODUCT(E524,F524,G524,L524),0),2)</f>
        <v>0</v>
      </c>
    </row>
    <row r="525" spans="1:18" x14ac:dyDescent="0.25">
      <c r="A525" s="26"/>
      <c r="B525" s="25"/>
      <c r="C525" s="15"/>
      <c r="D525" s="16"/>
      <c r="E525" s="15"/>
      <c r="F525" s="11"/>
      <c r="G525" s="11"/>
      <c r="H525" s="95"/>
      <c r="I525" s="95"/>
      <c r="J525" s="100"/>
      <c r="K525" s="22"/>
      <c r="L525" s="72"/>
      <c r="M525" s="72"/>
      <c r="N525" s="72"/>
      <c r="O525" s="72"/>
      <c r="P525" s="72"/>
      <c r="Q525" s="72"/>
      <c r="R525" s="72"/>
    </row>
    <row r="526" spans="1:18" x14ac:dyDescent="0.25">
      <c r="A526" s="26"/>
      <c r="B526" s="45" t="s">
        <v>760</v>
      </c>
      <c r="C526" s="15"/>
      <c r="D526" s="16"/>
      <c r="E526" s="15"/>
      <c r="F526" s="11"/>
      <c r="G526" s="11"/>
      <c r="H526" s="12"/>
      <c r="I526" s="12"/>
      <c r="J526" s="47"/>
      <c r="K526" s="22"/>
      <c r="L526" s="72"/>
      <c r="M526" s="72">
        <f t="shared" ref="M526:M535" si="1022">+ROUND(IF(C526=8,PRODUCT(E526,F526,G526,L526),0),2)</f>
        <v>0</v>
      </c>
      <c r="N526" s="72">
        <f t="shared" ref="N526:N535" si="1023">+ROUND(IF(C526=10,PRODUCT(E526,F526,G526,L526),0),2)</f>
        <v>0</v>
      </c>
      <c r="O526" s="72">
        <f t="shared" ref="O526:O535" si="1024">+ROUND(IF(C526=12,PRODUCT(E526,F526,G526,L526),0),2)</f>
        <v>0</v>
      </c>
      <c r="P526" s="72">
        <f t="shared" ref="P526:P535" si="1025">+ROUND(IF(C526=16,PRODUCT(E526,F526,G526,L526),0),2)</f>
        <v>0</v>
      </c>
      <c r="Q526" s="72">
        <f t="shared" ref="Q526:Q535" si="1026">+ROUND(IF(C526=20,PRODUCT(E526,F526,G526,L526),0),2)</f>
        <v>0</v>
      </c>
      <c r="R526" s="72">
        <f t="shared" ref="R526:R535" si="1027">+ROUND(IF(C526=25,PRODUCT(E526,F526,G526,L526),0),2)</f>
        <v>0</v>
      </c>
    </row>
    <row r="527" spans="1:18" x14ac:dyDescent="0.25">
      <c r="A527" s="26"/>
      <c r="B527" s="104" t="s">
        <v>758</v>
      </c>
      <c r="C527" s="15">
        <v>8</v>
      </c>
      <c r="D527" s="16">
        <v>200</v>
      </c>
      <c r="E527" s="15">
        <v>2</v>
      </c>
      <c r="F527" s="11">
        <v>1</v>
      </c>
      <c r="G527" s="11">
        <f>+ROUND(2.785/(D527/1000)+1,0)</f>
        <v>15</v>
      </c>
      <c r="H527" s="95"/>
      <c r="I527" s="95">
        <f>0.175+1.2+0.175</f>
        <v>1.55</v>
      </c>
      <c r="J527" s="100"/>
      <c r="K527" s="22"/>
      <c r="L527" s="72">
        <f t="shared" ref="L527" si="1028">SUM(H527:J527)+K527</f>
        <v>1.55</v>
      </c>
      <c r="M527" s="72">
        <f t="shared" si="1022"/>
        <v>46.5</v>
      </c>
      <c r="N527" s="72">
        <f t="shared" si="1023"/>
        <v>0</v>
      </c>
      <c r="O527" s="72">
        <f t="shared" si="1024"/>
        <v>0</v>
      </c>
      <c r="P527" s="72">
        <f t="shared" si="1025"/>
        <v>0</v>
      </c>
      <c r="Q527" s="72">
        <f t="shared" si="1026"/>
        <v>0</v>
      </c>
      <c r="R527" s="72">
        <f t="shared" si="1027"/>
        <v>0</v>
      </c>
    </row>
    <row r="528" spans="1:18" x14ac:dyDescent="0.25">
      <c r="A528" s="26"/>
      <c r="B528" s="104" t="s">
        <v>521</v>
      </c>
      <c r="C528" s="15">
        <v>8</v>
      </c>
      <c r="D528" s="16">
        <v>200</v>
      </c>
      <c r="E528" s="15">
        <v>2</v>
      </c>
      <c r="F528" s="11">
        <v>1</v>
      </c>
      <c r="G528" s="11">
        <f>+ROUND(1.2/(D528/1000)+1,0)</f>
        <v>7</v>
      </c>
      <c r="H528" s="95"/>
      <c r="I528" s="95">
        <f>0.175+2.785+0.175</f>
        <v>3.1349999999999998</v>
      </c>
      <c r="J528" s="100"/>
      <c r="K528" s="47"/>
      <c r="L528" s="72">
        <f>SUM(H528:J528)+K528</f>
        <v>3.1349999999999998</v>
      </c>
      <c r="M528" s="72">
        <f t="shared" si="1022"/>
        <v>43.89</v>
      </c>
      <c r="N528" s="72">
        <f t="shared" si="1023"/>
        <v>0</v>
      </c>
      <c r="O528" s="72">
        <f t="shared" si="1024"/>
        <v>0</v>
      </c>
      <c r="P528" s="72">
        <f t="shared" si="1025"/>
        <v>0</v>
      </c>
      <c r="Q528" s="72">
        <f t="shared" si="1026"/>
        <v>0</v>
      </c>
      <c r="R528" s="72">
        <f t="shared" si="1027"/>
        <v>0</v>
      </c>
    </row>
    <row r="529" spans="1:18" x14ac:dyDescent="0.25">
      <c r="A529" s="26"/>
      <c r="B529" s="104" t="s">
        <v>512</v>
      </c>
      <c r="C529" s="15">
        <v>8</v>
      </c>
      <c r="D529" s="16">
        <v>200</v>
      </c>
      <c r="E529" s="15">
        <v>2</v>
      </c>
      <c r="F529" s="11">
        <v>1</v>
      </c>
      <c r="G529" s="11">
        <v>6</v>
      </c>
      <c r="H529" s="95"/>
      <c r="I529" s="95">
        <f>0.1+0.9</f>
        <v>1</v>
      </c>
      <c r="J529" s="100"/>
      <c r="K529" s="22"/>
      <c r="L529" s="72">
        <f>SUM(H529:J529)+K529</f>
        <v>1</v>
      </c>
      <c r="M529" s="72">
        <f t="shared" si="1022"/>
        <v>12</v>
      </c>
      <c r="N529" s="72">
        <f t="shared" si="1023"/>
        <v>0</v>
      </c>
      <c r="O529" s="72">
        <f t="shared" si="1024"/>
        <v>0</v>
      </c>
      <c r="P529" s="72">
        <f t="shared" si="1025"/>
        <v>0</v>
      </c>
      <c r="Q529" s="72">
        <f t="shared" si="1026"/>
        <v>0</v>
      </c>
      <c r="R529" s="72">
        <f t="shared" si="1027"/>
        <v>0</v>
      </c>
    </row>
    <row r="530" spans="1:18" x14ac:dyDescent="0.25">
      <c r="A530" s="26"/>
      <c r="B530" s="104" t="s">
        <v>512</v>
      </c>
      <c r="C530" s="15">
        <v>8</v>
      </c>
      <c r="D530" s="16">
        <v>200</v>
      </c>
      <c r="E530" s="15">
        <v>2</v>
      </c>
      <c r="F530" s="11">
        <v>1</v>
      </c>
      <c r="G530" s="11">
        <v>5</v>
      </c>
      <c r="H530" s="95"/>
      <c r="I530" s="95">
        <v>0.55000000000000004</v>
      </c>
      <c r="J530" s="100"/>
      <c r="K530" s="22"/>
      <c r="L530" s="72">
        <f t="shared" ref="L530" si="1029">SUM(H530:J530)+K530</f>
        <v>0.55000000000000004</v>
      </c>
      <c r="M530" s="72">
        <f t="shared" si="1022"/>
        <v>5.5</v>
      </c>
      <c r="N530" s="72">
        <f t="shared" si="1023"/>
        <v>0</v>
      </c>
      <c r="O530" s="72">
        <f t="shared" si="1024"/>
        <v>0</v>
      </c>
      <c r="P530" s="72">
        <f t="shared" si="1025"/>
        <v>0</v>
      </c>
      <c r="Q530" s="72">
        <f t="shared" si="1026"/>
        <v>0</v>
      </c>
      <c r="R530" s="72">
        <f t="shared" si="1027"/>
        <v>0</v>
      </c>
    </row>
    <row r="531" spans="1:18" x14ac:dyDescent="0.25">
      <c r="A531" s="26"/>
      <c r="B531" s="104" t="s">
        <v>512</v>
      </c>
      <c r="C531" s="15">
        <v>8</v>
      </c>
      <c r="D531" s="16">
        <v>200</v>
      </c>
      <c r="E531" s="15">
        <v>2</v>
      </c>
      <c r="F531" s="11">
        <v>1</v>
      </c>
      <c r="G531" s="11">
        <v>5</v>
      </c>
      <c r="H531" s="95"/>
      <c r="I531" s="95">
        <f>0.1+0.55</f>
        <v>0.65</v>
      </c>
      <c r="J531" s="100"/>
      <c r="K531" s="22"/>
      <c r="L531" s="72">
        <f t="shared" ref="L531:L536" si="1030">SUM(H531:J531)+K531</f>
        <v>0.65</v>
      </c>
      <c r="M531" s="72">
        <f t="shared" si="1022"/>
        <v>6.5</v>
      </c>
      <c r="N531" s="72">
        <f t="shared" si="1023"/>
        <v>0</v>
      </c>
      <c r="O531" s="72">
        <f t="shared" si="1024"/>
        <v>0</v>
      </c>
      <c r="P531" s="72">
        <f t="shared" si="1025"/>
        <v>0</v>
      </c>
      <c r="Q531" s="72">
        <f t="shared" si="1026"/>
        <v>0</v>
      </c>
      <c r="R531" s="72">
        <f t="shared" si="1027"/>
        <v>0</v>
      </c>
    </row>
    <row r="532" spans="1:18" x14ac:dyDescent="0.25">
      <c r="A532" s="26"/>
      <c r="B532" s="104" t="s">
        <v>513</v>
      </c>
      <c r="C532" s="15">
        <v>8</v>
      </c>
      <c r="D532" s="16">
        <v>175</v>
      </c>
      <c r="E532" s="15">
        <v>2</v>
      </c>
      <c r="F532" s="11">
        <v>1</v>
      </c>
      <c r="G532" s="11">
        <f>+ROUND(2.785/(D532/1000)+1,0)</f>
        <v>17</v>
      </c>
      <c r="H532" s="95"/>
      <c r="I532" s="95">
        <f>0.1+0.45</f>
        <v>0.55000000000000004</v>
      </c>
      <c r="J532" s="100"/>
      <c r="K532" s="22"/>
      <c r="L532" s="72">
        <f t="shared" si="1030"/>
        <v>0.55000000000000004</v>
      </c>
      <c r="M532" s="72">
        <f t="shared" si="1022"/>
        <v>18.7</v>
      </c>
      <c r="N532" s="72">
        <f t="shared" si="1023"/>
        <v>0</v>
      </c>
      <c r="O532" s="72">
        <f t="shared" si="1024"/>
        <v>0</v>
      </c>
      <c r="P532" s="72">
        <f t="shared" si="1025"/>
        <v>0</v>
      </c>
      <c r="Q532" s="72">
        <f t="shared" si="1026"/>
        <v>0</v>
      </c>
      <c r="R532" s="72">
        <f t="shared" si="1027"/>
        <v>0</v>
      </c>
    </row>
    <row r="533" spans="1:18" x14ac:dyDescent="0.25">
      <c r="A533" s="26"/>
      <c r="B533" s="104" t="s">
        <v>759</v>
      </c>
      <c r="C533" s="15">
        <v>8</v>
      </c>
      <c r="D533" s="16">
        <v>200</v>
      </c>
      <c r="E533" s="15">
        <v>2</v>
      </c>
      <c r="F533" s="11">
        <v>1</v>
      </c>
      <c r="G533" s="11">
        <f>+ROUND(0.9/(D533/1000)+1,0)</f>
        <v>6</v>
      </c>
      <c r="H533" s="95">
        <v>0.2</v>
      </c>
      <c r="I533" s="95">
        <v>1.2</v>
      </c>
      <c r="J533" s="100"/>
      <c r="K533" s="22"/>
      <c r="L533" s="72">
        <f t="shared" si="1030"/>
        <v>1.4</v>
      </c>
      <c r="M533" s="72">
        <f t="shared" si="1022"/>
        <v>16.8</v>
      </c>
      <c r="N533" s="72">
        <f t="shared" si="1023"/>
        <v>0</v>
      </c>
      <c r="O533" s="72">
        <f t="shared" si="1024"/>
        <v>0</v>
      </c>
      <c r="P533" s="72">
        <f t="shared" si="1025"/>
        <v>0</v>
      </c>
      <c r="Q533" s="72">
        <f t="shared" si="1026"/>
        <v>0</v>
      </c>
      <c r="R533" s="72">
        <f t="shared" si="1027"/>
        <v>0</v>
      </c>
    </row>
    <row r="534" spans="1:18" x14ac:dyDescent="0.25">
      <c r="A534" s="26"/>
      <c r="B534" s="104" t="s">
        <v>759</v>
      </c>
      <c r="C534" s="15">
        <v>8</v>
      </c>
      <c r="D534" s="16">
        <v>200</v>
      </c>
      <c r="E534" s="15">
        <v>2</v>
      </c>
      <c r="F534" s="11">
        <v>1</v>
      </c>
      <c r="G534" s="11">
        <f>+ROUND(1.1/(D534/1000)+1,0)</f>
        <v>7</v>
      </c>
      <c r="H534" s="95">
        <v>0.2</v>
      </c>
      <c r="I534" s="95">
        <v>1.2</v>
      </c>
      <c r="J534" s="100"/>
      <c r="K534" s="22"/>
      <c r="L534" s="72">
        <f t="shared" si="1030"/>
        <v>1.4</v>
      </c>
      <c r="M534" s="72">
        <f t="shared" si="1022"/>
        <v>19.600000000000001</v>
      </c>
      <c r="N534" s="72">
        <f t="shared" si="1023"/>
        <v>0</v>
      </c>
      <c r="O534" s="72">
        <f t="shared" si="1024"/>
        <v>0</v>
      </c>
      <c r="P534" s="72">
        <f t="shared" si="1025"/>
        <v>0</v>
      </c>
      <c r="Q534" s="72">
        <f t="shared" si="1026"/>
        <v>0</v>
      </c>
      <c r="R534" s="72">
        <f t="shared" si="1027"/>
        <v>0</v>
      </c>
    </row>
    <row r="535" spans="1:18" x14ac:dyDescent="0.25">
      <c r="A535" s="26"/>
      <c r="B535" s="104" t="s">
        <v>759</v>
      </c>
      <c r="C535" s="15">
        <v>8</v>
      </c>
      <c r="D535" s="16">
        <v>200</v>
      </c>
      <c r="E535" s="15">
        <v>2</v>
      </c>
      <c r="F535" s="11">
        <v>1</v>
      </c>
      <c r="G535" s="11">
        <f>+ROUND(0.45/(D535/1000)+1,0)</f>
        <v>3</v>
      </c>
      <c r="H535" s="95">
        <v>0.2</v>
      </c>
      <c r="I535" s="95">
        <v>2.7850000000000001</v>
      </c>
      <c r="J535" s="100"/>
      <c r="K535" s="22"/>
      <c r="L535" s="72">
        <f t="shared" si="1030"/>
        <v>2.9850000000000003</v>
      </c>
      <c r="M535" s="72">
        <f t="shared" si="1022"/>
        <v>17.91</v>
      </c>
      <c r="N535" s="72">
        <f t="shared" si="1023"/>
        <v>0</v>
      </c>
      <c r="O535" s="72">
        <f t="shared" si="1024"/>
        <v>0</v>
      </c>
      <c r="P535" s="72">
        <f t="shared" si="1025"/>
        <v>0</v>
      </c>
      <c r="Q535" s="72">
        <f t="shared" si="1026"/>
        <v>0</v>
      </c>
      <c r="R535" s="72">
        <f t="shared" si="1027"/>
        <v>0</v>
      </c>
    </row>
    <row r="536" spans="1:18" x14ac:dyDescent="0.25">
      <c r="A536" s="26"/>
      <c r="B536" s="104" t="s">
        <v>512</v>
      </c>
      <c r="C536" s="15">
        <v>8</v>
      </c>
      <c r="D536" s="16">
        <v>200</v>
      </c>
      <c r="E536" s="15">
        <v>2</v>
      </c>
      <c r="F536" s="11">
        <v>1</v>
      </c>
      <c r="G536" s="11">
        <v>11</v>
      </c>
      <c r="H536" s="95">
        <v>0.2</v>
      </c>
      <c r="I536" s="95">
        <v>0.57499999999999996</v>
      </c>
      <c r="J536" s="100"/>
      <c r="K536" s="22"/>
      <c r="L536" s="72">
        <f t="shared" si="1030"/>
        <v>0.77499999999999991</v>
      </c>
      <c r="M536" s="72">
        <f t="shared" ref="M536" si="1031">+ROUND(IF(C536=8,PRODUCT(E536,F536,G536,L536),0),2)</f>
        <v>17.05</v>
      </c>
      <c r="N536" s="72">
        <f t="shared" ref="N536" si="1032">+ROUND(IF(C536=10,PRODUCT(E536,F536,G536,L536),0),2)</f>
        <v>0</v>
      </c>
      <c r="O536" s="72">
        <f t="shared" ref="O536" si="1033">+ROUND(IF(C536=12,PRODUCT(E536,F536,G536,L536),0),2)</f>
        <v>0</v>
      </c>
      <c r="P536" s="72">
        <f t="shared" ref="P536" si="1034">+ROUND(IF(C536=16,PRODUCT(E536,F536,G536,L536),0),2)</f>
        <v>0</v>
      </c>
      <c r="Q536" s="72">
        <f t="shared" ref="Q536" si="1035">+ROUND(IF(C536=20,PRODUCT(E536,F536,G536,L536),0),2)</f>
        <v>0</v>
      </c>
      <c r="R536" s="72">
        <f t="shared" ref="R536" si="1036">+ROUND(IF(C536=25,PRODUCT(E536,F536,G536,L536),0),2)</f>
        <v>0</v>
      </c>
    </row>
    <row r="537" spans="1:18" x14ac:dyDescent="0.25">
      <c r="A537" s="26"/>
      <c r="B537" s="25"/>
      <c r="C537" s="15"/>
      <c r="D537" s="16"/>
      <c r="E537" s="15"/>
      <c r="F537" s="11"/>
      <c r="G537" s="11"/>
      <c r="H537" s="95"/>
      <c r="I537" s="95"/>
      <c r="J537" s="100"/>
      <c r="K537" s="22"/>
      <c r="L537" s="72"/>
      <c r="M537" s="72"/>
      <c r="N537" s="72"/>
      <c r="O537" s="72"/>
      <c r="P537" s="72"/>
      <c r="Q537" s="72"/>
      <c r="R537" s="72"/>
    </row>
    <row r="538" spans="1:18" x14ac:dyDescent="0.25">
      <c r="A538" s="26"/>
      <c r="B538" s="45" t="s">
        <v>763</v>
      </c>
      <c r="C538" s="15"/>
      <c r="D538" s="16"/>
      <c r="E538" s="15"/>
      <c r="F538" s="11"/>
      <c r="G538" s="11"/>
      <c r="H538" s="12"/>
      <c r="I538" s="12"/>
      <c r="J538" s="47"/>
      <c r="K538" s="22"/>
      <c r="L538" s="72"/>
      <c r="M538" s="72">
        <f t="shared" ref="M538:M550" si="1037">+ROUND(IF(C538=8,PRODUCT(E538,F538,G538,L538),0),2)</f>
        <v>0</v>
      </c>
      <c r="N538" s="72">
        <f t="shared" ref="N538:N550" si="1038">+ROUND(IF(C538=10,PRODUCT(E538,F538,G538,L538),0),2)</f>
        <v>0</v>
      </c>
      <c r="O538" s="72">
        <f t="shared" ref="O538:O550" si="1039">+ROUND(IF(C538=12,PRODUCT(E538,F538,G538,L538),0),2)</f>
        <v>0</v>
      </c>
      <c r="P538" s="72">
        <f t="shared" ref="P538:P550" si="1040">+ROUND(IF(C538=16,PRODUCT(E538,F538,G538,L538),0),2)</f>
        <v>0</v>
      </c>
      <c r="Q538" s="72">
        <f t="shared" ref="Q538:Q550" si="1041">+ROUND(IF(C538=20,PRODUCT(E538,F538,G538,L538),0),2)</f>
        <v>0</v>
      </c>
      <c r="R538" s="72">
        <f t="shared" ref="R538:R550" si="1042">+ROUND(IF(C538=25,PRODUCT(E538,F538,G538,L538),0),2)</f>
        <v>0</v>
      </c>
    </row>
    <row r="539" spans="1:18" x14ac:dyDescent="0.25">
      <c r="A539" s="26"/>
      <c r="B539" s="104" t="s">
        <v>758</v>
      </c>
      <c r="C539" s="15">
        <v>8</v>
      </c>
      <c r="D539" s="16">
        <v>200</v>
      </c>
      <c r="E539" s="15">
        <v>2</v>
      </c>
      <c r="F539" s="11">
        <v>1</v>
      </c>
      <c r="G539" s="11">
        <v>18</v>
      </c>
      <c r="H539" s="95"/>
      <c r="I539" s="95">
        <f>0.175+1.57+0.175</f>
        <v>1.9200000000000002</v>
      </c>
      <c r="J539" s="100"/>
      <c r="K539" s="22"/>
      <c r="L539" s="72">
        <f t="shared" ref="L539" si="1043">SUM(H539:J539)+K539</f>
        <v>1.9200000000000002</v>
      </c>
      <c r="M539" s="72">
        <f t="shared" si="1037"/>
        <v>69.12</v>
      </c>
      <c r="N539" s="72">
        <f t="shared" si="1038"/>
        <v>0</v>
      </c>
      <c r="O539" s="72">
        <f t="shared" si="1039"/>
        <v>0</v>
      </c>
      <c r="P539" s="72">
        <f t="shared" si="1040"/>
        <v>0</v>
      </c>
      <c r="Q539" s="72">
        <f t="shared" si="1041"/>
        <v>0</v>
      </c>
      <c r="R539" s="72">
        <f t="shared" si="1042"/>
        <v>0</v>
      </c>
    </row>
    <row r="540" spans="1:18" x14ac:dyDescent="0.25">
      <c r="A540" s="26"/>
      <c r="B540" s="104" t="s">
        <v>521</v>
      </c>
      <c r="C540" s="15">
        <v>8</v>
      </c>
      <c r="D540" s="16">
        <v>200</v>
      </c>
      <c r="E540" s="15">
        <v>2</v>
      </c>
      <c r="F540" s="11">
        <v>1</v>
      </c>
      <c r="G540" s="11">
        <f>+ROUND(1.57/(D540/1000)+1,0)</f>
        <v>9</v>
      </c>
      <c r="H540" s="95"/>
      <c r="I540" s="95">
        <f>0.175+3.575+0.175</f>
        <v>3.9249999999999998</v>
      </c>
      <c r="J540" s="100"/>
      <c r="K540" s="47"/>
      <c r="L540" s="72">
        <f>SUM(H540:J540)+K540</f>
        <v>3.9249999999999998</v>
      </c>
      <c r="M540" s="72">
        <f t="shared" si="1037"/>
        <v>70.650000000000006</v>
      </c>
      <c r="N540" s="72">
        <f t="shared" si="1038"/>
        <v>0</v>
      </c>
      <c r="O540" s="72">
        <f t="shared" si="1039"/>
        <v>0</v>
      </c>
      <c r="P540" s="72">
        <f t="shared" si="1040"/>
        <v>0</v>
      </c>
      <c r="Q540" s="72">
        <f t="shared" si="1041"/>
        <v>0</v>
      </c>
      <c r="R540" s="72">
        <f t="shared" si="1042"/>
        <v>0</v>
      </c>
    </row>
    <row r="541" spans="1:18" x14ac:dyDescent="0.25">
      <c r="A541" s="26"/>
      <c r="B541" s="104" t="s">
        <v>512</v>
      </c>
      <c r="C541" s="15">
        <v>8</v>
      </c>
      <c r="D541" s="16">
        <v>200</v>
      </c>
      <c r="E541" s="15">
        <v>2</v>
      </c>
      <c r="F541" s="11">
        <v>1</v>
      </c>
      <c r="G541" s="11">
        <f>+ROUND(1.57/(D541/1000)+1,0)</f>
        <v>9</v>
      </c>
      <c r="H541" s="95">
        <v>0.1</v>
      </c>
      <c r="I541" s="95">
        <f>0.6+0.175</f>
        <v>0.77499999999999991</v>
      </c>
      <c r="J541" s="100"/>
      <c r="K541" s="22"/>
      <c r="L541" s="72">
        <f>SUM(H541:J541)+K541</f>
        <v>0.87499999999999989</v>
      </c>
      <c r="M541" s="72">
        <f t="shared" si="1037"/>
        <v>15.75</v>
      </c>
      <c r="N541" s="72">
        <f t="shared" si="1038"/>
        <v>0</v>
      </c>
      <c r="O541" s="72">
        <f t="shared" si="1039"/>
        <v>0</v>
      </c>
      <c r="P541" s="72">
        <f t="shared" si="1040"/>
        <v>0</v>
      </c>
      <c r="Q541" s="72">
        <f t="shared" si="1041"/>
        <v>0</v>
      </c>
      <c r="R541" s="72">
        <f t="shared" si="1042"/>
        <v>0</v>
      </c>
    </row>
    <row r="542" spans="1:18" x14ac:dyDescent="0.25">
      <c r="A542" s="26"/>
      <c r="B542" s="104" t="s">
        <v>512</v>
      </c>
      <c r="C542" s="15">
        <v>8</v>
      </c>
      <c r="D542" s="16">
        <v>200</v>
      </c>
      <c r="E542" s="15">
        <v>2</v>
      </c>
      <c r="F542" s="11">
        <v>1</v>
      </c>
      <c r="G542" s="11">
        <f>+ROUND(2.315/(D542/1000)+1,0)</f>
        <v>13</v>
      </c>
      <c r="H542" s="95">
        <v>0.1</v>
      </c>
      <c r="I542" s="95">
        <f>0.45+0.175</f>
        <v>0.625</v>
      </c>
      <c r="J542" s="100"/>
      <c r="K542" s="22"/>
      <c r="L542" s="72">
        <f t="shared" ref="L542" si="1044">SUM(H542:J542)+K542</f>
        <v>0.72499999999999998</v>
      </c>
      <c r="M542" s="72">
        <f t="shared" si="1037"/>
        <v>18.850000000000001</v>
      </c>
      <c r="N542" s="72">
        <f t="shared" si="1038"/>
        <v>0</v>
      </c>
      <c r="O542" s="72">
        <f t="shared" si="1039"/>
        <v>0</v>
      </c>
      <c r="P542" s="72">
        <f t="shared" si="1040"/>
        <v>0</v>
      </c>
      <c r="Q542" s="72">
        <f t="shared" si="1041"/>
        <v>0</v>
      </c>
      <c r="R542" s="72">
        <f t="shared" si="1042"/>
        <v>0</v>
      </c>
    </row>
    <row r="543" spans="1:18" x14ac:dyDescent="0.25">
      <c r="A543" s="26"/>
      <c r="B543" s="104" t="s">
        <v>512</v>
      </c>
      <c r="C543" s="15">
        <v>8</v>
      </c>
      <c r="D543" s="16">
        <v>200</v>
      </c>
      <c r="E543" s="15">
        <v>2</v>
      </c>
      <c r="F543" s="11">
        <v>1</v>
      </c>
      <c r="G543" s="11">
        <f>+ROUND(2.315/(D543/1000)+1,0)</f>
        <v>13</v>
      </c>
      <c r="H543" s="95">
        <v>0.1</v>
      </c>
      <c r="I543" s="95">
        <f>0.45+0.175</f>
        <v>0.625</v>
      </c>
      <c r="J543" s="100"/>
      <c r="K543" s="22"/>
      <c r="L543" s="72">
        <f t="shared" ref="L543:L550" si="1045">SUM(H543:J543)+K543</f>
        <v>0.72499999999999998</v>
      </c>
      <c r="M543" s="72">
        <f t="shared" si="1037"/>
        <v>18.850000000000001</v>
      </c>
      <c r="N543" s="72">
        <f t="shared" si="1038"/>
        <v>0</v>
      </c>
      <c r="O543" s="72">
        <f t="shared" si="1039"/>
        <v>0</v>
      </c>
      <c r="P543" s="72">
        <f t="shared" si="1040"/>
        <v>0</v>
      </c>
      <c r="Q543" s="72">
        <f t="shared" si="1041"/>
        <v>0</v>
      </c>
      <c r="R543" s="72">
        <f t="shared" si="1042"/>
        <v>0</v>
      </c>
    </row>
    <row r="544" spans="1:18" x14ac:dyDescent="0.25">
      <c r="A544" s="26"/>
      <c r="B544" s="104" t="s">
        <v>513</v>
      </c>
      <c r="C544" s="15">
        <v>8</v>
      </c>
      <c r="D544" s="16">
        <v>175</v>
      </c>
      <c r="E544" s="15">
        <v>2</v>
      </c>
      <c r="F544" s="11">
        <v>1</v>
      </c>
      <c r="G544" s="11">
        <v>8</v>
      </c>
      <c r="H544" s="95"/>
      <c r="I544" s="95">
        <f>0.1+0.55</f>
        <v>0.65</v>
      </c>
      <c r="J544" s="100"/>
      <c r="K544" s="22"/>
      <c r="L544" s="72">
        <f t="shared" si="1045"/>
        <v>0.65</v>
      </c>
      <c r="M544" s="72">
        <f t="shared" si="1037"/>
        <v>10.4</v>
      </c>
      <c r="N544" s="72">
        <f t="shared" si="1038"/>
        <v>0</v>
      </c>
      <c r="O544" s="72">
        <f t="shared" si="1039"/>
        <v>0</v>
      </c>
      <c r="P544" s="72">
        <f t="shared" si="1040"/>
        <v>0</v>
      </c>
      <c r="Q544" s="72">
        <f t="shared" si="1041"/>
        <v>0</v>
      </c>
      <c r="R544" s="72">
        <f t="shared" si="1042"/>
        <v>0</v>
      </c>
    </row>
    <row r="545" spans="1:18" x14ac:dyDescent="0.25">
      <c r="A545" s="26"/>
      <c r="B545" s="104" t="s">
        <v>512</v>
      </c>
      <c r="C545" s="15">
        <v>8</v>
      </c>
      <c r="D545" s="16">
        <v>200</v>
      </c>
      <c r="E545" s="15">
        <v>2</v>
      </c>
      <c r="F545" s="11">
        <v>1</v>
      </c>
      <c r="G545" s="11">
        <v>6</v>
      </c>
      <c r="H545" s="95"/>
      <c r="I545" s="95">
        <f>0.1+0.55</f>
        <v>0.65</v>
      </c>
      <c r="J545" s="100"/>
      <c r="K545" s="22"/>
      <c r="L545" s="72">
        <f t="shared" si="1045"/>
        <v>0.65</v>
      </c>
      <c r="M545" s="72">
        <f t="shared" si="1037"/>
        <v>7.8</v>
      </c>
      <c r="N545" s="72">
        <f t="shared" si="1038"/>
        <v>0</v>
      </c>
      <c r="O545" s="72">
        <f t="shared" si="1039"/>
        <v>0</v>
      </c>
      <c r="P545" s="72">
        <f t="shared" si="1040"/>
        <v>0</v>
      </c>
      <c r="Q545" s="72">
        <f t="shared" si="1041"/>
        <v>0</v>
      </c>
      <c r="R545" s="72">
        <f t="shared" si="1042"/>
        <v>0</v>
      </c>
    </row>
    <row r="546" spans="1:18" x14ac:dyDescent="0.25">
      <c r="A546" s="26"/>
      <c r="B546" s="104" t="s">
        <v>512</v>
      </c>
      <c r="C546" s="15">
        <v>8</v>
      </c>
      <c r="D546" s="16">
        <v>200</v>
      </c>
      <c r="E546" s="15">
        <v>2</v>
      </c>
      <c r="F546" s="11">
        <v>1</v>
      </c>
      <c r="G546" s="11">
        <f>+ROUND(1.57/(D546/1000)+1,0)</f>
        <v>9</v>
      </c>
      <c r="H546" s="95"/>
      <c r="I546" s="95">
        <f>0.1+0.6</f>
        <v>0.7</v>
      </c>
      <c r="J546" s="100"/>
      <c r="K546" s="22"/>
      <c r="L546" s="72">
        <f t="shared" si="1045"/>
        <v>0.7</v>
      </c>
      <c r="M546" s="72">
        <f t="shared" si="1037"/>
        <v>12.6</v>
      </c>
      <c r="N546" s="72">
        <f t="shared" si="1038"/>
        <v>0</v>
      </c>
      <c r="O546" s="72">
        <f t="shared" si="1039"/>
        <v>0</v>
      </c>
      <c r="P546" s="72">
        <f t="shared" si="1040"/>
        <v>0</v>
      </c>
      <c r="Q546" s="72">
        <f t="shared" si="1041"/>
        <v>0</v>
      </c>
      <c r="R546" s="72">
        <f t="shared" si="1042"/>
        <v>0</v>
      </c>
    </row>
    <row r="547" spans="1:18" x14ac:dyDescent="0.25">
      <c r="A547" s="26"/>
      <c r="B547" s="104" t="s">
        <v>759</v>
      </c>
      <c r="C547" s="15">
        <v>8</v>
      </c>
      <c r="D547" s="16">
        <v>200</v>
      </c>
      <c r="E547" s="15">
        <v>2</v>
      </c>
      <c r="F547" s="11">
        <v>1</v>
      </c>
      <c r="G547" s="11">
        <f>+ROUND(0.6/(D547/1000)+1,0)</f>
        <v>4</v>
      </c>
      <c r="H547" s="95">
        <v>0.2</v>
      </c>
      <c r="I547" s="95">
        <v>1.57</v>
      </c>
      <c r="J547" s="100"/>
      <c r="K547" s="22"/>
      <c r="L547" s="72">
        <f t="shared" si="1045"/>
        <v>1.77</v>
      </c>
      <c r="M547" s="72">
        <f t="shared" si="1037"/>
        <v>14.16</v>
      </c>
      <c r="N547" s="72">
        <f t="shared" si="1038"/>
        <v>0</v>
      </c>
      <c r="O547" s="72">
        <f t="shared" si="1039"/>
        <v>0</v>
      </c>
      <c r="P547" s="72">
        <f t="shared" si="1040"/>
        <v>0</v>
      </c>
      <c r="Q547" s="72">
        <f t="shared" si="1041"/>
        <v>0</v>
      </c>
      <c r="R547" s="72">
        <f t="shared" si="1042"/>
        <v>0</v>
      </c>
    </row>
    <row r="548" spans="1:18" x14ac:dyDescent="0.25">
      <c r="A548" s="26"/>
      <c r="B548" s="104" t="s">
        <v>759</v>
      </c>
      <c r="C548" s="15">
        <v>8</v>
      </c>
      <c r="D548" s="16">
        <v>200</v>
      </c>
      <c r="E548" s="15">
        <v>2</v>
      </c>
      <c r="F548" s="11">
        <v>1</v>
      </c>
      <c r="G548" s="11">
        <f>+ROUND(0.6/(D548/1000)+1,0)</f>
        <v>4</v>
      </c>
      <c r="H548" s="95">
        <v>0.2</v>
      </c>
      <c r="I548" s="95">
        <v>1.57</v>
      </c>
      <c r="J548" s="100"/>
      <c r="K548" s="22"/>
      <c r="L548" s="72">
        <f t="shared" si="1045"/>
        <v>1.77</v>
      </c>
      <c r="M548" s="72">
        <f t="shared" si="1037"/>
        <v>14.16</v>
      </c>
      <c r="N548" s="72">
        <f t="shared" si="1038"/>
        <v>0</v>
      </c>
      <c r="O548" s="72">
        <f t="shared" si="1039"/>
        <v>0</v>
      </c>
      <c r="P548" s="72">
        <f t="shared" si="1040"/>
        <v>0</v>
      </c>
      <c r="Q548" s="72">
        <f t="shared" si="1041"/>
        <v>0</v>
      </c>
      <c r="R548" s="72">
        <f t="shared" si="1042"/>
        <v>0</v>
      </c>
    </row>
    <row r="549" spans="1:18" x14ac:dyDescent="0.25">
      <c r="A549" s="26"/>
      <c r="B549" s="104" t="s">
        <v>759</v>
      </c>
      <c r="C549" s="15">
        <v>8</v>
      </c>
      <c r="D549" s="16">
        <v>200</v>
      </c>
      <c r="E549" s="15">
        <v>2</v>
      </c>
      <c r="F549" s="11">
        <v>1</v>
      </c>
      <c r="G549" s="11">
        <f>+ROUND(0.55/(D549/1000)+1,0)</f>
        <v>4</v>
      </c>
      <c r="H549" s="95">
        <v>0.2</v>
      </c>
      <c r="I549" s="95">
        <v>3.5750000000000002</v>
      </c>
      <c r="J549" s="100"/>
      <c r="K549" s="22"/>
      <c r="L549" s="72">
        <f t="shared" si="1045"/>
        <v>3.7750000000000004</v>
      </c>
      <c r="M549" s="72">
        <f t="shared" si="1037"/>
        <v>30.2</v>
      </c>
      <c r="N549" s="72">
        <f t="shared" si="1038"/>
        <v>0</v>
      </c>
      <c r="O549" s="72">
        <f t="shared" si="1039"/>
        <v>0</v>
      </c>
      <c r="P549" s="72">
        <f t="shared" si="1040"/>
        <v>0</v>
      </c>
      <c r="Q549" s="72">
        <f t="shared" si="1041"/>
        <v>0</v>
      </c>
      <c r="R549" s="72">
        <f t="shared" si="1042"/>
        <v>0</v>
      </c>
    </row>
    <row r="550" spans="1:18" x14ac:dyDescent="0.25">
      <c r="A550" s="26"/>
      <c r="B550" s="104" t="s">
        <v>759</v>
      </c>
      <c r="C550" s="15">
        <v>8</v>
      </c>
      <c r="D550" s="16">
        <v>200</v>
      </c>
      <c r="E550" s="15">
        <v>2</v>
      </c>
      <c r="F550" s="11">
        <v>1</v>
      </c>
      <c r="G550" s="11">
        <f>+ROUND(0.55/(D550/1000)+1,0)</f>
        <v>4</v>
      </c>
      <c r="H550" s="95">
        <v>0.2</v>
      </c>
      <c r="I550" s="95">
        <v>3.5750000000000002</v>
      </c>
      <c r="J550" s="100"/>
      <c r="K550" s="22"/>
      <c r="L550" s="72">
        <f t="shared" si="1045"/>
        <v>3.7750000000000004</v>
      </c>
      <c r="M550" s="72">
        <f t="shared" si="1037"/>
        <v>30.2</v>
      </c>
      <c r="N550" s="72">
        <f t="shared" si="1038"/>
        <v>0</v>
      </c>
      <c r="O550" s="72">
        <f t="shared" si="1039"/>
        <v>0</v>
      </c>
      <c r="P550" s="72">
        <f t="shared" si="1040"/>
        <v>0</v>
      </c>
      <c r="Q550" s="72">
        <f t="shared" si="1041"/>
        <v>0</v>
      </c>
      <c r="R550" s="72">
        <f t="shared" si="1042"/>
        <v>0</v>
      </c>
    </row>
    <row r="551" spans="1:18" x14ac:dyDescent="0.25">
      <c r="A551" s="26"/>
      <c r="B551" s="25"/>
      <c r="C551" s="15"/>
      <c r="D551" s="16"/>
      <c r="E551" s="15"/>
      <c r="F551" s="11"/>
      <c r="G551" s="11"/>
      <c r="H551" s="95"/>
      <c r="I551" s="95"/>
      <c r="J551" s="100"/>
      <c r="K551" s="22"/>
      <c r="L551" s="72"/>
      <c r="M551" s="72"/>
      <c r="N551" s="72"/>
      <c r="O551" s="72"/>
      <c r="P551" s="72"/>
      <c r="Q551" s="72"/>
      <c r="R551" s="72"/>
    </row>
    <row r="552" spans="1:18" x14ac:dyDescent="0.25">
      <c r="A552" s="26"/>
      <c r="B552" s="45" t="s">
        <v>777</v>
      </c>
      <c r="C552" s="15"/>
      <c r="D552" s="16"/>
      <c r="E552" s="15"/>
      <c r="F552" s="11"/>
      <c r="G552" s="11"/>
      <c r="H552" s="12"/>
      <c r="I552" s="12"/>
      <c r="J552" s="47"/>
      <c r="K552" s="22"/>
      <c r="L552" s="72"/>
      <c r="M552" s="72">
        <f t="shared" ref="M552:M566" si="1046">+ROUND(IF(C552=8,PRODUCT(E552,F552,G552,L552),0),2)</f>
        <v>0</v>
      </c>
      <c r="N552" s="72">
        <f t="shared" ref="N552:N566" si="1047">+ROUND(IF(C552=10,PRODUCT(E552,F552,G552,L552),0),2)</f>
        <v>0</v>
      </c>
      <c r="O552" s="72">
        <f t="shared" ref="O552:O566" si="1048">+ROUND(IF(C552=12,PRODUCT(E552,F552,G552,L552),0),2)</f>
        <v>0</v>
      </c>
      <c r="P552" s="72">
        <f t="shared" ref="P552:P566" si="1049">+ROUND(IF(C552=16,PRODUCT(E552,F552,G552,L552),0),2)</f>
        <v>0</v>
      </c>
      <c r="Q552" s="72">
        <f t="shared" ref="Q552:Q566" si="1050">+ROUND(IF(C552=20,PRODUCT(E552,F552,G552,L552),0),2)</f>
        <v>0</v>
      </c>
      <c r="R552" s="72">
        <f t="shared" ref="R552:R566" si="1051">+ROUND(IF(C552=25,PRODUCT(E552,F552,G552,L552),0),2)</f>
        <v>0</v>
      </c>
    </row>
    <row r="553" spans="1:18" x14ac:dyDescent="0.25">
      <c r="A553" s="26"/>
      <c r="B553" s="104" t="s">
        <v>758</v>
      </c>
      <c r="C553" s="15">
        <v>8</v>
      </c>
      <c r="D553" s="16">
        <v>200</v>
      </c>
      <c r="E553" s="15">
        <v>2</v>
      </c>
      <c r="F553" s="11">
        <v>1</v>
      </c>
      <c r="G553" s="11">
        <v>11</v>
      </c>
      <c r="H553" s="95"/>
      <c r="I553" s="95">
        <f>0.175+3.05+0.175</f>
        <v>3.3999999999999995</v>
      </c>
      <c r="J553" s="100"/>
      <c r="K553" s="22"/>
      <c r="L553" s="72">
        <f t="shared" ref="L553" si="1052">SUM(H553:J553)+K553</f>
        <v>3.3999999999999995</v>
      </c>
      <c r="M553" s="72">
        <f t="shared" si="1046"/>
        <v>74.8</v>
      </c>
      <c r="N553" s="72">
        <f t="shared" si="1047"/>
        <v>0</v>
      </c>
      <c r="O553" s="72">
        <f t="shared" si="1048"/>
        <v>0</v>
      </c>
      <c r="P553" s="72">
        <f t="shared" si="1049"/>
        <v>0</v>
      </c>
      <c r="Q553" s="72">
        <f t="shared" si="1050"/>
        <v>0</v>
      </c>
      <c r="R553" s="72">
        <f t="shared" si="1051"/>
        <v>0</v>
      </c>
    </row>
    <row r="554" spans="1:18" x14ac:dyDescent="0.25">
      <c r="A554" s="26"/>
      <c r="B554" s="104" t="s">
        <v>758</v>
      </c>
      <c r="C554" s="15">
        <v>8</v>
      </c>
      <c r="D554" s="16">
        <v>200</v>
      </c>
      <c r="E554" s="15">
        <v>2</v>
      </c>
      <c r="F554" s="11">
        <v>1</v>
      </c>
      <c r="G554" s="11">
        <v>5</v>
      </c>
      <c r="H554" s="95"/>
      <c r="I554" s="95">
        <f>0.175+3.45+0.175</f>
        <v>3.8</v>
      </c>
      <c r="J554" s="100"/>
      <c r="K554" s="22"/>
      <c r="L554" s="72">
        <f t="shared" ref="L554" si="1053">SUM(H554:J554)+K554</f>
        <v>3.8</v>
      </c>
      <c r="M554" s="72">
        <f t="shared" ref="M554" si="1054">+ROUND(IF(C554=8,PRODUCT(E554,F554,G554,L554),0),2)</f>
        <v>38</v>
      </c>
      <c r="N554" s="72">
        <f t="shared" ref="N554" si="1055">+ROUND(IF(C554=10,PRODUCT(E554,F554,G554,L554),0),2)</f>
        <v>0</v>
      </c>
      <c r="O554" s="72">
        <f t="shared" ref="O554" si="1056">+ROUND(IF(C554=12,PRODUCT(E554,F554,G554,L554),0),2)</f>
        <v>0</v>
      </c>
      <c r="P554" s="72">
        <f t="shared" ref="P554" si="1057">+ROUND(IF(C554=16,PRODUCT(E554,F554,G554,L554),0),2)</f>
        <v>0</v>
      </c>
      <c r="Q554" s="72">
        <f t="shared" ref="Q554" si="1058">+ROUND(IF(C554=20,PRODUCT(E554,F554,G554,L554),0),2)</f>
        <v>0</v>
      </c>
      <c r="R554" s="72">
        <f t="shared" ref="R554" si="1059">+ROUND(IF(C554=25,PRODUCT(E554,F554,G554,L554),0),2)</f>
        <v>0</v>
      </c>
    </row>
    <row r="555" spans="1:18" x14ac:dyDescent="0.25">
      <c r="A555" s="26"/>
      <c r="B555" s="104" t="s">
        <v>521</v>
      </c>
      <c r="C555" s="15">
        <v>8</v>
      </c>
      <c r="D555" s="16">
        <v>200</v>
      </c>
      <c r="E555" s="15">
        <v>2</v>
      </c>
      <c r="F555" s="11">
        <v>1</v>
      </c>
      <c r="G555" s="11">
        <f>+ROUND(3.05/(D555/1000)+1,0)</f>
        <v>16</v>
      </c>
      <c r="H555" s="95"/>
      <c r="I555" s="95">
        <f>0.175+3.115+0.175</f>
        <v>3.4649999999999999</v>
      </c>
      <c r="J555" s="100"/>
      <c r="K555" s="47"/>
      <c r="L555" s="72">
        <f>SUM(H555:J555)+K555</f>
        <v>3.4649999999999999</v>
      </c>
      <c r="M555" s="72">
        <f t="shared" si="1046"/>
        <v>110.88</v>
      </c>
      <c r="N555" s="72">
        <f t="shared" si="1047"/>
        <v>0</v>
      </c>
      <c r="O555" s="72">
        <f t="shared" si="1048"/>
        <v>0</v>
      </c>
      <c r="P555" s="72">
        <f t="shared" si="1049"/>
        <v>0</v>
      </c>
      <c r="Q555" s="72">
        <f t="shared" si="1050"/>
        <v>0</v>
      </c>
      <c r="R555" s="72">
        <f t="shared" si="1051"/>
        <v>0</v>
      </c>
    </row>
    <row r="556" spans="1:18" x14ac:dyDescent="0.25">
      <c r="A556" s="26"/>
      <c r="B556" s="104" t="s">
        <v>521</v>
      </c>
      <c r="C556" s="15">
        <v>8</v>
      </c>
      <c r="D556" s="16">
        <v>200</v>
      </c>
      <c r="E556" s="15">
        <v>2</v>
      </c>
      <c r="F556" s="11">
        <v>1</v>
      </c>
      <c r="G556" s="11">
        <f>+ROUND(0.4/(D556/1000)+1,0)</f>
        <v>3</v>
      </c>
      <c r="H556" s="95"/>
      <c r="I556" s="95">
        <f>0.1+0.9+0.1</f>
        <v>1.1000000000000001</v>
      </c>
      <c r="J556" s="100"/>
      <c r="K556" s="47"/>
      <c r="L556" s="72">
        <f>SUM(H556:J556)+K556</f>
        <v>1.1000000000000001</v>
      </c>
      <c r="M556" s="72">
        <f t="shared" ref="M556" si="1060">+ROUND(IF(C556=8,PRODUCT(E556,F556,G556,L556),0),2)</f>
        <v>6.6</v>
      </c>
      <c r="N556" s="72">
        <f t="shared" ref="N556" si="1061">+ROUND(IF(C556=10,PRODUCT(E556,F556,G556,L556),0),2)</f>
        <v>0</v>
      </c>
      <c r="O556" s="72">
        <f t="shared" ref="O556" si="1062">+ROUND(IF(C556=12,PRODUCT(E556,F556,G556,L556),0),2)</f>
        <v>0</v>
      </c>
      <c r="P556" s="72">
        <f t="shared" ref="P556" si="1063">+ROUND(IF(C556=16,PRODUCT(E556,F556,G556,L556),0),2)</f>
        <v>0</v>
      </c>
      <c r="Q556" s="72">
        <f t="shared" ref="Q556" si="1064">+ROUND(IF(C556=20,PRODUCT(E556,F556,G556,L556),0),2)</f>
        <v>0</v>
      </c>
      <c r="R556" s="72">
        <f t="shared" ref="R556" si="1065">+ROUND(IF(C556=25,PRODUCT(E556,F556,G556,L556),0),2)</f>
        <v>0</v>
      </c>
    </row>
    <row r="557" spans="1:18" x14ac:dyDescent="0.25">
      <c r="A557" s="26"/>
      <c r="B557" s="104" t="s">
        <v>512</v>
      </c>
      <c r="C557" s="15">
        <v>8</v>
      </c>
      <c r="D557" s="16">
        <v>200</v>
      </c>
      <c r="E557" s="15">
        <v>2</v>
      </c>
      <c r="F557" s="11">
        <v>1</v>
      </c>
      <c r="G557" s="11">
        <f>+ROUND(1.785/(D557/1000)+1,0)</f>
        <v>10</v>
      </c>
      <c r="H557" s="95">
        <v>0.1</v>
      </c>
      <c r="I557" s="95">
        <f>0.5+0.175</f>
        <v>0.67500000000000004</v>
      </c>
      <c r="J557" s="100"/>
      <c r="K557" s="22"/>
      <c r="L557" s="72">
        <f>SUM(H557:J557)+K557</f>
        <v>0.77500000000000002</v>
      </c>
      <c r="M557" s="72">
        <f t="shared" si="1046"/>
        <v>15.5</v>
      </c>
      <c r="N557" s="72">
        <f t="shared" si="1047"/>
        <v>0</v>
      </c>
      <c r="O557" s="72">
        <f t="shared" si="1048"/>
        <v>0</v>
      </c>
      <c r="P557" s="72">
        <f t="shared" si="1049"/>
        <v>0</v>
      </c>
      <c r="Q557" s="72">
        <f t="shared" si="1050"/>
        <v>0</v>
      </c>
      <c r="R557" s="72">
        <f t="shared" si="1051"/>
        <v>0</v>
      </c>
    </row>
    <row r="558" spans="1:18" x14ac:dyDescent="0.25">
      <c r="A558" s="26"/>
      <c r="B558" s="104" t="s">
        <v>514</v>
      </c>
      <c r="C558" s="15">
        <v>8</v>
      </c>
      <c r="D558" s="16">
        <v>100</v>
      </c>
      <c r="E558" s="15">
        <v>2</v>
      </c>
      <c r="F558" s="11">
        <v>1</v>
      </c>
      <c r="G558" s="11">
        <f>+ROUND(1.265/(D558/1000)+1,0)</f>
        <v>14</v>
      </c>
      <c r="H558" s="95">
        <v>0.1</v>
      </c>
      <c r="I558" s="95">
        <f>0.6+0.715-0.025</f>
        <v>1.29</v>
      </c>
      <c r="J558" s="100"/>
      <c r="K558" s="22"/>
      <c r="L558" s="72">
        <f>SUM(H558:J558)+K558</f>
        <v>1.3900000000000001</v>
      </c>
      <c r="M558" s="72">
        <f t="shared" ref="M558" si="1066">+ROUND(IF(C558=8,PRODUCT(E558,F558,G558,L558),0),2)</f>
        <v>38.92</v>
      </c>
      <c r="N558" s="72">
        <f t="shared" ref="N558" si="1067">+ROUND(IF(C558=10,PRODUCT(E558,F558,G558,L558),0),2)</f>
        <v>0</v>
      </c>
      <c r="O558" s="72">
        <f t="shared" ref="O558" si="1068">+ROUND(IF(C558=12,PRODUCT(E558,F558,G558,L558),0),2)</f>
        <v>0</v>
      </c>
      <c r="P558" s="72">
        <f t="shared" ref="P558" si="1069">+ROUND(IF(C558=16,PRODUCT(E558,F558,G558,L558),0),2)</f>
        <v>0</v>
      </c>
      <c r="Q558" s="72">
        <f t="shared" ref="Q558" si="1070">+ROUND(IF(C558=20,PRODUCT(E558,F558,G558,L558),0),2)</f>
        <v>0</v>
      </c>
      <c r="R558" s="72">
        <f t="shared" ref="R558" si="1071">+ROUND(IF(C558=25,PRODUCT(E558,F558,G558,L558),0),2)</f>
        <v>0</v>
      </c>
    </row>
    <row r="559" spans="1:18" x14ac:dyDescent="0.25">
      <c r="A559" s="26"/>
      <c r="B559" s="104" t="s">
        <v>512</v>
      </c>
      <c r="C559" s="15">
        <v>8</v>
      </c>
      <c r="D559" s="16">
        <v>200</v>
      </c>
      <c r="E559" s="15">
        <v>2</v>
      </c>
      <c r="F559" s="11">
        <v>1</v>
      </c>
      <c r="G559" s="11">
        <f>+ROUND(3.115/(D559/1000)+1,0)</f>
        <v>17</v>
      </c>
      <c r="H559" s="95">
        <v>0.1</v>
      </c>
      <c r="I559" s="95">
        <f>0.5+0.175</f>
        <v>0.67500000000000004</v>
      </c>
      <c r="J559" s="100"/>
      <c r="K559" s="22"/>
      <c r="L559" s="72">
        <f t="shared" ref="L559" si="1072">SUM(H559:J559)+K559</f>
        <v>0.77500000000000002</v>
      </c>
      <c r="M559" s="72">
        <f t="shared" si="1046"/>
        <v>26.35</v>
      </c>
      <c r="N559" s="72">
        <f t="shared" si="1047"/>
        <v>0</v>
      </c>
      <c r="O559" s="72">
        <f t="shared" si="1048"/>
        <v>0</v>
      </c>
      <c r="P559" s="72">
        <f t="shared" si="1049"/>
        <v>0</v>
      </c>
      <c r="Q559" s="72">
        <f t="shared" si="1050"/>
        <v>0</v>
      </c>
      <c r="R559" s="72">
        <f t="shared" si="1051"/>
        <v>0</v>
      </c>
    </row>
    <row r="560" spans="1:18" x14ac:dyDescent="0.25">
      <c r="A560" s="26"/>
      <c r="B560" s="104" t="s">
        <v>512</v>
      </c>
      <c r="C560" s="15">
        <v>8</v>
      </c>
      <c r="D560" s="16">
        <v>200</v>
      </c>
      <c r="E560" s="15">
        <v>2</v>
      </c>
      <c r="F560" s="11">
        <v>1</v>
      </c>
      <c r="G560" s="11">
        <v>16</v>
      </c>
      <c r="H560" s="95">
        <v>0.1</v>
      </c>
      <c r="I560" s="95">
        <f>0.5+0.175</f>
        <v>0.67500000000000004</v>
      </c>
      <c r="J560" s="100"/>
      <c r="K560" s="22"/>
      <c r="L560" s="72">
        <f t="shared" ref="L560:L567" si="1073">SUM(H560:J560)+K560</f>
        <v>0.77500000000000002</v>
      </c>
      <c r="M560" s="72">
        <f t="shared" si="1046"/>
        <v>24.8</v>
      </c>
      <c r="N560" s="72">
        <f t="shared" si="1047"/>
        <v>0</v>
      </c>
      <c r="O560" s="72">
        <f t="shared" si="1048"/>
        <v>0</v>
      </c>
      <c r="P560" s="72">
        <f t="shared" si="1049"/>
        <v>0</v>
      </c>
      <c r="Q560" s="72">
        <f t="shared" si="1050"/>
        <v>0</v>
      </c>
      <c r="R560" s="72">
        <f t="shared" si="1051"/>
        <v>0</v>
      </c>
    </row>
    <row r="561" spans="1:18" x14ac:dyDescent="0.25">
      <c r="A561" s="26"/>
      <c r="B561" s="104" t="s">
        <v>512</v>
      </c>
      <c r="C561" s="15">
        <v>8</v>
      </c>
      <c r="D561" s="16">
        <v>200</v>
      </c>
      <c r="E561" s="15">
        <v>2</v>
      </c>
      <c r="F561" s="11">
        <v>1</v>
      </c>
      <c r="G561" s="11">
        <v>7</v>
      </c>
      <c r="H561" s="95"/>
      <c r="I561" s="95">
        <f>0.1+1</f>
        <v>1.1000000000000001</v>
      </c>
      <c r="J561" s="100"/>
      <c r="K561" s="22"/>
      <c r="L561" s="72">
        <f t="shared" si="1073"/>
        <v>1.1000000000000001</v>
      </c>
      <c r="M561" s="72">
        <f t="shared" si="1046"/>
        <v>15.4</v>
      </c>
      <c r="N561" s="72">
        <f t="shared" si="1047"/>
        <v>0</v>
      </c>
      <c r="O561" s="72">
        <f t="shared" si="1048"/>
        <v>0</v>
      </c>
      <c r="P561" s="72">
        <f t="shared" si="1049"/>
        <v>0</v>
      </c>
      <c r="Q561" s="72">
        <f t="shared" si="1050"/>
        <v>0</v>
      </c>
      <c r="R561" s="72">
        <f t="shared" si="1051"/>
        <v>0</v>
      </c>
    </row>
    <row r="562" spans="1:18" x14ac:dyDescent="0.25">
      <c r="A562" s="26"/>
      <c r="B562" s="104" t="s">
        <v>512</v>
      </c>
      <c r="C562" s="15">
        <v>8</v>
      </c>
      <c r="D562" s="16">
        <v>200</v>
      </c>
      <c r="E562" s="15">
        <v>2</v>
      </c>
      <c r="F562" s="11">
        <v>1</v>
      </c>
      <c r="G562" s="11">
        <f>+ROUND(2.245/(D562/1000)+1,0)/2</f>
        <v>6</v>
      </c>
      <c r="H562" s="95"/>
      <c r="I562" s="95">
        <f>0.1+0.5</f>
        <v>0.6</v>
      </c>
      <c r="J562" s="100"/>
      <c r="K562" s="22"/>
      <c r="L562" s="72">
        <f t="shared" si="1073"/>
        <v>0.6</v>
      </c>
      <c r="M562" s="72">
        <f t="shared" si="1046"/>
        <v>7.2</v>
      </c>
      <c r="N562" s="72">
        <f t="shared" si="1047"/>
        <v>0</v>
      </c>
      <c r="O562" s="72">
        <f t="shared" si="1048"/>
        <v>0</v>
      </c>
      <c r="P562" s="72">
        <f t="shared" si="1049"/>
        <v>0</v>
      </c>
      <c r="Q562" s="72">
        <f t="shared" si="1050"/>
        <v>0</v>
      </c>
      <c r="R562" s="72">
        <f t="shared" si="1051"/>
        <v>0</v>
      </c>
    </row>
    <row r="563" spans="1:18" x14ac:dyDescent="0.25">
      <c r="A563" s="26"/>
      <c r="B563" s="104" t="s">
        <v>759</v>
      </c>
      <c r="C563" s="15">
        <v>8</v>
      </c>
      <c r="D563" s="16">
        <v>200</v>
      </c>
      <c r="E563" s="15">
        <v>2</v>
      </c>
      <c r="F563" s="11">
        <v>1</v>
      </c>
      <c r="G563" s="11">
        <f>+ROUND(0.5/(D563/1000)+1,0)</f>
        <v>4</v>
      </c>
      <c r="H563" s="95">
        <v>0.2</v>
      </c>
      <c r="I563" s="95">
        <v>3.05</v>
      </c>
      <c r="J563" s="100"/>
      <c r="K563" s="22"/>
      <c r="L563" s="72">
        <f t="shared" si="1073"/>
        <v>3.25</v>
      </c>
      <c r="M563" s="72">
        <f t="shared" si="1046"/>
        <v>26</v>
      </c>
      <c r="N563" s="72">
        <f t="shared" si="1047"/>
        <v>0</v>
      </c>
      <c r="O563" s="72">
        <f t="shared" si="1048"/>
        <v>0</v>
      </c>
      <c r="P563" s="72">
        <f t="shared" si="1049"/>
        <v>0</v>
      </c>
      <c r="Q563" s="72">
        <f t="shared" si="1050"/>
        <v>0</v>
      </c>
      <c r="R563" s="72">
        <f t="shared" si="1051"/>
        <v>0</v>
      </c>
    </row>
    <row r="564" spans="1:18" x14ac:dyDescent="0.25">
      <c r="A564" s="26"/>
      <c r="B564" s="104" t="s">
        <v>759</v>
      </c>
      <c r="C564" s="15">
        <v>8</v>
      </c>
      <c r="D564" s="16">
        <v>200</v>
      </c>
      <c r="E564" s="15">
        <v>2</v>
      </c>
      <c r="F564" s="11">
        <v>1</v>
      </c>
      <c r="G564" s="11">
        <f>+ROUND(0.5/(D564/1000)+1,0)</f>
        <v>4</v>
      </c>
      <c r="H564" s="95">
        <v>0.2</v>
      </c>
      <c r="I564" s="95">
        <v>3.45</v>
      </c>
      <c r="J564" s="100"/>
      <c r="K564" s="22"/>
      <c r="L564" s="72">
        <f t="shared" si="1073"/>
        <v>3.6500000000000004</v>
      </c>
      <c r="M564" s="72">
        <f t="shared" si="1046"/>
        <v>29.2</v>
      </c>
      <c r="N564" s="72">
        <f t="shared" si="1047"/>
        <v>0</v>
      </c>
      <c r="O564" s="72">
        <f t="shared" si="1048"/>
        <v>0</v>
      </c>
      <c r="P564" s="72">
        <f t="shared" si="1049"/>
        <v>0</v>
      </c>
      <c r="Q564" s="72">
        <f t="shared" si="1050"/>
        <v>0</v>
      </c>
      <c r="R564" s="72">
        <f t="shared" si="1051"/>
        <v>0</v>
      </c>
    </row>
    <row r="565" spans="1:18" x14ac:dyDescent="0.25">
      <c r="A565" s="26"/>
      <c r="B565" s="104" t="s">
        <v>759</v>
      </c>
      <c r="C565" s="15">
        <v>8</v>
      </c>
      <c r="D565" s="16">
        <v>200</v>
      </c>
      <c r="E565" s="15">
        <v>2</v>
      </c>
      <c r="F565" s="11">
        <v>1</v>
      </c>
      <c r="G565" s="11">
        <f>+ROUND(0.5/(D565/1000)+1,0)</f>
        <v>4</v>
      </c>
      <c r="H565" s="95">
        <v>0.2</v>
      </c>
      <c r="I565" s="95">
        <v>3.1150000000000002</v>
      </c>
      <c r="J565" s="100"/>
      <c r="K565" s="22"/>
      <c r="L565" s="72">
        <f t="shared" si="1073"/>
        <v>3.3150000000000004</v>
      </c>
      <c r="M565" s="72">
        <f t="shared" si="1046"/>
        <v>26.52</v>
      </c>
      <c r="N565" s="72">
        <f t="shared" si="1047"/>
        <v>0</v>
      </c>
      <c r="O565" s="72">
        <f t="shared" si="1048"/>
        <v>0</v>
      </c>
      <c r="P565" s="72">
        <f t="shared" si="1049"/>
        <v>0</v>
      </c>
      <c r="Q565" s="72">
        <f t="shared" si="1050"/>
        <v>0</v>
      </c>
      <c r="R565" s="72">
        <f t="shared" si="1051"/>
        <v>0</v>
      </c>
    </row>
    <row r="566" spans="1:18" x14ac:dyDescent="0.25">
      <c r="A566" s="26"/>
      <c r="B566" s="104" t="s">
        <v>759</v>
      </c>
      <c r="C566" s="15">
        <v>8</v>
      </c>
      <c r="D566" s="16">
        <v>200</v>
      </c>
      <c r="E566" s="15">
        <v>2</v>
      </c>
      <c r="F566" s="11">
        <v>1</v>
      </c>
      <c r="G566" s="11">
        <f>+ROUND(1/(D566/1000)+1,0)</f>
        <v>6</v>
      </c>
      <c r="H566" s="95">
        <v>0.2</v>
      </c>
      <c r="I566" s="95">
        <v>2.2450000000000001</v>
      </c>
      <c r="J566" s="100"/>
      <c r="K566" s="22"/>
      <c r="L566" s="72">
        <f t="shared" si="1073"/>
        <v>2.4450000000000003</v>
      </c>
      <c r="M566" s="72">
        <f t="shared" si="1046"/>
        <v>29.34</v>
      </c>
      <c r="N566" s="72">
        <f t="shared" si="1047"/>
        <v>0</v>
      </c>
      <c r="O566" s="72">
        <f t="shared" si="1048"/>
        <v>0</v>
      </c>
      <c r="P566" s="72">
        <f t="shared" si="1049"/>
        <v>0</v>
      </c>
      <c r="Q566" s="72">
        <f t="shared" si="1050"/>
        <v>0</v>
      </c>
      <c r="R566" s="72">
        <f t="shared" si="1051"/>
        <v>0</v>
      </c>
    </row>
    <row r="567" spans="1:18" x14ac:dyDescent="0.25">
      <c r="A567" s="26"/>
      <c r="B567" s="104" t="s">
        <v>759</v>
      </c>
      <c r="C567" s="15">
        <v>8</v>
      </c>
      <c r="D567" s="16">
        <v>200</v>
      </c>
      <c r="E567" s="15">
        <v>2</v>
      </c>
      <c r="F567" s="11">
        <v>1</v>
      </c>
      <c r="G567" s="11">
        <f>+ROUND(0.415/(D567/1000)+1,0)</f>
        <v>3</v>
      </c>
      <c r="H567" s="95">
        <v>0.2</v>
      </c>
      <c r="I567" s="95">
        <f>1.05</f>
        <v>1.05</v>
      </c>
      <c r="J567" s="100"/>
      <c r="K567" s="22"/>
      <c r="L567" s="72">
        <f t="shared" si="1073"/>
        <v>1.25</v>
      </c>
      <c r="M567" s="72">
        <f t="shared" ref="M567" si="1074">+ROUND(IF(C567=8,PRODUCT(E567,F567,G567,L567),0),2)</f>
        <v>7.5</v>
      </c>
      <c r="N567" s="72">
        <f t="shared" ref="N567" si="1075">+ROUND(IF(C567=10,PRODUCT(E567,F567,G567,L567),0),2)</f>
        <v>0</v>
      </c>
      <c r="O567" s="72">
        <f t="shared" ref="O567" si="1076">+ROUND(IF(C567=12,PRODUCT(E567,F567,G567,L567),0),2)</f>
        <v>0</v>
      </c>
      <c r="P567" s="72">
        <f t="shared" ref="P567" si="1077">+ROUND(IF(C567=16,PRODUCT(E567,F567,G567,L567),0),2)</f>
        <v>0</v>
      </c>
      <c r="Q567" s="72">
        <f t="shared" ref="Q567" si="1078">+ROUND(IF(C567=20,PRODUCT(E567,F567,G567,L567),0),2)</f>
        <v>0</v>
      </c>
      <c r="R567" s="72">
        <f t="shared" ref="R567" si="1079">+ROUND(IF(C567=25,PRODUCT(E567,F567,G567,L567),0),2)</f>
        <v>0</v>
      </c>
    </row>
    <row r="568" spans="1:18" x14ac:dyDescent="0.25">
      <c r="A568" s="26"/>
      <c r="B568" s="25"/>
      <c r="C568" s="15"/>
      <c r="D568" s="16"/>
      <c r="E568" s="15"/>
      <c r="F568" s="11"/>
      <c r="G568" s="11"/>
      <c r="H568" s="95"/>
      <c r="I568" s="95"/>
      <c r="J568" s="100"/>
      <c r="K568" s="22"/>
      <c r="L568" s="72"/>
      <c r="M568" s="72"/>
      <c r="N568" s="72"/>
      <c r="O568" s="72"/>
      <c r="P568" s="72"/>
      <c r="Q568" s="72"/>
      <c r="R568" s="72"/>
    </row>
    <row r="569" spans="1:18" x14ac:dyDescent="0.25">
      <c r="A569" s="26"/>
      <c r="B569" s="45" t="s">
        <v>764</v>
      </c>
      <c r="C569" s="15"/>
      <c r="D569" s="16"/>
      <c r="E569" s="15"/>
      <c r="F569" s="11"/>
      <c r="G569" s="11"/>
      <c r="H569" s="12"/>
      <c r="I569" s="12"/>
      <c r="J569" s="47"/>
      <c r="K569" s="22"/>
      <c r="L569" s="72"/>
      <c r="M569" s="72">
        <f t="shared" ref="M569:M579" si="1080">+ROUND(IF(C569=8,PRODUCT(E569,F569,G569,L569),0),2)</f>
        <v>0</v>
      </c>
      <c r="N569" s="72">
        <f t="shared" ref="N569:N579" si="1081">+ROUND(IF(C569=10,PRODUCT(E569,F569,G569,L569),0),2)</f>
        <v>0</v>
      </c>
      <c r="O569" s="72">
        <f t="shared" ref="O569:O579" si="1082">+ROUND(IF(C569=12,PRODUCT(E569,F569,G569,L569),0),2)</f>
        <v>0</v>
      </c>
      <c r="P569" s="72">
        <f t="shared" ref="P569:P579" si="1083">+ROUND(IF(C569=16,PRODUCT(E569,F569,G569,L569),0),2)</f>
        <v>0</v>
      </c>
      <c r="Q569" s="72">
        <f t="shared" ref="Q569:Q579" si="1084">+ROUND(IF(C569=20,PRODUCT(E569,F569,G569,L569),0),2)</f>
        <v>0</v>
      </c>
      <c r="R569" s="72">
        <f t="shared" ref="R569:R579" si="1085">+ROUND(IF(C569=25,PRODUCT(E569,F569,G569,L569),0),2)</f>
        <v>0</v>
      </c>
    </row>
    <row r="570" spans="1:18" x14ac:dyDescent="0.25">
      <c r="A570" s="26"/>
      <c r="B570" s="104" t="s">
        <v>758</v>
      </c>
      <c r="C570" s="15">
        <v>8</v>
      </c>
      <c r="D570" s="16">
        <v>200</v>
      </c>
      <c r="E570" s="15">
        <v>2</v>
      </c>
      <c r="F570" s="11">
        <v>1</v>
      </c>
      <c r="G570" s="11">
        <v>13</v>
      </c>
      <c r="H570" s="95"/>
      <c r="I570" s="95">
        <f>0.175+1.6+0.175</f>
        <v>1.9500000000000002</v>
      </c>
      <c r="J570" s="100"/>
      <c r="K570" s="22"/>
      <c r="L570" s="72">
        <f t="shared" ref="L570" si="1086">SUM(H570:J570)+K570</f>
        <v>1.9500000000000002</v>
      </c>
      <c r="M570" s="72">
        <f t="shared" si="1080"/>
        <v>50.7</v>
      </c>
      <c r="N570" s="72">
        <f t="shared" si="1081"/>
        <v>0</v>
      </c>
      <c r="O570" s="72">
        <f t="shared" si="1082"/>
        <v>0</v>
      </c>
      <c r="P570" s="72">
        <f t="shared" si="1083"/>
        <v>0</v>
      </c>
      <c r="Q570" s="72">
        <f t="shared" si="1084"/>
        <v>0</v>
      </c>
      <c r="R570" s="72">
        <f t="shared" si="1085"/>
        <v>0</v>
      </c>
    </row>
    <row r="571" spans="1:18" x14ac:dyDescent="0.25">
      <c r="A571" s="26"/>
      <c r="B571" s="104" t="s">
        <v>521</v>
      </c>
      <c r="C571" s="15">
        <v>8</v>
      </c>
      <c r="D571" s="16">
        <v>200</v>
      </c>
      <c r="E571" s="15">
        <v>2</v>
      </c>
      <c r="F571" s="11">
        <v>1</v>
      </c>
      <c r="G571" s="11">
        <f>+ROUND(1.6/(D571/1000)+1,0)</f>
        <v>9</v>
      </c>
      <c r="H571" s="95"/>
      <c r="I571" s="95">
        <f>0.175+2.515+0.175</f>
        <v>2.8649999999999998</v>
      </c>
      <c r="J571" s="100"/>
      <c r="K571" s="47"/>
      <c r="L571" s="72">
        <f>SUM(H571:J571)+K571</f>
        <v>2.8649999999999998</v>
      </c>
      <c r="M571" s="72">
        <f t="shared" si="1080"/>
        <v>51.57</v>
      </c>
      <c r="N571" s="72">
        <f t="shared" si="1081"/>
        <v>0</v>
      </c>
      <c r="O571" s="72">
        <f t="shared" si="1082"/>
        <v>0</v>
      </c>
      <c r="P571" s="72">
        <f t="shared" si="1083"/>
        <v>0</v>
      </c>
      <c r="Q571" s="72">
        <f t="shared" si="1084"/>
        <v>0</v>
      </c>
      <c r="R571" s="72">
        <f t="shared" si="1085"/>
        <v>0</v>
      </c>
    </row>
    <row r="572" spans="1:18" x14ac:dyDescent="0.25">
      <c r="A572" s="26"/>
      <c r="B572" s="104" t="s">
        <v>512</v>
      </c>
      <c r="C572" s="15">
        <v>8</v>
      </c>
      <c r="D572" s="16">
        <v>200</v>
      </c>
      <c r="E572" s="15">
        <v>2</v>
      </c>
      <c r="F572" s="11">
        <v>1</v>
      </c>
      <c r="G572" s="11">
        <v>13</v>
      </c>
      <c r="H572" s="95">
        <v>0.1</v>
      </c>
      <c r="I572" s="95">
        <f>0.45+0.175</f>
        <v>0.625</v>
      </c>
      <c r="J572" s="100"/>
      <c r="K572" s="22"/>
      <c r="L572" s="72">
        <f>SUM(H572:J572)+K572</f>
        <v>0.72499999999999998</v>
      </c>
      <c r="M572" s="72">
        <f t="shared" si="1080"/>
        <v>18.850000000000001</v>
      </c>
      <c r="N572" s="72">
        <f t="shared" si="1081"/>
        <v>0</v>
      </c>
      <c r="O572" s="72">
        <f t="shared" si="1082"/>
        <v>0</v>
      </c>
      <c r="P572" s="72">
        <f t="shared" si="1083"/>
        <v>0</v>
      </c>
      <c r="Q572" s="72">
        <f t="shared" si="1084"/>
        <v>0</v>
      </c>
      <c r="R572" s="72">
        <f t="shared" si="1085"/>
        <v>0</v>
      </c>
    </row>
    <row r="573" spans="1:18" x14ac:dyDescent="0.25">
      <c r="A573" s="26"/>
      <c r="B573" s="104" t="s">
        <v>512</v>
      </c>
      <c r="C573" s="15">
        <v>8</v>
      </c>
      <c r="D573" s="16">
        <v>200</v>
      </c>
      <c r="E573" s="15">
        <v>2</v>
      </c>
      <c r="F573" s="11">
        <v>1</v>
      </c>
      <c r="G573" s="11">
        <v>13</v>
      </c>
      <c r="H573" s="95">
        <v>0.1</v>
      </c>
      <c r="I573" s="95">
        <f>0.45+0.175</f>
        <v>0.625</v>
      </c>
      <c r="J573" s="100"/>
      <c r="K573" s="22"/>
      <c r="L573" s="72">
        <f t="shared" ref="L573" si="1087">SUM(H573:J573)+K573</f>
        <v>0.72499999999999998</v>
      </c>
      <c r="M573" s="72">
        <f t="shared" si="1080"/>
        <v>18.850000000000001</v>
      </c>
      <c r="N573" s="72">
        <f t="shared" si="1081"/>
        <v>0</v>
      </c>
      <c r="O573" s="72">
        <f t="shared" si="1082"/>
        <v>0</v>
      </c>
      <c r="P573" s="72">
        <f t="shared" si="1083"/>
        <v>0</v>
      </c>
      <c r="Q573" s="72">
        <f t="shared" si="1084"/>
        <v>0</v>
      </c>
      <c r="R573" s="72">
        <f t="shared" si="1085"/>
        <v>0</v>
      </c>
    </row>
    <row r="574" spans="1:18" x14ac:dyDescent="0.25">
      <c r="A574" s="26"/>
      <c r="B574" s="104" t="s">
        <v>512</v>
      </c>
      <c r="C574" s="15">
        <v>8</v>
      </c>
      <c r="D574" s="16">
        <v>200</v>
      </c>
      <c r="E574" s="15">
        <v>2</v>
      </c>
      <c r="F574" s="11">
        <v>1</v>
      </c>
      <c r="G574" s="11">
        <v>8</v>
      </c>
      <c r="H574" s="95">
        <v>0.1</v>
      </c>
      <c r="I574" s="95">
        <f>0.45+0.175</f>
        <v>0.625</v>
      </c>
      <c r="J574" s="100"/>
      <c r="K574" s="22"/>
      <c r="L574" s="72">
        <f t="shared" ref="L574:L579" si="1088">SUM(H574:J574)+K574</f>
        <v>0.72499999999999998</v>
      </c>
      <c r="M574" s="72">
        <f t="shared" si="1080"/>
        <v>11.6</v>
      </c>
      <c r="N574" s="72">
        <f t="shared" si="1081"/>
        <v>0</v>
      </c>
      <c r="O574" s="72">
        <f t="shared" si="1082"/>
        <v>0</v>
      </c>
      <c r="P574" s="72">
        <f t="shared" si="1083"/>
        <v>0</v>
      </c>
      <c r="Q574" s="72">
        <f t="shared" si="1084"/>
        <v>0</v>
      </c>
      <c r="R574" s="72">
        <f t="shared" si="1085"/>
        <v>0</v>
      </c>
    </row>
    <row r="575" spans="1:18" x14ac:dyDescent="0.25">
      <c r="A575" s="26"/>
      <c r="B575" s="104" t="s">
        <v>512</v>
      </c>
      <c r="C575" s="15">
        <v>8</v>
      </c>
      <c r="D575" s="16">
        <v>200</v>
      </c>
      <c r="E575" s="15">
        <v>2</v>
      </c>
      <c r="F575" s="11">
        <v>1</v>
      </c>
      <c r="G575" s="11">
        <v>8</v>
      </c>
      <c r="H575" s="95">
        <v>0.1</v>
      </c>
      <c r="I575" s="95">
        <f>0.5+0.175</f>
        <v>0.67500000000000004</v>
      </c>
      <c r="J575" s="100"/>
      <c r="K575" s="22"/>
      <c r="L575" s="72">
        <f t="shared" si="1088"/>
        <v>0.77500000000000002</v>
      </c>
      <c r="M575" s="72">
        <f t="shared" si="1080"/>
        <v>12.4</v>
      </c>
      <c r="N575" s="72">
        <f t="shared" si="1081"/>
        <v>0</v>
      </c>
      <c r="O575" s="72">
        <f t="shared" si="1082"/>
        <v>0</v>
      </c>
      <c r="P575" s="72">
        <f t="shared" si="1083"/>
        <v>0</v>
      </c>
      <c r="Q575" s="72">
        <f t="shared" si="1084"/>
        <v>0</v>
      </c>
      <c r="R575" s="72">
        <f t="shared" si="1085"/>
        <v>0</v>
      </c>
    </row>
    <row r="576" spans="1:18" x14ac:dyDescent="0.25">
      <c r="A576" s="26"/>
      <c r="B576" s="104" t="s">
        <v>759</v>
      </c>
      <c r="C576" s="15">
        <v>8</v>
      </c>
      <c r="D576" s="16">
        <v>200</v>
      </c>
      <c r="E576" s="15">
        <v>2</v>
      </c>
      <c r="F576" s="11">
        <v>1</v>
      </c>
      <c r="G576" s="11">
        <f>+ROUND(0.45/(D576/1000)+1,0)</f>
        <v>3</v>
      </c>
      <c r="H576" s="95">
        <v>0.2</v>
      </c>
      <c r="I576" s="95">
        <v>1.6</v>
      </c>
      <c r="J576" s="100"/>
      <c r="K576" s="22"/>
      <c r="L576" s="72">
        <f t="shared" si="1088"/>
        <v>1.8</v>
      </c>
      <c r="M576" s="72">
        <f t="shared" si="1080"/>
        <v>10.8</v>
      </c>
      <c r="N576" s="72">
        <f t="shared" si="1081"/>
        <v>0</v>
      </c>
      <c r="O576" s="72">
        <f t="shared" si="1082"/>
        <v>0</v>
      </c>
      <c r="P576" s="72">
        <f t="shared" si="1083"/>
        <v>0</v>
      </c>
      <c r="Q576" s="72">
        <f t="shared" si="1084"/>
        <v>0</v>
      </c>
      <c r="R576" s="72">
        <f t="shared" si="1085"/>
        <v>0</v>
      </c>
    </row>
    <row r="577" spans="1:18" x14ac:dyDescent="0.25">
      <c r="A577" s="26"/>
      <c r="B577" s="104" t="s">
        <v>759</v>
      </c>
      <c r="C577" s="15">
        <v>8</v>
      </c>
      <c r="D577" s="16">
        <v>200</v>
      </c>
      <c r="E577" s="15">
        <v>2</v>
      </c>
      <c r="F577" s="11">
        <v>1</v>
      </c>
      <c r="G577" s="11">
        <f>+ROUND(0.45/(D577/1000)+1,0)</f>
        <v>3</v>
      </c>
      <c r="H577" s="95">
        <v>0.2</v>
      </c>
      <c r="I577" s="95">
        <v>1.6</v>
      </c>
      <c r="J577" s="100"/>
      <c r="K577" s="22"/>
      <c r="L577" s="72">
        <f t="shared" si="1088"/>
        <v>1.8</v>
      </c>
      <c r="M577" s="72">
        <f t="shared" si="1080"/>
        <v>10.8</v>
      </c>
      <c r="N577" s="72">
        <f t="shared" si="1081"/>
        <v>0</v>
      </c>
      <c r="O577" s="72">
        <f t="shared" si="1082"/>
        <v>0</v>
      </c>
      <c r="P577" s="72">
        <f t="shared" si="1083"/>
        <v>0</v>
      </c>
      <c r="Q577" s="72">
        <f t="shared" si="1084"/>
        <v>0</v>
      </c>
      <c r="R577" s="72">
        <f t="shared" si="1085"/>
        <v>0</v>
      </c>
    </row>
    <row r="578" spans="1:18" x14ac:dyDescent="0.25">
      <c r="A578" s="26"/>
      <c r="B578" s="104" t="s">
        <v>759</v>
      </c>
      <c r="C578" s="15">
        <v>8</v>
      </c>
      <c r="D578" s="16">
        <v>200</v>
      </c>
      <c r="E578" s="15">
        <v>2</v>
      </c>
      <c r="F578" s="11">
        <v>1</v>
      </c>
      <c r="G578" s="11">
        <f>+ROUND(0.45/(D578/1000)+1,0)</f>
        <v>3</v>
      </c>
      <c r="H578" s="95">
        <v>0.2</v>
      </c>
      <c r="I578" s="95">
        <v>2.5150000000000001</v>
      </c>
      <c r="J578" s="100"/>
      <c r="K578" s="22"/>
      <c r="L578" s="72">
        <f t="shared" si="1088"/>
        <v>2.7150000000000003</v>
      </c>
      <c r="M578" s="72">
        <f t="shared" si="1080"/>
        <v>16.29</v>
      </c>
      <c r="N578" s="72">
        <f t="shared" si="1081"/>
        <v>0</v>
      </c>
      <c r="O578" s="72">
        <f t="shared" si="1082"/>
        <v>0</v>
      </c>
      <c r="P578" s="72">
        <f t="shared" si="1083"/>
        <v>0</v>
      </c>
      <c r="Q578" s="72">
        <f t="shared" si="1084"/>
        <v>0</v>
      </c>
      <c r="R578" s="72">
        <f t="shared" si="1085"/>
        <v>0</v>
      </c>
    </row>
    <row r="579" spans="1:18" x14ac:dyDescent="0.25">
      <c r="A579" s="26"/>
      <c r="B579" s="104" t="s">
        <v>759</v>
      </c>
      <c r="C579" s="15">
        <v>8</v>
      </c>
      <c r="D579" s="16">
        <v>200</v>
      </c>
      <c r="E579" s="15">
        <v>2</v>
      </c>
      <c r="F579" s="11">
        <v>1</v>
      </c>
      <c r="G579" s="11">
        <f>+ROUND(0.45/(D579/1000)+1,0)</f>
        <v>3</v>
      </c>
      <c r="H579" s="95">
        <v>0.2</v>
      </c>
      <c r="I579" s="95">
        <v>2.5150000000000001</v>
      </c>
      <c r="J579" s="100"/>
      <c r="K579" s="22"/>
      <c r="L579" s="72">
        <f t="shared" si="1088"/>
        <v>2.7150000000000003</v>
      </c>
      <c r="M579" s="72">
        <f t="shared" si="1080"/>
        <v>16.29</v>
      </c>
      <c r="N579" s="72">
        <f t="shared" si="1081"/>
        <v>0</v>
      </c>
      <c r="O579" s="72">
        <f t="shared" si="1082"/>
        <v>0</v>
      </c>
      <c r="P579" s="72">
        <f t="shared" si="1083"/>
        <v>0</v>
      </c>
      <c r="Q579" s="72">
        <f t="shared" si="1084"/>
        <v>0</v>
      </c>
      <c r="R579" s="72">
        <f t="shared" si="1085"/>
        <v>0</v>
      </c>
    </row>
    <row r="580" spans="1:18" x14ac:dyDescent="0.25">
      <c r="A580" s="26"/>
      <c r="B580" s="25"/>
      <c r="C580" s="15"/>
      <c r="D580" s="16"/>
      <c r="E580" s="15"/>
      <c r="F580" s="11"/>
      <c r="G580" s="11"/>
      <c r="H580" s="95"/>
      <c r="I580" s="95"/>
      <c r="J580" s="100"/>
      <c r="K580" s="22"/>
      <c r="L580" s="72"/>
      <c r="M580" s="72"/>
      <c r="N580" s="72"/>
      <c r="O580" s="72"/>
      <c r="P580" s="72"/>
      <c r="Q580" s="72"/>
      <c r="R580" s="72"/>
    </row>
    <row r="581" spans="1:18" x14ac:dyDescent="0.25">
      <c r="A581" s="26"/>
      <c r="B581" s="45" t="s">
        <v>765</v>
      </c>
      <c r="C581" s="15"/>
      <c r="D581" s="16"/>
      <c r="E581" s="15"/>
      <c r="F581" s="11"/>
      <c r="G581" s="11"/>
      <c r="H581" s="95"/>
      <c r="I581" s="95"/>
      <c r="J581" s="100"/>
      <c r="K581" s="22"/>
      <c r="L581" s="72"/>
      <c r="M581" s="72">
        <f t="shared" ref="M581:M592" si="1089">+ROUND(IF(C581=8,PRODUCT(E581,F581,G581,L581),0),2)</f>
        <v>0</v>
      </c>
      <c r="N581" s="72">
        <f t="shared" ref="N581:N592" si="1090">+ROUND(IF(C581=10,PRODUCT(E581,F581,G581,L581),0),2)</f>
        <v>0</v>
      </c>
      <c r="O581" s="72">
        <f t="shared" ref="O581:O592" si="1091">+ROUND(IF(C581=12,PRODUCT(E581,F581,G581,L581),0),2)</f>
        <v>0</v>
      </c>
      <c r="P581" s="72">
        <f t="shared" ref="P581:P592" si="1092">+ROUND(IF(C581=16,PRODUCT(E581,F581,G581,L581),0),2)</f>
        <v>0</v>
      </c>
      <c r="Q581" s="72">
        <f t="shared" ref="Q581:Q592" si="1093">+ROUND(IF(C581=20,PRODUCT(E581,F581,G581,L581),0),2)</f>
        <v>0</v>
      </c>
      <c r="R581" s="72">
        <f t="shared" ref="R581:R592" si="1094">+ROUND(IF(C581=25,PRODUCT(E581,F581,G581,L581),0),2)</f>
        <v>0</v>
      </c>
    </row>
    <row r="582" spans="1:18" x14ac:dyDescent="0.25">
      <c r="A582" s="26"/>
      <c r="B582" s="104" t="s">
        <v>766</v>
      </c>
      <c r="C582" s="15">
        <v>8</v>
      </c>
      <c r="D582" s="16">
        <v>100</v>
      </c>
      <c r="E582" s="15">
        <v>2</v>
      </c>
      <c r="F582" s="11">
        <v>1</v>
      </c>
      <c r="G582" s="11">
        <f>+ROUND(6.165/(D582/1000)+1,0)/2</f>
        <v>31.5</v>
      </c>
      <c r="H582" s="95"/>
      <c r="I582" s="95">
        <f>0.175+4.105+0.175</f>
        <v>4.4550000000000001</v>
      </c>
      <c r="J582" s="100"/>
      <c r="K582" s="47"/>
      <c r="L582" s="72">
        <f>SUM(H582:J582)+K582</f>
        <v>4.4550000000000001</v>
      </c>
      <c r="M582" s="72">
        <f t="shared" si="1089"/>
        <v>280.67</v>
      </c>
      <c r="N582" s="72">
        <f t="shared" si="1090"/>
        <v>0</v>
      </c>
      <c r="O582" s="72">
        <f t="shared" si="1091"/>
        <v>0</v>
      </c>
      <c r="P582" s="72">
        <f t="shared" si="1092"/>
        <v>0</v>
      </c>
      <c r="Q582" s="72">
        <f t="shared" si="1093"/>
        <v>0</v>
      </c>
      <c r="R582" s="72">
        <f t="shared" si="1094"/>
        <v>0</v>
      </c>
    </row>
    <row r="583" spans="1:18" x14ac:dyDescent="0.25">
      <c r="A583" s="26"/>
      <c r="B583" s="104" t="s">
        <v>766</v>
      </c>
      <c r="C583" s="15">
        <v>8</v>
      </c>
      <c r="D583" s="16">
        <v>100</v>
      </c>
      <c r="E583" s="15">
        <v>2</v>
      </c>
      <c r="F583" s="11">
        <v>1</v>
      </c>
      <c r="G583" s="11">
        <v>31</v>
      </c>
      <c r="H583" s="95"/>
      <c r="I583" s="95">
        <f>4.105-0.4-0.4</f>
        <v>3.3050000000000006</v>
      </c>
      <c r="J583" s="100"/>
      <c r="K583" s="47"/>
      <c r="L583" s="72">
        <f>SUM(H583:J583)+K583</f>
        <v>3.3050000000000006</v>
      </c>
      <c r="M583" s="72">
        <f t="shared" ref="M583" si="1095">+ROUND(IF(C583=8,PRODUCT(E583,F583,G583,L583),0),2)</f>
        <v>204.91</v>
      </c>
      <c r="N583" s="72">
        <f t="shared" ref="N583" si="1096">+ROUND(IF(C583=10,PRODUCT(E583,F583,G583,L583),0),2)</f>
        <v>0</v>
      </c>
      <c r="O583" s="72">
        <f t="shared" ref="O583" si="1097">+ROUND(IF(C583=12,PRODUCT(E583,F583,G583,L583),0),2)</f>
        <v>0</v>
      </c>
      <c r="P583" s="72">
        <f t="shared" ref="P583" si="1098">+ROUND(IF(C583=16,PRODUCT(E583,F583,G583,L583),0),2)</f>
        <v>0</v>
      </c>
      <c r="Q583" s="72">
        <f t="shared" ref="Q583" si="1099">+ROUND(IF(C583=20,PRODUCT(E583,F583,G583,L583),0),2)</f>
        <v>0</v>
      </c>
      <c r="R583" s="72">
        <f t="shared" ref="R583" si="1100">+ROUND(IF(C583=25,PRODUCT(E583,F583,G583,L583),0),2)</f>
        <v>0</v>
      </c>
    </row>
    <row r="584" spans="1:18" x14ac:dyDescent="0.25">
      <c r="A584" s="26"/>
      <c r="B584" s="104" t="s">
        <v>767</v>
      </c>
      <c r="C584" s="15">
        <v>8</v>
      </c>
      <c r="D584" s="16">
        <v>150</v>
      </c>
      <c r="E584" s="15">
        <v>2</v>
      </c>
      <c r="F584" s="11">
        <v>1</v>
      </c>
      <c r="G584" s="11">
        <f>+ROUND(4.105/(D584/1000)+1,0)/2</f>
        <v>14</v>
      </c>
      <c r="H584" s="95"/>
      <c r="I584" s="95">
        <f>0.175+6.165+0.2+0.625</f>
        <v>7.165</v>
      </c>
      <c r="J584" s="100"/>
      <c r="K584" s="47"/>
      <c r="L584" s="72">
        <f>SUM(H584:J584)+K584</f>
        <v>7.165</v>
      </c>
      <c r="M584" s="72">
        <f t="shared" ref="M584" si="1101">+ROUND(IF(C584=8,PRODUCT(E584,F584,G584,L584),0),2)</f>
        <v>200.62</v>
      </c>
      <c r="N584" s="72">
        <f t="shared" ref="N584" si="1102">+ROUND(IF(C584=10,PRODUCT(E584,F584,G584,L584),0),2)</f>
        <v>0</v>
      </c>
      <c r="O584" s="72">
        <f t="shared" ref="O584" si="1103">+ROUND(IF(C584=12,PRODUCT(E584,F584,G584,L584),0),2)</f>
        <v>0</v>
      </c>
      <c r="P584" s="72">
        <f t="shared" ref="P584" si="1104">+ROUND(IF(C584=16,PRODUCT(E584,F584,G584,L584),0),2)</f>
        <v>0</v>
      </c>
      <c r="Q584" s="72">
        <f t="shared" ref="Q584" si="1105">+ROUND(IF(C584=20,PRODUCT(E584,F584,G584,L584),0),2)</f>
        <v>0</v>
      </c>
      <c r="R584" s="72">
        <f t="shared" ref="R584" si="1106">+ROUND(IF(C584=25,PRODUCT(E584,F584,G584,L584),0),2)</f>
        <v>0</v>
      </c>
    </row>
    <row r="585" spans="1:18" x14ac:dyDescent="0.25">
      <c r="A585" s="26"/>
      <c r="B585" s="104" t="s">
        <v>767</v>
      </c>
      <c r="C585" s="15">
        <v>8</v>
      </c>
      <c r="D585" s="16">
        <v>150</v>
      </c>
      <c r="E585" s="15">
        <v>2</v>
      </c>
      <c r="F585" s="11">
        <v>1</v>
      </c>
      <c r="G585" s="11">
        <f>+ROUND(4.105/(D585/1000)+1,0)/2</f>
        <v>14</v>
      </c>
      <c r="H585" s="95"/>
      <c r="I585" s="95">
        <f>6.165-0.9-0.6</f>
        <v>4.665</v>
      </c>
      <c r="J585" s="100"/>
      <c r="K585" s="47"/>
      <c r="L585" s="72">
        <f>SUM(H585:J585)+K585</f>
        <v>4.665</v>
      </c>
      <c r="M585" s="72">
        <f t="shared" ref="M585" si="1107">+ROUND(IF(C585=8,PRODUCT(E585,F585,G585,L585),0),2)</f>
        <v>130.62</v>
      </c>
      <c r="N585" s="72">
        <f t="shared" ref="N585" si="1108">+ROUND(IF(C585=10,PRODUCT(E585,F585,G585,L585),0),2)</f>
        <v>0</v>
      </c>
      <c r="O585" s="72">
        <f t="shared" ref="O585" si="1109">+ROUND(IF(C585=12,PRODUCT(E585,F585,G585,L585),0),2)</f>
        <v>0</v>
      </c>
      <c r="P585" s="72">
        <f t="shared" ref="P585" si="1110">+ROUND(IF(C585=16,PRODUCT(E585,F585,G585,L585),0),2)</f>
        <v>0</v>
      </c>
      <c r="Q585" s="72">
        <f t="shared" ref="Q585" si="1111">+ROUND(IF(C585=20,PRODUCT(E585,F585,G585,L585),0),2)</f>
        <v>0</v>
      </c>
      <c r="R585" s="72">
        <f t="shared" ref="R585" si="1112">+ROUND(IF(C585=25,PRODUCT(E585,F585,G585,L585),0),2)</f>
        <v>0</v>
      </c>
    </row>
    <row r="586" spans="1:18" x14ac:dyDescent="0.25">
      <c r="A586" s="26"/>
      <c r="B586" s="104" t="s">
        <v>513</v>
      </c>
      <c r="C586" s="15">
        <v>8</v>
      </c>
      <c r="D586" s="16">
        <v>175</v>
      </c>
      <c r="E586" s="15">
        <v>2</v>
      </c>
      <c r="F586" s="11">
        <v>1</v>
      </c>
      <c r="G586" s="11">
        <f>+ROUND(3.72/(D586/1000)+1,0)</f>
        <v>22</v>
      </c>
      <c r="H586" s="95">
        <v>0.1</v>
      </c>
      <c r="I586" s="95">
        <f>0.175+0.95</f>
        <v>1.125</v>
      </c>
      <c r="J586" s="100"/>
      <c r="K586" s="22"/>
      <c r="L586" s="72">
        <f>SUM(H586:J586)+K586</f>
        <v>1.2250000000000001</v>
      </c>
      <c r="M586" s="72">
        <f t="shared" si="1089"/>
        <v>53.9</v>
      </c>
      <c r="N586" s="72">
        <f t="shared" si="1090"/>
        <v>0</v>
      </c>
      <c r="O586" s="72">
        <f t="shared" si="1091"/>
        <v>0</v>
      </c>
      <c r="P586" s="72">
        <f t="shared" si="1092"/>
        <v>0</v>
      </c>
      <c r="Q586" s="72">
        <f t="shared" si="1093"/>
        <v>0</v>
      </c>
      <c r="R586" s="72">
        <f t="shared" si="1094"/>
        <v>0</v>
      </c>
    </row>
    <row r="587" spans="1:18" x14ac:dyDescent="0.25">
      <c r="A587" s="26"/>
      <c r="B587" s="104" t="s">
        <v>514</v>
      </c>
      <c r="C587" s="15">
        <v>8</v>
      </c>
      <c r="D587" s="16">
        <v>100</v>
      </c>
      <c r="E587" s="15">
        <v>2</v>
      </c>
      <c r="F587" s="11">
        <v>1</v>
      </c>
      <c r="G587" s="11">
        <v>13</v>
      </c>
      <c r="H587" s="95"/>
      <c r="I587" s="95">
        <f>0.1+0.6+0.6</f>
        <v>1.2999999999999998</v>
      </c>
      <c r="J587" s="100"/>
      <c r="K587" s="22"/>
      <c r="L587" s="72">
        <f t="shared" ref="L587" si="1113">SUM(H587:J587)+K587</f>
        <v>1.2999999999999998</v>
      </c>
      <c r="M587" s="72">
        <f t="shared" si="1089"/>
        <v>33.799999999999997</v>
      </c>
      <c r="N587" s="72">
        <f t="shared" si="1090"/>
        <v>0</v>
      </c>
      <c r="O587" s="72">
        <f t="shared" si="1091"/>
        <v>0</v>
      </c>
      <c r="P587" s="72">
        <f t="shared" si="1092"/>
        <v>0</v>
      </c>
      <c r="Q587" s="72">
        <f t="shared" si="1093"/>
        <v>0</v>
      </c>
      <c r="R587" s="72">
        <f t="shared" si="1094"/>
        <v>0</v>
      </c>
    </row>
    <row r="588" spans="1:18" x14ac:dyDescent="0.25">
      <c r="A588" s="26"/>
      <c r="B588" s="104" t="s">
        <v>514</v>
      </c>
      <c r="C588" s="15">
        <v>8</v>
      </c>
      <c r="D588" s="16">
        <v>100</v>
      </c>
      <c r="E588" s="15">
        <v>2</v>
      </c>
      <c r="F588" s="11">
        <v>1</v>
      </c>
      <c r="G588" s="11">
        <f>+ROUND(2.25/(D588/1000)+1,0)/2</f>
        <v>12</v>
      </c>
      <c r="H588" s="95"/>
      <c r="I588" s="95">
        <f>0.1+0.6+0.6</f>
        <v>1.2999999999999998</v>
      </c>
      <c r="J588" s="100"/>
      <c r="K588" s="22"/>
      <c r="L588" s="72">
        <f t="shared" ref="L588:L589" si="1114">SUM(H588:J588)+K588</f>
        <v>1.2999999999999998</v>
      </c>
      <c r="M588" s="72">
        <f t="shared" ref="M588:M589" si="1115">+ROUND(IF(C588=8,PRODUCT(E588,F588,G588,L588),0),2)</f>
        <v>31.2</v>
      </c>
      <c r="N588" s="72">
        <f t="shared" ref="N588:N589" si="1116">+ROUND(IF(C588=10,PRODUCT(E588,F588,G588,L588),0),2)</f>
        <v>0</v>
      </c>
      <c r="O588" s="72">
        <f t="shared" ref="O588:O589" si="1117">+ROUND(IF(C588=12,PRODUCT(E588,F588,G588,L588),0),2)</f>
        <v>0</v>
      </c>
      <c r="P588" s="72">
        <f t="shared" ref="P588:P589" si="1118">+ROUND(IF(C588=16,PRODUCT(E588,F588,G588,L588),0),2)</f>
        <v>0</v>
      </c>
      <c r="Q588" s="72">
        <f t="shared" ref="Q588:Q589" si="1119">+ROUND(IF(C588=20,PRODUCT(E588,F588,G588,L588),0),2)</f>
        <v>0</v>
      </c>
      <c r="R588" s="72">
        <f t="shared" ref="R588:R589" si="1120">+ROUND(IF(C588=25,PRODUCT(E588,F588,G588,L588),0),2)</f>
        <v>0</v>
      </c>
    </row>
    <row r="589" spans="1:18" x14ac:dyDescent="0.25">
      <c r="A589" s="26"/>
      <c r="B589" s="104" t="s">
        <v>514</v>
      </c>
      <c r="C589" s="15">
        <v>8</v>
      </c>
      <c r="D589" s="16">
        <v>100</v>
      </c>
      <c r="E589" s="15">
        <v>2</v>
      </c>
      <c r="F589" s="11">
        <v>1</v>
      </c>
      <c r="G589" s="11">
        <v>6</v>
      </c>
      <c r="H589" s="95"/>
      <c r="I589" s="95">
        <f>0.1+0.65+0.65</f>
        <v>1.4</v>
      </c>
      <c r="J589" s="100"/>
      <c r="K589" s="22"/>
      <c r="L589" s="72">
        <f t="shared" si="1114"/>
        <v>1.4</v>
      </c>
      <c r="M589" s="72">
        <f t="shared" si="1115"/>
        <v>16.8</v>
      </c>
      <c r="N589" s="72">
        <f t="shared" si="1116"/>
        <v>0</v>
      </c>
      <c r="O589" s="72">
        <f t="shared" si="1117"/>
        <v>0</v>
      </c>
      <c r="P589" s="72">
        <f t="shared" si="1118"/>
        <v>0</v>
      </c>
      <c r="Q589" s="72">
        <f t="shared" si="1119"/>
        <v>0</v>
      </c>
      <c r="R589" s="72">
        <f t="shared" si="1120"/>
        <v>0</v>
      </c>
    </row>
    <row r="590" spans="1:18" x14ac:dyDescent="0.25">
      <c r="A590" s="26"/>
      <c r="B590" s="104" t="s">
        <v>514</v>
      </c>
      <c r="C590" s="15">
        <v>8</v>
      </c>
      <c r="D590" s="16">
        <v>100</v>
      </c>
      <c r="E590" s="15">
        <v>2</v>
      </c>
      <c r="F590" s="11">
        <v>1</v>
      </c>
      <c r="G590" s="11">
        <f>+ROUND(1.2/(D590/1000)+1,0)/2</f>
        <v>6.5</v>
      </c>
      <c r="H590" s="95"/>
      <c r="I590" s="95">
        <f>0.1+0.65</f>
        <v>0.75</v>
      </c>
      <c r="J590" s="100"/>
      <c r="K590" s="22"/>
      <c r="L590" s="72">
        <f t="shared" ref="L590" si="1121">SUM(H590:J590)+K590</f>
        <v>0.75</v>
      </c>
      <c r="M590" s="72">
        <f t="shared" ref="M590" si="1122">+ROUND(IF(C590=8,PRODUCT(E590,F590,G590,L590),0),2)</f>
        <v>9.75</v>
      </c>
      <c r="N590" s="72">
        <f t="shared" ref="N590" si="1123">+ROUND(IF(C590=10,PRODUCT(E590,F590,G590,L590),0),2)</f>
        <v>0</v>
      </c>
      <c r="O590" s="72">
        <f t="shared" ref="O590" si="1124">+ROUND(IF(C590=12,PRODUCT(E590,F590,G590,L590),0),2)</f>
        <v>0</v>
      </c>
      <c r="P590" s="72">
        <f t="shared" ref="P590" si="1125">+ROUND(IF(C590=16,PRODUCT(E590,F590,G590,L590),0),2)</f>
        <v>0</v>
      </c>
      <c r="Q590" s="72">
        <f t="shared" ref="Q590" si="1126">+ROUND(IF(C590=20,PRODUCT(E590,F590,G590,L590),0),2)</f>
        <v>0</v>
      </c>
      <c r="R590" s="72">
        <f t="shared" ref="R590" si="1127">+ROUND(IF(C590=25,PRODUCT(E590,F590,G590,L590),0),2)</f>
        <v>0</v>
      </c>
    </row>
    <row r="591" spans="1:18" x14ac:dyDescent="0.25">
      <c r="A591" s="26"/>
      <c r="B591" s="104" t="s">
        <v>512</v>
      </c>
      <c r="C591" s="15">
        <v>8</v>
      </c>
      <c r="D591" s="16">
        <v>200</v>
      </c>
      <c r="E591" s="15">
        <v>2</v>
      </c>
      <c r="F591" s="11">
        <v>1</v>
      </c>
      <c r="G591" s="11">
        <f>+ROUND(2.715/(D591/1000)+1,0)</f>
        <v>15</v>
      </c>
      <c r="H591" s="95">
        <v>0.1</v>
      </c>
      <c r="I591" s="95">
        <f>0.175+0.65</f>
        <v>0.82499999999999996</v>
      </c>
      <c r="J591" s="100"/>
      <c r="K591" s="22"/>
      <c r="L591" s="72">
        <f>SUM(H591:J591)+K591</f>
        <v>0.92499999999999993</v>
      </c>
      <c r="M591" s="72">
        <f t="shared" si="1089"/>
        <v>27.75</v>
      </c>
      <c r="N591" s="72">
        <f t="shared" si="1090"/>
        <v>0</v>
      </c>
      <c r="O591" s="72">
        <f t="shared" si="1091"/>
        <v>0</v>
      </c>
      <c r="P591" s="72">
        <f t="shared" si="1092"/>
        <v>0</v>
      </c>
      <c r="Q591" s="72">
        <f t="shared" si="1093"/>
        <v>0</v>
      </c>
      <c r="R591" s="72">
        <f t="shared" si="1094"/>
        <v>0</v>
      </c>
    </row>
    <row r="592" spans="1:18" x14ac:dyDescent="0.25">
      <c r="A592" s="26"/>
      <c r="B592" s="104" t="s">
        <v>515</v>
      </c>
      <c r="C592" s="15">
        <v>8</v>
      </c>
      <c r="D592" s="16">
        <v>150</v>
      </c>
      <c r="E592" s="15">
        <v>2</v>
      </c>
      <c r="F592" s="11">
        <v>1</v>
      </c>
      <c r="G592" s="11">
        <f>+ROUND(4.105/(D592/1000)+1,0)/2</f>
        <v>14</v>
      </c>
      <c r="H592" s="95"/>
      <c r="I592" s="95">
        <f>0.1+0.95+0.95</f>
        <v>2</v>
      </c>
      <c r="J592" s="100"/>
      <c r="K592" s="22"/>
      <c r="L592" s="72">
        <f>SUM(H592:J592)+K592</f>
        <v>2</v>
      </c>
      <c r="M592" s="72">
        <f t="shared" si="1089"/>
        <v>56</v>
      </c>
      <c r="N592" s="72">
        <f t="shared" si="1090"/>
        <v>0</v>
      </c>
      <c r="O592" s="72">
        <f t="shared" si="1091"/>
        <v>0</v>
      </c>
      <c r="P592" s="72">
        <f t="shared" si="1092"/>
        <v>0</v>
      </c>
      <c r="Q592" s="72">
        <f t="shared" si="1093"/>
        <v>0</v>
      </c>
      <c r="R592" s="72">
        <f t="shared" si="1094"/>
        <v>0</v>
      </c>
    </row>
    <row r="593" spans="1:18" x14ac:dyDescent="0.25">
      <c r="A593" s="26"/>
      <c r="B593" s="104" t="s">
        <v>515</v>
      </c>
      <c r="C593" s="15">
        <v>8</v>
      </c>
      <c r="D593" s="16">
        <v>150</v>
      </c>
      <c r="E593" s="15">
        <v>2</v>
      </c>
      <c r="F593" s="11">
        <v>1</v>
      </c>
      <c r="G593" s="11">
        <v>13</v>
      </c>
      <c r="H593" s="95"/>
      <c r="I593" s="95">
        <f>0.1+0.95</f>
        <v>1.05</v>
      </c>
      <c r="J593" s="100"/>
      <c r="K593" s="22"/>
      <c r="L593" s="72">
        <f>SUM(H593:J593)+K593</f>
        <v>1.05</v>
      </c>
      <c r="M593" s="72">
        <f t="shared" ref="M593:M594" si="1128">+ROUND(IF(C593=8,PRODUCT(E593,F593,G593,L593),0),2)</f>
        <v>27.3</v>
      </c>
      <c r="N593" s="72">
        <f t="shared" si="1"/>
        <v>0</v>
      </c>
      <c r="O593" s="72">
        <f t="shared" si="2"/>
        <v>0</v>
      </c>
      <c r="P593" s="72">
        <f t="shared" si="3"/>
        <v>0</v>
      </c>
      <c r="Q593" s="72">
        <f t="shared" si="4"/>
        <v>0</v>
      </c>
      <c r="R593" s="72">
        <f t="shared" si="5"/>
        <v>0</v>
      </c>
    </row>
    <row r="594" spans="1:18" x14ac:dyDescent="0.25">
      <c r="A594" s="26"/>
      <c r="B594" s="104" t="s">
        <v>515</v>
      </c>
      <c r="C594" s="15">
        <v>8</v>
      </c>
      <c r="D594" s="16">
        <v>150</v>
      </c>
      <c r="E594" s="15">
        <v>2</v>
      </c>
      <c r="F594" s="11">
        <v>1</v>
      </c>
      <c r="G594" s="11">
        <f>+ROUND(3.91/(D594/1000)+1,0)</f>
        <v>27</v>
      </c>
      <c r="H594" s="95">
        <v>0.1</v>
      </c>
      <c r="I594" s="95">
        <f>0.175+0.65</f>
        <v>0.82499999999999996</v>
      </c>
      <c r="J594" s="100"/>
      <c r="K594" s="22"/>
      <c r="L594" s="72">
        <f>SUM(H594:J594)+K594</f>
        <v>0.92499999999999993</v>
      </c>
      <c r="M594" s="72">
        <f t="shared" si="1128"/>
        <v>49.95</v>
      </c>
      <c r="N594" s="72">
        <f t="shared" si="1"/>
        <v>0</v>
      </c>
      <c r="O594" s="72">
        <f t="shared" si="2"/>
        <v>0</v>
      </c>
      <c r="P594" s="72">
        <f t="shared" si="3"/>
        <v>0</v>
      </c>
      <c r="Q594" s="72">
        <f t="shared" si="4"/>
        <v>0</v>
      </c>
      <c r="R594" s="72">
        <f t="shared" si="5"/>
        <v>0</v>
      </c>
    </row>
    <row r="595" spans="1:18" x14ac:dyDescent="0.25">
      <c r="A595" s="26"/>
      <c r="B595" s="104" t="s">
        <v>514</v>
      </c>
      <c r="C595" s="15">
        <v>8</v>
      </c>
      <c r="D595" s="16">
        <v>100</v>
      </c>
      <c r="E595" s="15">
        <v>2</v>
      </c>
      <c r="F595" s="11">
        <v>1</v>
      </c>
      <c r="G595" s="11">
        <f>+ROUND(2.225/(D595/1000)+1,0)/2</f>
        <v>11.5</v>
      </c>
      <c r="H595" s="95"/>
      <c r="I595" s="95">
        <f>0.1+0.65+0.65</f>
        <v>1.4</v>
      </c>
      <c r="J595" s="100"/>
      <c r="K595" s="22"/>
      <c r="L595" s="72">
        <f>SUM(H595:J595)+K595</f>
        <v>1.4</v>
      </c>
      <c r="M595" s="72">
        <f t="shared" ref="M595:M605" si="1129">+ROUND(IF(C595=8,PRODUCT(E595,F595,G595,L595),0),2)</f>
        <v>32.200000000000003</v>
      </c>
      <c r="N595" s="72">
        <f t="shared" ref="N595:N605" si="1130">+ROUND(IF(C595=10,PRODUCT(E595,F595,G595,L595),0),2)</f>
        <v>0</v>
      </c>
      <c r="O595" s="72">
        <f t="shared" ref="O595:O605" si="1131">+ROUND(IF(C595=12,PRODUCT(E595,F595,G595,L595),0),2)</f>
        <v>0</v>
      </c>
      <c r="P595" s="72">
        <f t="shared" ref="P595:P605" si="1132">+ROUND(IF(C595=16,PRODUCT(E595,F595,G595,L595),0),2)</f>
        <v>0</v>
      </c>
      <c r="Q595" s="72">
        <f t="shared" ref="Q595:Q605" si="1133">+ROUND(IF(C595=20,PRODUCT(E595,F595,G595,L595),0),2)</f>
        <v>0</v>
      </c>
      <c r="R595" s="72">
        <f t="shared" ref="R595:R605" si="1134">+ROUND(IF(C595=25,PRODUCT(E595,F595,G595,L595),0),2)</f>
        <v>0</v>
      </c>
    </row>
    <row r="596" spans="1:18" x14ac:dyDescent="0.25">
      <c r="A596" s="26"/>
      <c r="B596" s="104" t="s">
        <v>514</v>
      </c>
      <c r="C596" s="15">
        <v>8</v>
      </c>
      <c r="D596" s="16">
        <v>100</v>
      </c>
      <c r="E596" s="15">
        <v>2</v>
      </c>
      <c r="F596" s="11">
        <v>1</v>
      </c>
      <c r="G596" s="11">
        <f>+ROUND(2.225/(D596/1000)+1,0)/2</f>
        <v>11.5</v>
      </c>
      <c r="H596" s="95"/>
      <c r="I596" s="95">
        <f>0.1+0.65</f>
        <v>0.75</v>
      </c>
      <c r="J596" s="100"/>
      <c r="K596" s="22"/>
      <c r="L596" s="72">
        <f t="shared" ref="L596:L597" si="1135">SUM(H596:J596)+K596</f>
        <v>0.75</v>
      </c>
      <c r="M596" s="72">
        <f t="shared" si="1129"/>
        <v>17.25</v>
      </c>
      <c r="N596" s="72">
        <f t="shared" si="1130"/>
        <v>0</v>
      </c>
      <c r="O596" s="72">
        <f t="shared" si="1131"/>
        <v>0</v>
      </c>
      <c r="P596" s="72">
        <f t="shared" si="1132"/>
        <v>0</v>
      </c>
      <c r="Q596" s="72">
        <f t="shared" si="1133"/>
        <v>0</v>
      </c>
      <c r="R596" s="72">
        <f t="shared" si="1134"/>
        <v>0</v>
      </c>
    </row>
    <row r="597" spans="1:18" x14ac:dyDescent="0.25">
      <c r="A597" s="26"/>
      <c r="B597" s="104" t="s">
        <v>759</v>
      </c>
      <c r="C597" s="15">
        <v>8</v>
      </c>
      <c r="D597" s="16">
        <v>200</v>
      </c>
      <c r="E597" s="15">
        <v>2</v>
      </c>
      <c r="F597" s="11">
        <v>1</v>
      </c>
      <c r="G597" s="11">
        <f>+ROUND(1.9/(D597/1000)+1,0)</f>
        <v>11</v>
      </c>
      <c r="H597" s="95">
        <v>0.2</v>
      </c>
      <c r="I597" s="95">
        <v>4.1050000000000004</v>
      </c>
      <c r="J597" s="100"/>
      <c r="K597" s="22"/>
      <c r="L597" s="72">
        <f t="shared" si="1135"/>
        <v>4.3050000000000006</v>
      </c>
      <c r="M597" s="72">
        <f t="shared" si="1129"/>
        <v>94.71</v>
      </c>
      <c r="N597" s="72">
        <f t="shared" si="1130"/>
        <v>0</v>
      </c>
      <c r="O597" s="72">
        <f t="shared" si="1131"/>
        <v>0</v>
      </c>
      <c r="P597" s="72">
        <f t="shared" si="1132"/>
        <v>0</v>
      </c>
      <c r="Q597" s="72">
        <f t="shared" si="1133"/>
        <v>0</v>
      </c>
      <c r="R597" s="72">
        <f t="shared" si="1134"/>
        <v>0</v>
      </c>
    </row>
    <row r="598" spans="1:18" x14ac:dyDescent="0.25">
      <c r="A598" s="26"/>
      <c r="B598" s="104" t="s">
        <v>759</v>
      </c>
      <c r="C598" s="15">
        <v>8</v>
      </c>
      <c r="D598" s="16">
        <v>200</v>
      </c>
      <c r="E598" s="15">
        <v>2</v>
      </c>
      <c r="F598" s="11">
        <v>1</v>
      </c>
      <c r="G598" s="11">
        <f>+ROUND(0.95/(D598/1000)+1,0)</f>
        <v>6</v>
      </c>
      <c r="H598" s="95">
        <v>0.2</v>
      </c>
      <c r="I598" s="95">
        <v>4.1050000000000004</v>
      </c>
      <c r="J598" s="100"/>
      <c r="K598" s="22"/>
      <c r="L598" s="72">
        <f>SUM(H598:J598)+K598</f>
        <v>4.3050000000000006</v>
      </c>
      <c r="M598" s="72">
        <f t="shared" si="1129"/>
        <v>51.66</v>
      </c>
      <c r="N598" s="72">
        <f t="shared" si="1130"/>
        <v>0</v>
      </c>
      <c r="O598" s="72">
        <f t="shared" si="1131"/>
        <v>0</v>
      </c>
      <c r="P598" s="72">
        <f t="shared" si="1132"/>
        <v>0</v>
      </c>
      <c r="Q598" s="72">
        <f t="shared" si="1133"/>
        <v>0</v>
      </c>
      <c r="R598" s="72">
        <f t="shared" si="1134"/>
        <v>0</v>
      </c>
    </row>
    <row r="599" spans="1:18" x14ac:dyDescent="0.25">
      <c r="A599" s="26"/>
      <c r="B599" s="104" t="s">
        <v>759</v>
      </c>
      <c r="C599" s="15">
        <v>8</v>
      </c>
      <c r="D599" s="16">
        <v>200</v>
      </c>
      <c r="E599" s="15">
        <v>2</v>
      </c>
      <c r="F599" s="11">
        <v>1</v>
      </c>
      <c r="G599" s="11">
        <f>+ROUND(1.2/(D599/1000)+1,0)</f>
        <v>7</v>
      </c>
      <c r="H599" s="95">
        <v>0.2</v>
      </c>
      <c r="I599" s="95">
        <v>6.165</v>
      </c>
      <c r="J599" s="100"/>
      <c r="K599" s="22"/>
      <c r="L599" s="72">
        <f t="shared" ref="L599" si="1136">SUM(H599:J599)+K599</f>
        <v>6.3650000000000002</v>
      </c>
      <c r="M599" s="72">
        <f t="shared" ref="M599:M600" si="1137">+ROUND(IF(C599=8,PRODUCT(E599,F599,G599,L599),0),2)</f>
        <v>89.11</v>
      </c>
      <c r="N599" s="72">
        <f t="shared" ref="N599:N600" si="1138">+ROUND(IF(C599=10,PRODUCT(E599,F599,G599,L599),0),2)</f>
        <v>0</v>
      </c>
      <c r="O599" s="72">
        <f t="shared" ref="O599:O600" si="1139">+ROUND(IF(C599=12,PRODUCT(E599,F599,G599,L599),0),2)</f>
        <v>0</v>
      </c>
      <c r="P599" s="72">
        <f t="shared" ref="P599:P600" si="1140">+ROUND(IF(C599=16,PRODUCT(E599,F599,G599,L599),0),2)</f>
        <v>0</v>
      </c>
      <c r="Q599" s="72">
        <f t="shared" ref="Q599:Q600" si="1141">+ROUND(IF(C599=20,PRODUCT(E599,F599,G599,L599),0),2)</f>
        <v>0</v>
      </c>
      <c r="R599" s="72">
        <f t="shared" ref="R599:R600" si="1142">+ROUND(IF(C599=25,PRODUCT(E599,F599,G599,L599),0),2)</f>
        <v>0</v>
      </c>
    </row>
    <row r="600" spans="1:18" x14ac:dyDescent="0.25">
      <c r="A600" s="26"/>
      <c r="B600" s="104" t="s">
        <v>759</v>
      </c>
      <c r="C600" s="15">
        <v>8</v>
      </c>
      <c r="D600" s="16">
        <v>200</v>
      </c>
      <c r="E600" s="15">
        <v>2</v>
      </c>
      <c r="F600" s="11">
        <v>1</v>
      </c>
      <c r="G600" s="11">
        <f>+ROUND(1.3/(D600/1000)+1,0)</f>
        <v>8</v>
      </c>
      <c r="H600" s="95">
        <v>0.2</v>
      </c>
      <c r="I600" s="95">
        <v>6.165</v>
      </c>
      <c r="J600" s="100"/>
      <c r="K600" s="22"/>
      <c r="L600" s="72">
        <f>SUM(H600:J600)+K600</f>
        <v>6.3650000000000002</v>
      </c>
      <c r="M600" s="72">
        <f t="shared" si="1137"/>
        <v>101.84</v>
      </c>
      <c r="N600" s="72">
        <f t="shared" si="1138"/>
        <v>0</v>
      </c>
      <c r="O600" s="72">
        <f t="shared" si="1139"/>
        <v>0</v>
      </c>
      <c r="P600" s="72">
        <f t="shared" si="1140"/>
        <v>0</v>
      </c>
      <c r="Q600" s="72">
        <f t="shared" si="1141"/>
        <v>0</v>
      </c>
      <c r="R600" s="72">
        <f t="shared" si="1142"/>
        <v>0</v>
      </c>
    </row>
    <row r="601" spans="1:18" x14ac:dyDescent="0.25">
      <c r="A601" s="26"/>
      <c r="B601" s="25"/>
      <c r="C601" s="15"/>
      <c r="D601" s="16"/>
      <c r="E601" s="15"/>
      <c r="F601" s="11"/>
      <c r="G601" s="11"/>
      <c r="H601" s="95"/>
      <c r="I601" s="95"/>
      <c r="J601" s="100"/>
      <c r="K601" s="22"/>
      <c r="L601" s="72"/>
      <c r="M601" s="72"/>
      <c r="N601" s="72"/>
      <c r="O601" s="72"/>
      <c r="P601" s="72"/>
      <c r="Q601" s="72"/>
      <c r="R601" s="72"/>
    </row>
    <row r="602" spans="1:18" x14ac:dyDescent="0.25">
      <c r="A602" s="26"/>
      <c r="B602" s="45" t="s">
        <v>769</v>
      </c>
      <c r="C602" s="15"/>
      <c r="D602" s="16"/>
      <c r="E602" s="15"/>
      <c r="F602" s="11"/>
      <c r="G602" s="11"/>
      <c r="H602" s="95"/>
      <c r="I602" s="95"/>
      <c r="J602" s="100"/>
      <c r="K602" s="22"/>
      <c r="L602" s="72"/>
      <c r="M602" s="72">
        <f t="shared" si="1129"/>
        <v>0</v>
      </c>
      <c r="N602" s="72">
        <f t="shared" si="1130"/>
        <v>0</v>
      </c>
      <c r="O602" s="72">
        <f t="shared" si="1131"/>
        <v>0</v>
      </c>
      <c r="P602" s="72">
        <f t="shared" si="1132"/>
        <v>0</v>
      </c>
      <c r="Q602" s="72">
        <f t="shared" si="1133"/>
        <v>0</v>
      </c>
      <c r="R602" s="72">
        <f t="shared" si="1134"/>
        <v>0</v>
      </c>
    </row>
    <row r="603" spans="1:18" x14ac:dyDescent="0.25">
      <c r="A603" s="26"/>
      <c r="B603" s="104" t="s">
        <v>768</v>
      </c>
      <c r="C603" s="15">
        <v>8</v>
      </c>
      <c r="D603" s="16">
        <v>200</v>
      </c>
      <c r="E603" s="15">
        <v>2</v>
      </c>
      <c r="F603" s="11">
        <v>1</v>
      </c>
      <c r="G603" s="11">
        <f>+ROUND(2.85/(D603/1000)+1,0)</f>
        <v>15</v>
      </c>
      <c r="H603" s="95"/>
      <c r="I603" s="95">
        <f>0.175+2.335+0.175</f>
        <v>2.6849999999999996</v>
      </c>
      <c r="J603" s="100"/>
      <c r="K603" s="22"/>
      <c r="L603" s="72">
        <f t="shared" ref="L603" si="1143">SUM(H603:J603)+K603</f>
        <v>2.6849999999999996</v>
      </c>
      <c r="M603" s="72">
        <f t="shared" ref="M603" si="1144">+ROUND(IF(C603=8,PRODUCT(E603,F603,G603,L603),0),2)</f>
        <v>80.55</v>
      </c>
      <c r="N603" s="72">
        <f t="shared" ref="N603" si="1145">+ROUND(IF(C603=10,PRODUCT(E603,F603,G603,L603),0),2)</f>
        <v>0</v>
      </c>
      <c r="O603" s="72">
        <f t="shared" ref="O603" si="1146">+ROUND(IF(C603=12,PRODUCT(E603,F603,G603,L603),0),2)</f>
        <v>0</v>
      </c>
      <c r="P603" s="72">
        <f t="shared" ref="P603" si="1147">+ROUND(IF(C603=16,PRODUCT(E603,F603,G603,L603),0),2)</f>
        <v>0</v>
      </c>
      <c r="Q603" s="72">
        <f t="shared" ref="Q603" si="1148">+ROUND(IF(C603=20,PRODUCT(E603,F603,G603,L603),0),2)</f>
        <v>0</v>
      </c>
      <c r="R603" s="72">
        <f t="shared" ref="R603" si="1149">+ROUND(IF(C603=25,PRODUCT(E603,F603,G603,L603),0),2)</f>
        <v>0</v>
      </c>
    </row>
    <row r="604" spans="1:18" x14ac:dyDescent="0.25">
      <c r="A604" s="26"/>
      <c r="B604" s="104" t="s">
        <v>521</v>
      </c>
      <c r="C604" s="15">
        <v>8</v>
      </c>
      <c r="D604" s="16">
        <v>200</v>
      </c>
      <c r="E604" s="15">
        <v>2</v>
      </c>
      <c r="F604" s="11">
        <v>1</v>
      </c>
      <c r="G604" s="11">
        <f>+ROUND(2.335/(D604/1000)+1,0)</f>
        <v>13</v>
      </c>
      <c r="H604" s="95"/>
      <c r="I604" s="95">
        <f>0.175+2.85+0.175</f>
        <v>3.1999999999999997</v>
      </c>
      <c r="J604" s="100"/>
      <c r="K604" s="47"/>
      <c r="L604" s="72">
        <f t="shared" ref="L604:L613" si="1150">SUM(H604:J604)+K604</f>
        <v>3.1999999999999997</v>
      </c>
      <c r="M604" s="72">
        <f t="shared" si="1129"/>
        <v>83.2</v>
      </c>
      <c r="N604" s="72">
        <f t="shared" si="1130"/>
        <v>0</v>
      </c>
      <c r="O604" s="72">
        <f t="shared" si="1131"/>
        <v>0</v>
      </c>
      <c r="P604" s="72">
        <f t="shared" si="1132"/>
        <v>0</v>
      </c>
      <c r="Q604" s="72">
        <f t="shared" si="1133"/>
        <v>0</v>
      </c>
      <c r="R604" s="72">
        <f t="shared" si="1134"/>
        <v>0</v>
      </c>
    </row>
    <row r="605" spans="1:18" x14ac:dyDescent="0.25">
      <c r="A605" s="26"/>
      <c r="B605" s="104" t="s">
        <v>512</v>
      </c>
      <c r="C605" s="15">
        <v>8</v>
      </c>
      <c r="D605" s="16">
        <v>200</v>
      </c>
      <c r="E605" s="15">
        <v>2</v>
      </c>
      <c r="F605" s="11">
        <v>1</v>
      </c>
      <c r="G605" s="11">
        <v>12</v>
      </c>
      <c r="H605" s="95">
        <v>0.1</v>
      </c>
      <c r="I605" s="95">
        <f>0.45+0.175</f>
        <v>0.625</v>
      </c>
      <c r="J605" s="100"/>
      <c r="K605" s="22"/>
      <c r="L605" s="72">
        <f t="shared" si="1150"/>
        <v>0.72499999999999998</v>
      </c>
      <c r="M605" s="72">
        <f t="shared" si="1129"/>
        <v>17.399999999999999</v>
      </c>
      <c r="N605" s="72">
        <f t="shared" si="1130"/>
        <v>0</v>
      </c>
      <c r="O605" s="72">
        <f t="shared" si="1131"/>
        <v>0</v>
      </c>
      <c r="P605" s="72">
        <f t="shared" si="1132"/>
        <v>0</v>
      </c>
      <c r="Q605" s="72">
        <f t="shared" si="1133"/>
        <v>0</v>
      </c>
      <c r="R605" s="72">
        <f t="shared" si="1134"/>
        <v>0</v>
      </c>
    </row>
    <row r="606" spans="1:18" x14ac:dyDescent="0.25">
      <c r="A606" s="26"/>
      <c r="B606" s="104" t="s">
        <v>512</v>
      </c>
      <c r="C606" s="15">
        <v>8</v>
      </c>
      <c r="D606" s="16">
        <v>200</v>
      </c>
      <c r="E606" s="15">
        <v>2</v>
      </c>
      <c r="F606" s="11">
        <v>1</v>
      </c>
      <c r="G606" s="11">
        <f>+ROUND(2.85/(D606/1000)+1,0)</f>
        <v>15</v>
      </c>
      <c r="H606" s="95">
        <v>0.1</v>
      </c>
      <c r="I606" s="95">
        <f>0.45+0.175</f>
        <v>0.625</v>
      </c>
      <c r="J606" s="100"/>
      <c r="K606" s="22"/>
      <c r="L606" s="72">
        <f t="shared" si="1150"/>
        <v>0.72499999999999998</v>
      </c>
      <c r="M606" s="72">
        <f t="shared" ref="M606:M619" si="1151">+ROUND(IF(C606=8,PRODUCT(E606,F606,G606,L606),0),2)</f>
        <v>21.75</v>
      </c>
      <c r="N606" s="72">
        <f t="shared" ref="N606:N619" si="1152">+ROUND(IF(C606=10,PRODUCT(E606,F606,G606,L606),0),2)</f>
        <v>0</v>
      </c>
      <c r="O606" s="72">
        <f t="shared" ref="O606:O619" si="1153">+ROUND(IF(C606=12,PRODUCT(E606,F606,G606,L606),0),2)</f>
        <v>0</v>
      </c>
      <c r="P606" s="72">
        <f t="shared" ref="P606:P619" si="1154">+ROUND(IF(C606=16,PRODUCT(E606,F606,G606,L606),0),2)</f>
        <v>0</v>
      </c>
      <c r="Q606" s="72">
        <f t="shared" ref="Q606:Q619" si="1155">+ROUND(IF(C606=20,PRODUCT(E606,F606,G606,L606),0),2)</f>
        <v>0</v>
      </c>
      <c r="R606" s="72">
        <f t="shared" ref="R606:R619" si="1156">+ROUND(IF(C606=25,PRODUCT(E606,F606,G606,L606),0),2)</f>
        <v>0</v>
      </c>
    </row>
    <row r="607" spans="1:18" x14ac:dyDescent="0.25">
      <c r="A607" s="26"/>
      <c r="B607" s="104" t="s">
        <v>515</v>
      </c>
      <c r="C607" s="15">
        <v>8</v>
      </c>
      <c r="D607" s="16">
        <v>150</v>
      </c>
      <c r="E607" s="15">
        <v>2</v>
      </c>
      <c r="F607" s="11">
        <v>1</v>
      </c>
      <c r="G607" s="11">
        <v>9</v>
      </c>
      <c r="H607" s="95"/>
      <c r="I607" s="95">
        <f>0.1+0.8</f>
        <v>0.9</v>
      </c>
      <c r="J607" s="100"/>
      <c r="K607" s="22"/>
      <c r="L607" s="72">
        <f t="shared" si="1150"/>
        <v>0.9</v>
      </c>
      <c r="M607" s="72">
        <f t="shared" si="1151"/>
        <v>16.2</v>
      </c>
      <c r="N607" s="72">
        <f t="shared" si="1152"/>
        <v>0</v>
      </c>
      <c r="O607" s="72">
        <f t="shared" si="1153"/>
        <v>0</v>
      </c>
      <c r="P607" s="72">
        <f t="shared" si="1154"/>
        <v>0</v>
      </c>
      <c r="Q607" s="72">
        <f t="shared" si="1155"/>
        <v>0</v>
      </c>
      <c r="R607" s="72">
        <f t="shared" si="1156"/>
        <v>0</v>
      </c>
    </row>
    <row r="608" spans="1:18" x14ac:dyDescent="0.25">
      <c r="A608" s="26"/>
      <c r="B608" s="104" t="s">
        <v>515</v>
      </c>
      <c r="C608" s="15">
        <v>8</v>
      </c>
      <c r="D608" s="16">
        <v>150</v>
      </c>
      <c r="E608" s="15">
        <v>2</v>
      </c>
      <c r="F608" s="11">
        <v>1</v>
      </c>
      <c r="G608" s="11">
        <v>9</v>
      </c>
      <c r="H608" s="95"/>
      <c r="I608" s="95">
        <f>0.1+0.4</f>
        <v>0.5</v>
      </c>
      <c r="J608" s="100"/>
      <c r="K608" s="22"/>
      <c r="L608" s="72">
        <f t="shared" si="1150"/>
        <v>0.5</v>
      </c>
      <c r="M608" s="72">
        <f t="shared" ref="M608" si="1157">+ROUND(IF(C608=8,PRODUCT(E608,F608,G608,L608),0),2)</f>
        <v>9</v>
      </c>
      <c r="N608" s="72">
        <f t="shared" ref="N608" si="1158">+ROUND(IF(C608=10,PRODUCT(E608,F608,G608,L608),0),2)</f>
        <v>0</v>
      </c>
      <c r="O608" s="72">
        <f t="shared" ref="O608" si="1159">+ROUND(IF(C608=12,PRODUCT(E608,F608,G608,L608),0),2)</f>
        <v>0</v>
      </c>
      <c r="P608" s="72">
        <f t="shared" ref="P608" si="1160">+ROUND(IF(C608=16,PRODUCT(E608,F608,G608,L608),0),2)</f>
        <v>0</v>
      </c>
      <c r="Q608" s="72">
        <f t="shared" ref="Q608" si="1161">+ROUND(IF(C608=20,PRODUCT(E608,F608,G608,L608),0),2)</f>
        <v>0</v>
      </c>
      <c r="R608" s="72">
        <f t="shared" ref="R608" si="1162">+ROUND(IF(C608=25,PRODUCT(E608,F608,G608,L608),0),2)</f>
        <v>0</v>
      </c>
    </row>
    <row r="609" spans="1:18" x14ac:dyDescent="0.25">
      <c r="A609" s="26"/>
      <c r="B609" s="104" t="s">
        <v>515</v>
      </c>
      <c r="C609" s="15">
        <v>8</v>
      </c>
      <c r="D609" s="16">
        <v>150</v>
      </c>
      <c r="E609" s="15">
        <v>2</v>
      </c>
      <c r="F609" s="11">
        <v>1</v>
      </c>
      <c r="G609" s="11">
        <f>+ROUND(1.035/(D609/1000)+1,0)/2</f>
        <v>4</v>
      </c>
      <c r="H609" s="95"/>
      <c r="I609" s="95">
        <f>0.1+0.9</f>
        <v>1</v>
      </c>
      <c r="J609" s="100"/>
      <c r="K609" s="22"/>
      <c r="L609" s="72">
        <f t="shared" si="1150"/>
        <v>1</v>
      </c>
      <c r="M609" s="72">
        <f t="shared" ref="M609" si="1163">+ROUND(IF(C609=8,PRODUCT(E609,F609,G609,L609),0),2)</f>
        <v>8</v>
      </c>
      <c r="N609" s="72">
        <f t="shared" ref="N609" si="1164">+ROUND(IF(C609=10,PRODUCT(E609,F609,G609,L609),0),2)</f>
        <v>0</v>
      </c>
      <c r="O609" s="72">
        <f t="shared" ref="O609" si="1165">+ROUND(IF(C609=12,PRODUCT(E609,F609,G609,L609),0),2)</f>
        <v>0</v>
      </c>
      <c r="P609" s="72">
        <f t="shared" ref="P609" si="1166">+ROUND(IF(C609=16,PRODUCT(E609,F609,G609,L609),0),2)</f>
        <v>0</v>
      </c>
      <c r="Q609" s="72">
        <f t="shared" ref="Q609" si="1167">+ROUND(IF(C609=20,PRODUCT(E609,F609,G609,L609),0),2)</f>
        <v>0</v>
      </c>
      <c r="R609" s="72">
        <f t="shared" ref="R609" si="1168">+ROUND(IF(C609=25,PRODUCT(E609,F609,G609,L609),0),2)</f>
        <v>0</v>
      </c>
    </row>
    <row r="610" spans="1:18" x14ac:dyDescent="0.25">
      <c r="A610" s="26"/>
      <c r="B610" s="104" t="s">
        <v>759</v>
      </c>
      <c r="C610" s="15">
        <v>8</v>
      </c>
      <c r="D610" s="16">
        <v>200</v>
      </c>
      <c r="E610" s="15">
        <v>2</v>
      </c>
      <c r="F610" s="11">
        <v>1</v>
      </c>
      <c r="G610" s="11">
        <f>+ROUND(0.45/(D610/1000)+1,0)/2</f>
        <v>1.5</v>
      </c>
      <c r="H610" s="95">
        <v>0.2</v>
      </c>
      <c r="I610" s="95">
        <v>2.335</v>
      </c>
      <c r="J610" s="100"/>
      <c r="K610" s="22"/>
      <c r="L610" s="72">
        <f t="shared" si="1150"/>
        <v>2.5350000000000001</v>
      </c>
      <c r="M610" s="72">
        <f t="shared" ref="M610" si="1169">+ROUND(IF(C610=8,PRODUCT(E610,F610,G610,L610),0),2)</f>
        <v>7.61</v>
      </c>
      <c r="N610" s="72">
        <f t="shared" ref="N610" si="1170">+ROUND(IF(C610=10,PRODUCT(E610,F610,G610,L610),0),2)</f>
        <v>0</v>
      </c>
      <c r="O610" s="72">
        <f t="shared" ref="O610" si="1171">+ROUND(IF(C610=12,PRODUCT(E610,F610,G610,L610),0),2)</f>
        <v>0</v>
      </c>
      <c r="P610" s="72">
        <f t="shared" ref="P610" si="1172">+ROUND(IF(C610=16,PRODUCT(E610,F610,G610,L610),0),2)</f>
        <v>0</v>
      </c>
      <c r="Q610" s="72">
        <f t="shared" ref="Q610" si="1173">+ROUND(IF(C610=20,PRODUCT(E610,F610,G610,L610),0),2)</f>
        <v>0</v>
      </c>
      <c r="R610" s="72">
        <f t="shared" ref="R610" si="1174">+ROUND(IF(C610=25,PRODUCT(E610,F610,G610,L610),0),2)</f>
        <v>0</v>
      </c>
    </row>
    <row r="611" spans="1:18" x14ac:dyDescent="0.25">
      <c r="A611" s="26"/>
      <c r="B611" s="104" t="s">
        <v>759</v>
      </c>
      <c r="C611" s="15">
        <v>8</v>
      </c>
      <c r="D611" s="16">
        <v>200</v>
      </c>
      <c r="E611" s="15">
        <v>2</v>
      </c>
      <c r="F611" s="11">
        <v>1</v>
      </c>
      <c r="G611" s="11">
        <f>+ROUND(0.9/(D611/1000)+1,0)/2</f>
        <v>3</v>
      </c>
      <c r="H611" s="95">
        <v>0.2</v>
      </c>
      <c r="I611" s="95">
        <v>2.335</v>
      </c>
      <c r="J611" s="100"/>
      <c r="K611" s="22"/>
      <c r="L611" s="72">
        <f t="shared" si="1150"/>
        <v>2.5350000000000001</v>
      </c>
      <c r="M611" s="72">
        <f t="shared" ref="M611" si="1175">+ROUND(IF(C611=8,PRODUCT(E611,F611,G611,L611),0),2)</f>
        <v>15.21</v>
      </c>
      <c r="N611" s="72">
        <f t="shared" ref="N611" si="1176">+ROUND(IF(C611=10,PRODUCT(E611,F611,G611,L611),0),2)</f>
        <v>0</v>
      </c>
      <c r="O611" s="72">
        <f t="shared" ref="O611" si="1177">+ROUND(IF(C611=12,PRODUCT(E611,F611,G611,L611),0),2)</f>
        <v>0</v>
      </c>
      <c r="P611" s="72">
        <f t="shared" ref="P611" si="1178">+ROUND(IF(C611=16,PRODUCT(E611,F611,G611,L611),0),2)</f>
        <v>0</v>
      </c>
      <c r="Q611" s="72">
        <f t="shared" ref="Q611" si="1179">+ROUND(IF(C611=20,PRODUCT(E611,F611,G611,L611),0),2)</f>
        <v>0</v>
      </c>
      <c r="R611" s="72">
        <f t="shared" ref="R611" si="1180">+ROUND(IF(C611=25,PRODUCT(E611,F611,G611,L611),0),2)</f>
        <v>0</v>
      </c>
    </row>
    <row r="612" spans="1:18" x14ac:dyDescent="0.25">
      <c r="A612" s="26"/>
      <c r="B612" s="104" t="s">
        <v>759</v>
      </c>
      <c r="C612" s="15">
        <v>8</v>
      </c>
      <c r="D612" s="16">
        <v>200</v>
      </c>
      <c r="E612" s="15">
        <v>2</v>
      </c>
      <c r="F612" s="11">
        <v>1</v>
      </c>
      <c r="G612" s="11">
        <f>+ROUND(0.45/(D612/1000)+1,0)/2</f>
        <v>1.5</v>
      </c>
      <c r="H612" s="95">
        <v>0.2</v>
      </c>
      <c r="I612" s="95">
        <v>2.85</v>
      </c>
      <c r="J612" s="100"/>
      <c r="K612" s="22"/>
      <c r="L612" s="72">
        <f t="shared" si="1150"/>
        <v>3.0500000000000003</v>
      </c>
      <c r="M612" s="72">
        <f t="shared" ref="M612" si="1181">+ROUND(IF(C612=8,PRODUCT(E612,F612,G612,L612),0),2)</f>
        <v>9.15</v>
      </c>
      <c r="N612" s="72">
        <f t="shared" ref="N612" si="1182">+ROUND(IF(C612=10,PRODUCT(E612,F612,G612,L612),0),2)</f>
        <v>0</v>
      </c>
      <c r="O612" s="72">
        <f t="shared" ref="O612" si="1183">+ROUND(IF(C612=12,PRODUCT(E612,F612,G612,L612),0),2)</f>
        <v>0</v>
      </c>
      <c r="P612" s="72">
        <f t="shared" ref="P612" si="1184">+ROUND(IF(C612=16,PRODUCT(E612,F612,G612,L612),0),2)</f>
        <v>0</v>
      </c>
      <c r="Q612" s="72">
        <f t="shared" ref="Q612" si="1185">+ROUND(IF(C612=20,PRODUCT(E612,F612,G612,L612),0),2)</f>
        <v>0</v>
      </c>
      <c r="R612" s="72">
        <f t="shared" ref="R612" si="1186">+ROUND(IF(C612=25,PRODUCT(E612,F612,G612,L612),0),2)</f>
        <v>0</v>
      </c>
    </row>
    <row r="613" spans="1:18" x14ac:dyDescent="0.25">
      <c r="A613" s="26"/>
      <c r="B613" s="104" t="s">
        <v>759</v>
      </c>
      <c r="C613" s="15">
        <v>8</v>
      </c>
      <c r="D613" s="16">
        <v>200</v>
      </c>
      <c r="E613" s="15">
        <v>2</v>
      </c>
      <c r="F613" s="11">
        <v>1</v>
      </c>
      <c r="G613" s="11">
        <f>+ROUND(0.8/(D613/1000)+1,0)/2</f>
        <v>2.5</v>
      </c>
      <c r="H613" s="95">
        <v>0.2</v>
      </c>
      <c r="I613" s="95">
        <v>2.85</v>
      </c>
      <c r="J613" s="100"/>
      <c r="K613" s="22"/>
      <c r="L613" s="72">
        <f t="shared" si="1150"/>
        <v>3.0500000000000003</v>
      </c>
      <c r="M613" s="72">
        <f t="shared" ref="M613" si="1187">+ROUND(IF(C613=8,PRODUCT(E613,F613,G613,L613),0),2)</f>
        <v>15.25</v>
      </c>
      <c r="N613" s="72">
        <f t="shared" ref="N613" si="1188">+ROUND(IF(C613=10,PRODUCT(E613,F613,G613,L613),0),2)</f>
        <v>0</v>
      </c>
      <c r="O613" s="72">
        <f t="shared" ref="O613" si="1189">+ROUND(IF(C613=12,PRODUCT(E613,F613,G613,L613),0),2)</f>
        <v>0</v>
      </c>
      <c r="P613" s="72">
        <f t="shared" ref="P613" si="1190">+ROUND(IF(C613=16,PRODUCT(E613,F613,G613,L613),0),2)</f>
        <v>0</v>
      </c>
      <c r="Q613" s="72">
        <f t="shared" ref="Q613" si="1191">+ROUND(IF(C613=20,PRODUCT(E613,F613,G613,L613),0),2)</f>
        <v>0</v>
      </c>
      <c r="R613" s="72">
        <f t="shared" ref="R613" si="1192">+ROUND(IF(C613=25,PRODUCT(E613,F613,G613,L613),0),2)</f>
        <v>0</v>
      </c>
    </row>
    <row r="614" spans="1:18" x14ac:dyDescent="0.25">
      <c r="A614" s="26"/>
      <c r="B614" s="25"/>
      <c r="C614" s="15"/>
      <c r="D614" s="16"/>
      <c r="E614" s="15"/>
      <c r="F614" s="11"/>
      <c r="G614" s="11"/>
      <c r="H614" s="95"/>
      <c r="I614" s="95"/>
      <c r="J614" s="100"/>
      <c r="K614" s="22"/>
      <c r="L614" s="72"/>
      <c r="M614" s="72"/>
      <c r="N614" s="72"/>
      <c r="O614" s="72"/>
      <c r="P614" s="72"/>
      <c r="Q614" s="72"/>
      <c r="R614" s="72"/>
    </row>
    <row r="615" spans="1:18" x14ac:dyDescent="0.25">
      <c r="A615" s="26"/>
      <c r="B615" s="45" t="s">
        <v>770</v>
      </c>
      <c r="C615" s="15"/>
      <c r="D615" s="16"/>
      <c r="E615" s="15"/>
      <c r="F615" s="11"/>
      <c r="G615" s="11"/>
      <c r="H615" s="95"/>
      <c r="I615" s="95"/>
      <c r="J615" s="100"/>
      <c r="K615" s="22"/>
      <c r="L615" s="72"/>
      <c r="M615" s="72">
        <f t="shared" si="1151"/>
        <v>0</v>
      </c>
      <c r="N615" s="72">
        <f t="shared" si="1152"/>
        <v>0</v>
      </c>
      <c r="O615" s="72">
        <f t="shared" si="1153"/>
        <v>0</v>
      </c>
      <c r="P615" s="72">
        <f t="shared" si="1154"/>
        <v>0</v>
      </c>
      <c r="Q615" s="72">
        <f t="shared" si="1155"/>
        <v>0</v>
      </c>
      <c r="R615" s="72">
        <f t="shared" si="1156"/>
        <v>0</v>
      </c>
    </row>
    <row r="616" spans="1:18" x14ac:dyDescent="0.25">
      <c r="A616" s="26"/>
      <c r="B616" s="104" t="s">
        <v>768</v>
      </c>
      <c r="C616" s="15">
        <v>8</v>
      </c>
      <c r="D616" s="16">
        <v>200</v>
      </c>
      <c r="E616" s="15">
        <v>2</v>
      </c>
      <c r="F616" s="11">
        <v>1</v>
      </c>
      <c r="G616" s="11">
        <f>+ROUND(1.5/(D616/1000)+1,0)</f>
        <v>9</v>
      </c>
      <c r="H616" s="95"/>
      <c r="I616" s="95">
        <f>0.175+1.035+0.175</f>
        <v>1.385</v>
      </c>
      <c r="J616" s="100"/>
      <c r="K616" s="22"/>
      <c r="L616" s="72">
        <f t="shared" ref="L616" si="1193">SUM(H616:J616)+K616</f>
        <v>1.385</v>
      </c>
      <c r="M616" s="72">
        <f t="shared" ref="M616" si="1194">+ROUND(IF(C616=8,PRODUCT(E616,F616,G616,L616),0),2)</f>
        <v>24.93</v>
      </c>
      <c r="N616" s="72">
        <f t="shared" ref="N616" si="1195">+ROUND(IF(C616=10,PRODUCT(E616,F616,G616,L616),0),2)</f>
        <v>0</v>
      </c>
      <c r="O616" s="72">
        <f t="shared" ref="O616" si="1196">+ROUND(IF(C616=12,PRODUCT(E616,F616,G616,L616),0),2)</f>
        <v>0</v>
      </c>
      <c r="P616" s="72">
        <f t="shared" ref="P616" si="1197">+ROUND(IF(C616=16,PRODUCT(E616,F616,G616,L616),0),2)</f>
        <v>0</v>
      </c>
      <c r="Q616" s="72">
        <f t="shared" ref="Q616" si="1198">+ROUND(IF(C616=20,PRODUCT(E616,F616,G616,L616),0),2)</f>
        <v>0</v>
      </c>
      <c r="R616" s="72">
        <f t="shared" ref="R616" si="1199">+ROUND(IF(C616=25,PRODUCT(E616,F616,G616,L616),0),2)</f>
        <v>0</v>
      </c>
    </row>
    <row r="617" spans="1:18" x14ac:dyDescent="0.25">
      <c r="A617" s="26"/>
      <c r="B617" s="104" t="s">
        <v>521</v>
      </c>
      <c r="C617" s="15">
        <v>8</v>
      </c>
      <c r="D617" s="16">
        <v>200</v>
      </c>
      <c r="E617" s="15">
        <v>2</v>
      </c>
      <c r="F617" s="11">
        <v>1</v>
      </c>
      <c r="G617" s="11">
        <f>+ROUND(1.035/(D617/1000)+1,0)</f>
        <v>6</v>
      </c>
      <c r="H617" s="95"/>
      <c r="I617" s="95">
        <f>0.175+1.5+0.175</f>
        <v>1.85</v>
      </c>
      <c r="J617" s="100"/>
      <c r="K617" s="47"/>
      <c r="L617" s="72">
        <f>SUM(H617:J617)+K617</f>
        <v>1.85</v>
      </c>
      <c r="M617" s="72">
        <f t="shared" si="1151"/>
        <v>22.2</v>
      </c>
      <c r="N617" s="72">
        <f t="shared" si="1152"/>
        <v>0</v>
      </c>
      <c r="O617" s="72">
        <f t="shared" si="1153"/>
        <v>0</v>
      </c>
      <c r="P617" s="72">
        <f t="shared" si="1154"/>
        <v>0</v>
      </c>
      <c r="Q617" s="72">
        <f t="shared" si="1155"/>
        <v>0</v>
      </c>
      <c r="R617" s="72">
        <f t="shared" si="1156"/>
        <v>0</v>
      </c>
    </row>
    <row r="618" spans="1:18" x14ac:dyDescent="0.25">
      <c r="A618" s="26"/>
      <c r="B618" s="104" t="s">
        <v>515</v>
      </c>
      <c r="C618" s="15">
        <v>8</v>
      </c>
      <c r="D618" s="16">
        <v>150</v>
      </c>
      <c r="E618" s="15">
        <v>2</v>
      </c>
      <c r="F618" s="11">
        <v>1</v>
      </c>
      <c r="G618" s="11">
        <v>10</v>
      </c>
      <c r="H618" s="95"/>
      <c r="I618" s="95">
        <v>1.23</v>
      </c>
      <c r="J618" s="100"/>
      <c r="K618" s="22"/>
      <c r="L618" s="72">
        <f>SUM(H618:J618)+K618</f>
        <v>1.23</v>
      </c>
      <c r="M618" s="72">
        <f t="shared" si="1151"/>
        <v>24.6</v>
      </c>
      <c r="N618" s="72">
        <f t="shared" si="1152"/>
        <v>0</v>
      </c>
      <c r="O618" s="72">
        <f t="shared" si="1153"/>
        <v>0</v>
      </c>
      <c r="P618" s="72">
        <f t="shared" si="1154"/>
        <v>0</v>
      </c>
      <c r="Q618" s="72">
        <f t="shared" si="1155"/>
        <v>0</v>
      </c>
      <c r="R618" s="72">
        <f t="shared" si="1156"/>
        <v>0</v>
      </c>
    </row>
    <row r="619" spans="1:18" x14ac:dyDescent="0.25">
      <c r="A619" s="26"/>
      <c r="B619" s="104" t="s">
        <v>515</v>
      </c>
      <c r="C619" s="15">
        <v>8</v>
      </c>
      <c r="D619" s="16">
        <v>150</v>
      </c>
      <c r="E619" s="15">
        <v>2</v>
      </c>
      <c r="F619" s="11">
        <v>1</v>
      </c>
      <c r="G619" s="11">
        <f>+ROUND(1.035/(D619/1000)+1,0)</f>
        <v>8</v>
      </c>
      <c r="H619" s="95"/>
      <c r="I619" s="95">
        <v>1.72</v>
      </c>
      <c r="J619" s="100"/>
      <c r="K619" s="22"/>
      <c r="L619" s="72">
        <f>SUM(H619:J619)+K619</f>
        <v>1.72</v>
      </c>
      <c r="M619" s="72">
        <f t="shared" si="1151"/>
        <v>27.52</v>
      </c>
      <c r="N619" s="72">
        <f t="shared" si="1152"/>
        <v>0</v>
      </c>
      <c r="O619" s="72">
        <f t="shared" si="1153"/>
        <v>0</v>
      </c>
      <c r="P619" s="72">
        <f t="shared" si="1154"/>
        <v>0</v>
      </c>
      <c r="Q619" s="72">
        <f t="shared" si="1155"/>
        <v>0</v>
      </c>
      <c r="R619" s="72">
        <f t="shared" si="1156"/>
        <v>0</v>
      </c>
    </row>
    <row r="620" spans="1:18" x14ac:dyDescent="0.25">
      <c r="A620" s="26"/>
      <c r="B620" s="25"/>
      <c r="C620" s="15"/>
      <c r="D620" s="16"/>
      <c r="E620" s="15"/>
      <c r="F620" s="11"/>
      <c r="G620" s="11"/>
      <c r="H620" s="95"/>
      <c r="I620" s="95"/>
      <c r="J620" s="100"/>
      <c r="K620" s="47"/>
      <c r="L620" s="72"/>
      <c r="M620" s="72"/>
      <c r="N620" s="72"/>
      <c r="O620" s="72"/>
      <c r="P620" s="72"/>
      <c r="Q620" s="72"/>
      <c r="R620" s="72"/>
    </row>
    <row r="621" spans="1:18" x14ac:dyDescent="0.25">
      <c r="A621" s="26"/>
      <c r="B621" s="45" t="s">
        <v>772</v>
      </c>
      <c r="C621" s="15"/>
      <c r="D621" s="16"/>
      <c r="E621" s="15"/>
      <c r="F621" s="11"/>
      <c r="G621" s="11"/>
      <c r="H621" s="95"/>
      <c r="I621" s="95"/>
      <c r="J621" s="100"/>
      <c r="K621" s="22"/>
      <c r="L621" s="72">
        <f t="shared" ref="L621:L641" si="1200">SUM(H621:J621)+K621</f>
        <v>0</v>
      </c>
      <c r="M621" s="72">
        <f t="shared" si="0"/>
        <v>0</v>
      </c>
      <c r="N621" s="72">
        <f t="shared" si="1"/>
        <v>0</v>
      </c>
      <c r="O621" s="72">
        <f t="shared" si="2"/>
        <v>0</v>
      </c>
      <c r="P621" s="72">
        <f t="shared" si="3"/>
        <v>0</v>
      </c>
      <c r="Q621" s="72">
        <f t="shared" si="4"/>
        <v>0</v>
      </c>
      <c r="R621" s="72">
        <f t="shared" si="5"/>
        <v>0</v>
      </c>
    </row>
    <row r="622" spans="1:18" x14ac:dyDescent="0.25">
      <c r="A622" s="26"/>
      <c r="B622" s="104" t="s">
        <v>771</v>
      </c>
      <c r="C622" s="15">
        <v>10</v>
      </c>
      <c r="D622" s="16">
        <v>150</v>
      </c>
      <c r="E622" s="15">
        <v>2</v>
      </c>
      <c r="F622" s="11">
        <v>1</v>
      </c>
      <c r="G622" s="11">
        <f>+ROUND(6.3/(D622/1000)+1,0)</f>
        <v>43</v>
      </c>
      <c r="H622" s="95">
        <v>0.25</v>
      </c>
      <c r="I622" s="95">
        <v>2.13</v>
      </c>
      <c r="J622" s="100">
        <v>0.4</v>
      </c>
      <c r="K622" s="22"/>
      <c r="L622" s="72">
        <f t="shared" si="1200"/>
        <v>2.78</v>
      </c>
      <c r="M622" s="72">
        <f t="shared" si="0"/>
        <v>0</v>
      </c>
      <c r="N622" s="72">
        <f t="shared" ref="N622" si="1201">+ROUND(IF(C622=10,PRODUCT(E622,F622,G622,L622),0),2)</f>
        <v>239.08</v>
      </c>
      <c r="O622" s="72">
        <f t="shared" si="2"/>
        <v>0</v>
      </c>
      <c r="P622" s="72">
        <f t="shared" si="3"/>
        <v>0</v>
      </c>
      <c r="Q622" s="72">
        <f t="shared" si="4"/>
        <v>0</v>
      </c>
      <c r="R622" s="72">
        <f t="shared" si="5"/>
        <v>0</v>
      </c>
    </row>
    <row r="623" spans="1:18" x14ac:dyDescent="0.25">
      <c r="A623" s="26"/>
      <c r="B623" s="104" t="s">
        <v>521</v>
      </c>
      <c r="C623" s="15">
        <v>8</v>
      </c>
      <c r="D623" s="16">
        <v>200</v>
      </c>
      <c r="E623" s="15">
        <v>2</v>
      </c>
      <c r="F623" s="11">
        <v>1</v>
      </c>
      <c r="G623" s="11">
        <f>+ROUND(2/(D623/1000)+1,0)</f>
        <v>11</v>
      </c>
      <c r="H623" s="95">
        <v>0.1</v>
      </c>
      <c r="I623" s="95">
        <f>6.3-0.05</f>
        <v>6.25</v>
      </c>
      <c r="J623" s="100">
        <v>0.1</v>
      </c>
      <c r="K623" s="22"/>
      <c r="L623" s="72">
        <f t="shared" ref="L623" si="1202">SUM(H623:J623)+K623</f>
        <v>6.4499999999999993</v>
      </c>
      <c r="M623" s="72">
        <f t="shared" ref="M623" si="1203">+ROUND(IF(C623=8,PRODUCT(E623,F623,G623,L623),0),2)</f>
        <v>141.9</v>
      </c>
      <c r="N623" s="72">
        <f t="shared" ref="N623" si="1204">+ROUND(IF(C623=10,PRODUCT(E623,F623,G623,L623),0),2)</f>
        <v>0</v>
      </c>
      <c r="O623" s="72">
        <f t="shared" ref="O623" si="1205">+ROUND(IF(C623=12,PRODUCT(E623,F623,G623,L623),0),2)</f>
        <v>0</v>
      </c>
      <c r="P623" s="72">
        <f t="shared" ref="P623" si="1206">+ROUND(IF(C623=16,PRODUCT(E623,F623,G623,L623),0),2)</f>
        <v>0</v>
      </c>
      <c r="Q623" s="72">
        <f t="shared" ref="Q623" si="1207">+ROUND(IF(C623=20,PRODUCT(E623,F623,G623,L623),0),2)</f>
        <v>0</v>
      </c>
      <c r="R623" s="72">
        <f t="shared" ref="R623" si="1208">+ROUND(IF(C623=25,PRODUCT(E623,F623,G623,L623),0),2)</f>
        <v>0</v>
      </c>
    </row>
    <row r="624" spans="1:18" x14ac:dyDescent="0.25">
      <c r="A624" s="26"/>
      <c r="B624" s="104" t="s">
        <v>773</v>
      </c>
      <c r="C624" s="15">
        <v>12</v>
      </c>
      <c r="D624" s="16">
        <v>100</v>
      </c>
      <c r="E624" s="15">
        <v>2</v>
      </c>
      <c r="F624" s="11">
        <v>1</v>
      </c>
      <c r="G624" s="11">
        <f>+ROUND(6.3/(D624/1000)+1,0)/2</f>
        <v>32</v>
      </c>
      <c r="H624" s="95"/>
      <c r="I624" s="95">
        <f>2+2.5-0.025</f>
        <v>4.4749999999999996</v>
      </c>
      <c r="J624" s="100">
        <v>0.1</v>
      </c>
      <c r="K624" s="22"/>
      <c r="L624" s="72">
        <f t="shared" si="1200"/>
        <v>4.5749999999999993</v>
      </c>
      <c r="M624" s="72">
        <f t="shared" si="0"/>
        <v>0</v>
      </c>
      <c r="N624" s="72">
        <f t="shared" si="1"/>
        <v>0</v>
      </c>
      <c r="O624" s="72">
        <f t="shared" si="2"/>
        <v>292.8</v>
      </c>
      <c r="P624" s="72">
        <f t="shared" si="3"/>
        <v>0</v>
      </c>
      <c r="Q624" s="72">
        <f t="shared" si="4"/>
        <v>0</v>
      </c>
      <c r="R624" s="72">
        <f t="shared" si="5"/>
        <v>0</v>
      </c>
    </row>
    <row r="625" spans="1:18" x14ac:dyDescent="0.25">
      <c r="A625" s="26"/>
      <c r="B625" s="104" t="s">
        <v>773</v>
      </c>
      <c r="C625" s="15">
        <v>10</v>
      </c>
      <c r="D625" s="16">
        <v>100</v>
      </c>
      <c r="E625" s="15">
        <v>2</v>
      </c>
      <c r="F625" s="11">
        <v>1</v>
      </c>
      <c r="G625" s="11">
        <f>+ROUND(6.3/(D625/1000)+1,0)/2</f>
        <v>32</v>
      </c>
      <c r="H625" s="95"/>
      <c r="I625" s="95">
        <f>1.35+0.2+2</f>
        <v>3.55</v>
      </c>
      <c r="J625" s="100"/>
      <c r="K625" s="22"/>
      <c r="L625" s="72">
        <f t="shared" si="1200"/>
        <v>3.55</v>
      </c>
      <c r="M625" s="72">
        <f t="shared" si="0"/>
        <v>0</v>
      </c>
      <c r="N625" s="72">
        <f t="shared" si="1"/>
        <v>227.2</v>
      </c>
      <c r="O625" s="72">
        <f t="shared" si="2"/>
        <v>0</v>
      </c>
      <c r="P625" s="72">
        <f t="shared" si="3"/>
        <v>0</v>
      </c>
      <c r="Q625" s="72">
        <f t="shared" si="4"/>
        <v>0</v>
      </c>
      <c r="R625" s="72">
        <f t="shared" si="5"/>
        <v>0</v>
      </c>
    </row>
    <row r="626" spans="1:18" x14ac:dyDescent="0.25">
      <c r="A626" s="26"/>
      <c r="B626" s="104" t="s">
        <v>774</v>
      </c>
      <c r="C626" s="15">
        <v>8</v>
      </c>
      <c r="D626" s="16">
        <v>200</v>
      </c>
      <c r="E626" s="15">
        <v>2</v>
      </c>
      <c r="F626" s="11">
        <v>2</v>
      </c>
      <c r="G626" s="11">
        <f>+ROUND(2/(D626/1000)+1,0)</f>
        <v>11</v>
      </c>
      <c r="H626" s="95">
        <v>0.1</v>
      </c>
      <c r="I626" s="95">
        <f>6.3-0.05</f>
        <v>6.25</v>
      </c>
      <c r="J626" s="100">
        <v>0.1</v>
      </c>
      <c r="K626" s="22"/>
      <c r="L626" s="72">
        <f t="shared" si="1200"/>
        <v>6.4499999999999993</v>
      </c>
      <c r="M626" s="72">
        <f t="shared" si="0"/>
        <v>283.8</v>
      </c>
      <c r="N626" s="72">
        <f t="shared" si="1"/>
        <v>0</v>
      </c>
      <c r="O626" s="72">
        <f t="shared" si="2"/>
        <v>0</v>
      </c>
      <c r="P626" s="72">
        <f t="shared" si="3"/>
        <v>0</v>
      </c>
      <c r="Q626" s="72">
        <f t="shared" si="4"/>
        <v>0</v>
      </c>
      <c r="R626" s="72">
        <f t="shared" si="5"/>
        <v>0</v>
      </c>
    </row>
    <row r="627" spans="1:18" x14ac:dyDescent="0.25">
      <c r="A627" s="26"/>
      <c r="B627" s="25"/>
      <c r="C627" s="15"/>
      <c r="D627" s="16"/>
      <c r="E627" s="15"/>
      <c r="F627" s="11"/>
      <c r="G627" s="11"/>
      <c r="H627" s="95"/>
      <c r="I627" s="95"/>
      <c r="J627" s="100"/>
      <c r="K627" s="22"/>
      <c r="L627" s="72"/>
      <c r="M627" s="72"/>
      <c r="N627" s="72"/>
      <c r="O627" s="72"/>
      <c r="P627" s="72"/>
      <c r="Q627" s="72"/>
      <c r="R627" s="72"/>
    </row>
    <row r="628" spans="1:18" x14ac:dyDescent="0.25">
      <c r="A628" s="26"/>
      <c r="B628" s="45" t="s">
        <v>775</v>
      </c>
      <c r="C628" s="15"/>
      <c r="D628" s="16"/>
      <c r="E628" s="15"/>
      <c r="F628" s="11"/>
      <c r="G628" s="11"/>
      <c r="H628" s="95"/>
      <c r="I628" s="95"/>
      <c r="J628" s="100"/>
      <c r="K628" s="22"/>
      <c r="L628" s="72">
        <f t="shared" si="1200"/>
        <v>0</v>
      </c>
      <c r="M628" s="72">
        <f t="shared" ref="M628:M633" si="1209">+ROUND(IF(C628=8,PRODUCT(E628,F628,G628,L628),0),2)</f>
        <v>0</v>
      </c>
      <c r="N628" s="72">
        <f t="shared" ref="N628:N633" si="1210">+ROUND(IF(C628=10,PRODUCT(E628,F628,G628,L628),0),2)</f>
        <v>0</v>
      </c>
      <c r="O628" s="72">
        <f t="shared" ref="O628:O633" si="1211">+ROUND(IF(C628=12,PRODUCT(E628,F628,G628,L628),0),2)</f>
        <v>0</v>
      </c>
      <c r="P628" s="72">
        <f t="shared" ref="P628:P633" si="1212">+ROUND(IF(C628=16,PRODUCT(E628,F628,G628,L628),0),2)</f>
        <v>0</v>
      </c>
      <c r="Q628" s="72">
        <f t="shared" ref="Q628:Q633" si="1213">+ROUND(IF(C628=20,PRODUCT(E628,F628,G628,L628),0),2)</f>
        <v>0</v>
      </c>
      <c r="R628" s="72">
        <f t="shared" ref="R628:R633" si="1214">+ROUND(IF(C628=25,PRODUCT(E628,F628,G628,L628),0),2)</f>
        <v>0</v>
      </c>
    </row>
    <row r="629" spans="1:18" x14ac:dyDescent="0.25">
      <c r="A629" s="26"/>
      <c r="B629" s="104" t="s">
        <v>771</v>
      </c>
      <c r="C629" s="15">
        <v>10</v>
      </c>
      <c r="D629" s="16">
        <v>150</v>
      </c>
      <c r="E629" s="15">
        <v>2</v>
      </c>
      <c r="F629" s="11">
        <v>1</v>
      </c>
      <c r="G629" s="11">
        <f>+ROUND(4.065/(D629/1000)+1,0)</f>
        <v>28</v>
      </c>
      <c r="H629" s="95">
        <v>0.25</v>
      </c>
      <c r="I629" s="95">
        <v>2.13</v>
      </c>
      <c r="J629" s="100">
        <v>0.4</v>
      </c>
      <c r="K629" s="22"/>
      <c r="L629" s="72">
        <f t="shared" ref="L629:L633" si="1215">SUM(H629:J629)+K629</f>
        <v>2.78</v>
      </c>
      <c r="M629" s="72">
        <f t="shared" si="1209"/>
        <v>0</v>
      </c>
      <c r="N629" s="72">
        <f t="shared" si="1210"/>
        <v>155.68</v>
      </c>
      <c r="O629" s="72">
        <f t="shared" si="1211"/>
        <v>0</v>
      </c>
      <c r="P629" s="72">
        <f t="shared" si="1212"/>
        <v>0</v>
      </c>
      <c r="Q629" s="72">
        <f t="shared" si="1213"/>
        <v>0</v>
      </c>
      <c r="R629" s="72">
        <f t="shared" si="1214"/>
        <v>0</v>
      </c>
    </row>
    <row r="630" spans="1:18" x14ac:dyDescent="0.25">
      <c r="A630" s="26"/>
      <c r="B630" s="104" t="s">
        <v>521</v>
      </c>
      <c r="C630" s="15">
        <v>8</v>
      </c>
      <c r="D630" s="16">
        <v>200</v>
      </c>
      <c r="E630" s="15">
        <v>2</v>
      </c>
      <c r="F630" s="11">
        <v>1</v>
      </c>
      <c r="G630" s="11">
        <f>+ROUND(2/(D630/1000)+1,0)</f>
        <v>11</v>
      </c>
      <c r="H630" s="95"/>
      <c r="I630" s="95">
        <f>4.065-0.05</f>
        <v>4.0150000000000006</v>
      </c>
      <c r="J630" s="100">
        <v>0.1</v>
      </c>
      <c r="K630" s="22"/>
      <c r="L630" s="72">
        <f t="shared" si="1215"/>
        <v>4.1150000000000002</v>
      </c>
      <c r="M630" s="72">
        <f t="shared" si="1209"/>
        <v>90.53</v>
      </c>
      <c r="N630" s="72">
        <f t="shared" si="1210"/>
        <v>0</v>
      </c>
      <c r="O630" s="72">
        <f t="shared" si="1211"/>
        <v>0</v>
      </c>
      <c r="P630" s="72">
        <f t="shared" si="1212"/>
        <v>0</v>
      </c>
      <c r="Q630" s="72">
        <f t="shared" si="1213"/>
        <v>0</v>
      </c>
      <c r="R630" s="72">
        <f t="shared" si="1214"/>
        <v>0</v>
      </c>
    </row>
    <row r="631" spans="1:18" x14ac:dyDescent="0.25">
      <c r="A631" s="26"/>
      <c r="B631" s="104" t="s">
        <v>773</v>
      </c>
      <c r="C631" s="15">
        <v>12</v>
      </c>
      <c r="D631" s="16">
        <v>100</v>
      </c>
      <c r="E631" s="15">
        <v>2</v>
      </c>
      <c r="F631" s="11">
        <v>1</v>
      </c>
      <c r="G631" s="11">
        <f>+ROUND(4.065/(D631/1000)+1,0)/2</f>
        <v>21</v>
      </c>
      <c r="H631" s="95"/>
      <c r="I631" s="95">
        <f>2+2.5-0.025</f>
        <v>4.4749999999999996</v>
      </c>
      <c r="J631" s="100">
        <v>0.1</v>
      </c>
      <c r="K631" s="22"/>
      <c r="L631" s="72">
        <f t="shared" si="1215"/>
        <v>4.5749999999999993</v>
      </c>
      <c r="M631" s="72">
        <f t="shared" si="1209"/>
        <v>0</v>
      </c>
      <c r="N631" s="72">
        <f t="shared" si="1210"/>
        <v>0</v>
      </c>
      <c r="O631" s="72">
        <f t="shared" si="1211"/>
        <v>192.15</v>
      </c>
      <c r="P631" s="72">
        <f t="shared" si="1212"/>
        <v>0</v>
      </c>
      <c r="Q631" s="72">
        <f t="shared" si="1213"/>
        <v>0</v>
      </c>
      <c r="R631" s="72">
        <f t="shared" si="1214"/>
        <v>0</v>
      </c>
    </row>
    <row r="632" spans="1:18" x14ac:dyDescent="0.25">
      <c r="A632" s="26"/>
      <c r="B632" s="104" t="s">
        <v>773</v>
      </c>
      <c r="C632" s="15">
        <v>10</v>
      </c>
      <c r="D632" s="16">
        <v>100</v>
      </c>
      <c r="E632" s="15">
        <v>2</v>
      </c>
      <c r="F632" s="11">
        <v>1</v>
      </c>
      <c r="G632" s="11">
        <f>+ROUND(4.065/(D632/1000)+1,0)/2</f>
        <v>21</v>
      </c>
      <c r="H632" s="95"/>
      <c r="I632" s="95">
        <f>1.35+0.2+2</f>
        <v>3.55</v>
      </c>
      <c r="J632" s="100"/>
      <c r="K632" s="22"/>
      <c r="L632" s="72">
        <f t="shared" si="1215"/>
        <v>3.55</v>
      </c>
      <c r="M632" s="72">
        <f t="shared" si="1209"/>
        <v>0</v>
      </c>
      <c r="N632" s="72">
        <f t="shared" si="1210"/>
        <v>149.1</v>
      </c>
      <c r="O632" s="72">
        <f t="shared" si="1211"/>
        <v>0</v>
      </c>
      <c r="P632" s="72">
        <f t="shared" si="1212"/>
        <v>0</v>
      </c>
      <c r="Q632" s="72">
        <f t="shared" si="1213"/>
        <v>0</v>
      </c>
      <c r="R632" s="72">
        <f t="shared" si="1214"/>
        <v>0</v>
      </c>
    </row>
    <row r="633" spans="1:18" x14ac:dyDescent="0.25">
      <c r="A633" s="26"/>
      <c r="B633" s="104" t="s">
        <v>774</v>
      </c>
      <c r="C633" s="15">
        <v>8</v>
      </c>
      <c r="D633" s="16">
        <v>200</v>
      </c>
      <c r="E633" s="15">
        <v>2</v>
      </c>
      <c r="F633" s="11">
        <v>2</v>
      </c>
      <c r="G633" s="11">
        <f>+ROUND(2/(D633/1000)+1,0)</f>
        <v>11</v>
      </c>
      <c r="H633" s="95">
        <v>0.1</v>
      </c>
      <c r="I633" s="95">
        <f>4.065-0.05</f>
        <v>4.0150000000000006</v>
      </c>
      <c r="J633" s="100">
        <v>0.1</v>
      </c>
      <c r="K633" s="22"/>
      <c r="L633" s="72">
        <f t="shared" si="1215"/>
        <v>4.2149999999999999</v>
      </c>
      <c r="M633" s="72">
        <f t="shared" si="1209"/>
        <v>185.46</v>
      </c>
      <c r="N633" s="72">
        <f t="shared" si="1210"/>
        <v>0</v>
      </c>
      <c r="O633" s="72">
        <f t="shared" si="1211"/>
        <v>0</v>
      </c>
      <c r="P633" s="72">
        <f t="shared" si="1212"/>
        <v>0</v>
      </c>
      <c r="Q633" s="72">
        <f t="shared" si="1213"/>
        <v>0</v>
      </c>
      <c r="R633" s="72">
        <f t="shared" si="1214"/>
        <v>0</v>
      </c>
    </row>
    <row r="634" spans="1:18" x14ac:dyDescent="0.25">
      <c r="A634" s="26"/>
      <c r="B634" s="25"/>
      <c r="C634" s="15"/>
      <c r="D634" s="16"/>
      <c r="E634" s="15"/>
      <c r="F634" s="11"/>
      <c r="G634" s="11"/>
      <c r="H634" s="95"/>
      <c r="I634" s="95"/>
      <c r="J634" s="100"/>
      <c r="K634" s="22"/>
      <c r="L634" s="72"/>
      <c r="M634" s="72"/>
      <c r="N634" s="72"/>
      <c r="O634" s="72"/>
      <c r="P634" s="72"/>
      <c r="Q634" s="72"/>
      <c r="R634" s="72"/>
    </row>
    <row r="635" spans="1:18" x14ac:dyDescent="0.25">
      <c r="A635" s="26"/>
      <c r="B635" s="45" t="s">
        <v>776</v>
      </c>
      <c r="C635" s="15"/>
      <c r="D635" s="16"/>
      <c r="E635" s="15"/>
      <c r="F635" s="11"/>
      <c r="G635" s="11"/>
      <c r="H635" s="95"/>
      <c r="I635" s="95"/>
      <c r="J635" s="100"/>
      <c r="K635" s="22"/>
      <c r="L635" s="72">
        <f t="shared" si="1200"/>
        <v>0</v>
      </c>
      <c r="M635" s="72">
        <f t="shared" ref="M635:M641" si="1216">+ROUND(IF(C635=8,PRODUCT(E635,F635,G635,L635),0),2)</f>
        <v>0</v>
      </c>
      <c r="N635" s="72">
        <f t="shared" ref="N635:N641" si="1217">+ROUND(IF(C635=10,PRODUCT(E635,F635,G635,L635),0),2)</f>
        <v>0</v>
      </c>
      <c r="O635" s="72">
        <f t="shared" ref="O635:O641" si="1218">+ROUND(IF(C635=12,PRODUCT(E635,F635,G635,L635),0),2)</f>
        <v>0</v>
      </c>
      <c r="P635" s="72">
        <f t="shared" ref="P635:P641" si="1219">+ROUND(IF(C635=16,PRODUCT(E635,F635,G635,L635),0),2)</f>
        <v>0</v>
      </c>
      <c r="Q635" s="72">
        <f t="shared" ref="Q635:Q641" si="1220">+ROUND(IF(C635=20,PRODUCT(E635,F635,G635,L635),0),2)</f>
        <v>0</v>
      </c>
      <c r="R635" s="72">
        <f t="shared" ref="R635:R641" si="1221">+ROUND(IF(C635=25,PRODUCT(E635,F635,G635,L635),0),2)</f>
        <v>0</v>
      </c>
    </row>
    <row r="636" spans="1:18" x14ac:dyDescent="0.25">
      <c r="A636" s="26"/>
      <c r="B636" s="104" t="s">
        <v>771</v>
      </c>
      <c r="C636" s="15">
        <v>10</v>
      </c>
      <c r="D636" s="16">
        <v>150</v>
      </c>
      <c r="E636" s="15">
        <v>2</v>
      </c>
      <c r="F636" s="11">
        <v>1</v>
      </c>
      <c r="G636" s="11">
        <v>3</v>
      </c>
      <c r="H636" s="95"/>
      <c r="I636" s="95">
        <v>1.5</v>
      </c>
      <c r="J636" s="100"/>
      <c r="K636" s="22"/>
      <c r="L636" s="72">
        <f t="shared" si="1200"/>
        <v>1.5</v>
      </c>
      <c r="M636" s="72">
        <f t="shared" si="1216"/>
        <v>0</v>
      </c>
      <c r="N636" s="72">
        <f t="shared" si="1217"/>
        <v>9</v>
      </c>
      <c r="O636" s="72">
        <f t="shared" si="1218"/>
        <v>0</v>
      </c>
      <c r="P636" s="72">
        <f t="shared" si="1219"/>
        <v>0</v>
      </c>
      <c r="Q636" s="72">
        <f t="shared" si="1220"/>
        <v>0</v>
      </c>
      <c r="R636" s="72">
        <f t="shared" si="1221"/>
        <v>0</v>
      </c>
    </row>
    <row r="637" spans="1:18" x14ac:dyDescent="0.25">
      <c r="A637" s="26"/>
      <c r="B637" s="104" t="s">
        <v>771</v>
      </c>
      <c r="C637" s="15">
        <v>10</v>
      </c>
      <c r="D637" s="16">
        <v>150</v>
      </c>
      <c r="E637" s="15">
        <v>2</v>
      </c>
      <c r="F637" s="11">
        <v>1</v>
      </c>
      <c r="G637" s="11">
        <v>9</v>
      </c>
      <c r="H637" s="95">
        <v>0.05</v>
      </c>
      <c r="I637" s="95">
        <v>2.1</v>
      </c>
      <c r="J637" s="100">
        <v>0.4</v>
      </c>
      <c r="K637" s="22"/>
      <c r="L637" s="72">
        <f t="shared" ref="L637" si="1222">SUM(H637:J637)+K637</f>
        <v>2.5499999999999998</v>
      </c>
      <c r="M637" s="72">
        <f t="shared" ref="M637" si="1223">+ROUND(IF(C637=8,PRODUCT(E637,F637,G637,L637),0),2)</f>
        <v>0</v>
      </c>
      <c r="N637" s="72">
        <f t="shared" ref="N637" si="1224">+ROUND(IF(C637=10,PRODUCT(E637,F637,G637,L637),0),2)</f>
        <v>45.9</v>
      </c>
      <c r="O637" s="72">
        <f t="shared" ref="O637" si="1225">+ROUND(IF(C637=12,PRODUCT(E637,F637,G637,L637),0),2)</f>
        <v>0</v>
      </c>
      <c r="P637" s="72">
        <f t="shared" ref="P637" si="1226">+ROUND(IF(C637=16,PRODUCT(E637,F637,G637,L637),0),2)</f>
        <v>0</v>
      </c>
      <c r="Q637" s="72">
        <f t="shared" ref="Q637" si="1227">+ROUND(IF(C637=20,PRODUCT(E637,F637,G637,L637),0),2)</f>
        <v>0</v>
      </c>
      <c r="R637" s="72">
        <f t="shared" ref="R637" si="1228">+ROUND(IF(C637=25,PRODUCT(E637,F637,G637,L637),0),2)</f>
        <v>0</v>
      </c>
    </row>
    <row r="638" spans="1:18" x14ac:dyDescent="0.25">
      <c r="A638" s="26"/>
      <c r="B638" s="104" t="s">
        <v>521</v>
      </c>
      <c r="C638" s="15">
        <v>8</v>
      </c>
      <c r="D638" s="16">
        <v>200</v>
      </c>
      <c r="E638" s="15">
        <v>2</v>
      </c>
      <c r="F638" s="11">
        <v>1</v>
      </c>
      <c r="G638" s="11">
        <v>6</v>
      </c>
      <c r="H638" s="95"/>
      <c r="I638" s="95">
        <f>1.845-0.05</f>
        <v>1.7949999999999999</v>
      </c>
      <c r="J638" s="100">
        <v>0.1</v>
      </c>
      <c r="K638" s="22"/>
      <c r="L638" s="72">
        <f t="shared" si="1200"/>
        <v>1.895</v>
      </c>
      <c r="M638" s="72">
        <f t="shared" si="1216"/>
        <v>22.74</v>
      </c>
      <c r="N638" s="72">
        <f t="shared" si="1217"/>
        <v>0</v>
      </c>
      <c r="O638" s="72">
        <f t="shared" si="1218"/>
        <v>0</v>
      </c>
      <c r="P638" s="72">
        <f t="shared" si="1219"/>
        <v>0</v>
      </c>
      <c r="Q638" s="72">
        <f t="shared" si="1220"/>
        <v>0</v>
      </c>
      <c r="R638" s="72">
        <f t="shared" si="1221"/>
        <v>0</v>
      </c>
    </row>
    <row r="639" spans="1:18" x14ac:dyDescent="0.25">
      <c r="A639" s="26"/>
      <c r="B639" s="104" t="s">
        <v>773</v>
      </c>
      <c r="C639" s="15">
        <v>12</v>
      </c>
      <c r="D639" s="16">
        <v>100</v>
      </c>
      <c r="E639" s="15">
        <v>2</v>
      </c>
      <c r="F639" s="11">
        <v>1</v>
      </c>
      <c r="G639" s="11">
        <v>7</v>
      </c>
      <c r="H639" s="95"/>
      <c r="I639" s="95">
        <v>4.6749999999999998</v>
      </c>
      <c r="J639" s="100">
        <v>0.1</v>
      </c>
      <c r="K639" s="22"/>
      <c r="L639" s="72">
        <f t="shared" si="1200"/>
        <v>4.7749999999999995</v>
      </c>
      <c r="M639" s="72">
        <f t="shared" si="1216"/>
        <v>0</v>
      </c>
      <c r="N639" s="72">
        <f t="shared" si="1217"/>
        <v>0</v>
      </c>
      <c r="O639" s="72">
        <f t="shared" si="1218"/>
        <v>66.849999999999994</v>
      </c>
      <c r="P639" s="72">
        <f t="shared" si="1219"/>
        <v>0</v>
      </c>
      <c r="Q639" s="72">
        <f t="shared" si="1220"/>
        <v>0</v>
      </c>
      <c r="R639" s="72">
        <f t="shared" si="1221"/>
        <v>0</v>
      </c>
    </row>
    <row r="640" spans="1:18" x14ac:dyDescent="0.25">
      <c r="A640" s="26"/>
      <c r="B640" s="104" t="s">
        <v>773</v>
      </c>
      <c r="C640" s="15">
        <v>10</v>
      </c>
      <c r="D640" s="16">
        <v>100</v>
      </c>
      <c r="E640" s="15">
        <v>2</v>
      </c>
      <c r="F640" s="11">
        <v>1</v>
      </c>
      <c r="G640" s="11">
        <f>+ROUND(1.845/(D640/1000)+1,0)/2</f>
        <v>9.5</v>
      </c>
      <c r="H640" s="95"/>
      <c r="I640" s="95">
        <f>1.35+0.2+2</f>
        <v>3.55</v>
      </c>
      <c r="J640" s="100"/>
      <c r="K640" s="22"/>
      <c r="L640" s="72">
        <f t="shared" si="1200"/>
        <v>3.55</v>
      </c>
      <c r="M640" s="72">
        <f t="shared" si="1216"/>
        <v>0</v>
      </c>
      <c r="N640" s="72">
        <f t="shared" si="1217"/>
        <v>67.45</v>
      </c>
      <c r="O640" s="72">
        <f t="shared" si="1218"/>
        <v>0</v>
      </c>
      <c r="P640" s="72">
        <f t="shared" si="1219"/>
        <v>0</v>
      </c>
      <c r="Q640" s="72">
        <f t="shared" si="1220"/>
        <v>0</v>
      </c>
      <c r="R640" s="72">
        <f t="shared" si="1221"/>
        <v>0</v>
      </c>
    </row>
    <row r="641" spans="1:18" x14ac:dyDescent="0.25">
      <c r="A641" s="26"/>
      <c r="B641" s="104" t="s">
        <v>774</v>
      </c>
      <c r="C641" s="15">
        <v>8</v>
      </c>
      <c r="D641" s="16">
        <v>200</v>
      </c>
      <c r="E641" s="15">
        <v>2</v>
      </c>
      <c r="F641" s="11">
        <v>2</v>
      </c>
      <c r="G641" s="11">
        <v>6</v>
      </c>
      <c r="H641" s="95"/>
      <c r="I641" s="95">
        <f>1.845-0.05</f>
        <v>1.7949999999999999</v>
      </c>
      <c r="J641" s="100"/>
      <c r="K641" s="22"/>
      <c r="L641" s="72">
        <f t="shared" si="1200"/>
        <v>1.7949999999999999</v>
      </c>
      <c r="M641" s="72">
        <f t="shared" si="1216"/>
        <v>43.08</v>
      </c>
      <c r="N641" s="72">
        <f t="shared" si="1217"/>
        <v>0</v>
      </c>
      <c r="O641" s="72">
        <f t="shared" si="1218"/>
        <v>0</v>
      </c>
      <c r="P641" s="72">
        <f t="shared" si="1219"/>
        <v>0</v>
      </c>
      <c r="Q641" s="72">
        <f t="shared" si="1220"/>
        <v>0</v>
      </c>
      <c r="R641" s="72">
        <f t="shared" si="1221"/>
        <v>0</v>
      </c>
    </row>
    <row r="642" spans="1:18" x14ac:dyDescent="0.25">
      <c r="A642" s="26"/>
      <c r="B642" s="104" t="s">
        <v>774</v>
      </c>
      <c r="C642" s="15">
        <v>8</v>
      </c>
      <c r="D642" s="16">
        <v>200</v>
      </c>
      <c r="E642" s="15">
        <v>2</v>
      </c>
      <c r="F642" s="11">
        <v>2</v>
      </c>
      <c r="G642" s="11">
        <v>4</v>
      </c>
      <c r="H642" s="95"/>
      <c r="I642" s="95">
        <v>1.7</v>
      </c>
      <c r="J642" s="100"/>
      <c r="K642" s="22"/>
      <c r="L642" s="72">
        <f t="shared" ref="L642" si="1229">SUM(H642:J642)+K642</f>
        <v>1.7</v>
      </c>
      <c r="M642" s="72">
        <f t="shared" ref="M642" si="1230">+ROUND(IF(C642=8,PRODUCT(E642,F642,G642,L642),0),2)</f>
        <v>27.2</v>
      </c>
      <c r="N642" s="72">
        <f t="shared" ref="N642" si="1231">+ROUND(IF(C642=10,PRODUCT(E642,F642,G642,L642),0),2)</f>
        <v>0</v>
      </c>
      <c r="O642" s="72">
        <f t="shared" ref="O642" si="1232">+ROUND(IF(C642=12,PRODUCT(E642,F642,G642,L642),0),2)</f>
        <v>0</v>
      </c>
      <c r="P642" s="72">
        <f t="shared" ref="P642" si="1233">+ROUND(IF(C642=16,PRODUCT(E642,F642,G642,L642),0),2)</f>
        <v>0</v>
      </c>
      <c r="Q642" s="72">
        <f t="shared" ref="Q642" si="1234">+ROUND(IF(C642=20,PRODUCT(E642,F642,G642,L642),0),2)</f>
        <v>0</v>
      </c>
      <c r="R642" s="72">
        <f t="shared" ref="R642" si="1235">+ROUND(IF(C642=25,PRODUCT(E642,F642,G642,L642),0),2)</f>
        <v>0</v>
      </c>
    </row>
    <row r="643" spans="1:18" x14ac:dyDescent="0.25">
      <c r="A643" s="26"/>
      <c r="B643" s="104" t="s">
        <v>774</v>
      </c>
      <c r="C643" s="15">
        <v>8</v>
      </c>
      <c r="D643" s="16">
        <v>200</v>
      </c>
      <c r="E643" s="15">
        <v>2</v>
      </c>
      <c r="F643" s="11">
        <v>2</v>
      </c>
      <c r="G643" s="11">
        <v>4</v>
      </c>
      <c r="H643" s="95"/>
      <c r="I643" s="95">
        <v>1.7</v>
      </c>
      <c r="J643" s="100"/>
      <c r="K643" s="22"/>
      <c r="L643" s="72">
        <f t="shared" ref="L643" si="1236">SUM(H643:J643)+K643</f>
        <v>1.7</v>
      </c>
      <c r="M643" s="72">
        <f t="shared" ref="M643" si="1237">+ROUND(IF(C643=8,PRODUCT(E643,F643,G643,L643),0),2)</f>
        <v>27.2</v>
      </c>
      <c r="N643" s="72">
        <f t="shared" ref="N643" si="1238">+ROUND(IF(C643=10,PRODUCT(E643,F643,G643,L643),0),2)</f>
        <v>0</v>
      </c>
      <c r="O643" s="72">
        <f t="shared" ref="O643" si="1239">+ROUND(IF(C643=12,PRODUCT(E643,F643,G643,L643),0),2)</f>
        <v>0</v>
      </c>
      <c r="P643" s="72">
        <f t="shared" ref="P643" si="1240">+ROUND(IF(C643=16,PRODUCT(E643,F643,G643,L643),0),2)</f>
        <v>0</v>
      </c>
      <c r="Q643" s="72">
        <f t="shared" ref="Q643" si="1241">+ROUND(IF(C643=20,PRODUCT(E643,F643,G643,L643),0),2)</f>
        <v>0</v>
      </c>
      <c r="R643" s="72">
        <f t="shared" ref="R643" si="1242">+ROUND(IF(C643=25,PRODUCT(E643,F643,G643,L643),0),2)</f>
        <v>0</v>
      </c>
    </row>
    <row r="644" spans="1:18" x14ac:dyDescent="0.25">
      <c r="A644" s="26"/>
      <c r="B644" s="45"/>
      <c r="C644" s="15"/>
      <c r="D644" s="16"/>
      <c r="E644" s="15"/>
      <c r="F644" s="11"/>
      <c r="G644" s="11"/>
      <c r="H644" s="95"/>
      <c r="I644" s="95"/>
      <c r="J644" s="100"/>
      <c r="K644" s="47"/>
      <c r="L644" s="72"/>
      <c r="M644" s="72"/>
      <c r="N644" s="72"/>
      <c r="O644" s="72"/>
      <c r="P644" s="72"/>
      <c r="Q644" s="72"/>
      <c r="R644" s="72"/>
    </row>
    <row r="645" spans="1:18" x14ac:dyDescent="0.25">
      <c r="A645" s="26"/>
      <c r="B645" s="48" t="s">
        <v>796</v>
      </c>
      <c r="C645" s="15"/>
      <c r="D645" s="16"/>
      <c r="E645" s="15"/>
      <c r="F645" s="11"/>
      <c r="G645" s="11"/>
      <c r="H645" s="95"/>
      <c r="I645" s="95"/>
      <c r="J645" s="100"/>
      <c r="K645" s="22"/>
      <c r="L645" s="72">
        <f>SUM(H645:J645)+K645</f>
        <v>0</v>
      </c>
      <c r="M645" s="72">
        <f t="shared" ref="M645:M659" si="1243">+ROUND(IF(C645=8,PRODUCT(E645,F645,G645,L645),0),2)</f>
        <v>0</v>
      </c>
      <c r="N645" s="72">
        <f t="shared" ref="N645:N659" si="1244">+ROUND(IF(C645=10,PRODUCT(E645,F645,G645,L645),0),2)</f>
        <v>0</v>
      </c>
      <c r="O645" s="72">
        <f t="shared" ref="O645:O659" si="1245">+ROUND(IF(C645=12,PRODUCT(E645,F645,G645,L645),0),2)</f>
        <v>0</v>
      </c>
      <c r="P645" s="72">
        <f t="shared" ref="P645:P659" si="1246">+ROUND(IF(C645=16,PRODUCT(E645,F645,G645,L645),0),2)</f>
        <v>0</v>
      </c>
      <c r="Q645" s="72">
        <f t="shared" ref="Q645:Q659" si="1247">+ROUND(IF(C645=20,PRODUCT(E645,F645,G645,L645),0),2)</f>
        <v>0</v>
      </c>
      <c r="R645" s="72">
        <f t="shared" ref="R645:R659" si="1248">+ROUND(IF(C645=25,PRODUCT(E645,F645,G645,L645),0),2)</f>
        <v>0</v>
      </c>
    </row>
    <row r="646" spans="1:18" x14ac:dyDescent="0.25">
      <c r="A646" s="26"/>
      <c r="B646" s="45" t="s">
        <v>780</v>
      </c>
      <c r="C646" s="15"/>
      <c r="D646" s="16"/>
      <c r="E646" s="15"/>
      <c r="F646" s="11"/>
      <c r="G646" s="11"/>
      <c r="H646" s="95"/>
      <c r="I646" s="95"/>
      <c r="J646" s="100"/>
      <c r="K646" s="22"/>
      <c r="L646" s="72"/>
      <c r="M646" s="72">
        <f t="shared" si="1243"/>
        <v>0</v>
      </c>
      <c r="N646" s="72">
        <f t="shared" si="1244"/>
        <v>0</v>
      </c>
      <c r="O646" s="72">
        <f t="shared" si="1245"/>
        <v>0</v>
      </c>
      <c r="P646" s="72">
        <f t="shared" si="1246"/>
        <v>0</v>
      </c>
      <c r="Q646" s="72">
        <f t="shared" si="1247"/>
        <v>0</v>
      </c>
      <c r="R646" s="72">
        <f t="shared" si="1248"/>
        <v>0</v>
      </c>
    </row>
    <row r="647" spans="1:18" x14ac:dyDescent="0.25">
      <c r="A647" s="26"/>
      <c r="B647" s="104" t="s">
        <v>758</v>
      </c>
      <c r="C647" s="15">
        <v>8</v>
      </c>
      <c r="D647" s="16">
        <v>200</v>
      </c>
      <c r="E647" s="15">
        <v>2</v>
      </c>
      <c r="F647" s="11">
        <v>1</v>
      </c>
      <c r="G647" s="11">
        <f>+ROUND(3.56/(D647/1000)+1,0)</f>
        <v>19</v>
      </c>
      <c r="H647" s="95"/>
      <c r="I647" s="95">
        <f>3.205+0.175+0.175</f>
        <v>3.5549999999999997</v>
      </c>
      <c r="J647" s="100"/>
      <c r="K647" s="22"/>
      <c r="L647" s="72">
        <f t="shared" ref="L647" si="1249">SUM(H647:J647)+K647</f>
        <v>3.5549999999999997</v>
      </c>
      <c r="M647" s="72">
        <f t="shared" si="1243"/>
        <v>135.09</v>
      </c>
      <c r="N647" s="72">
        <f t="shared" si="1244"/>
        <v>0</v>
      </c>
      <c r="O647" s="72">
        <f t="shared" si="1245"/>
        <v>0</v>
      </c>
      <c r="P647" s="72">
        <f t="shared" si="1246"/>
        <v>0</v>
      </c>
      <c r="Q647" s="72">
        <f t="shared" si="1247"/>
        <v>0</v>
      </c>
      <c r="R647" s="72">
        <f t="shared" si="1248"/>
        <v>0</v>
      </c>
    </row>
    <row r="648" spans="1:18" x14ac:dyDescent="0.25">
      <c r="A648" s="26"/>
      <c r="B648" s="104" t="s">
        <v>521</v>
      </c>
      <c r="C648" s="15">
        <v>8</v>
      </c>
      <c r="D648" s="16">
        <v>200</v>
      </c>
      <c r="E648" s="15">
        <v>2</v>
      </c>
      <c r="F648" s="11">
        <v>1</v>
      </c>
      <c r="G648" s="11">
        <f>+ROUND(3.205/(D648/1000)+1,0)</f>
        <v>17</v>
      </c>
      <c r="H648" s="95"/>
      <c r="I648" s="95">
        <f>0.175+3.56+0.2+0.5</f>
        <v>4.4350000000000005</v>
      </c>
      <c r="J648" s="100"/>
      <c r="K648" s="47"/>
      <c r="L648" s="72">
        <f>SUM(H648:J648)+K648</f>
        <v>4.4350000000000005</v>
      </c>
      <c r="M648" s="72">
        <f t="shared" si="1243"/>
        <v>150.79</v>
      </c>
      <c r="N648" s="72">
        <f t="shared" si="1244"/>
        <v>0</v>
      </c>
      <c r="O648" s="72">
        <f t="shared" si="1245"/>
        <v>0</v>
      </c>
      <c r="P648" s="72">
        <f t="shared" si="1246"/>
        <v>0</v>
      </c>
      <c r="Q648" s="72">
        <f t="shared" si="1247"/>
        <v>0</v>
      </c>
      <c r="R648" s="72">
        <f t="shared" si="1248"/>
        <v>0</v>
      </c>
    </row>
    <row r="649" spans="1:18" x14ac:dyDescent="0.25">
      <c r="A649" s="26"/>
      <c r="B649" s="104" t="s">
        <v>512</v>
      </c>
      <c r="C649" s="15">
        <v>8</v>
      </c>
      <c r="D649" s="16">
        <v>200</v>
      </c>
      <c r="E649" s="15">
        <v>2</v>
      </c>
      <c r="F649" s="11">
        <v>1</v>
      </c>
      <c r="G649" s="11">
        <f>+ROUND(3.205/(D649/1000)+1,0)</f>
        <v>17</v>
      </c>
      <c r="H649" s="95">
        <v>0.1</v>
      </c>
      <c r="I649" s="95">
        <f>0.55+0.175</f>
        <v>0.72500000000000009</v>
      </c>
      <c r="J649" s="100"/>
      <c r="K649" s="22"/>
      <c r="L649" s="72">
        <f>SUM(H649:J649)+K649</f>
        <v>0.82500000000000007</v>
      </c>
      <c r="M649" s="72">
        <f t="shared" si="1243"/>
        <v>28.05</v>
      </c>
      <c r="N649" s="72">
        <f t="shared" si="1244"/>
        <v>0</v>
      </c>
      <c r="O649" s="72">
        <f t="shared" si="1245"/>
        <v>0</v>
      </c>
      <c r="P649" s="72">
        <f t="shared" si="1246"/>
        <v>0</v>
      </c>
      <c r="Q649" s="72">
        <f t="shared" si="1247"/>
        <v>0</v>
      </c>
      <c r="R649" s="72">
        <f t="shared" si="1248"/>
        <v>0</v>
      </c>
    </row>
    <row r="650" spans="1:18" x14ac:dyDescent="0.25">
      <c r="A650" s="26"/>
      <c r="B650" s="104" t="s">
        <v>514</v>
      </c>
      <c r="C650" s="15">
        <v>8</v>
      </c>
      <c r="D650" s="16">
        <v>100</v>
      </c>
      <c r="E650" s="15">
        <v>2</v>
      </c>
      <c r="F650" s="11">
        <v>1</v>
      </c>
      <c r="G650" s="11">
        <f>+ROUND(3.56/(D650/1000)+1,0)/2</f>
        <v>18.5</v>
      </c>
      <c r="H650" s="95"/>
      <c r="I650" s="95">
        <f>0.1+1.1</f>
        <v>1.2000000000000002</v>
      </c>
      <c r="J650" s="100"/>
      <c r="K650" s="22"/>
      <c r="L650" s="72">
        <f t="shared" ref="L650" si="1250">SUM(H650:J650)+K650</f>
        <v>1.2000000000000002</v>
      </c>
      <c r="M650" s="72">
        <f t="shared" si="1243"/>
        <v>44.4</v>
      </c>
      <c r="N650" s="72">
        <f t="shared" si="1244"/>
        <v>0</v>
      </c>
      <c r="O650" s="72">
        <f t="shared" si="1245"/>
        <v>0</v>
      </c>
      <c r="P650" s="72">
        <f t="shared" si="1246"/>
        <v>0</v>
      </c>
      <c r="Q650" s="72">
        <f t="shared" si="1247"/>
        <v>0</v>
      </c>
      <c r="R650" s="72">
        <f t="shared" si="1248"/>
        <v>0</v>
      </c>
    </row>
    <row r="651" spans="1:18" x14ac:dyDescent="0.25">
      <c r="A651" s="26"/>
      <c r="B651" s="104" t="s">
        <v>514</v>
      </c>
      <c r="C651" s="15">
        <v>8</v>
      </c>
      <c r="D651" s="16">
        <v>100</v>
      </c>
      <c r="E651" s="15">
        <v>2</v>
      </c>
      <c r="F651" s="11">
        <v>1</v>
      </c>
      <c r="G651" s="11">
        <v>18</v>
      </c>
      <c r="H651" s="95"/>
      <c r="I651" s="95">
        <f>0.1+0.55</f>
        <v>0.65</v>
      </c>
      <c r="J651" s="100"/>
      <c r="K651" s="22"/>
      <c r="L651" s="72">
        <f>SUM(H651:J651)+K651</f>
        <v>0.65</v>
      </c>
      <c r="M651" s="72">
        <f t="shared" si="1243"/>
        <v>23.4</v>
      </c>
      <c r="N651" s="72">
        <f t="shared" si="1244"/>
        <v>0</v>
      </c>
      <c r="O651" s="72">
        <f t="shared" si="1245"/>
        <v>0</v>
      </c>
      <c r="P651" s="72">
        <f t="shared" si="1246"/>
        <v>0</v>
      </c>
      <c r="Q651" s="72">
        <f t="shared" si="1247"/>
        <v>0</v>
      </c>
      <c r="R651" s="72">
        <f t="shared" si="1248"/>
        <v>0</v>
      </c>
    </row>
    <row r="652" spans="1:18" x14ac:dyDescent="0.25">
      <c r="A652" s="26"/>
      <c r="B652" s="104" t="s">
        <v>515</v>
      </c>
      <c r="C652" s="15">
        <v>8</v>
      </c>
      <c r="D652" s="16">
        <v>150</v>
      </c>
      <c r="E652" s="15">
        <v>2</v>
      </c>
      <c r="F652" s="11">
        <v>1</v>
      </c>
      <c r="G652" s="11">
        <f>+ROUND(3.56/(D652/1000)+1,0)/2</f>
        <v>12.5</v>
      </c>
      <c r="H652" s="95"/>
      <c r="I652" s="95">
        <f>0.1+1.1</f>
        <v>1.2000000000000002</v>
      </c>
      <c r="J652" s="100"/>
      <c r="K652" s="22"/>
      <c r="L652" s="72">
        <f t="shared" ref="L652" si="1251">SUM(H652:J652)+K652</f>
        <v>1.2000000000000002</v>
      </c>
      <c r="M652" s="72">
        <f t="shared" ref="M652:M653" si="1252">+ROUND(IF(C652=8,PRODUCT(E652,F652,G652,L652),0),2)</f>
        <v>30</v>
      </c>
      <c r="N652" s="72">
        <f t="shared" ref="N652:N653" si="1253">+ROUND(IF(C652=10,PRODUCT(E652,F652,G652,L652),0),2)</f>
        <v>0</v>
      </c>
      <c r="O652" s="72">
        <f t="shared" ref="O652:O653" si="1254">+ROUND(IF(C652=12,PRODUCT(E652,F652,G652,L652),0),2)</f>
        <v>0</v>
      </c>
      <c r="P652" s="72">
        <f t="shared" ref="P652:P653" si="1255">+ROUND(IF(C652=16,PRODUCT(E652,F652,G652,L652),0),2)</f>
        <v>0</v>
      </c>
      <c r="Q652" s="72">
        <f t="shared" ref="Q652:Q653" si="1256">+ROUND(IF(C652=20,PRODUCT(E652,F652,G652,L652),0),2)</f>
        <v>0</v>
      </c>
      <c r="R652" s="72">
        <f t="shared" ref="R652:R653" si="1257">+ROUND(IF(C652=25,PRODUCT(E652,F652,G652,L652),0),2)</f>
        <v>0</v>
      </c>
    </row>
    <row r="653" spans="1:18" x14ac:dyDescent="0.25">
      <c r="A653" s="26"/>
      <c r="B653" s="104" t="s">
        <v>515</v>
      </c>
      <c r="C653" s="15">
        <v>8</v>
      </c>
      <c r="D653" s="16">
        <v>150</v>
      </c>
      <c r="E653" s="15">
        <v>2</v>
      </c>
      <c r="F653" s="11">
        <v>1</v>
      </c>
      <c r="G653" s="11">
        <v>12</v>
      </c>
      <c r="H653" s="95"/>
      <c r="I653" s="95">
        <f>0.1+0.55</f>
        <v>0.65</v>
      </c>
      <c r="J653" s="100"/>
      <c r="K653" s="22"/>
      <c r="L653" s="72">
        <f t="shared" ref="L653:L659" si="1258">SUM(H653:J653)+K653</f>
        <v>0.65</v>
      </c>
      <c r="M653" s="72">
        <f t="shared" si="1252"/>
        <v>15.6</v>
      </c>
      <c r="N653" s="72">
        <f t="shared" si="1253"/>
        <v>0</v>
      </c>
      <c r="O653" s="72">
        <f t="shared" si="1254"/>
        <v>0</v>
      </c>
      <c r="P653" s="72">
        <f t="shared" si="1255"/>
        <v>0</v>
      </c>
      <c r="Q653" s="72">
        <f t="shared" si="1256"/>
        <v>0</v>
      </c>
      <c r="R653" s="72">
        <f t="shared" si="1257"/>
        <v>0</v>
      </c>
    </row>
    <row r="654" spans="1:18" x14ac:dyDescent="0.25">
      <c r="A654" s="26"/>
      <c r="B654" s="104" t="s">
        <v>515</v>
      </c>
      <c r="C654" s="15">
        <v>8</v>
      </c>
      <c r="D654" s="16">
        <v>150</v>
      </c>
      <c r="E654" s="15">
        <v>2</v>
      </c>
      <c r="F654" s="11">
        <v>1</v>
      </c>
      <c r="G654" s="11">
        <f>+ROUND(3.205/(D654/1000)+1,0)/2</f>
        <v>11</v>
      </c>
      <c r="H654" s="95"/>
      <c r="I654" s="95">
        <f>0.1+1.1</f>
        <v>1.2000000000000002</v>
      </c>
      <c r="J654" s="100"/>
      <c r="K654" s="22"/>
      <c r="L654" s="72">
        <f t="shared" si="1258"/>
        <v>1.2000000000000002</v>
      </c>
      <c r="M654" s="72">
        <f t="shared" si="1243"/>
        <v>26.4</v>
      </c>
      <c r="N654" s="72">
        <f t="shared" si="1244"/>
        <v>0</v>
      </c>
      <c r="O654" s="72">
        <f t="shared" si="1245"/>
        <v>0</v>
      </c>
      <c r="P654" s="72">
        <f t="shared" si="1246"/>
        <v>0</v>
      </c>
      <c r="Q654" s="72">
        <f t="shared" si="1247"/>
        <v>0</v>
      </c>
      <c r="R654" s="72">
        <f t="shared" si="1248"/>
        <v>0</v>
      </c>
    </row>
    <row r="655" spans="1:18" x14ac:dyDescent="0.25">
      <c r="A655" s="26"/>
      <c r="B655" s="104" t="s">
        <v>515</v>
      </c>
      <c r="C655" s="15">
        <v>8</v>
      </c>
      <c r="D655" s="16">
        <v>150</v>
      </c>
      <c r="E655" s="15">
        <v>2</v>
      </c>
      <c r="F655" s="11">
        <v>1</v>
      </c>
      <c r="G655" s="11">
        <f>+ROUND(3.205/(D655/1000)+1,0)/2</f>
        <v>11</v>
      </c>
      <c r="H655" s="95"/>
      <c r="I655" s="95">
        <f>0.1+0.55</f>
        <v>0.65</v>
      </c>
      <c r="J655" s="100"/>
      <c r="K655" s="22"/>
      <c r="L655" s="72">
        <f t="shared" si="1258"/>
        <v>0.65</v>
      </c>
      <c r="M655" s="72">
        <f t="shared" si="1243"/>
        <v>14.3</v>
      </c>
      <c r="N655" s="72">
        <f t="shared" si="1244"/>
        <v>0</v>
      </c>
      <c r="O655" s="72">
        <f t="shared" si="1245"/>
        <v>0</v>
      </c>
      <c r="P655" s="72">
        <f t="shared" si="1246"/>
        <v>0</v>
      </c>
      <c r="Q655" s="72">
        <f t="shared" si="1247"/>
        <v>0</v>
      </c>
      <c r="R655" s="72">
        <f t="shared" si="1248"/>
        <v>0</v>
      </c>
    </row>
    <row r="656" spans="1:18" x14ac:dyDescent="0.25">
      <c r="A656" s="26"/>
      <c r="B656" s="104" t="s">
        <v>759</v>
      </c>
      <c r="C656" s="15">
        <v>8</v>
      </c>
      <c r="D656" s="16">
        <v>200</v>
      </c>
      <c r="E656" s="15">
        <v>2</v>
      </c>
      <c r="F656" s="11">
        <v>1</v>
      </c>
      <c r="G656" s="11">
        <f>+ROUND(1.1/(D656/1000)+1,0)</f>
        <v>7</v>
      </c>
      <c r="H656" s="95">
        <v>0.2</v>
      </c>
      <c r="I656" s="95">
        <v>3.2050000000000001</v>
      </c>
      <c r="J656" s="100"/>
      <c r="K656" s="22"/>
      <c r="L656" s="72">
        <f t="shared" si="1258"/>
        <v>3.4050000000000002</v>
      </c>
      <c r="M656" s="72">
        <f t="shared" si="1243"/>
        <v>47.67</v>
      </c>
      <c r="N656" s="72">
        <f t="shared" si="1244"/>
        <v>0</v>
      </c>
      <c r="O656" s="72">
        <f t="shared" si="1245"/>
        <v>0</v>
      </c>
      <c r="P656" s="72">
        <f t="shared" si="1246"/>
        <v>0</v>
      </c>
      <c r="Q656" s="72">
        <f t="shared" si="1247"/>
        <v>0</v>
      </c>
      <c r="R656" s="72">
        <f t="shared" si="1248"/>
        <v>0</v>
      </c>
    </row>
    <row r="657" spans="1:18" x14ac:dyDescent="0.25">
      <c r="A657" s="26"/>
      <c r="B657" s="104" t="s">
        <v>759</v>
      </c>
      <c r="C657" s="15">
        <v>8</v>
      </c>
      <c r="D657" s="16">
        <v>200</v>
      </c>
      <c r="E657" s="15">
        <v>2</v>
      </c>
      <c r="F657" s="11">
        <v>1</v>
      </c>
      <c r="G657" s="11">
        <f>+ROUND(0.55/(D657/1000)+1,0)</f>
        <v>4</v>
      </c>
      <c r="H657" s="95">
        <v>0.2</v>
      </c>
      <c r="I657" s="95">
        <v>3.2050000000000001</v>
      </c>
      <c r="J657" s="100"/>
      <c r="K657" s="22"/>
      <c r="L657" s="72">
        <f t="shared" si="1258"/>
        <v>3.4050000000000002</v>
      </c>
      <c r="M657" s="72">
        <f t="shared" si="1243"/>
        <v>27.24</v>
      </c>
      <c r="N657" s="72">
        <f t="shared" si="1244"/>
        <v>0</v>
      </c>
      <c r="O657" s="72">
        <f t="shared" si="1245"/>
        <v>0</v>
      </c>
      <c r="P657" s="72">
        <f t="shared" si="1246"/>
        <v>0</v>
      </c>
      <c r="Q657" s="72">
        <f t="shared" si="1247"/>
        <v>0</v>
      </c>
      <c r="R657" s="72">
        <f t="shared" si="1248"/>
        <v>0</v>
      </c>
    </row>
    <row r="658" spans="1:18" x14ac:dyDescent="0.25">
      <c r="A658" s="26"/>
      <c r="B658" s="104" t="s">
        <v>759</v>
      </c>
      <c r="C658" s="15">
        <v>8</v>
      </c>
      <c r="D658" s="16">
        <v>200</v>
      </c>
      <c r="E658" s="15">
        <v>2</v>
      </c>
      <c r="F658" s="11">
        <v>1</v>
      </c>
      <c r="G658" s="11">
        <f>+ROUND(1.1/(D658/1000)+1,0)</f>
        <v>7</v>
      </c>
      <c r="H658" s="95">
        <v>0.2</v>
      </c>
      <c r="I658" s="95">
        <v>3.56</v>
      </c>
      <c r="J658" s="100"/>
      <c r="K658" s="22"/>
      <c r="L658" s="72">
        <f t="shared" si="1258"/>
        <v>3.7600000000000002</v>
      </c>
      <c r="M658" s="72">
        <f t="shared" si="1243"/>
        <v>52.64</v>
      </c>
      <c r="N658" s="72">
        <f t="shared" si="1244"/>
        <v>0</v>
      </c>
      <c r="O658" s="72">
        <f t="shared" si="1245"/>
        <v>0</v>
      </c>
      <c r="P658" s="72">
        <f t="shared" si="1246"/>
        <v>0</v>
      </c>
      <c r="Q658" s="72">
        <f t="shared" si="1247"/>
        <v>0</v>
      </c>
      <c r="R658" s="72">
        <f t="shared" si="1248"/>
        <v>0</v>
      </c>
    </row>
    <row r="659" spans="1:18" x14ac:dyDescent="0.25">
      <c r="A659" s="26"/>
      <c r="B659" s="104" t="s">
        <v>759</v>
      </c>
      <c r="C659" s="15">
        <v>8</v>
      </c>
      <c r="D659" s="16">
        <v>200</v>
      </c>
      <c r="E659" s="15">
        <v>2</v>
      </c>
      <c r="F659" s="11">
        <v>1</v>
      </c>
      <c r="G659" s="11">
        <f>+ROUND(1.1/(D659/1000)+1,0)</f>
        <v>7</v>
      </c>
      <c r="H659" s="95">
        <v>0.2</v>
      </c>
      <c r="I659" s="95">
        <v>3.56</v>
      </c>
      <c r="J659" s="100"/>
      <c r="K659" s="22"/>
      <c r="L659" s="72">
        <f t="shared" si="1258"/>
        <v>3.7600000000000002</v>
      </c>
      <c r="M659" s="72">
        <f t="shared" si="1243"/>
        <v>52.64</v>
      </c>
      <c r="N659" s="72">
        <f t="shared" si="1244"/>
        <v>0</v>
      </c>
      <c r="O659" s="72">
        <f t="shared" si="1245"/>
        <v>0</v>
      </c>
      <c r="P659" s="72">
        <f t="shared" si="1246"/>
        <v>0</v>
      </c>
      <c r="Q659" s="72">
        <f t="shared" si="1247"/>
        <v>0</v>
      </c>
      <c r="R659" s="72">
        <f t="shared" si="1248"/>
        <v>0</v>
      </c>
    </row>
    <row r="660" spans="1:18" x14ac:dyDescent="0.25">
      <c r="A660" s="26"/>
      <c r="B660" s="25"/>
      <c r="C660" s="15"/>
      <c r="D660" s="16"/>
      <c r="E660" s="15"/>
      <c r="F660" s="11"/>
      <c r="G660" s="11"/>
      <c r="H660" s="95"/>
      <c r="I660" s="95"/>
      <c r="J660" s="100"/>
      <c r="K660" s="22"/>
      <c r="L660" s="72"/>
      <c r="M660" s="72"/>
      <c r="N660" s="72"/>
      <c r="O660" s="72"/>
      <c r="P660" s="72"/>
      <c r="Q660" s="72"/>
      <c r="R660" s="72"/>
    </row>
    <row r="661" spans="1:18" x14ac:dyDescent="0.25">
      <c r="A661" s="26"/>
      <c r="B661" s="45" t="s">
        <v>781</v>
      </c>
      <c r="C661" s="15"/>
      <c r="D661" s="16"/>
      <c r="E661" s="15"/>
      <c r="F661" s="11"/>
      <c r="G661" s="11"/>
      <c r="H661" s="95"/>
      <c r="I661" s="95"/>
      <c r="J661" s="100"/>
      <c r="K661" s="22"/>
      <c r="L661" s="72"/>
      <c r="M661" s="72">
        <f t="shared" ref="M661:M671" si="1259">+ROUND(IF(C661=8,PRODUCT(E661,F661,G661,L661),0),2)</f>
        <v>0</v>
      </c>
      <c r="N661" s="72">
        <f t="shared" ref="N661:N671" si="1260">+ROUND(IF(C661=10,PRODUCT(E661,F661,G661,L661),0),2)</f>
        <v>0</v>
      </c>
      <c r="O661" s="72">
        <f t="shared" ref="O661:O671" si="1261">+ROUND(IF(C661=12,PRODUCT(E661,F661,G661,L661),0),2)</f>
        <v>0</v>
      </c>
      <c r="P661" s="72">
        <f t="shared" ref="P661:P671" si="1262">+ROUND(IF(C661=16,PRODUCT(E661,F661,G661,L661),0),2)</f>
        <v>0</v>
      </c>
      <c r="Q661" s="72">
        <f t="shared" ref="Q661:Q671" si="1263">+ROUND(IF(C661=20,PRODUCT(E661,F661,G661,L661),0),2)</f>
        <v>0</v>
      </c>
      <c r="R661" s="72">
        <f t="shared" ref="R661:R671" si="1264">+ROUND(IF(C661=25,PRODUCT(E661,F661,G661,L661),0),2)</f>
        <v>0</v>
      </c>
    </row>
    <row r="662" spans="1:18" x14ac:dyDescent="0.25">
      <c r="A662" s="26"/>
      <c r="B662" s="104" t="s">
        <v>758</v>
      </c>
      <c r="C662" s="15">
        <v>8</v>
      </c>
      <c r="D662" s="16">
        <v>200</v>
      </c>
      <c r="E662" s="15">
        <v>2</v>
      </c>
      <c r="F662" s="11">
        <v>1</v>
      </c>
      <c r="G662" s="11">
        <f>+ROUND(2.225/(D662/1000)+1,0)</f>
        <v>12</v>
      </c>
      <c r="H662" s="95"/>
      <c r="I662" s="95">
        <f>0.175+1.5+0.175</f>
        <v>1.85</v>
      </c>
      <c r="J662" s="100"/>
      <c r="K662" s="22"/>
      <c r="L662" s="72">
        <f t="shared" ref="L662" si="1265">SUM(H662:J662)+K662</f>
        <v>1.85</v>
      </c>
      <c r="M662" s="72">
        <f t="shared" si="1259"/>
        <v>44.4</v>
      </c>
      <c r="N662" s="72">
        <f t="shared" si="1260"/>
        <v>0</v>
      </c>
      <c r="O662" s="72">
        <f t="shared" si="1261"/>
        <v>0</v>
      </c>
      <c r="P662" s="72">
        <f t="shared" si="1262"/>
        <v>0</v>
      </c>
      <c r="Q662" s="72">
        <f t="shared" si="1263"/>
        <v>0</v>
      </c>
      <c r="R662" s="72">
        <f t="shared" si="1264"/>
        <v>0</v>
      </c>
    </row>
    <row r="663" spans="1:18" x14ac:dyDescent="0.25">
      <c r="A663" s="26"/>
      <c r="B663" s="104" t="s">
        <v>521</v>
      </c>
      <c r="C663" s="15">
        <v>8</v>
      </c>
      <c r="D663" s="16">
        <v>200</v>
      </c>
      <c r="E663" s="15">
        <v>2</v>
      </c>
      <c r="F663" s="11">
        <v>1</v>
      </c>
      <c r="G663" s="11">
        <f>+ROUND(1.5/(D663/1000)+1,0)</f>
        <v>9</v>
      </c>
      <c r="H663" s="95"/>
      <c r="I663" s="95">
        <f>0.175+2.225+0.175</f>
        <v>2.5749999999999997</v>
      </c>
      <c r="J663" s="100"/>
      <c r="K663" s="47"/>
      <c r="L663" s="72">
        <f>SUM(H663:J663)+K663</f>
        <v>2.5749999999999997</v>
      </c>
      <c r="M663" s="72">
        <f t="shared" si="1259"/>
        <v>46.35</v>
      </c>
      <c r="N663" s="72">
        <f t="shared" si="1260"/>
        <v>0</v>
      </c>
      <c r="O663" s="72">
        <f t="shared" si="1261"/>
        <v>0</v>
      </c>
      <c r="P663" s="72">
        <f t="shared" si="1262"/>
        <v>0</v>
      </c>
      <c r="Q663" s="72">
        <f t="shared" si="1263"/>
        <v>0</v>
      </c>
      <c r="R663" s="72">
        <f t="shared" si="1264"/>
        <v>0</v>
      </c>
    </row>
    <row r="664" spans="1:18" x14ac:dyDescent="0.25">
      <c r="A664" s="26"/>
      <c r="B664" s="104" t="s">
        <v>512</v>
      </c>
      <c r="C664" s="15">
        <v>8</v>
      </c>
      <c r="D664" s="16">
        <v>200</v>
      </c>
      <c r="E664" s="15">
        <v>2</v>
      </c>
      <c r="F664" s="11">
        <v>1</v>
      </c>
      <c r="G664" s="11">
        <v>11</v>
      </c>
      <c r="H664" s="95">
        <v>0.1</v>
      </c>
      <c r="I664" s="95">
        <f>0.45+0.175</f>
        <v>0.625</v>
      </c>
      <c r="J664" s="100"/>
      <c r="K664" s="22"/>
      <c r="L664" s="72">
        <f>SUM(H664:J664)+K664</f>
        <v>0.72499999999999998</v>
      </c>
      <c r="M664" s="72">
        <f t="shared" si="1259"/>
        <v>15.95</v>
      </c>
      <c r="N664" s="72">
        <f t="shared" si="1260"/>
        <v>0</v>
      </c>
      <c r="O664" s="72">
        <f t="shared" si="1261"/>
        <v>0</v>
      </c>
      <c r="P664" s="72">
        <f t="shared" si="1262"/>
        <v>0</v>
      </c>
      <c r="Q664" s="72">
        <f t="shared" si="1263"/>
        <v>0</v>
      </c>
      <c r="R664" s="72">
        <f t="shared" si="1264"/>
        <v>0</v>
      </c>
    </row>
    <row r="665" spans="1:18" x14ac:dyDescent="0.25">
      <c r="A665" s="26"/>
      <c r="B665" s="104" t="s">
        <v>512</v>
      </c>
      <c r="C665" s="15">
        <v>8</v>
      </c>
      <c r="D665" s="16">
        <v>200</v>
      </c>
      <c r="E665" s="15">
        <v>2</v>
      </c>
      <c r="F665" s="11">
        <v>1</v>
      </c>
      <c r="G665" s="11">
        <v>11</v>
      </c>
      <c r="H665" s="95">
        <v>0.1</v>
      </c>
      <c r="I665" s="95">
        <f>0.45+0.175</f>
        <v>0.625</v>
      </c>
      <c r="J665" s="100"/>
      <c r="K665" s="22"/>
      <c r="L665" s="72">
        <f t="shared" ref="L665" si="1266">SUM(H665:J665)+K665</f>
        <v>0.72499999999999998</v>
      </c>
      <c r="M665" s="72">
        <f t="shared" si="1259"/>
        <v>15.95</v>
      </c>
      <c r="N665" s="72">
        <f t="shared" si="1260"/>
        <v>0</v>
      </c>
      <c r="O665" s="72">
        <f t="shared" si="1261"/>
        <v>0</v>
      </c>
      <c r="P665" s="72">
        <f t="shared" si="1262"/>
        <v>0</v>
      </c>
      <c r="Q665" s="72">
        <f t="shared" si="1263"/>
        <v>0</v>
      </c>
      <c r="R665" s="72">
        <f t="shared" si="1264"/>
        <v>0</v>
      </c>
    </row>
    <row r="666" spans="1:18" x14ac:dyDescent="0.25">
      <c r="A666" s="26"/>
      <c r="B666" s="104" t="s">
        <v>512</v>
      </c>
      <c r="C666" s="15">
        <v>8</v>
      </c>
      <c r="D666" s="16">
        <v>200</v>
      </c>
      <c r="E666" s="15">
        <v>2</v>
      </c>
      <c r="F666" s="11">
        <v>1</v>
      </c>
      <c r="G666" s="11">
        <v>8</v>
      </c>
      <c r="H666" s="95">
        <v>0.1</v>
      </c>
      <c r="I666" s="95">
        <f>0.45+0.175</f>
        <v>0.625</v>
      </c>
      <c r="J666" s="100"/>
      <c r="K666" s="22"/>
      <c r="L666" s="72">
        <f t="shared" ref="L666:L671" si="1267">SUM(H666:J666)+K666</f>
        <v>0.72499999999999998</v>
      </c>
      <c r="M666" s="72">
        <f t="shared" si="1259"/>
        <v>11.6</v>
      </c>
      <c r="N666" s="72">
        <f t="shared" si="1260"/>
        <v>0</v>
      </c>
      <c r="O666" s="72">
        <f t="shared" si="1261"/>
        <v>0</v>
      </c>
      <c r="P666" s="72">
        <f t="shared" si="1262"/>
        <v>0</v>
      </c>
      <c r="Q666" s="72">
        <f t="shared" si="1263"/>
        <v>0</v>
      </c>
      <c r="R666" s="72">
        <f t="shared" si="1264"/>
        <v>0</v>
      </c>
    </row>
    <row r="667" spans="1:18" x14ac:dyDescent="0.25">
      <c r="A667" s="26"/>
      <c r="B667" s="104" t="s">
        <v>512</v>
      </c>
      <c r="C667" s="15">
        <v>8</v>
      </c>
      <c r="D667" s="16">
        <v>200</v>
      </c>
      <c r="E667" s="15">
        <v>2</v>
      </c>
      <c r="F667" s="11">
        <v>1</v>
      </c>
      <c r="G667" s="11">
        <v>8</v>
      </c>
      <c r="H667" s="95">
        <v>0.1</v>
      </c>
      <c r="I667" s="95">
        <f>0.5+0.175</f>
        <v>0.67500000000000004</v>
      </c>
      <c r="J667" s="100"/>
      <c r="K667" s="22"/>
      <c r="L667" s="72">
        <f t="shared" si="1267"/>
        <v>0.77500000000000002</v>
      </c>
      <c r="M667" s="72">
        <f t="shared" si="1259"/>
        <v>12.4</v>
      </c>
      <c r="N667" s="72">
        <f t="shared" si="1260"/>
        <v>0</v>
      </c>
      <c r="O667" s="72">
        <f t="shared" si="1261"/>
        <v>0</v>
      </c>
      <c r="P667" s="72">
        <f t="shared" si="1262"/>
        <v>0</v>
      </c>
      <c r="Q667" s="72">
        <f t="shared" si="1263"/>
        <v>0</v>
      </c>
      <c r="R667" s="72">
        <f t="shared" si="1264"/>
        <v>0</v>
      </c>
    </row>
    <row r="668" spans="1:18" x14ac:dyDescent="0.25">
      <c r="A668" s="26"/>
      <c r="B668" s="104" t="s">
        <v>759</v>
      </c>
      <c r="C668" s="15">
        <v>8</v>
      </c>
      <c r="D668" s="16">
        <v>200</v>
      </c>
      <c r="E668" s="15">
        <v>2</v>
      </c>
      <c r="F668" s="11">
        <v>1</v>
      </c>
      <c r="G668" s="11">
        <f>+ROUND(0.45/(D668/1000)+1,0)</f>
        <v>3</v>
      </c>
      <c r="H668" s="95">
        <v>0.2</v>
      </c>
      <c r="I668" s="95">
        <v>1.5</v>
      </c>
      <c r="J668" s="100"/>
      <c r="K668" s="22"/>
      <c r="L668" s="72">
        <f t="shared" si="1267"/>
        <v>1.7</v>
      </c>
      <c r="M668" s="72">
        <f t="shared" si="1259"/>
        <v>10.199999999999999</v>
      </c>
      <c r="N668" s="72">
        <f t="shared" si="1260"/>
        <v>0</v>
      </c>
      <c r="O668" s="72">
        <f t="shared" si="1261"/>
        <v>0</v>
      </c>
      <c r="P668" s="72">
        <f t="shared" si="1262"/>
        <v>0</v>
      </c>
      <c r="Q668" s="72">
        <f t="shared" si="1263"/>
        <v>0</v>
      </c>
      <c r="R668" s="72">
        <f t="shared" si="1264"/>
        <v>0</v>
      </c>
    </row>
    <row r="669" spans="1:18" x14ac:dyDescent="0.25">
      <c r="A669" s="26"/>
      <c r="B669" s="104" t="s">
        <v>759</v>
      </c>
      <c r="C669" s="15">
        <v>8</v>
      </c>
      <c r="D669" s="16">
        <v>200</v>
      </c>
      <c r="E669" s="15">
        <v>2</v>
      </c>
      <c r="F669" s="11">
        <v>1</v>
      </c>
      <c r="G669" s="11">
        <f>+ROUND(0.45/(D669/1000)+1,0)</f>
        <v>3</v>
      </c>
      <c r="H669" s="95">
        <v>0.2</v>
      </c>
      <c r="I669" s="95">
        <v>1.5</v>
      </c>
      <c r="J669" s="100"/>
      <c r="K669" s="22"/>
      <c r="L669" s="72">
        <f t="shared" si="1267"/>
        <v>1.7</v>
      </c>
      <c r="M669" s="72">
        <f t="shared" si="1259"/>
        <v>10.199999999999999</v>
      </c>
      <c r="N669" s="72">
        <f t="shared" si="1260"/>
        <v>0</v>
      </c>
      <c r="O669" s="72">
        <f t="shared" si="1261"/>
        <v>0</v>
      </c>
      <c r="P669" s="72">
        <f t="shared" si="1262"/>
        <v>0</v>
      </c>
      <c r="Q669" s="72">
        <f t="shared" si="1263"/>
        <v>0</v>
      </c>
      <c r="R669" s="72">
        <f t="shared" si="1264"/>
        <v>0</v>
      </c>
    </row>
    <row r="670" spans="1:18" x14ac:dyDescent="0.25">
      <c r="A670" s="26"/>
      <c r="B670" s="104" t="s">
        <v>759</v>
      </c>
      <c r="C670" s="15">
        <v>8</v>
      </c>
      <c r="D670" s="16">
        <v>200</v>
      </c>
      <c r="E670" s="15">
        <v>2</v>
      </c>
      <c r="F670" s="11">
        <v>1</v>
      </c>
      <c r="G670" s="11">
        <f>+ROUND(0.45/(D670/1000)+1,0)</f>
        <v>3</v>
      </c>
      <c r="H670" s="95">
        <v>0.2</v>
      </c>
      <c r="I670" s="95">
        <v>2.2250000000000001</v>
      </c>
      <c r="J670" s="100"/>
      <c r="K670" s="22"/>
      <c r="L670" s="72">
        <f t="shared" si="1267"/>
        <v>2.4250000000000003</v>
      </c>
      <c r="M670" s="72">
        <f t="shared" si="1259"/>
        <v>14.55</v>
      </c>
      <c r="N670" s="72">
        <f t="shared" si="1260"/>
        <v>0</v>
      </c>
      <c r="O670" s="72">
        <f t="shared" si="1261"/>
        <v>0</v>
      </c>
      <c r="P670" s="72">
        <f t="shared" si="1262"/>
        <v>0</v>
      </c>
      <c r="Q670" s="72">
        <f t="shared" si="1263"/>
        <v>0</v>
      </c>
      <c r="R670" s="72">
        <f t="shared" si="1264"/>
        <v>0</v>
      </c>
    </row>
    <row r="671" spans="1:18" x14ac:dyDescent="0.25">
      <c r="A671" s="26"/>
      <c r="B671" s="104" t="s">
        <v>759</v>
      </c>
      <c r="C671" s="15">
        <v>8</v>
      </c>
      <c r="D671" s="16">
        <v>200</v>
      </c>
      <c r="E671" s="15">
        <v>2</v>
      </c>
      <c r="F671" s="11">
        <v>1</v>
      </c>
      <c r="G671" s="11">
        <f>+ROUND(0.45/(D671/1000)+1,0)</f>
        <v>3</v>
      </c>
      <c r="H671" s="95">
        <v>0.2</v>
      </c>
      <c r="I671" s="95">
        <v>2.2250000000000001</v>
      </c>
      <c r="J671" s="100"/>
      <c r="K671" s="22"/>
      <c r="L671" s="72">
        <f t="shared" si="1267"/>
        <v>2.4250000000000003</v>
      </c>
      <c r="M671" s="72">
        <f t="shared" si="1259"/>
        <v>14.55</v>
      </c>
      <c r="N671" s="72">
        <f t="shared" si="1260"/>
        <v>0</v>
      </c>
      <c r="O671" s="72">
        <f t="shared" si="1261"/>
        <v>0</v>
      </c>
      <c r="P671" s="72">
        <f t="shared" si="1262"/>
        <v>0</v>
      </c>
      <c r="Q671" s="72">
        <f t="shared" si="1263"/>
        <v>0</v>
      </c>
      <c r="R671" s="72">
        <f t="shared" si="1264"/>
        <v>0</v>
      </c>
    </row>
    <row r="672" spans="1:18" x14ac:dyDescent="0.25">
      <c r="A672" s="26"/>
      <c r="B672" s="25"/>
      <c r="C672" s="15"/>
      <c r="D672" s="16"/>
      <c r="E672" s="15"/>
      <c r="F672" s="11"/>
      <c r="G672" s="11"/>
      <c r="H672" s="95"/>
      <c r="I672" s="95"/>
      <c r="J672" s="100"/>
      <c r="K672" s="22"/>
      <c r="L672" s="72"/>
      <c r="M672" s="72"/>
      <c r="N672" s="72"/>
      <c r="O672" s="72"/>
      <c r="P672" s="72"/>
      <c r="Q672" s="72"/>
      <c r="R672" s="72"/>
    </row>
    <row r="673" spans="1:18" x14ac:dyDescent="0.25">
      <c r="A673" s="26"/>
      <c r="B673" s="45" t="s">
        <v>783</v>
      </c>
      <c r="C673" s="15"/>
      <c r="D673" s="16"/>
      <c r="E673" s="15"/>
      <c r="F673" s="11"/>
      <c r="G673" s="11"/>
      <c r="H673" s="95"/>
      <c r="I673" s="95"/>
      <c r="J673" s="100"/>
      <c r="K673" s="22"/>
      <c r="L673" s="72"/>
      <c r="M673" s="72">
        <f t="shared" si="0"/>
        <v>0</v>
      </c>
      <c r="N673" s="72">
        <f t="shared" si="1"/>
        <v>0</v>
      </c>
      <c r="O673" s="72">
        <f t="shared" si="2"/>
        <v>0</v>
      </c>
      <c r="P673" s="72">
        <f t="shared" si="3"/>
        <v>0</v>
      </c>
      <c r="Q673" s="72">
        <f t="shared" si="4"/>
        <v>0</v>
      </c>
      <c r="R673" s="72">
        <f t="shared" si="5"/>
        <v>0</v>
      </c>
    </row>
    <row r="674" spans="1:18" x14ac:dyDescent="0.25">
      <c r="A674" s="26"/>
      <c r="B674" s="104" t="s">
        <v>782</v>
      </c>
      <c r="C674" s="15">
        <v>8</v>
      </c>
      <c r="D674" s="16">
        <v>150</v>
      </c>
      <c r="E674" s="15">
        <v>2</v>
      </c>
      <c r="F674" s="11">
        <v>1</v>
      </c>
      <c r="G674" s="11">
        <v>6</v>
      </c>
      <c r="H674" s="95"/>
      <c r="I674" s="95">
        <f>0.175+3.33+0.175</f>
        <v>3.6799999999999997</v>
      </c>
      <c r="J674" s="100"/>
      <c r="K674" s="47"/>
      <c r="L674" s="72">
        <f t="shared" ref="L674:L683" si="1268">SUM(H674:J674)+K674</f>
        <v>3.6799999999999997</v>
      </c>
      <c r="M674" s="72">
        <f t="shared" si="0"/>
        <v>44.16</v>
      </c>
      <c r="N674" s="72">
        <f t="shared" si="1"/>
        <v>0</v>
      </c>
      <c r="O674" s="72">
        <f t="shared" si="2"/>
        <v>0</v>
      </c>
      <c r="P674" s="72">
        <f t="shared" si="3"/>
        <v>0</v>
      </c>
      <c r="Q674" s="72">
        <f t="shared" si="4"/>
        <v>0</v>
      </c>
      <c r="R674" s="72">
        <f t="shared" si="5"/>
        <v>0</v>
      </c>
    </row>
    <row r="675" spans="1:18" x14ac:dyDescent="0.25">
      <c r="A675" s="26"/>
      <c r="B675" s="104" t="s">
        <v>782</v>
      </c>
      <c r="C675" s="15">
        <v>8</v>
      </c>
      <c r="D675" s="16">
        <v>150</v>
      </c>
      <c r="E675" s="15">
        <v>2</v>
      </c>
      <c r="F675" s="11">
        <v>1</v>
      </c>
      <c r="G675" s="11">
        <f>+ROUND(1.83/(D675/1000)+1,0)/2</f>
        <v>6.5</v>
      </c>
      <c r="H675" s="95"/>
      <c r="I675" s="95">
        <f>3.33-1.4</f>
        <v>1.9300000000000002</v>
      </c>
      <c r="J675" s="100"/>
      <c r="K675" s="47"/>
      <c r="L675" s="72">
        <f t="shared" si="1268"/>
        <v>1.9300000000000002</v>
      </c>
      <c r="M675" s="72">
        <f t="shared" si="0"/>
        <v>25.09</v>
      </c>
      <c r="N675" s="72">
        <f t="shared" si="1"/>
        <v>0</v>
      </c>
      <c r="O675" s="72">
        <f t="shared" si="2"/>
        <v>0</v>
      </c>
      <c r="P675" s="72">
        <f t="shared" si="3"/>
        <v>0</v>
      </c>
      <c r="Q675" s="72">
        <f t="shared" si="4"/>
        <v>0</v>
      </c>
      <c r="R675" s="72">
        <f t="shared" si="5"/>
        <v>0</v>
      </c>
    </row>
    <row r="676" spans="1:18" x14ac:dyDescent="0.25">
      <c r="A676" s="26"/>
      <c r="B676" s="104" t="s">
        <v>782</v>
      </c>
      <c r="C676" s="15">
        <v>8</v>
      </c>
      <c r="D676" s="16">
        <v>150</v>
      </c>
      <c r="E676" s="15">
        <v>2</v>
      </c>
      <c r="F676" s="11">
        <v>1</v>
      </c>
      <c r="G676" s="11">
        <f>+ROUND(1.93/(D676/1000)+1,0)/2</f>
        <v>7</v>
      </c>
      <c r="H676" s="95"/>
      <c r="I676" s="95">
        <f>0.175+4.27+0.175</f>
        <v>4.6199999999999992</v>
      </c>
      <c r="J676" s="100"/>
      <c r="K676" s="47"/>
      <c r="L676" s="72">
        <f t="shared" si="1268"/>
        <v>4.6199999999999992</v>
      </c>
      <c r="M676" s="72">
        <f t="shared" ref="M676:M677" si="1269">+ROUND(IF(C676=8,PRODUCT(E676,F676,G676,L676),0),2)</f>
        <v>64.680000000000007</v>
      </c>
      <c r="N676" s="72">
        <f t="shared" ref="N676:N677" si="1270">+ROUND(IF(C676=10,PRODUCT(E676,F676,G676,L676),0),2)</f>
        <v>0</v>
      </c>
      <c r="O676" s="72">
        <f t="shared" ref="O676:O677" si="1271">+ROUND(IF(C676=12,PRODUCT(E676,F676,G676,L676),0),2)</f>
        <v>0</v>
      </c>
      <c r="P676" s="72">
        <f t="shared" ref="P676:P677" si="1272">+ROUND(IF(C676=16,PRODUCT(E676,F676,G676,L676),0),2)</f>
        <v>0</v>
      </c>
      <c r="Q676" s="72">
        <f t="shared" ref="Q676:Q677" si="1273">+ROUND(IF(C676=20,PRODUCT(E676,F676,G676,L676),0),2)</f>
        <v>0</v>
      </c>
      <c r="R676" s="72">
        <f t="shared" ref="R676:R677" si="1274">+ROUND(IF(C676=25,PRODUCT(E676,F676,G676,L676),0),2)</f>
        <v>0</v>
      </c>
    </row>
    <row r="677" spans="1:18" x14ac:dyDescent="0.25">
      <c r="A677" s="26"/>
      <c r="B677" s="104" t="s">
        <v>782</v>
      </c>
      <c r="C677" s="15">
        <v>8</v>
      </c>
      <c r="D677" s="16">
        <v>150</v>
      </c>
      <c r="E677" s="15">
        <v>2</v>
      </c>
      <c r="F677" s="11">
        <v>1</v>
      </c>
      <c r="G677" s="11">
        <v>6</v>
      </c>
      <c r="H677" s="95"/>
      <c r="I677" s="95">
        <f>4.27-1.4</f>
        <v>2.8699999999999997</v>
      </c>
      <c r="J677" s="100"/>
      <c r="K677" s="47"/>
      <c r="L677" s="72">
        <f t="shared" si="1268"/>
        <v>2.8699999999999997</v>
      </c>
      <c r="M677" s="72">
        <f t="shared" si="1269"/>
        <v>34.44</v>
      </c>
      <c r="N677" s="72">
        <f t="shared" si="1270"/>
        <v>0</v>
      </c>
      <c r="O677" s="72">
        <f t="shared" si="1271"/>
        <v>0</v>
      </c>
      <c r="P677" s="72">
        <f t="shared" si="1272"/>
        <v>0</v>
      </c>
      <c r="Q677" s="72">
        <f t="shared" si="1273"/>
        <v>0</v>
      </c>
      <c r="R677" s="72">
        <f t="shared" si="1274"/>
        <v>0</v>
      </c>
    </row>
    <row r="678" spans="1:18" x14ac:dyDescent="0.25">
      <c r="A678" s="26"/>
      <c r="B678" s="104" t="s">
        <v>782</v>
      </c>
      <c r="C678" s="15">
        <v>8</v>
      </c>
      <c r="D678" s="16">
        <v>150</v>
      </c>
      <c r="E678" s="15">
        <v>2</v>
      </c>
      <c r="F678" s="11">
        <v>1</v>
      </c>
      <c r="G678" s="11">
        <v>5</v>
      </c>
      <c r="H678" s="95"/>
      <c r="I678" s="95">
        <f>0.175+6.8+0.175</f>
        <v>7.1499999999999995</v>
      </c>
      <c r="J678" s="100"/>
      <c r="K678" s="47"/>
      <c r="L678" s="72">
        <f t="shared" si="1268"/>
        <v>7.1499999999999995</v>
      </c>
      <c r="M678" s="72">
        <f t="shared" si="0"/>
        <v>71.5</v>
      </c>
      <c r="N678" s="72">
        <f t="shared" si="1"/>
        <v>0</v>
      </c>
      <c r="O678" s="72">
        <f t="shared" si="2"/>
        <v>0</v>
      </c>
      <c r="P678" s="72">
        <f t="shared" si="3"/>
        <v>0</v>
      </c>
      <c r="Q678" s="72">
        <f t="shared" si="4"/>
        <v>0</v>
      </c>
      <c r="R678" s="72">
        <f t="shared" si="5"/>
        <v>0</v>
      </c>
    </row>
    <row r="679" spans="1:18" x14ac:dyDescent="0.25">
      <c r="A679" s="26"/>
      <c r="B679" s="104" t="s">
        <v>782</v>
      </c>
      <c r="C679" s="15">
        <v>8</v>
      </c>
      <c r="D679" s="16">
        <v>150</v>
      </c>
      <c r="E679" s="15">
        <v>2</v>
      </c>
      <c r="F679" s="11">
        <v>1</v>
      </c>
      <c r="G679" s="11">
        <f>+ROUND(1.47/(D679/1000)+1,0)/2</f>
        <v>5.5</v>
      </c>
      <c r="H679" s="95"/>
      <c r="I679" s="95">
        <f>6.8-1.7</f>
        <v>5.0999999999999996</v>
      </c>
      <c r="J679" s="100"/>
      <c r="K679" s="47"/>
      <c r="L679" s="72">
        <f t="shared" si="1268"/>
        <v>5.0999999999999996</v>
      </c>
      <c r="M679" s="72">
        <f t="shared" si="0"/>
        <v>56.1</v>
      </c>
      <c r="N679" s="72">
        <f t="shared" si="1"/>
        <v>0</v>
      </c>
      <c r="O679" s="72">
        <f t="shared" si="2"/>
        <v>0</v>
      </c>
      <c r="P679" s="72">
        <f t="shared" si="3"/>
        <v>0</v>
      </c>
      <c r="Q679" s="72">
        <f t="shared" si="4"/>
        <v>0</v>
      </c>
      <c r="R679" s="72">
        <f t="shared" si="5"/>
        <v>0</v>
      </c>
    </row>
    <row r="680" spans="1:18" x14ac:dyDescent="0.25">
      <c r="A680" s="26"/>
      <c r="B680" s="104" t="s">
        <v>517</v>
      </c>
      <c r="C680" s="15">
        <v>8</v>
      </c>
      <c r="D680" s="16">
        <v>175</v>
      </c>
      <c r="E680" s="15">
        <v>2</v>
      </c>
      <c r="F680" s="11">
        <v>1</v>
      </c>
      <c r="G680" s="11">
        <v>15</v>
      </c>
      <c r="H680" s="95"/>
      <c r="I680" s="95">
        <f>0.175+1.47+0.175</f>
        <v>1.82</v>
      </c>
      <c r="J680" s="100"/>
      <c r="K680" s="47"/>
      <c r="L680" s="72">
        <f t="shared" si="1268"/>
        <v>1.82</v>
      </c>
      <c r="M680" s="72">
        <f t="shared" ref="M680" si="1275">+ROUND(IF(C680=8,PRODUCT(E680,F680,G680,L680),0),2)</f>
        <v>54.6</v>
      </c>
      <c r="N680" s="72">
        <f t="shared" ref="N680" si="1276">+ROUND(IF(C680=10,PRODUCT(E680,F680,G680,L680),0),2)</f>
        <v>0</v>
      </c>
      <c r="O680" s="72">
        <f t="shared" ref="O680" si="1277">+ROUND(IF(C680=12,PRODUCT(E680,F680,G680,L680),0),2)</f>
        <v>0</v>
      </c>
      <c r="P680" s="72">
        <f t="shared" ref="P680" si="1278">+ROUND(IF(C680=16,PRODUCT(E680,F680,G680,L680),0),2)</f>
        <v>0</v>
      </c>
      <c r="Q680" s="72">
        <f t="shared" ref="Q680" si="1279">+ROUND(IF(C680=20,PRODUCT(E680,F680,G680,L680),0),2)</f>
        <v>0</v>
      </c>
      <c r="R680" s="72">
        <f t="shared" ref="R680" si="1280">+ROUND(IF(C680=25,PRODUCT(E680,F680,G680,L680),0),2)</f>
        <v>0</v>
      </c>
    </row>
    <row r="681" spans="1:18" x14ac:dyDescent="0.25">
      <c r="A681" s="26"/>
      <c r="B681" s="104" t="s">
        <v>517</v>
      </c>
      <c r="C681" s="15">
        <v>8</v>
      </c>
      <c r="D681" s="16">
        <v>175</v>
      </c>
      <c r="E681" s="15">
        <v>2</v>
      </c>
      <c r="F681" s="11">
        <v>1</v>
      </c>
      <c r="G681" s="11">
        <v>19</v>
      </c>
      <c r="H681" s="95"/>
      <c r="I681" s="95">
        <f>0.175+5.215+0.2+0.5</f>
        <v>6.09</v>
      </c>
      <c r="J681" s="100"/>
      <c r="K681" s="47"/>
      <c r="L681" s="72">
        <f t="shared" si="1268"/>
        <v>6.09</v>
      </c>
      <c r="M681" s="72">
        <f t="shared" ref="M681" si="1281">+ROUND(IF(C681=8,PRODUCT(E681,F681,G681,L681),0),2)</f>
        <v>231.42</v>
      </c>
      <c r="N681" s="72">
        <f t="shared" ref="N681" si="1282">+ROUND(IF(C681=10,PRODUCT(E681,F681,G681,L681),0),2)</f>
        <v>0</v>
      </c>
      <c r="O681" s="72">
        <f t="shared" ref="O681" si="1283">+ROUND(IF(C681=12,PRODUCT(E681,F681,G681,L681),0),2)</f>
        <v>0</v>
      </c>
      <c r="P681" s="72">
        <f t="shared" ref="P681" si="1284">+ROUND(IF(C681=16,PRODUCT(E681,F681,G681,L681),0),2)</f>
        <v>0</v>
      </c>
      <c r="Q681" s="72">
        <f t="shared" ref="Q681" si="1285">+ROUND(IF(C681=20,PRODUCT(E681,F681,G681,L681),0),2)</f>
        <v>0</v>
      </c>
      <c r="R681" s="72">
        <f t="shared" ref="R681" si="1286">+ROUND(IF(C681=25,PRODUCT(E681,F681,G681,L681),0),2)</f>
        <v>0</v>
      </c>
    </row>
    <row r="682" spans="1:18" x14ac:dyDescent="0.25">
      <c r="A682" s="26"/>
      <c r="B682" s="104" t="s">
        <v>517</v>
      </c>
      <c r="C682" s="15">
        <v>8</v>
      </c>
      <c r="D682" s="16">
        <v>175</v>
      </c>
      <c r="E682" s="15">
        <v>2</v>
      </c>
      <c r="F682" s="11">
        <v>1</v>
      </c>
      <c r="G682" s="11">
        <f>+ROUND(0.94/(D682/1000)+1,0)</f>
        <v>6</v>
      </c>
      <c r="H682" s="95"/>
      <c r="I682" s="95">
        <f>0.175+3.4+0.175</f>
        <v>3.7499999999999996</v>
      </c>
      <c r="J682" s="100"/>
      <c r="K682" s="47"/>
      <c r="L682" s="72">
        <f t="shared" si="1268"/>
        <v>3.7499999999999996</v>
      </c>
      <c r="M682" s="72">
        <f t="shared" ref="M682" si="1287">+ROUND(IF(C682=8,PRODUCT(E682,F682,G682,L682),0),2)</f>
        <v>45</v>
      </c>
      <c r="N682" s="72">
        <f t="shared" ref="N682" si="1288">+ROUND(IF(C682=10,PRODUCT(E682,F682,G682,L682),0),2)</f>
        <v>0</v>
      </c>
      <c r="O682" s="72">
        <f t="shared" ref="O682" si="1289">+ROUND(IF(C682=12,PRODUCT(E682,F682,G682,L682),0),2)</f>
        <v>0</v>
      </c>
      <c r="P682" s="72">
        <f t="shared" ref="P682" si="1290">+ROUND(IF(C682=16,PRODUCT(E682,F682,G682,L682),0),2)</f>
        <v>0</v>
      </c>
      <c r="Q682" s="72">
        <f t="shared" ref="Q682" si="1291">+ROUND(IF(C682=20,PRODUCT(E682,F682,G682,L682),0),2)</f>
        <v>0</v>
      </c>
      <c r="R682" s="72">
        <f t="shared" ref="R682" si="1292">+ROUND(IF(C682=25,PRODUCT(E682,F682,G682,L682),0),2)</f>
        <v>0</v>
      </c>
    </row>
    <row r="683" spans="1:18" x14ac:dyDescent="0.25">
      <c r="A683" s="26"/>
      <c r="B683" s="104" t="s">
        <v>513</v>
      </c>
      <c r="C683" s="15">
        <v>8</v>
      </c>
      <c r="D683" s="16">
        <v>175</v>
      </c>
      <c r="E683" s="15">
        <v>2</v>
      </c>
      <c r="F683" s="11">
        <v>1</v>
      </c>
      <c r="G683" s="11">
        <f>+ROUND(3.33/(D683/1000)+1,0)</f>
        <v>20</v>
      </c>
      <c r="H683" s="95">
        <v>0.1</v>
      </c>
      <c r="I683" s="95">
        <f>0.175+0.8</f>
        <v>0.97500000000000009</v>
      </c>
      <c r="J683" s="100"/>
      <c r="K683" s="22"/>
      <c r="L683" s="72">
        <f t="shared" si="1268"/>
        <v>1.0750000000000002</v>
      </c>
      <c r="M683" s="72">
        <f t="shared" si="0"/>
        <v>43</v>
      </c>
      <c r="N683" s="72">
        <f t="shared" si="1"/>
        <v>0</v>
      </c>
      <c r="O683" s="72">
        <f t="shared" si="2"/>
        <v>0</v>
      </c>
      <c r="P683" s="72">
        <f t="shared" si="3"/>
        <v>0</v>
      </c>
      <c r="Q683" s="72">
        <f t="shared" si="4"/>
        <v>0</v>
      </c>
      <c r="R683" s="72">
        <f t="shared" si="5"/>
        <v>0</v>
      </c>
    </row>
    <row r="684" spans="1:18" x14ac:dyDescent="0.25">
      <c r="A684" s="26"/>
      <c r="B684" s="104" t="s">
        <v>515</v>
      </c>
      <c r="C684" s="15">
        <v>8</v>
      </c>
      <c r="D684" s="16">
        <v>150</v>
      </c>
      <c r="E684" s="15">
        <v>2</v>
      </c>
      <c r="F684" s="11">
        <v>1</v>
      </c>
      <c r="G684" s="11">
        <f>+ROUND(3.76/(D684/1000)+1,0)/2</f>
        <v>13</v>
      </c>
      <c r="H684" s="95"/>
      <c r="I684" s="95">
        <f>0.1+1.1</f>
        <v>1.2000000000000002</v>
      </c>
      <c r="J684" s="100"/>
      <c r="K684" s="22"/>
      <c r="L684" s="72">
        <f t="shared" ref="L684:L687" si="1293">SUM(H684:J684)+K684</f>
        <v>1.2000000000000002</v>
      </c>
      <c r="M684" s="72">
        <f t="shared" si="0"/>
        <v>31.2</v>
      </c>
      <c r="N684" s="72">
        <f t="shared" si="1"/>
        <v>0</v>
      </c>
      <c r="O684" s="72">
        <f t="shared" si="2"/>
        <v>0</v>
      </c>
      <c r="P684" s="72">
        <f t="shared" si="3"/>
        <v>0</v>
      </c>
      <c r="Q684" s="72">
        <f t="shared" si="4"/>
        <v>0</v>
      </c>
      <c r="R684" s="72">
        <f t="shared" si="5"/>
        <v>0</v>
      </c>
    </row>
    <row r="685" spans="1:18" x14ac:dyDescent="0.25">
      <c r="A685" s="26"/>
      <c r="B685" s="104" t="s">
        <v>515</v>
      </c>
      <c r="C685" s="15">
        <v>8</v>
      </c>
      <c r="D685" s="16">
        <v>150</v>
      </c>
      <c r="E685" s="15">
        <v>2</v>
      </c>
      <c r="F685" s="11">
        <v>1</v>
      </c>
      <c r="G685" s="11">
        <f>+ROUND(3.76/(D685/1000)+1,0)/2</f>
        <v>13</v>
      </c>
      <c r="H685" s="95"/>
      <c r="I685" s="95">
        <f>0.1+0.55</f>
        <v>0.65</v>
      </c>
      <c r="J685" s="100"/>
      <c r="K685" s="22"/>
      <c r="L685" s="72">
        <f t="shared" si="1293"/>
        <v>0.65</v>
      </c>
      <c r="M685" s="72">
        <f t="shared" si="0"/>
        <v>16.899999999999999</v>
      </c>
      <c r="N685" s="72">
        <f t="shared" si="1"/>
        <v>0</v>
      </c>
      <c r="O685" s="72">
        <f t="shared" si="2"/>
        <v>0</v>
      </c>
      <c r="P685" s="72">
        <f t="shared" si="3"/>
        <v>0</v>
      </c>
      <c r="Q685" s="72">
        <f t="shared" si="4"/>
        <v>0</v>
      </c>
      <c r="R685" s="72">
        <f t="shared" si="5"/>
        <v>0</v>
      </c>
    </row>
    <row r="686" spans="1:18" x14ac:dyDescent="0.25">
      <c r="A686" s="26"/>
      <c r="B686" s="104" t="s">
        <v>515</v>
      </c>
      <c r="C686" s="15">
        <v>8</v>
      </c>
      <c r="D686" s="16">
        <v>150</v>
      </c>
      <c r="E686" s="15">
        <v>2</v>
      </c>
      <c r="F686" s="11">
        <v>1</v>
      </c>
      <c r="G686" s="11">
        <f>+ROUND(1.83/(D686/1000)+1,0)/2</f>
        <v>6.5</v>
      </c>
      <c r="H686" s="95"/>
      <c r="I686" s="95">
        <f>0.1+1.1</f>
        <v>1.2000000000000002</v>
      </c>
      <c r="J686" s="100"/>
      <c r="K686" s="22"/>
      <c r="L686" s="72">
        <f t="shared" si="1293"/>
        <v>1.2000000000000002</v>
      </c>
      <c r="M686" s="72">
        <f t="shared" si="0"/>
        <v>15.6</v>
      </c>
      <c r="N686" s="72">
        <f t="shared" si="1"/>
        <v>0</v>
      </c>
      <c r="O686" s="72">
        <f t="shared" si="2"/>
        <v>0</v>
      </c>
      <c r="P686" s="72">
        <f t="shared" si="3"/>
        <v>0</v>
      </c>
      <c r="Q686" s="72">
        <f t="shared" si="4"/>
        <v>0</v>
      </c>
      <c r="R686" s="72">
        <f t="shared" si="5"/>
        <v>0</v>
      </c>
    </row>
    <row r="687" spans="1:18" x14ac:dyDescent="0.25">
      <c r="A687" s="26"/>
      <c r="B687" s="104" t="s">
        <v>515</v>
      </c>
      <c r="C687" s="15">
        <v>8</v>
      </c>
      <c r="D687" s="16">
        <v>150</v>
      </c>
      <c r="E687" s="15">
        <v>2</v>
      </c>
      <c r="F687" s="11">
        <v>1</v>
      </c>
      <c r="G687" s="11">
        <f>+ROUND(1.83/(D687/1000)+1,0)/2</f>
        <v>6.5</v>
      </c>
      <c r="H687" s="95"/>
      <c r="I687" s="95">
        <f>0.1+0.55</f>
        <v>0.65</v>
      </c>
      <c r="J687" s="100"/>
      <c r="K687" s="22"/>
      <c r="L687" s="72">
        <f t="shared" si="1293"/>
        <v>0.65</v>
      </c>
      <c r="M687" s="72">
        <f t="shared" si="0"/>
        <v>8.4499999999999993</v>
      </c>
      <c r="N687" s="72">
        <f t="shared" si="1"/>
        <v>0</v>
      </c>
      <c r="O687" s="72">
        <f t="shared" si="2"/>
        <v>0</v>
      </c>
      <c r="P687" s="72">
        <f t="shared" si="3"/>
        <v>0</v>
      </c>
      <c r="Q687" s="72">
        <f t="shared" si="4"/>
        <v>0</v>
      </c>
      <c r="R687" s="72">
        <f t="shared" si="5"/>
        <v>0</v>
      </c>
    </row>
    <row r="688" spans="1:18" x14ac:dyDescent="0.25">
      <c r="A688" s="26"/>
      <c r="B688" s="104" t="s">
        <v>515</v>
      </c>
      <c r="C688" s="15">
        <v>8</v>
      </c>
      <c r="D688" s="16">
        <v>150</v>
      </c>
      <c r="E688" s="15">
        <v>2</v>
      </c>
      <c r="F688" s="11">
        <v>1</v>
      </c>
      <c r="G688" s="11">
        <f>+ROUND(1.225/(D688/1000)+1,0)/2</f>
        <v>4.5</v>
      </c>
      <c r="H688" s="95"/>
      <c r="I688" s="95">
        <f>0.1+1.4</f>
        <v>1.5</v>
      </c>
      <c r="J688" s="100"/>
      <c r="K688" s="22"/>
      <c r="L688" s="72">
        <f t="shared" ref="L688:L693" si="1294">SUM(H688:J688)+K688</f>
        <v>1.5</v>
      </c>
      <c r="M688" s="72">
        <f>+ROUND(IF(C688=8,PRODUCT(E688,F688,G688,L688),0),2)</f>
        <v>13.5</v>
      </c>
      <c r="N688" s="72">
        <f>+ROUND(IF(C688=10,PRODUCT(E688,F688,G688,L688),0),2)</f>
        <v>0</v>
      </c>
      <c r="O688" s="72">
        <f>+ROUND(IF(C688=12,PRODUCT(E688,F688,G688,L688),0),2)</f>
        <v>0</v>
      </c>
      <c r="P688" s="72">
        <f>+ROUND(IF(C688=16,PRODUCT(E688,F688,G688,L688),0),2)</f>
        <v>0</v>
      </c>
      <c r="Q688" s="72">
        <f>+ROUND(IF(C688=20,PRODUCT(E688,F688,G688,L688),0),2)</f>
        <v>0</v>
      </c>
      <c r="R688" s="72">
        <f>+ROUND(IF(C688=25,PRODUCT(E688,F688,G688,L688),0),2)</f>
        <v>0</v>
      </c>
    </row>
    <row r="689" spans="1:18" x14ac:dyDescent="0.25">
      <c r="A689" s="26"/>
      <c r="B689" s="104" t="s">
        <v>515</v>
      </c>
      <c r="C689" s="15">
        <v>8</v>
      </c>
      <c r="D689" s="16">
        <v>150</v>
      </c>
      <c r="E689" s="15">
        <v>2</v>
      </c>
      <c r="F689" s="11">
        <v>1</v>
      </c>
      <c r="G689" s="11">
        <v>4</v>
      </c>
      <c r="H689" s="95"/>
      <c r="I689" s="95">
        <f>0.1+0.7</f>
        <v>0.79999999999999993</v>
      </c>
      <c r="J689" s="100"/>
      <c r="K689" s="22"/>
      <c r="L689" s="72">
        <f t="shared" si="1294"/>
        <v>0.79999999999999993</v>
      </c>
      <c r="M689" s="72">
        <f>+ROUND(IF(C689=8,PRODUCT(E689,F689,G689,L689),0),2)</f>
        <v>6.4</v>
      </c>
      <c r="N689" s="72">
        <f>+ROUND(IF(C689=10,PRODUCT(E689,F689,G689,L689),0),2)</f>
        <v>0</v>
      </c>
      <c r="O689" s="72">
        <f>+ROUND(IF(C689=12,PRODUCT(E689,F689,G689,L689),0),2)</f>
        <v>0</v>
      </c>
      <c r="P689" s="72">
        <f>+ROUND(IF(C689=16,PRODUCT(E689,F689,G689,L689),0),2)</f>
        <v>0</v>
      </c>
      <c r="Q689" s="72">
        <f>+ROUND(IF(C689=20,PRODUCT(E689,F689,G689,L689),0),2)</f>
        <v>0</v>
      </c>
      <c r="R689" s="72">
        <f>+ROUND(IF(C689=25,PRODUCT(E689,F689,G689,L689),0),2)</f>
        <v>0</v>
      </c>
    </row>
    <row r="690" spans="1:18" x14ac:dyDescent="0.25">
      <c r="A690" s="26"/>
      <c r="B690" s="104" t="s">
        <v>512</v>
      </c>
      <c r="C690" s="15">
        <v>8</v>
      </c>
      <c r="D690" s="16">
        <v>200</v>
      </c>
      <c r="E690" s="15">
        <v>2</v>
      </c>
      <c r="F690" s="11">
        <v>1</v>
      </c>
      <c r="G690" s="11">
        <v>13</v>
      </c>
      <c r="H690" s="95">
        <v>0.1</v>
      </c>
      <c r="I690" s="95">
        <f>0.175+0.7</f>
        <v>0.875</v>
      </c>
      <c r="J690" s="100"/>
      <c r="K690" s="22"/>
      <c r="L690" s="72">
        <f t="shared" si="1294"/>
        <v>0.97499999999999998</v>
      </c>
      <c r="M690" s="72">
        <f t="shared" si="0"/>
        <v>25.35</v>
      </c>
      <c r="N690" s="72">
        <f t="shared" si="1"/>
        <v>0</v>
      </c>
      <c r="O690" s="72">
        <f t="shared" si="2"/>
        <v>0</v>
      </c>
      <c r="P690" s="72">
        <f t="shared" si="3"/>
        <v>0</v>
      </c>
      <c r="Q690" s="72">
        <f t="shared" si="4"/>
        <v>0</v>
      </c>
      <c r="R690" s="72">
        <f t="shared" si="5"/>
        <v>0</v>
      </c>
    </row>
    <row r="691" spans="1:18" x14ac:dyDescent="0.25">
      <c r="A691" s="26"/>
      <c r="B691" s="104" t="s">
        <v>515</v>
      </c>
      <c r="C691" s="15">
        <v>8</v>
      </c>
      <c r="D691" s="16">
        <v>150</v>
      </c>
      <c r="E691" s="15">
        <v>2</v>
      </c>
      <c r="F691" s="11">
        <v>1</v>
      </c>
      <c r="G691" s="11">
        <f>+ROUND(4.24/(D691/1000)+1,0)/2</f>
        <v>14.5</v>
      </c>
      <c r="H691" s="95"/>
      <c r="I691" s="95">
        <f>0.1+1.6</f>
        <v>1.7000000000000002</v>
      </c>
      <c r="J691" s="100"/>
      <c r="K691" s="22"/>
      <c r="L691" s="72">
        <f t="shared" si="1294"/>
        <v>1.7000000000000002</v>
      </c>
      <c r="M691" s="72">
        <f t="shared" si="0"/>
        <v>49.3</v>
      </c>
      <c r="N691" s="72">
        <f t="shared" ref="N691:N697" si="1295">+ROUND(IF(C691=10,PRODUCT(E691,F691,G691,L691),0),2)</f>
        <v>0</v>
      </c>
      <c r="O691" s="72">
        <f t="shared" ref="O691:O697" si="1296">+ROUND(IF(C691=12,PRODUCT(E691,F691,G691,L691),0),2)</f>
        <v>0</v>
      </c>
      <c r="P691" s="72">
        <f t="shared" ref="P691:P697" si="1297">+ROUND(IF(C691=16,PRODUCT(E691,F691,G691,L691),0),2)</f>
        <v>0</v>
      </c>
      <c r="Q691" s="72">
        <f t="shared" ref="Q691:Q697" si="1298">+ROUND(IF(C691=20,PRODUCT(E691,F691,G691,L691),0),2)</f>
        <v>0</v>
      </c>
      <c r="R691" s="72">
        <f t="shared" ref="R691:R697" si="1299">+ROUND(IF(C691=25,PRODUCT(E691,F691,G691,L691),0),2)</f>
        <v>0</v>
      </c>
    </row>
    <row r="692" spans="1:18" x14ac:dyDescent="0.25">
      <c r="A692" s="26"/>
      <c r="B692" s="104" t="s">
        <v>515</v>
      </c>
      <c r="C692" s="15">
        <v>8</v>
      </c>
      <c r="D692" s="16">
        <v>150</v>
      </c>
      <c r="E692" s="15">
        <v>2</v>
      </c>
      <c r="F692" s="11">
        <v>1</v>
      </c>
      <c r="G692" s="11">
        <f>+ROUND(4.24/(D692/1000)+1,0)/2</f>
        <v>14.5</v>
      </c>
      <c r="H692" s="95"/>
      <c r="I692" s="95">
        <f>0.1+0.8</f>
        <v>0.9</v>
      </c>
      <c r="J692" s="100"/>
      <c r="K692" s="22"/>
      <c r="L692" s="72">
        <f t="shared" si="1294"/>
        <v>0.9</v>
      </c>
      <c r="M692" s="72">
        <f t="shared" ref="M692" si="1300">+ROUND(IF(C692=8,PRODUCT(E692,F692,G692,L692),0),2)</f>
        <v>26.1</v>
      </c>
      <c r="N692" s="72">
        <f t="shared" ref="N692" si="1301">+ROUND(IF(C692=10,PRODUCT(E692,F692,G692,L692),0),2)</f>
        <v>0</v>
      </c>
      <c r="O692" s="72">
        <f t="shared" ref="O692" si="1302">+ROUND(IF(C692=12,PRODUCT(E692,F692,G692,L692),0),2)</f>
        <v>0</v>
      </c>
      <c r="P692" s="72">
        <f t="shared" ref="P692" si="1303">+ROUND(IF(C692=16,PRODUCT(E692,F692,G692,L692),0),2)</f>
        <v>0</v>
      </c>
      <c r="Q692" s="72">
        <f t="shared" ref="Q692" si="1304">+ROUND(IF(C692=20,PRODUCT(E692,F692,G692,L692),0),2)</f>
        <v>0</v>
      </c>
      <c r="R692" s="72">
        <f t="shared" ref="R692" si="1305">+ROUND(IF(C692=25,PRODUCT(E692,F692,G692,L692),0),2)</f>
        <v>0</v>
      </c>
    </row>
    <row r="693" spans="1:18" x14ac:dyDescent="0.25">
      <c r="A693" s="26"/>
      <c r="B693" s="104" t="s">
        <v>515</v>
      </c>
      <c r="C693" s="15">
        <v>8</v>
      </c>
      <c r="D693" s="16">
        <v>150</v>
      </c>
      <c r="E693" s="15">
        <v>2</v>
      </c>
      <c r="F693" s="11">
        <v>1</v>
      </c>
      <c r="G693" s="11">
        <v>17</v>
      </c>
      <c r="H693" s="95"/>
      <c r="I693" s="95">
        <f>0.1+1.47+0.1</f>
        <v>1.6700000000000002</v>
      </c>
      <c r="J693" s="100"/>
      <c r="K693" s="22"/>
      <c r="L693" s="72">
        <f t="shared" si="1294"/>
        <v>1.6700000000000002</v>
      </c>
      <c r="M693" s="72">
        <f t="shared" si="0"/>
        <v>56.78</v>
      </c>
      <c r="N693" s="72">
        <f t="shared" si="1295"/>
        <v>0</v>
      </c>
      <c r="O693" s="72">
        <f t="shared" si="1296"/>
        <v>0</v>
      </c>
      <c r="P693" s="72">
        <f t="shared" si="1297"/>
        <v>0</v>
      </c>
      <c r="Q693" s="72">
        <f t="shared" si="1298"/>
        <v>0</v>
      </c>
      <c r="R693" s="72">
        <f t="shared" si="1299"/>
        <v>0</v>
      </c>
    </row>
    <row r="694" spans="1:18" x14ac:dyDescent="0.25">
      <c r="A694" s="26"/>
      <c r="B694" s="104" t="s">
        <v>759</v>
      </c>
      <c r="C694" s="15">
        <v>8</v>
      </c>
      <c r="D694" s="16">
        <v>200</v>
      </c>
      <c r="E694" s="15">
        <v>2</v>
      </c>
      <c r="F694" s="11">
        <v>1</v>
      </c>
      <c r="G694" s="11">
        <f>+ROUND(0.8/(D694/1000)+1,0)</f>
        <v>5</v>
      </c>
      <c r="H694" s="95">
        <v>0.2</v>
      </c>
      <c r="I694" s="95">
        <v>3.05</v>
      </c>
      <c r="J694" s="100"/>
      <c r="K694" s="22"/>
      <c r="L694" s="72">
        <f t="shared" ref="L694" si="1306">SUM(H694:J694)+K694</f>
        <v>3.25</v>
      </c>
      <c r="M694" s="72">
        <f t="shared" si="0"/>
        <v>32.5</v>
      </c>
      <c r="N694" s="72">
        <f t="shared" si="1295"/>
        <v>0</v>
      </c>
      <c r="O694" s="72">
        <f t="shared" si="1296"/>
        <v>0</v>
      </c>
      <c r="P694" s="72">
        <f t="shared" si="1297"/>
        <v>0</v>
      </c>
      <c r="Q694" s="72">
        <f t="shared" si="1298"/>
        <v>0</v>
      </c>
      <c r="R694" s="72">
        <f t="shared" si="1299"/>
        <v>0</v>
      </c>
    </row>
    <row r="695" spans="1:18" x14ac:dyDescent="0.25">
      <c r="A695" s="26"/>
      <c r="B695" s="104" t="s">
        <v>759</v>
      </c>
      <c r="C695" s="15">
        <v>8</v>
      </c>
      <c r="D695" s="16">
        <v>200</v>
      </c>
      <c r="E695" s="15">
        <v>2</v>
      </c>
      <c r="F695" s="11">
        <v>1</v>
      </c>
      <c r="G695" s="11">
        <f>+ROUND(1.1/(D695/1000)+1,0)</f>
        <v>7</v>
      </c>
      <c r="H695" s="95">
        <v>0.1</v>
      </c>
      <c r="I695" s="95">
        <v>3.76</v>
      </c>
      <c r="J695" s="100"/>
      <c r="K695" s="22"/>
      <c r="L695" s="72">
        <f>SUM(H695:J695)+K695</f>
        <v>3.86</v>
      </c>
      <c r="M695" s="72">
        <f t="shared" si="0"/>
        <v>54.04</v>
      </c>
      <c r="N695" s="72">
        <f t="shared" si="1295"/>
        <v>0</v>
      </c>
      <c r="O695" s="72">
        <f t="shared" si="1296"/>
        <v>0</v>
      </c>
      <c r="P695" s="72">
        <f t="shared" si="1297"/>
        <v>0</v>
      </c>
      <c r="Q695" s="72">
        <f t="shared" si="1298"/>
        <v>0</v>
      </c>
      <c r="R695" s="72">
        <f t="shared" si="1299"/>
        <v>0</v>
      </c>
    </row>
    <row r="696" spans="1:18" x14ac:dyDescent="0.25">
      <c r="A696" s="26"/>
      <c r="B696" s="104" t="s">
        <v>759</v>
      </c>
      <c r="C696" s="15">
        <v>8</v>
      </c>
      <c r="D696" s="16">
        <v>200</v>
      </c>
      <c r="E696" s="15">
        <v>2</v>
      </c>
      <c r="F696" s="11">
        <v>1</v>
      </c>
      <c r="G696" s="11">
        <v>6</v>
      </c>
      <c r="H696" s="95">
        <v>0.2</v>
      </c>
      <c r="I696" s="95">
        <v>3.2</v>
      </c>
      <c r="J696" s="100"/>
      <c r="K696" s="22"/>
      <c r="L696" s="72">
        <f t="shared" ref="L696" si="1307">SUM(H696:J696)+K696</f>
        <v>3.4000000000000004</v>
      </c>
      <c r="M696" s="72">
        <f t="shared" si="0"/>
        <v>40.799999999999997</v>
      </c>
      <c r="N696" s="72">
        <f t="shared" si="1295"/>
        <v>0</v>
      </c>
      <c r="O696" s="72">
        <f t="shared" si="1296"/>
        <v>0</v>
      </c>
      <c r="P696" s="72">
        <f t="shared" si="1297"/>
        <v>0</v>
      </c>
      <c r="Q696" s="72">
        <f t="shared" si="1298"/>
        <v>0</v>
      </c>
      <c r="R696" s="72">
        <f t="shared" si="1299"/>
        <v>0</v>
      </c>
    </row>
    <row r="697" spans="1:18" x14ac:dyDescent="0.25">
      <c r="A697" s="26"/>
      <c r="B697" s="104" t="s">
        <v>759</v>
      </c>
      <c r="C697" s="15">
        <v>8</v>
      </c>
      <c r="D697" s="16">
        <v>200</v>
      </c>
      <c r="E697" s="15">
        <v>2</v>
      </c>
      <c r="F697" s="11">
        <v>1</v>
      </c>
      <c r="G697" s="11">
        <f>+ROUND(1.6/(D697/1000)+1,0)</f>
        <v>9</v>
      </c>
      <c r="H697" s="95">
        <v>0.2</v>
      </c>
      <c r="I697" s="95">
        <v>6.79</v>
      </c>
      <c r="J697" s="100"/>
      <c r="K697" s="22"/>
      <c r="L697" s="72">
        <f>SUM(H697:J697)+K697</f>
        <v>6.99</v>
      </c>
      <c r="M697" s="72">
        <f t="shared" si="0"/>
        <v>125.82</v>
      </c>
      <c r="N697" s="72">
        <f t="shared" si="1295"/>
        <v>0</v>
      </c>
      <c r="O697" s="72">
        <f t="shared" si="1296"/>
        <v>0</v>
      </c>
      <c r="P697" s="72">
        <f t="shared" si="1297"/>
        <v>0</v>
      </c>
      <c r="Q697" s="72">
        <f t="shared" si="1298"/>
        <v>0</v>
      </c>
      <c r="R697" s="72">
        <f t="shared" si="1299"/>
        <v>0</v>
      </c>
    </row>
    <row r="698" spans="1:18" x14ac:dyDescent="0.25">
      <c r="A698" s="26"/>
      <c r="B698" s="104" t="s">
        <v>759</v>
      </c>
      <c r="C698" s="15">
        <v>8</v>
      </c>
      <c r="D698" s="16">
        <v>200</v>
      </c>
      <c r="E698" s="15">
        <v>2</v>
      </c>
      <c r="F698" s="11">
        <v>1</v>
      </c>
      <c r="G698" s="11">
        <f>+ROUND(1.46/(D698/1000)+1,0)</f>
        <v>8</v>
      </c>
      <c r="H698" s="95">
        <v>0.2</v>
      </c>
      <c r="I698" s="95">
        <v>1.47</v>
      </c>
      <c r="J698" s="100"/>
      <c r="K698" s="22"/>
      <c r="L698" s="72">
        <f>SUM(H698:J698)+K698</f>
        <v>1.67</v>
      </c>
      <c r="M698" s="72">
        <f t="shared" ref="M698" si="1308">+ROUND(IF(C698=8,PRODUCT(E698,F698,G698,L698),0),2)</f>
        <v>26.72</v>
      </c>
      <c r="N698" s="72">
        <f t="shared" ref="N698" si="1309">+ROUND(IF(C698=10,PRODUCT(E698,F698,G698,L698),0),2)</f>
        <v>0</v>
      </c>
      <c r="O698" s="72">
        <f t="shared" ref="O698" si="1310">+ROUND(IF(C698=12,PRODUCT(E698,F698,G698,L698),0),2)</f>
        <v>0</v>
      </c>
      <c r="P698" s="72">
        <f t="shared" ref="P698" si="1311">+ROUND(IF(C698=16,PRODUCT(E698,F698,G698,L698),0),2)</f>
        <v>0</v>
      </c>
      <c r="Q698" s="72">
        <f t="shared" ref="Q698" si="1312">+ROUND(IF(C698=20,PRODUCT(E698,F698,G698,L698),0),2)</f>
        <v>0</v>
      </c>
      <c r="R698" s="72">
        <f t="shared" ref="R698" si="1313">+ROUND(IF(C698=25,PRODUCT(E698,F698,G698,L698),0),2)</f>
        <v>0</v>
      </c>
    </row>
    <row r="699" spans="1:18" x14ac:dyDescent="0.25">
      <c r="A699" s="26"/>
      <c r="B699" s="104" t="s">
        <v>759</v>
      </c>
      <c r="C699" s="15">
        <v>8</v>
      </c>
      <c r="D699" s="16">
        <v>200</v>
      </c>
      <c r="E699" s="15">
        <v>2</v>
      </c>
      <c r="F699" s="11">
        <v>1</v>
      </c>
      <c r="G699" s="11">
        <f>+ROUND(1.3/(D699/1000)+1,0)</f>
        <v>8</v>
      </c>
      <c r="H699" s="95">
        <v>0.2</v>
      </c>
      <c r="I699" s="95">
        <v>2.5499999999999998</v>
      </c>
      <c r="J699" s="100"/>
      <c r="K699" s="22"/>
      <c r="L699" s="72">
        <f>SUM(H699:J699)+K699</f>
        <v>2.75</v>
      </c>
      <c r="M699" s="72">
        <f t="shared" ref="M699" si="1314">+ROUND(IF(C699=8,PRODUCT(E699,F699,G699,L699),0),2)</f>
        <v>44</v>
      </c>
      <c r="N699" s="72">
        <f t="shared" ref="N699" si="1315">+ROUND(IF(C699=10,PRODUCT(E699,F699,G699,L699),0),2)</f>
        <v>0</v>
      </c>
      <c r="O699" s="72">
        <f t="shared" ref="O699" si="1316">+ROUND(IF(C699=12,PRODUCT(E699,F699,G699,L699),0),2)</f>
        <v>0</v>
      </c>
      <c r="P699" s="72">
        <f t="shared" ref="P699" si="1317">+ROUND(IF(C699=16,PRODUCT(E699,F699,G699,L699),0),2)</f>
        <v>0</v>
      </c>
      <c r="Q699" s="72">
        <f t="shared" ref="Q699" si="1318">+ROUND(IF(C699=20,PRODUCT(E699,F699,G699,L699),0),2)</f>
        <v>0</v>
      </c>
      <c r="R699" s="72">
        <f t="shared" ref="R699" si="1319">+ROUND(IF(C699=25,PRODUCT(E699,F699,G699,L699),0),2)</f>
        <v>0</v>
      </c>
    </row>
    <row r="700" spans="1:18" x14ac:dyDescent="0.25">
      <c r="A700" s="26"/>
      <c r="B700" s="104" t="s">
        <v>759</v>
      </c>
      <c r="C700" s="15">
        <v>8</v>
      </c>
      <c r="D700" s="16">
        <v>200</v>
      </c>
      <c r="E700" s="15">
        <v>2</v>
      </c>
      <c r="F700" s="11">
        <v>1</v>
      </c>
      <c r="G700" s="11">
        <f>+ROUND(1.1/(D700/1000)+1,0)</f>
        <v>7</v>
      </c>
      <c r="H700" s="95">
        <v>0.1</v>
      </c>
      <c r="I700" s="95">
        <v>3.76</v>
      </c>
      <c r="J700" s="100"/>
      <c r="K700" s="22"/>
      <c r="L700" s="72">
        <f>SUM(H700:J700)+K700</f>
        <v>3.86</v>
      </c>
      <c r="M700" s="72">
        <f t="shared" ref="M700" si="1320">+ROUND(IF(C700=8,PRODUCT(E700,F700,G700,L700),0),2)</f>
        <v>54.04</v>
      </c>
      <c r="N700" s="72">
        <f t="shared" ref="N700" si="1321">+ROUND(IF(C700=10,PRODUCT(E700,F700,G700,L700),0),2)</f>
        <v>0</v>
      </c>
      <c r="O700" s="72">
        <f t="shared" ref="O700" si="1322">+ROUND(IF(C700=12,PRODUCT(E700,F700,G700,L700),0),2)</f>
        <v>0</v>
      </c>
      <c r="P700" s="72">
        <f t="shared" ref="P700" si="1323">+ROUND(IF(C700=16,PRODUCT(E700,F700,G700,L700),0),2)</f>
        <v>0</v>
      </c>
      <c r="Q700" s="72">
        <f t="shared" ref="Q700" si="1324">+ROUND(IF(C700=20,PRODUCT(E700,F700,G700,L700),0),2)</f>
        <v>0</v>
      </c>
      <c r="R700" s="72">
        <f t="shared" ref="R700" si="1325">+ROUND(IF(C700=25,PRODUCT(E700,F700,G700,L700),0),2)</f>
        <v>0</v>
      </c>
    </row>
    <row r="701" spans="1:18" x14ac:dyDescent="0.25">
      <c r="A701" s="26"/>
      <c r="B701" s="25"/>
      <c r="C701" s="15"/>
      <c r="D701" s="16"/>
      <c r="E701" s="15"/>
      <c r="F701" s="11"/>
      <c r="G701" s="11"/>
      <c r="H701" s="95"/>
      <c r="I701" s="95"/>
      <c r="J701" s="100"/>
      <c r="K701" s="22"/>
      <c r="L701" s="72"/>
      <c r="M701" s="72"/>
      <c r="N701" s="72"/>
      <c r="O701" s="72"/>
      <c r="P701" s="72"/>
      <c r="Q701" s="72"/>
      <c r="R701" s="72"/>
    </row>
    <row r="702" spans="1:18" x14ac:dyDescent="0.25">
      <c r="A702" s="26"/>
      <c r="B702" s="45" t="s">
        <v>784</v>
      </c>
      <c r="C702" s="15"/>
      <c r="D702" s="16"/>
      <c r="E702" s="15"/>
      <c r="F702" s="11"/>
      <c r="G702" s="11"/>
      <c r="H702" s="95"/>
      <c r="I702" s="95"/>
      <c r="J702" s="100"/>
      <c r="K702" s="22"/>
      <c r="L702" s="72"/>
      <c r="M702" s="72">
        <f t="shared" ref="M702:M708" si="1326">+ROUND(IF(C702=8,PRODUCT(E702,F702,G702,L702),0),2)</f>
        <v>0</v>
      </c>
      <c r="N702" s="72">
        <f t="shared" ref="N702:N708" si="1327">+ROUND(IF(C702=10,PRODUCT(E702,F702,G702,L702),0),2)</f>
        <v>0</v>
      </c>
      <c r="O702" s="72">
        <f t="shared" ref="O702:O708" si="1328">+ROUND(IF(C702=12,PRODUCT(E702,F702,G702,L702),0),2)</f>
        <v>0</v>
      </c>
      <c r="P702" s="72">
        <f t="shared" ref="P702:P708" si="1329">+ROUND(IF(C702=16,PRODUCT(E702,F702,G702,L702),0),2)</f>
        <v>0</v>
      </c>
      <c r="Q702" s="72">
        <f t="shared" ref="Q702:Q708" si="1330">+ROUND(IF(C702=20,PRODUCT(E702,F702,G702,L702),0),2)</f>
        <v>0</v>
      </c>
      <c r="R702" s="72">
        <f t="shared" ref="R702:R708" si="1331">+ROUND(IF(C702=25,PRODUCT(E702,F702,G702,L702),0),2)</f>
        <v>0</v>
      </c>
    </row>
    <row r="703" spans="1:18" x14ac:dyDescent="0.25">
      <c r="A703" s="26"/>
      <c r="B703" s="104" t="s">
        <v>778</v>
      </c>
      <c r="C703" s="15">
        <v>8</v>
      </c>
      <c r="D703" s="16">
        <v>200</v>
      </c>
      <c r="E703" s="15">
        <v>2</v>
      </c>
      <c r="F703" s="11">
        <v>1</v>
      </c>
      <c r="G703" s="11">
        <f>+ROUND(3.25/(D703/1000)+1,0)</f>
        <v>17</v>
      </c>
      <c r="H703" s="95"/>
      <c r="I703" s="95">
        <f>0.175+2.365+0.175</f>
        <v>2.7149999999999999</v>
      </c>
      <c r="J703" s="100"/>
      <c r="K703" s="47"/>
      <c r="L703" s="72">
        <f>SUM(H703:J703)+K703</f>
        <v>2.7149999999999999</v>
      </c>
      <c r="M703" s="72">
        <f t="shared" si="1326"/>
        <v>92.31</v>
      </c>
      <c r="N703" s="72">
        <f t="shared" si="1327"/>
        <v>0</v>
      </c>
      <c r="O703" s="72">
        <f t="shared" si="1328"/>
        <v>0</v>
      </c>
      <c r="P703" s="72">
        <f t="shared" si="1329"/>
        <v>0</v>
      </c>
      <c r="Q703" s="72">
        <f t="shared" si="1330"/>
        <v>0</v>
      </c>
      <c r="R703" s="72">
        <f t="shared" si="1331"/>
        <v>0</v>
      </c>
    </row>
    <row r="704" spans="1:18" x14ac:dyDescent="0.25">
      <c r="A704" s="26"/>
      <c r="B704" s="104" t="s">
        <v>521</v>
      </c>
      <c r="C704" s="15">
        <v>8</v>
      </c>
      <c r="D704" s="16">
        <v>200</v>
      </c>
      <c r="E704" s="15">
        <v>2</v>
      </c>
      <c r="F704" s="11">
        <v>1</v>
      </c>
      <c r="G704" s="11">
        <f>+ROUND(2.365/(D704/1000)+1,0)</f>
        <v>13</v>
      </c>
      <c r="H704" s="95"/>
      <c r="I704" s="95">
        <f>0.175+3.25+0.175</f>
        <v>3.5999999999999996</v>
      </c>
      <c r="J704" s="100"/>
      <c r="K704" s="47"/>
      <c r="L704" s="72">
        <f>SUM(H704:J704)+K704</f>
        <v>3.5999999999999996</v>
      </c>
      <c r="M704" s="72">
        <f t="shared" ref="M704" si="1332">+ROUND(IF(C704=8,PRODUCT(E704,F704,G704,L704),0),2)</f>
        <v>93.6</v>
      </c>
      <c r="N704" s="72">
        <f t="shared" ref="N704" si="1333">+ROUND(IF(C704=10,PRODUCT(E704,F704,G704,L704),0),2)</f>
        <v>0</v>
      </c>
      <c r="O704" s="72">
        <f t="shared" ref="O704" si="1334">+ROUND(IF(C704=12,PRODUCT(E704,F704,G704,L704),0),2)</f>
        <v>0</v>
      </c>
      <c r="P704" s="72">
        <f t="shared" ref="P704" si="1335">+ROUND(IF(C704=16,PRODUCT(E704,F704,G704,L704),0),2)</f>
        <v>0</v>
      </c>
      <c r="Q704" s="72">
        <f t="shared" ref="Q704" si="1336">+ROUND(IF(C704=20,PRODUCT(E704,F704,G704,L704),0),2)</f>
        <v>0</v>
      </c>
      <c r="R704" s="72">
        <f t="shared" ref="R704" si="1337">+ROUND(IF(C704=25,PRODUCT(E704,F704,G704,L704),0),2)</f>
        <v>0</v>
      </c>
    </row>
    <row r="705" spans="1:18" x14ac:dyDescent="0.25">
      <c r="A705" s="26"/>
      <c r="B705" s="104" t="s">
        <v>512</v>
      </c>
      <c r="C705" s="15">
        <v>8</v>
      </c>
      <c r="D705" s="16">
        <v>200</v>
      </c>
      <c r="E705" s="15">
        <v>2</v>
      </c>
      <c r="F705" s="11">
        <v>1</v>
      </c>
      <c r="G705" s="11">
        <f>+ROUND(2.365/(D705/1000)+1,0)</f>
        <v>13</v>
      </c>
      <c r="H705" s="95">
        <v>0.1</v>
      </c>
      <c r="I705" s="95">
        <f>0.55+0.175</f>
        <v>0.72500000000000009</v>
      </c>
      <c r="J705" s="100"/>
      <c r="K705" s="22"/>
      <c r="L705" s="72">
        <f>SUM(H705:J705)+K705</f>
        <v>0.82500000000000007</v>
      </c>
      <c r="M705" s="72">
        <f t="shared" si="1326"/>
        <v>21.45</v>
      </c>
      <c r="N705" s="72">
        <f t="shared" si="1327"/>
        <v>0</v>
      </c>
      <c r="O705" s="72">
        <f t="shared" si="1328"/>
        <v>0</v>
      </c>
      <c r="P705" s="72">
        <f t="shared" si="1329"/>
        <v>0</v>
      </c>
      <c r="Q705" s="72">
        <f t="shared" si="1330"/>
        <v>0</v>
      </c>
      <c r="R705" s="72">
        <f t="shared" si="1331"/>
        <v>0</v>
      </c>
    </row>
    <row r="706" spans="1:18" x14ac:dyDescent="0.25">
      <c r="A706" s="26"/>
      <c r="B706" s="104" t="s">
        <v>512</v>
      </c>
      <c r="C706" s="15">
        <v>8</v>
      </c>
      <c r="D706" s="16">
        <v>200</v>
      </c>
      <c r="E706" s="15">
        <v>2</v>
      </c>
      <c r="F706" s="11">
        <v>1</v>
      </c>
      <c r="G706" s="11">
        <f>+ROUND(1.52/(D706/1000)+1,0)</f>
        <v>9</v>
      </c>
      <c r="H706" s="95">
        <v>0.1</v>
      </c>
      <c r="I706" s="95">
        <f>0.45+0.175</f>
        <v>0.625</v>
      </c>
      <c r="J706" s="100"/>
      <c r="K706" s="22"/>
      <c r="L706" s="72">
        <f t="shared" ref="L706" si="1338">SUM(H706:J706)+K706</f>
        <v>0.72499999999999998</v>
      </c>
      <c r="M706" s="72">
        <f t="shared" si="1326"/>
        <v>13.05</v>
      </c>
      <c r="N706" s="72">
        <f t="shared" si="1327"/>
        <v>0</v>
      </c>
      <c r="O706" s="72">
        <f t="shared" si="1328"/>
        <v>0</v>
      </c>
      <c r="P706" s="72">
        <f t="shared" si="1329"/>
        <v>0</v>
      </c>
      <c r="Q706" s="72">
        <f t="shared" si="1330"/>
        <v>0</v>
      </c>
      <c r="R706" s="72">
        <f t="shared" si="1331"/>
        <v>0</v>
      </c>
    </row>
    <row r="707" spans="1:18" x14ac:dyDescent="0.25">
      <c r="A707" s="26"/>
      <c r="B707" s="104" t="s">
        <v>515</v>
      </c>
      <c r="C707" s="15">
        <v>8</v>
      </c>
      <c r="D707" s="16">
        <v>150</v>
      </c>
      <c r="E707" s="15">
        <v>2</v>
      </c>
      <c r="F707" s="11">
        <v>1</v>
      </c>
      <c r="G707" s="11">
        <f>+ROUND(1.53/(D707/1000)+1,0)/2</f>
        <v>5.5</v>
      </c>
      <c r="H707" s="95"/>
      <c r="I707" s="95">
        <f>0.1+0.8</f>
        <v>0.9</v>
      </c>
      <c r="J707" s="100"/>
      <c r="K707" s="22"/>
      <c r="L707" s="72">
        <f>SUM(H707:J707)+K707</f>
        <v>0.9</v>
      </c>
      <c r="M707" s="72">
        <f t="shared" si="1326"/>
        <v>9.9</v>
      </c>
      <c r="N707" s="72">
        <f t="shared" si="1327"/>
        <v>0</v>
      </c>
      <c r="O707" s="72">
        <f t="shared" si="1328"/>
        <v>0</v>
      </c>
      <c r="P707" s="72">
        <f t="shared" si="1329"/>
        <v>0</v>
      </c>
      <c r="Q707" s="72">
        <f t="shared" si="1330"/>
        <v>0</v>
      </c>
      <c r="R707" s="72">
        <f t="shared" si="1331"/>
        <v>0</v>
      </c>
    </row>
    <row r="708" spans="1:18" x14ac:dyDescent="0.25">
      <c r="A708" s="26"/>
      <c r="B708" s="104" t="s">
        <v>515</v>
      </c>
      <c r="C708" s="15">
        <v>8</v>
      </c>
      <c r="D708" s="16">
        <v>150</v>
      </c>
      <c r="E708" s="15">
        <v>2</v>
      </c>
      <c r="F708" s="11">
        <v>1</v>
      </c>
      <c r="G708" s="11">
        <f>+ROUND(1.53/(D708/1000)+1,0)/2</f>
        <v>5.5</v>
      </c>
      <c r="H708" s="95"/>
      <c r="I708" s="95">
        <f>0.1+0.4</f>
        <v>0.5</v>
      </c>
      <c r="J708" s="100"/>
      <c r="K708" s="22"/>
      <c r="L708" s="72">
        <f t="shared" ref="L708" si="1339">SUM(H708:J708)+K708</f>
        <v>0.5</v>
      </c>
      <c r="M708" s="72">
        <f t="shared" si="1326"/>
        <v>5.5</v>
      </c>
      <c r="N708" s="72">
        <f t="shared" si="1327"/>
        <v>0</v>
      </c>
      <c r="O708" s="72">
        <f t="shared" si="1328"/>
        <v>0</v>
      </c>
      <c r="P708" s="72">
        <f t="shared" si="1329"/>
        <v>0</v>
      </c>
      <c r="Q708" s="72">
        <f t="shared" si="1330"/>
        <v>0</v>
      </c>
      <c r="R708" s="72">
        <f t="shared" si="1331"/>
        <v>0</v>
      </c>
    </row>
    <row r="709" spans="1:18" x14ac:dyDescent="0.25">
      <c r="A709" s="26"/>
      <c r="B709" s="104" t="s">
        <v>512</v>
      </c>
      <c r="C709" s="15">
        <v>8</v>
      </c>
      <c r="D709" s="16">
        <v>200</v>
      </c>
      <c r="E709" s="15">
        <v>2</v>
      </c>
      <c r="F709" s="11">
        <v>1</v>
      </c>
      <c r="G709" s="11">
        <f>+ROUND(3.25/(D709/1000)+1,0)/2</f>
        <v>8.5</v>
      </c>
      <c r="H709" s="95"/>
      <c r="I709" s="95">
        <f>0.1+0.8</f>
        <v>0.9</v>
      </c>
      <c r="J709" s="100"/>
      <c r="K709" s="22"/>
      <c r="L709" s="72">
        <f>SUM(H709:J709)+K709</f>
        <v>0.9</v>
      </c>
      <c r="M709" s="72">
        <f t="shared" ref="M709:M721" si="1340">+ROUND(IF(C709=8,PRODUCT(E709,F709,G709,L709),0),2)</f>
        <v>15.3</v>
      </c>
      <c r="N709" s="72">
        <f t="shared" ref="N709:N721" si="1341">+ROUND(IF(C709=10,PRODUCT(E709,F709,G709,L709),0),2)</f>
        <v>0</v>
      </c>
      <c r="O709" s="72">
        <f t="shared" ref="O709:O721" si="1342">+ROUND(IF(C709=12,PRODUCT(E709,F709,G709,L709),0),2)</f>
        <v>0</v>
      </c>
      <c r="P709" s="72">
        <f t="shared" ref="P709:P721" si="1343">+ROUND(IF(C709=16,PRODUCT(E709,F709,G709,L709),0),2)</f>
        <v>0</v>
      </c>
      <c r="Q709" s="72">
        <f t="shared" ref="Q709:Q721" si="1344">+ROUND(IF(C709=20,PRODUCT(E709,F709,G709,L709),0),2)</f>
        <v>0</v>
      </c>
      <c r="R709" s="72">
        <f t="shared" ref="R709:R721" si="1345">+ROUND(IF(C709=25,PRODUCT(E709,F709,G709,L709),0),2)</f>
        <v>0</v>
      </c>
    </row>
    <row r="710" spans="1:18" x14ac:dyDescent="0.25">
      <c r="A710" s="26"/>
      <c r="B710" s="104" t="s">
        <v>512</v>
      </c>
      <c r="C710" s="15">
        <v>8</v>
      </c>
      <c r="D710" s="16">
        <v>200</v>
      </c>
      <c r="E710" s="15">
        <v>2</v>
      </c>
      <c r="F710" s="11">
        <v>1</v>
      </c>
      <c r="G710" s="11">
        <f>+ROUND(3.25/(D710/1000)+1,0)/2</f>
        <v>8.5</v>
      </c>
      <c r="H710" s="95"/>
      <c r="I710" s="95">
        <f>0.1+0.4</f>
        <v>0.5</v>
      </c>
      <c r="J710" s="100"/>
      <c r="K710" s="22"/>
      <c r="L710" s="72">
        <f t="shared" ref="L710" si="1346">SUM(H710:J710)+K710</f>
        <v>0.5</v>
      </c>
      <c r="M710" s="72">
        <f t="shared" si="1340"/>
        <v>8.5</v>
      </c>
      <c r="N710" s="72">
        <f t="shared" si="1341"/>
        <v>0</v>
      </c>
      <c r="O710" s="72">
        <f t="shared" si="1342"/>
        <v>0</v>
      </c>
      <c r="P710" s="72">
        <f t="shared" si="1343"/>
        <v>0</v>
      </c>
      <c r="Q710" s="72">
        <f t="shared" si="1344"/>
        <v>0</v>
      </c>
      <c r="R710" s="72">
        <f t="shared" si="1345"/>
        <v>0</v>
      </c>
    </row>
    <row r="711" spans="1:18" x14ac:dyDescent="0.25">
      <c r="A711" s="26"/>
      <c r="B711" s="104" t="s">
        <v>759</v>
      </c>
      <c r="C711" s="15">
        <v>8</v>
      </c>
      <c r="D711" s="16">
        <v>200</v>
      </c>
      <c r="E711" s="15">
        <v>2</v>
      </c>
      <c r="F711" s="11">
        <v>1</v>
      </c>
      <c r="G711" s="11">
        <f>+ROUND(0.55/(D711/1000)+1,0)</f>
        <v>4</v>
      </c>
      <c r="H711" s="95">
        <v>0.2</v>
      </c>
      <c r="I711" s="95">
        <v>2.3650000000000002</v>
      </c>
      <c r="J711" s="100"/>
      <c r="K711" s="22"/>
      <c r="L711" s="72">
        <f t="shared" ref="L711:L712" si="1347">SUM(H711:J711)+K711</f>
        <v>2.5650000000000004</v>
      </c>
      <c r="M711" s="72">
        <f t="shared" ref="M711:M712" si="1348">+ROUND(IF(C711=8,PRODUCT(E711,F711,G711,L711),0),2)</f>
        <v>20.52</v>
      </c>
      <c r="N711" s="72">
        <f t="shared" ref="N711:N712" si="1349">+ROUND(IF(C711=10,PRODUCT(E711,F711,G711,L711),0),2)</f>
        <v>0</v>
      </c>
      <c r="O711" s="72">
        <f t="shared" ref="O711:O712" si="1350">+ROUND(IF(C711=12,PRODUCT(E711,F711,G711,L711),0),2)</f>
        <v>0</v>
      </c>
      <c r="P711" s="72">
        <f t="shared" ref="P711:P712" si="1351">+ROUND(IF(C711=16,PRODUCT(E711,F711,G711,L711),0),2)</f>
        <v>0</v>
      </c>
      <c r="Q711" s="72">
        <f t="shared" ref="Q711:Q712" si="1352">+ROUND(IF(C711=20,PRODUCT(E711,F711,G711,L711),0),2)</f>
        <v>0</v>
      </c>
      <c r="R711" s="72">
        <f t="shared" ref="R711:R712" si="1353">+ROUND(IF(C711=25,PRODUCT(E711,F711,G711,L711),0),2)</f>
        <v>0</v>
      </c>
    </row>
    <row r="712" spans="1:18" x14ac:dyDescent="0.25">
      <c r="A712" s="26"/>
      <c r="B712" s="104" t="s">
        <v>759</v>
      </c>
      <c r="C712" s="15">
        <v>8</v>
      </c>
      <c r="D712" s="16">
        <v>200</v>
      </c>
      <c r="E712" s="15">
        <v>2</v>
      </c>
      <c r="F712" s="11">
        <v>1</v>
      </c>
      <c r="G712" s="11">
        <f>+ROUND(0.8/(D712/1000)+1,0)</f>
        <v>5</v>
      </c>
      <c r="H712" s="95">
        <v>0.2</v>
      </c>
      <c r="I712" s="95">
        <v>3.25</v>
      </c>
      <c r="J712" s="100"/>
      <c r="K712" s="22"/>
      <c r="L712" s="72">
        <f t="shared" si="1347"/>
        <v>3.45</v>
      </c>
      <c r="M712" s="72">
        <f t="shared" si="1348"/>
        <v>34.5</v>
      </c>
      <c r="N712" s="72">
        <f t="shared" si="1349"/>
        <v>0</v>
      </c>
      <c r="O712" s="72">
        <f t="shared" si="1350"/>
        <v>0</v>
      </c>
      <c r="P712" s="72">
        <f t="shared" si="1351"/>
        <v>0</v>
      </c>
      <c r="Q712" s="72">
        <f t="shared" si="1352"/>
        <v>0</v>
      </c>
      <c r="R712" s="72">
        <f t="shared" si="1353"/>
        <v>0</v>
      </c>
    </row>
    <row r="713" spans="1:18" x14ac:dyDescent="0.25">
      <c r="A713" s="26"/>
      <c r="B713" s="104" t="s">
        <v>759</v>
      </c>
      <c r="C713" s="15">
        <v>8</v>
      </c>
      <c r="D713" s="16">
        <v>200</v>
      </c>
      <c r="E713" s="15">
        <v>2</v>
      </c>
      <c r="F713" s="11">
        <v>1</v>
      </c>
      <c r="G713" s="11">
        <f>+ROUND(0.8/(D713/1000)+1,0)</f>
        <v>5</v>
      </c>
      <c r="H713" s="95">
        <v>0.2</v>
      </c>
      <c r="I713" s="95">
        <v>3.25</v>
      </c>
      <c r="J713" s="100"/>
      <c r="K713" s="22"/>
      <c r="L713" s="72">
        <f t="shared" ref="L713" si="1354">SUM(H713:J713)+K713</f>
        <v>3.45</v>
      </c>
      <c r="M713" s="72">
        <f t="shared" ref="M713" si="1355">+ROUND(IF(C713=8,PRODUCT(E713,F713,G713,L713),0),2)</f>
        <v>34.5</v>
      </c>
      <c r="N713" s="72">
        <f t="shared" ref="N713" si="1356">+ROUND(IF(C713=10,PRODUCT(E713,F713,G713,L713),0),2)</f>
        <v>0</v>
      </c>
      <c r="O713" s="72">
        <f t="shared" ref="O713" si="1357">+ROUND(IF(C713=12,PRODUCT(E713,F713,G713,L713),0),2)</f>
        <v>0</v>
      </c>
      <c r="P713" s="72">
        <f t="shared" ref="P713" si="1358">+ROUND(IF(C713=16,PRODUCT(E713,F713,G713,L713),0),2)</f>
        <v>0</v>
      </c>
      <c r="Q713" s="72">
        <f t="shared" ref="Q713" si="1359">+ROUND(IF(C713=20,PRODUCT(E713,F713,G713,L713),0),2)</f>
        <v>0</v>
      </c>
      <c r="R713" s="72">
        <f t="shared" ref="R713" si="1360">+ROUND(IF(C713=25,PRODUCT(E713,F713,G713,L713),0),2)</f>
        <v>0</v>
      </c>
    </row>
    <row r="714" spans="1:18" x14ac:dyDescent="0.25">
      <c r="A714" s="26"/>
      <c r="B714" s="25"/>
      <c r="C714" s="15"/>
      <c r="D714" s="16"/>
      <c r="E714" s="15"/>
      <c r="F714" s="11"/>
      <c r="G714" s="11"/>
      <c r="H714" s="95"/>
      <c r="I714" s="95"/>
      <c r="J714" s="100"/>
      <c r="K714" s="22"/>
      <c r="L714" s="72"/>
      <c r="M714" s="72"/>
      <c r="N714" s="72"/>
      <c r="O714" s="72"/>
      <c r="P714" s="72"/>
      <c r="Q714" s="72"/>
      <c r="R714" s="72"/>
    </row>
    <row r="715" spans="1:18" x14ac:dyDescent="0.25">
      <c r="A715" s="26"/>
      <c r="B715" s="45" t="s">
        <v>785</v>
      </c>
      <c r="C715" s="15"/>
      <c r="D715" s="16"/>
      <c r="E715" s="15"/>
      <c r="F715" s="11"/>
      <c r="G715" s="11"/>
      <c r="H715" s="95"/>
      <c r="I715" s="95"/>
      <c r="J715" s="100"/>
      <c r="K715" s="22"/>
      <c r="L715" s="72"/>
      <c r="M715" s="72">
        <f t="shared" si="1340"/>
        <v>0</v>
      </c>
      <c r="N715" s="72">
        <f t="shared" si="1341"/>
        <v>0</v>
      </c>
      <c r="O715" s="72">
        <f t="shared" si="1342"/>
        <v>0</v>
      </c>
      <c r="P715" s="72">
        <f t="shared" si="1343"/>
        <v>0</v>
      </c>
      <c r="Q715" s="72">
        <f t="shared" si="1344"/>
        <v>0</v>
      </c>
      <c r="R715" s="72">
        <f t="shared" si="1345"/>
        <v>0</v>
      </c>
    </row>
    <row r="716" spans="1:18" x14ac:dyDescent="0.25">
      <c r="A716" s="26"/>
      <c r="B716" s="104" t="s">
        <v>778</v>
      </c>
      <c r="C716" s="15">
        <v>8</v>
      </c>
      <c r="D716" s="16">
        <v>200</v>
      </c>
      <c r="E716" s="15">
        <v>2</v>
      </c>
      <c r="F716" s="11">
        <v>1</v>
      </c>
      <c r="G716" s="11">
        <f>+ROUND(3.25/(D716/1000)+1,0)</f>
        <v>17</v>
      </c>
      <c r="H716" s="95"/>
      <c r="I716" s="95">
        <f>0.175+2.925+0.175</f>
        <v>3.2749999999999995</v>
      </c>
      <c r="J716" s="100"/>
      <c r="K716" s="47"/>
      <c r="L716" s="72">
        <f>SUM(H716:J716)+K716</f>
        <v>3.2749999999999995</v>
      </c>
      <c r="M716" s="72">
        <f t="shared" si="1340"/>
        <v>111.35</v>
      </c>
      <c r="N716" s="72">
        <f t="shared" si="1341"/>
        <v>0</v>
      </c>
      <c r="O716" s="72">
        <f t="shared" si="1342"/>
        <v>0</v>
      </c>
      <c r="P716" s="72">
        <f t="shared" si="1343"/>
        <v>0</v>
      </c>
      <c r="Q716" s="72">
        <f t="shared" si="1344"/>
        <v>0</v>
      </c>
      <c r="R716" s="72">
        <f t="shared" si="1345"/>
        <v>0</v>
      </c>
    </row>
    <row r="717" spans="1:18" x14ac:dyDescent="0.25">
      <c r="A717" s="26"/>
      <c r="B717" s="104" t="s">
        <v>521</v>
      </c>
      <c r="C717" s="15">
        <v>8</v>
      </c>
      <c r="D717" s="16">
        <v>200</v>
      </c>
      <c r="E717" s="15">
        <v>2</v>
      </c>
      <c r="F717" s="11">
        <v>1</v>
      </c>
      <c r="G717" s="11">
        <f>+ROUND(2.925/(D717/1000)+1,0)</f>
        <v>16</v>
      </c>
      <c r="H717" s="95"/>
      <c r="I717" s="95">
        <f>0.175+3.25+0.175</f>
        <v>3.5999999999999996</v>
      </c>
      <c r="J717" s="100"/>
      <c r="K717" s="47"/>
      <c r="L717" s="72">
        <f>SUM(H717:J717)+K717</f>
        <v>3.5999999999999996</v>
      </c>
      <c r="M717" s="72">
        <f t="shared" si="1340"/>
        <v>115.2</v>
      </c>
      <c r="N717" s="72">
        <f t="shared" si="1341"/>
        <v>0</v>
      </c>
      <c r="O717" s="72">
        <f t="shared" si="1342"/>
        <v>0</v>
      </c>
      <c r="P717" s="72">
        <f t="shared" si="1343"/>
        <v>0</v>
      </c>
      <c r="Q717" s="72">
        <f t="shared" si="1344"/>
        <v>0</v>
      </c>
      <c r="R717" s="72">
        <f t="shared" si="1345"/>
        <v>0</v>
      </c>
    </row>
    <row r="718" spans="1:18" x14ac:dyDescent="0.25">
      <c r="A718" s="26"/>
      <c r="B718" s="104" t="s">
        <v>512</v>
      </c>
      <c r="C718" s="15">
        <v>8</v>
      </c>
      <c r="D718" s="16">
        <v>200</v>
      </c>
      <c r="E718" s="15">
        <v>2</v>
      </c>
      <c r="F718" s="11">
        <v>1</v>
      </c>
      <c r="G718" s="11">
        <f>+ROUND(2.925/(D718/1000)+1,0)</f>
        <v>16</v>
      </c>
      <c r="H718" s="95">
        <v>0.1</v>
      </c>
      <c r="I718" s="95">
        <f>0.55+0.175</f>
        <v>0.72500000000000009</v>
      </c>
      <c r="J718" s="100"/>
      <c r="K718" s="22"/>
      <c r="L718" s="72">
        <f>SUM(H718:J718)+K718</f>
        <v>0.82500000000000007</v>
      </c>
      <c r="M718" s="72">
        <f t="shared" si="1340"/>
        <v>26.4</v>
      </c>
      <c r="N718" s="72">
        <f t="shared" si="1341"/>
        <v>0</v>
      </c>
      <c r="O718" s="72">
        <f t="shared" si="1342"/>
        <v>0</v>
      </c>
      <c r="P718" s="72">
        <f t="shared" si="1343"/>
        <v>0</v>
      </c>
      <c r="Q718" s="72">
        <f t="shared" si="1344"/>
        <v>0</v>
      </c>
      <c r="R718" s="72">
        <f t="shared" si="1345"/>
        <v>0</v>
      </c>
    </row>
    <row r="719" spans="1:18" x14ac:dyDescent="0.25">
      <c r="A719" s="26"/>
      <c r="B719" s="104" t="s">
        <v>512</v>
      </c>
      <c r="C719" s="15">
        <v>8</v>
      </c>
      <c r="D719" s="16">
        <v>200</v>
      </c>
      <c r="E719" s="15">
        <v>2</v>
      </c>
      <c r="F719" s="11">
        <v>1</v>
      </c>
      <c r="G719" s="11">
        <f>+ROUND(1.52/(D719/1000)+1,0)</f>
        <v>9</v>
      </c>
      <c r="H719" s="95">
        <v>0.1</v>
      </c>
      <c r="I719" s="95">
        <f>0.5+0.175</f>
        <v>0.67500000000000004</v>
      </c>
      <c r="J719" s="100"/>
      <c r="K719" s="22"/>
      <c r="L719" s="72">
        <f t="shared" ref="L719" si="1361">SUM(H719:J719)+K719</f>
        <v>0.77500000000000002</v>
      </c>
      <c r="M719" s="72">
        <f t="shared" si="1340"/>
        <v>13.95</v>
      </c>
      <c r="N719" s="72">
        <f t="shared" si="1341"/>
        <v>0</v>
      </c>
      <c r="O719" s="72">
        <f t="shared" si="1342"/>
        <v>0</v>
      </c>
      <c r="P719" s="72">
        <f t="shared" si="1343"/>
        <v>0</v>
      </c>
      <c r="Q719" s="72">
        <f t="shared" si="1344"/>
        <v>0</v>
      </c>
      <c r="R719" s="72">
        <f t="shared" si="1345"/>
        <v>0</v>
      </c>
    </row>
    <row r="720" spans="1:18" x14ac:dyDescent="0.25">
      <c r="A720" s="26"/>
      <c r="B720" s="104" t="s">
        <v>512</v>
      </c>
      <c r="C720" s="15">
        <v>8</v>
      </c>
      <c r="D720" s="16">
        <v>200</v>
      </c>
      <c r="E720" s="15">
        <v>2</v>
      </c>
      <c r="F720" s="11">
        <v>1</v>
      </c>
      <c r="G720" s="11">
        <f>+ROUND(1.53/(D720/1000)+1,0)/2</f>
        <v>4.5</v>
      </c>
      <c r="H720" s="95"/>
      <c r="I720" s="95">
        <f>0.1+1</f>
        <v>1.1000000000000001</v>
      </c>
      <c r="J720" s="100"/>
      <c r="K720" s="22"/>
      <c r="L720" s="72">
        <f>SUM(H720:J720)+K720</f>
        <v>1.1000000000000001</v>
      </c>
      <c r="M720" s="72">
        <f t="shared" si="1340"/>
        <v>9.9</v>
      </c>
      <c r="N720" s="72">
        <f t="shared" si="1341"/>
        <v>0</v>
      </c>
      <c r="O720" s="72">
        <f t="shared" si="1342"/>
        <v>0</v>
      </c>
      <c r="P720" s="72">
        <f t="shared" si="1343"/>
        <v>0</v>
      </c>
      <c r="Q720" s="72">
        <f t="shared" si="1344"/>
        <v>0</v>
      </c>
      <c r="R720" s="72">
        <f t="shared" si="1345"/>
        <v>0</v>
      </c>
    </row>
    <row r="721" spans="1:18" x14ac:dyDescent="0.25">
      <c r="A721" s="26"/>
      <c r="B721" s="104" t="s">
        <v>512</v>
      </c>
      <c r="C721" s="15">
        <v>8</v>
      </c>
      <c r="D721" s="16">
        <v>200</v>
      </c>
      <c r="E721" s="15">
        <v>2</v>
      </c>
      <c r="F721" s="11">
        <v>1</v>
      </c>
      <c r="G721" s="11">
        <f>+ROUND(1.53/(D721/1000)+1,0)/2</f>
        <v>4.5</v>
      </c>
      <c r="H721" s="95"/>
      <c r="I721" s="95">
        <f>0.1+0.5</f>
        <v>0.6</v>
      </c>
      <c r="J721" s="100"/>
      <c r="K721" s="22"/>
      <c r="L721" s="72">
        <f t="shared" ref="L721" si="1362">SUM(H721:J721)+K721</f>
        <v>0.6</v>
      </c>
      <c r="M721" s="72">
        <f t="shared" si="1340"/>
        <v>5.4</v>
      </c>
      <c r="N721" s="72">
        <f t="shared" si="1341"/>
        <v>0</v>
      </c>
      <c r="O721" s="72">
        <f t="shared" si="1342"/>
        <v>0</v>
      </c>
      <c r="P721" s="72">
        <f t="shared" si="1343"/>
        <v>0</v>
      </c>
      <c r="Q721" s="72">
        <f t="shared" si="1344"/>
        <v>0</v>
      </c>
      <c r="R721" s="72">
        <f t="shared" si="1345"/>
        <v>0</v>
      </c>
    </row>
    <row r="722" spans="1:18" x14ac:dyDescent="0.25">
      <c r="A722" s="26"/>
      <c r="B722" s="104" t="s">
        <v>512</v>
      </c>
      <c r="C722" s="15">
        <v>8</v>
      </c>
      <c r="D722" s="16">
        <v>200</v>
      </c>
      <c r="E722" s="15">
        <v>2</v>
      </c>
      <c r="F722" s="11">
        <v>1</v>
      </c>
      <c r="G722" s="11">
        <f>+ROUND(3.25/(D722/1000)+1,0)/2</f>
        <v>8.5</v>
      </c>
      <c r="H722" s="95"/>
      <c r="I722" s="95">
        <f>0.1+1</f>
        <v>1.1000000000000001</v>
      </c>
      <c r="J722" s="100"/>
      <c r="K722" s="22"/>
      <c r="L722" s="72">
        <f>SUM(H722:J722)+K722</f>
        <v>1.1000000000000001</v>
      </c>
      <c r="M722" s="72">
        <f t="shared" ref="M722:M723" si="1363">+ROUND(IF(C722=8,PRODUCT(E722,F722,G722,L722),0),2)</f>
        <v>18.7</v>
      </c>
      <c r="N722" s="72">
        <f t="shared" ref="N722:N723" si="1364">+ROUND(IF(C722=10,PRODUCT(E722,F722,G722,L722),0),2)</f>
        <v>0</v>
      </c>
      <c r="O722" s="72">
        <f t="shared" ref="O722:O723" si="1365">+ROUND(IF(C722=12,PRODUCT(E722,F722,G722,L722),0),2)</f>
        <v>0</v>
      </c>
      <c r="P722" s="72">
        <f t="shared" ref="P722:P723" si="1366">+ROUND(IF(C722=16,PRODUCT(E722,F722,G722,L722),0),2)</f>
        <v>0</v>
      </c>
      <c r="Q722" s="72">
        <f t="shared" ref="Q722:Q723" si="1367">+ROUND(IF(C722=20,PRODUCT(E722,F722,G722,L722),0),2)</f>
        <v>0</v>
      </c>
      <c r="R722" s="72">
        <f t="shared" ref="R722:R723" si="1368">+ROUND(IF(C722=25,PRODUCT(E722,F722,G722,L722),0),2)</f>
        <v>0</v>
      </c>
    </row>
    <row r="723" spans="1:18" x14ac:dyDescent="0.25">
      <c r="A723" s="26"/>
      <c r="B723" s="104" t="s">
        <v>512</v>
      </c>
      <c r="C723" s="15">
        <v>8</v>
      </c>
      <c r="D723" s="16">
        <v>200</v>
      </c>
      <c r="E723" s="15">
        <v>2</v>
      </c>
      <c r="F723" s="11">
        <v>1</v>
      </c>
      <c r="G723" s="11">
        <f>+ROUND(3.25/(D723/1000)+1,0)/2</f>
        <v>8.5</v>
      </c>
      <c r="H723" s="95"/>
      <c r="I723" s="95">
        <f>0.1+0.5</f>
        <v>0.6</v>
      </c>
      <c r="J723" s="100"/>
      <c r="K723" s="22"/>
      <c r="L723" s="72">
        <f t="shared" ref="L723" si="1369">SUM(H723:J723)+K723</f>
        <v>0.6</v>
      </c>
      <c r="M723" s="72">
        <f t="shared" si="1363"/>
        <v>10.199999999999999</v>
      </c>
      <c r="N723" s="72">
        <f t="shared" si="1364"/>
        <v>0</v>
      </c>
      <c r="O723" s="72">
        <f t="shared" si="1365"/>
        <v>0</v>
      </c>
      <c r="P723" s="72">
        <f t="shared" si="1366"/>
        <v>0</v>
      </c>
      <c r="Q723" s="72">
        <f t="shared" si="1367"/>
        <v>0</v>
      </c>
      <c r="R723" s="72">
        <f t="shared" si="1368"/>
        <v>0</v>
      </c>
    </row>
    <row r="724" spans="1:18" x14ac:dyDescent="0.25">
      <c r="A724" s="26"/>
      <c r="B724" s="104" t="s">
        <v>512</v>
      </c>
      <c r="C724" s="15">
        <v>8</v>
      </c>
      <c r="D724" s="16">
        <v>200</v>
      </c>
      <c r="E724" s="15">
        <v>2</v>
      </c>
      <c r="F724" s="11">
        <v>1</v>
      </c>
      <c r="G724" s="11">
        <f>+ROUND(2.925/(D724/1000)+1,0)/2</f>
        <v>8</v>
      </c>
      <c r="H724" s="95"/>
      <c r="I724" s="95">
        <f>0.1+1</f>
        <v>1.1000000000000001</v>
      </c>
      <c r="J724" s="100"/>
      <c r="K724" s="22"/>
      <c r="L724" s="72">
        <f>SUM(H724:J724)+K724</f>
        <v>1.1000000000000001</v>
      </c>
      <c r="M724" s="72">
        <f t="shared" ref="M724:M728" si="1370">+ROUND(IF(C724=8,PRODUCT(E724,F724,G724,L724),0),2)</f>
        <v>17.600000000000001</v>
      </c>
      <c r="N724" s="72">
        <f t="shared" ref="N724:N728" si="1371">+ROUND(IF(C724=10,PRODUCT(E724,F724,G724,L724),0),2)</f>
        <v>0</v>
      </c>
      <c r="O724" s="72">
        <f t="shared" ref="O724:O728" si="1372">+ROUND(IF(C724=12,PRODUCT(E724,F724,G724,L724),0),2)</f>
        <v>0</v>
      </c>
      <c r="P724" s="72">
        <f t="shared" ref="P724:P728" si="1373">+ROUND(IF(C724=16,PRODUCT(E724,F724,G724,L724),0),2)</f>
        <v>0</v>
      </c>
      <c r="Q724" s="72">
        <f t="shared" ref="Q724:Q728" si="1374">+ROUND(IF(C724=20,PRODUCT(E724,F724,G724,L724),0),2)</f>
        <v>0</v>
      </c>
      <c r="R724" s="72">
        <f t="shared" ref="R724:R728" si="1375">+ROUND(IF(C724=25,PRODUCT(E724,F724,G724,L724),0),2)</f>
        <v>0</v>
      </c>
    </row>
    <row r="725" spans="1:18" x14ac:dyDescent="0.25">
      <c r="A725" s="26"/>
      <c r="B725" s="104" t="s">
        <v>512</v>
      </c>
      <c r="C725" s="15">
        <v>8</v>
      </c>
      <c r="D725" s="16">
        <v>200</v>
      </c>
      <c r="E725" s="15">
        <v>2</v>
      </c>
      <c r="F725" s="11">
        <v>1</v>
      </c>
      <c r="G725" s="11">
        <f>+ROUND(2.925/(D725/1000)+1,0)/2</f>
        <v>8</v>
      </c>
      <c r="H725" s="95"/>
      <c r="I725" s="95">
        <f>0.1+0.5</f>
        <v>0.6</v>
      </c>
      <c r="J725" s="100"/>
      <c r="K725" s="22"/>
      <c r="L725" s="72">
        <f t="shared" ref="L725:L728" si="1376">SUM(H725:J725)+K725</f>
        <v>0.6</v>
      </c>
      <c r="M725" s="72">
        <f t="shared" si="1370"/>
        <v>9.6</v>
      </c>
      <c r="N725" s="72">
        <f t="shared" si="1371"/>
        <v>0</v>
      </c>
      <c r="O725" s="72">
        <f t="shared" si="1372"/>
        <v>0</v>
      </c>
      <c r="P725" s="72">
        <f t="shared" si="1373"/>
        <v>0</v>
      </c>
      <c r="Q725" s="72">
        <f t="shared" si="1374"/>
        <v>0</v>
      </c>
      <c r="R725" s="72">
        <f t="shared" si="1375"/>
        <v>0</v>
      </c>
    </row>
    <row r="726" spans="1:18" x14ac:dyDescent="0.25">
      <c r="A726" s="26"/>
      <c r="B726" s="104" t="s">
        <v>759</v>
      </c>
      <c r="C726" s="15">
        <v>8</v>
      </c>
      <c r="D726" s="16">
        <v>200</v>
      </c>
      <c r="E726" s="15">
        <v>2</v>
      </c>
      <c r="F726" s="11">
        <v>1</v>
      </c>
      <c r="G726" s="11">
        <f>+ROUND(0.55/(D726/1000)+1,0)</f>
        <v>4</v>
      </c>
      <c r="H726" s="95">
        <v>0.2</v>
      </c>
      <c r="I726" s="95">
        <v>2.9249999999999998</v>
      </c>
      <c r="J726" s="100"/>
      <c r="K726" s="22"/>
      <c r="L726" s="72">
        <f t="shared" si="1376"/>
        <v>3.125</v>
      </c>
      <c r="M726" s="72">
        <f t="shared" si="1370"/>
        <v>25</v>
      </c>
      <c r="N726" s="72">
        <f t="shared" si="1371"/>
        <v>0</v>
      </c>
      <c r="O726" s="72">
        <f t="shared" si="1372"/>
        <v>0</v>
      </c>
      <c r="P726" s="72">
        <f t="shared" si="1373"/>
        <v>0</v>
      </c>
      <c r="Q726" s="72">
        <f t="shared" si="1374"/>
        <v>0</v>
      </c>
      <c r="R726" s="72">
        <f t="shared" si="1375"/>
        <v>0</v>
      </c>
    </row>
    <row r="727" spans="1:18" x14ac:dyDescent="0.25">
      <c r="A727" s="26"/>
      <c r="B727" s="104" t="s">
        <v>759</v>
      </c>
      <c r="C727" s="15">
        <v>8</v>
      </c>
      <c r="D727" s="16">
        <v>200</v>
      </c>
      <c r="E727" s="15">
        <v>2</v>
      </c>
      <c r="F727" s="11">
        <v>1</v>
      </c>
      <c r="G727" s="11">
        <f>+ROUND(1/(D727/1000)+1,0)</f>
        <v>6</v>
      </c>
      <c r="H727" s="95">
        <v>0.2</v>
      </c>
      <c r="I727" s="95">
        <v>3.25</v>
      </c>
      <c r="J727" s="100"/>
      <c r="K727" s="22"/>
      <c r="L727" s="72">
        <f t="shared" si="1376"/>
        <v>3.45</v>
      </c>
      <c r="M727" s="72">
        <f t="shared" si="1370"/>
        <v>41.4</v>
      </c>
      <c r="N727" s="72">
        <f t="shared" si="1371"/>
        <v>0</v>
      </c>
      <c r="O727" s="72">
        <f t="shared" si="1372"/>
        <v>0</v>
      </c>
      <c r="P727" s="72">
        <f t="shared" si="1373"/>
        <v>0</v>
      </c>
      <c r="Q727" s="72">
        <f t="shared" si="1374"/>
        <v>0</v>
      </c>
      <c r="R727" s="72">
        <f t="shared" si="1375"/>
        <v>0</v>
      </c>
    </row>
    <row r="728" spans="1:18" x14ac:dyDescent="0.25">
      <c r="A728" s="26"/>
      <c r="B728" s="104" t="s">
        <v>759</v>
      </c>
      <c r="C728" s="15">
        <v>8</v>
      </c>
      <c r="D728" s="16">
        <v>200</v>
      </c>
      <c r="E728" s="15">
        <v>2</v>
      </c>
      <c r="F728" s="11">
        <v>1</v>
      </c>
      <c r="G728" s="11">
        <f>+ROUND(1/(D728/1000)+1,0)</f>
        <v>6</v>
      </c>
      <c r="H728" s="95">
        <v>0.2</v>
      </c>
      <c r="I728" s="95">
        <v>3.25</v>
      </c>
      <c r="J728" s="100"/>
      <c r="K728" s="22"/>
      <c r="L728" s="72">
        <f t="shared" si="1376"/>
        <v>3.45</v>
      </c>
      <c r="M728" s="72">
        <f t="shared" si="1370"/>
        <v>41.4</v>
      </c>
      <c r="N728" s="72">
        <f t="shared" si="1371"/>
        <v>0</v>
      </c>
      <c r="O728" s="72">
        <f t="shared" si="1372"/>
        <v>0</v>
      </c>
      <c r="P728" s="72">
        <f t="shared" si="1373"/>
        <v>0</v>
      </c>
      <c r="Q728" s="72">
        <f t="shared" si="1374"/>
        <v>0</v>
      </c>
      <c r="R728" s="72">
        <f t="shared" si="1375"/>
        <v>0</v>
      </c>
    </row>
    <row r="729" spans="1:18" x14ac:dyDescent="0.25">
      <c r="A729" s="26"/>
      <c r="B729" s="25"/>
      <c r="C729" s="15"/>
      <c r="D729" s="16"/>
      <c r="E729" s="15"/>
      <c r="F729" s="11"/>
      <c r="G729" s="11"/>
      <c r="H729" s="95"/>
      <c r="I729" s="95"/>
      <c r="J729" s="100"/>
      <c r="K729" s="22"/>
      <c r="L729" s="72"/>
      <c r="M729" s="72"/>
      <c r="N729" s="72"/>
      <c r="O729" s="72"/>
      <c r="P729" s="72"/>
      <c r="Q729" s="72"/>
      <c r="R729" s="72"/>
    </row>
    <row r="730" spans="1:18" x14ac:dyDescent="0.25">
      <c r="A730" s="26"/>
      <c r="B730" s="45" t="s">
        <v>786</v>
      </c>
      <c r="C730" s="15"/>
      <c r="D730" s="16"/>
      <c r="E730" s="15"/>
      <c r="F730" s="11"/>
      <c r="G730" s="11"/>
      <c r="H730" s="95"/>
      <c r="I730" s="95"/>
      <c r="J730" s="100"/>
      <c r="K730" s="22"/>
      <c r="L730" s="72"/>
      <c r="M730" s="72">
        <f t="shared" ref="M730:M735" si="1377">+ROUND(IF(C730=8,PRODUCT(E730,F730,G730,L730),0),2)</f>
        <v>0</v>
      </c>
      <c r="N730" s="72">
        <f t="shared" ref="N730:N735" si="1378">+ROUND(IF(C730=10,PRODUCT(E730,F730,G730,L730),0),2)</f>
        <v>0</v>
      </c>
      <c r="O730" s="72">
        <f t="shared" ref="O730:O735" si="1379">+ROUND(IF(C730=12,PRODUCT(E730,F730,G730,L730),0),2)</f>
        <v>0</v>
      </c>
      <c r="P730" s="72">
        <f t="shared" ref="P730:P735" si="1380">+ROUND(IF(C730=16,PRODUCT(E730,F730,G730,L730),0),2)</f>
        <v>0</v>
      </c>
      <c r="Q730" s="72">
        <f t="shared" ref="Q730:Q735" si="1381">+ROUND(IF(C730=20,PRODUCT(E730,F730,G730,L730),0),2)</f>
        <v>0</v>
      </c>
      <c r="R730" s="72">
        <f t="shared" ref="R730:R735" si="1382">+ROUND(IF(C730=25,PRODUCT(E730,F730,G730,L730),0),2)</f>
        <v>0</v>
      </c>
    </row>
    <row r="731" spans="1:18" x14ac:dyDescent="0.25">
      <c r="A731" s="26"/>
      <c r="B731" s="104" t="s">
        <v>768</v>
      </c>
      <c r="C731" s="15">
        <v>8</v>
      </c>
      <c r="D731" s="16">
        <v>200</v>
      </c>
      <c r="E731" s="15">
        <v>2</v>
      </c>
      <c r="F731" s="11">
        <v>1</v>
      </c>
      <c r="G731" s="11">
        <f>+ROUND(2.925/(D731/1000)+1,0)</f>
        <v>16</v>
      </c>
      <c r="H731" s="95"/>
      <c r="I731" s="95">
        <f>0.175+1.7+0.175</f>
        <v>2.0499999999999998</v>
      </c>
      <c r="J731" s="100"/>
      <c r="K731" s="47"/>
      <c r="L731" s="72">
        <f>SUM(H731:J731)+K731</f>
        <v>2.0499999999999998</v>
      </c>
      <c r="M731" s="72">
        <f t="shared" si="1377"/>
        <v>65.599999999999994</v>
      </c>
      <c r="N731" s="72">
        <f t="shared" si="1378"/>
        <v>0</v>
      </c>
      <c r="O731" s="72">
        <f t="shared" si="1379"/>
        <v>0</v>
      </c>
      <c r="P731" s="72">
        <f t="shared" si="1380"/>
        <v>0</v>
      </c>
      <c r="Q731" s="72">
        <f t="shared" si="1381"/>
        <v>0</v>
      </c>
      <c r="R731" s="72">
        <f t="shared" si="1382"/>
        <v>0</v>
      </c>
    </row>
    <row r="732" spans="1:18" x14ac:dyDescent="0.25">
      <c r="A732" s="26"/>
      <c r="B732" s="104" t="s">
        <v>521</v>
      </c>
      <c r="C732" s="15">
        <v>8</v>
      </c>
      <c r="D732" s="16">
        <v>200</v>
      </c>
      <c r="E732" s="15">
        <v>2</v>
      </c>
      <c r="F732" s="11">
        <v>1</v>
      </c>
      <c r="G732" s="11">
        <f>+ROUND(1.7/(D732/1000)+1,0)</f>
        <v>10</v>
      </c>
      <c r="H732" s="95"/>
      <c r="I732" s="95">
        <f>0.175+2.925+0.175</f>
        <v>3.2749999999999995</v>
      </c>
      <c r="J732" s="100"/>
      <c r="K732" s="47"/>
      <c r="L732" s="72">
        <f>SUM(H732:J732)+K732</f>
        <v>3.2749999999999995</v>
      </c>
      <c r="M732" s="72">
        <f t="shared" ref="M732" si="1383">+ROUND(IF(C732=8,PRODUCT(E732,F732,G732,L732),0),2)</f>
        <v>65.5</v>
      </c>
      <c r="N732" s="72">
        <f t="shared" ref="N732" si="1384">+ROUND(IF(C732=10,PRODUCT(E732,F732,G732,L732),0),2)</f>
        <v>0</v>
      </c>
      <c r="O732" s="72">
        <f t="shared" ref="O732" si="1385">+ROUND(IF(C732=12,PRODUCT(E732,F732,G732,L732),0),2)</f>
        <v>0</v>
      </c>
      <c r="P732" s="72">
        <f t="shared" ref="P732" si="1386">+ROUND(IF(C732=16,PRODUCT(E732,F732,G732,L732),0),2)</f>
        <v>0</v>
      </c>
      <c r="Q732" s="72">
        <f t="shared" ref="Q732" si="1387">+ROUND(IF(C732=20,PRODUCT(E732,F732,G732,L732),0),2)</f>
        <v>0</v>
      </c>
      <c r="R732" s="72">
        <f t="shared" ref="R732" si="1388">+ROUND(IF(C732=25,PRODUCT(E732,F732,G732,L732),0),2)</f>
        <v>0</v>
      </c>
    </row>
    <row r="733" spans="1:18" x14ac:dyDescent="0.25">
      <c r="A733" s="26"/>
      <c r="B733" s="104" t="s">
        <v>512</v>
      </c>
      <c r="C733" s="15">
        <v>8</v>
      </c>
      <c r="D733" s="16">
        <v>200</v>
      </c>
      <c r="E733" s="15">
        <v>2</v>
      </c>
      <c r="F733" s="11">
        <v>1</v>
      </c>
      <c r="G733" s="11">
        <f>+ROUND(2.925/(D733/1000)+1,0)</f>
        <v>16</v>
      </c>
      <c r="H733" s="95"/>
      <c r="I733" s="95">
        <f>0.1+0.6</f>
        <v>0.7</v>
      </c>
      <c r="J733" s="100"/>
      <c r="K733" s="22"/>
      <c r="L733" s="72">
        <f t="shared" ref="L733" si="1389">SUM(H733:J733)+K733</f>
        <v>0.7</v>
      </c>
      <c r="M733" s="72">
        <f t="shared" si="1377"/>
        <v>22.4</v>
      </c>
      <c r="N733" s="72">
        <f t="shared" si="1378"/>
        <v>0</v>
      </c>
      <c r="O733" s="72">
        <f t="shared" si="1379"/>
        <v>0</v>
      </c>
      <c r="P733" s="72">
        <f t="shared" si="1380"/>
        <v>0</v>
      </c>
      <c r="Q733" s="72">
        <f t="shared" si="1381"/>
        <v>0</v>
      </c>
      <c r="R733" s="72">
        <f t="shared" si="1382"/>
        <v>0</v>
      </c>
    </row>
    <row r="734" spans="1:18" x14ac:dyDescent="0.25">
      <c r="A734" s="26"/>
      <c r="B734" s="104" t="s">
        <v>512</v>
      </c>
      <c r="C734" s="15">
        <v>8</v>
      </c>
      <c r="D734" s="16">
        <v>200</v>
      </c>
      <c r="E734" s="15">
        <v>2</v>
      </c>
      <c r="F734" s="11">
        <v>1</v>
      </c>
      <c r="G734" s="11">
        <f>+ROUND(2.925/(D734/1000)+1,0)</f>
        <v>16</v>
      </c>
      <c r="H734" s="95">
        <v>0.1</v>
      </c>
      <c r="I734" s="95">
        <f>0.175+0.5</f>
        <v>0.67500000000000004</v>
      </c>
      <c r="J734" s="100"/>
      <c r="K734" s="22"/>
      <c r="L734" s="72">
        <f>SUM(H734:J734)+K734</f>
        <v>0.77500000000000002</v>
      </c>
      <c r="M734" s="72">
        <f t="shared" si="1377"/>
        <v>24.8</v>
      </c>
      <c r="N734" s="72">
        <f t="shared" si="1378"/>
        <v>0</v>
      </c>
      <c r="O734" s="72">
        <f t="shared" si="1379"/>
        <v>0</v>
      </c>
      <c r="P734" s="72">
        <f t="shared" si="1380"/>
        <v>0</v>
      </c>
      <c r="Q734" s="72">
        <f t="shared" si="1381"/>
        <v>0</v>
      </c>
      <c r="R734" s="72">
        <f t="shared" si="1382"/>
        <v>0</v>
      </c>
    </row>
    <row r="735" spans="1:18" x14ac:dyDescent="0.25">
      <c r="A735" s="26"/>
      <c r="B735" s="104" t="s">
        <v>512</v>
      </c>
      <c r="C735" s="15">
        <v>8</v>
      </c>
      <c r="D735" s="16">
        <v>200</v>
      </c>
      <c r="E735" s="15">
        <v>2</v>
      </c>
      <c r="F735" s="11">
        <v>1</v>
      </c>
      <c r="G735" s="11">
        <f>+ROUND(1.7/(D735/1000)+1,0)/2</f>
        <v>5</v>
      </c>
      <c r="H735" s="95"/>
      <c r="I735" s="95">
        <f>0.1+1</f>
        <v>1.1000000000000001</v>
      </c>
      <c r="J735" s="100"/>
      <c r="K735" s="22"/>
      <c r="L735" s="72">
        <f t="shared" ref="L735" si="1390">SUM(H735:J735)+K735</f>
        <v>1.1000000000000001</v>
      </c>
      <c r="M735" s="72">
        <f t="shared" si="1377"/>
        <v>11</v>
      </c>
      <c r="N735" s="72">
        <f t="shared" si="1378"/>
        <v>0</v>
      </c>
      <c r="O735" s="72">
        <f t="shared" si="1379"/>
        <v>0</v>
      </c>
      <c r="P735" s="72">
        <f t="shared" si="1380"/>
        <v>0</v>
      </c>
      <c r="Q735" s="72">
        <f t="shared" si="1381"/>
        <v>0</v>
      </c>
      <c r="R735" s="72">
        <f t="shared" si="1382"/>
        <v>0</v>
      </c>
    </row>
    <row r="736" spans="1:18" x14ac:dyDescent="0.25">
      <c r="A736" s="26"/>
      <c r="B736" s="104" t="s">
        <v>512</v>
      </c>
      <c r="C736" s="15">
        <v>8</v>
      </c>
      <c r="D736" s="16">
        <v>200</v>
      </c>
      <c r="E736" s="15">
        <v>2</v>
      </c>
      <c r="F736" s="11">
        <v>1</v>
      </c>
      <c r="G736" s="11">
        <f>+ROUND(1.7/(D736/1000)+1,0)/2</f>
        <v>5</v>
      </c>
      <c r="H736" s="95"/>
      <c r="I736" s="95">
        <f>0.1+0.5</f>
        <v>0.6</v>
      </c>
      <c r="J736" s="100"/>
      <c r="K736" s="22"/>
      <c r="L736" s="72">
        <f t="shared" ref="L736:L737" si="1391">SUM(H736:J736)+K736</f>
        <v>0.6</v>
      </c>
      <c r="M736" s="72">
        <f t="shared" ref="M736:M737" si="1392">+ROUND(IF(C736=8,PRODUCT(E736,F736,G736,L736),0),2)</f>
        <v>6</v>
      </c>
      <c r="N736" s="72">
        <f t="shared" ref="N736:N737" si="1393">+ROUND(IF(C736=10,PRODUCT(E736,F736,G736,L736),0),2)</f>
        <v>0</v>
      </c>
      <c r="O736" s="72">
        <f t="shared" ref="O736:O737" si="1394">+ROUND(IF(C736=12,PRODUCT(E736,F736,G736,L736),0),2)</f>
        <v>0</v>
      </c>
      <c r="P736" s="72">
        <f t="shared" ref="P736:P737" si="1395">+ROUND(IF(C736=16,PRODUCT(E736,F736,G736,L736),0),2)</f>
        <v>0</v>
      </c>
      <c r="Q736" s="72">
        <f t="shared" ref="Q736:Q737" si="1396">+ROUND(IF(C736=20,PRODUCT(E736,F736,G736,L736),0),2)</f>
        <v>0</v>
      </c>
      <c r="R736" s="72">
        <f t="shared" ref="R736:R737" si="1397">+ROUND(IF(C736=25,PRODUCT(E736,F736,G736,L736),0),2)</f>
        <v>0</v>
      </c>
    </row>
    <row r="737" spans="1:18" x14ac:dyDescent="0.25">
      <c r="A737" s="26"/>
      <c r="B737" s="104" t="s">
        <v>515</v>
      </c>
      <c r="C737" s="15">
        <v>8</v>
      </c>
      <c r="D737" s="16">
        <v>150</v>
      </c>
      <c r="E737" s="15">
        <v>2</v>
      </c>
      <c r="F737" s="11">
        <v>1</v>
      </c>
      <c r="G737" s="11">
        <f>+ROUND(1.7/(D737/1000)+1,0)/2</f>
        <v>6</v>
      </c>
      <c r="H737" s="95"/>
      <c r="I737" s="95">
        <f>0.1+1</f>
        <v>1.1000000000000001</v>
      </c>
      <c r="J737" s="100"/>
      <c r="K737" s="22"/>
      <c r="L737" s="72">
        <f t="shared" si="1391"/>
        <v>1.1000000000000001</v>
      </c>
      <c r="M737" s="72">
        <f t="shared" si="1392"/>
        <v>13.2</v>
      </c>
      <c r="N737" s="72">
        <f t="shared" si="1393"/>
        <v>0</v>
      </c>
      <c r="O737" s="72">
        <f t="shared" si="1394"/>
        <v>0</v>
      </c>
      <c r="P737" s="72">
        <f t="shared" si="1395"/>
        <v>0</v>
      </c>
      <c r="Q737" s="72">
        <f t="shared" si="1396"/>
        <v>0</v>
      </c>
      <c r="R737" s="72">
        <f t="shared" si="1397"/>
        <v>0</v>
      </c>
    </row>
    <row r="738" spans="1:18" x14ac:dyDescent="0.25">
      <c r="A738" s="26"/>
      <c r="B738" s="104" t="s">
        <v>515</v>
      </c>
      <c r="C738" s="15">
        <v>8</v>
      </c>
      <c r="D738" s="16">
        <v>150</v>
      </c>
      <c r="E738" s="15">
        <v>2</v>
      </c>
      <c r="F738" s="11">
        <v>1</v>
      </c>
      <c r="G738" s="11">
        <f>+ROUND(1.7/(D738/1000)+1,0)/2</f>
        <v>6</v>
      </c>
      <c r="H738" s="95"/>
      <c r="I738" s="95">
        <f>0.1+0.5</f>
        <v>0.6</v>
      </c>
      <c r="J738" s="100"/>
      <c r="K738" s="22"/>
      <c r="L738" s="72">
        <f t="shared" ref="L738:L741" si="1398">SUM(H738:J738)+K738</f>
        <v>0.6</v>
      </c>
      <c r="M738" s="72">
        <f t="shared" ref="M738:M741" si="1399">+ROUND(IF(C738=8,PRODUCT(E738,F738,G738,L738),0),2)</f>
        <v>7.2</v>
      </c>
      <c r="N738" s="72">
        <f t="shared" ref="N738:N741" si="1400">+ROUND(IF(C738=10,PRODUCT(E738,F738,G738,L738),0),2)</f>
        <v>0</v>
      </c>
      <c r="O738" s="72">
        <f t="shared" ref="O738:O741" si="1401">+ROUND(IF(C738=12,PRODUCT(E738,F738,G738,L738),0),2)</f>
        <v>0</v>
      </c>
      <c r="P738" s="72">
        <f t="shared" ref="P738:P741" si="1402">+ROUND(IF(C738=16,PRODUCT(E738,F738,G738,L738),0),2)</f>
        <v>0</v>
      </c>
      <c r="Q738" s="72">
        <f t="shared" ref="Q738:Q741" si="1403">+ROUND(IF(C738=20,PRODUCT(E738,F738,G738,L738),0),2)</f>
        <v>0</v>
      </c>
      <c r="R738" s="72">
        <f t="shared" ref="R738:R741" si="1404">+ROUND(IF(C738=25,PRODUCT(E738,F738,G738,L738),0),2)</f>
        <v>0</v>
      </c>
    </row>
    <row r="739" spans="1:18" x14ac:dyDescent="0.25">
      <c r="A739" s="26"/>
      <c r="B739" s="104" t="s">
        <v>759</v>
      </c>
      <c r="C739" s="15">
        <v>8</v>
      </c>
      <c r="D739" s="16">
        <v>200</v>
      </c>
      <c r="E739" s="15">
        <v>2</v>
      </c>
      <c r="F739" s="11">
        <v>1</v>
      </c>
      <c r="G739" s="11">
        <f>+ROUND(0.6/(D739/1000)+1,0)</f>
        <v>4</v>
      </c>
      <c r="H739" s="95">
        <v>0.2</v>
      </c>
      <c r="I739" s="95">
        <v>2.9249999999999998</v>
      </c>
      <c r="J739" s="100"/>
      <c r="K739" s="22"/>
      <c r="L739" s="72">
        <f t="shared" si="1398"/>
        <v>3.125</v>
      </c>
      <c r="M739" s="72">
        <f t="shared" si="1399"/>
        <v>25</v>
      </c>
      <c r="N739" s="72">
        <f t="shared" si="1400"/>
        <v>0</v>
      </c>
      <c r="O739" s="72">
        <f t="shared" si="1401"/>
        <v>0</v>
      </c>
      <c r="P739" s="72">
        <f t="shared" si="1402"/>
        <v>0</v>
      </c>
      <c r="Q739" s="72">
        <f t="shared" si="1403"/>
        <v>0</v>
      </c>
      <c r="R739" s="72">
        <f t="shared" si="1404"/>
        <v>0</v>
      </c>
    </row>
    <row r="740" spans="1:18" x14ac:dyDescent="0.25">
      <c r="A740" s="26"/>
      <c r="B740" s="104" t="s">
        <v>759</v>
      </c>
      <c r="C740" s="15">
        <v>8</v>
      </c>
      <c r="D740" s="16">
        <v>200</v>
      </c>
      <c r="E740" s="15">
        <v>2</v>
      </c>
      <c r="F740" s="11">
        <v>1</v>
      </c>
      <c r="G740" s="11">
        <f>+ROUND(0.5/(D740/1000)+1,0)</f>
        <v>4</v>
      </c>
      <c r="H740" s="95">
        <v>0.2</v>
      </c>
      <c r="I740" s="95">
        <v>2.9249999999999998</v>
      </c>
      <c r="J740" s="100"/>
      <c r="K740" s="22"/>
      <c r="L740" s="72">
        <f t="shared" si="1398"/>
        <v>3.125</v>
      </c>
      <c r="M740" s="72">
        <f t="shared" si="1399"/>
        <v>25</v>
      </c>
      <c r="N740" s="72">
        <f t="shared" si="1400"/>
        <v>0</v>
      </c>
      <c r="O740" s="72">
        <f t="shared" si="1401"/>
        <v>0</v>
      </c>
      <c r="P740" s="72">
        <f t="shared" si="1402"/>
        <v>0</v>
      </c>
      <c r="Q740" s="72">
        <f t="shared" si="1403"/>
        <v>0</v>
      </c>
      <c r="R740" s="72">
        <f t="shared" si="1404"/>
        <v>0</v>
      </c>
    </row>
    <row r="741" spans="1:18" x14ac:dyDescent="0.25">
      <c r="A741" s="26"/>
      <c r="B741" s="104" t="s">
        <v>759</v>
      </c>
      <c r="C741" s="15">
        <v>8</v>
      </c>
      <c r="D741" s="16">
        <v>200</v>
      </c>
      <c r="E741" s="15">
        <v>2</v>
      </c>
      <c r="F741" s="11">
        <v>1</v>
      </c>
      <c r="G741" s="11">
        <f>+ROUND(1/(D741/1000)+1,0)</f>
        <v>6</v>
      </c>
      <c r="H741" s="95">
        <v>0.2</v>
      </c>
      <c r="I741" s="95">
        <v>1.7</v>
      </c>
      <c r="J741" s="100"/>
      <c r="K741" s="22"/>
      <c r="L741" s="72">
        <f t="shared" si="1398"/>
        <v>1.9</v>
      </c>
      <c r="M741" s="72">
        <f t="shared" si="1399"/>
        <v>22.8</v>
      </c>
      <c r="N741" s="72">
        <f t="shared" si="1400"/>
        <v>0</v>
      </c>
      <c r="O741" s="72">
        <f t="shared" si="1401"/>
        <v>0</v>
      </c>
      <c r="P741" s="72">
        <f t="shared" si="1402"/>
        <v>0</v>
      </c>
      <c r="Q741" s="72">
        <f t="shared" si="1403"/>
        <v>0</v>
      </c>
      <c r="R741" s="72">
        <f t="shared" si="1404"/>
        <v>0</v>
      </c>
    </row>
    <row r="742" spans="1:18" x14ac:dyDescent="0.25">
      <c r="A742" s="26"/>
      <c r="B742" s="104" t="s">
        <v>759</v>
      </c>
      <c r="C742" s="15">
        <v>8</v>
      </c>
      <c r="D742" s="16">
        <v>200</v>
      </c>
      <c r="E742" s="15">
        <v>2</v>
      </c>
      <c r="F742" s="11">
        <v>1</v>
      </c>
      <c r="G742" s="11">
        <f>+ROUND(1/(D742/1000)+1,0)</f>
        <v>6</v>
      </c>
      <c r="H742" s="95">
        <v>0.2</v>
      </c>
      <c r="I742" s="95">
        <v>1.7</v>
      </c>
      <c r="J742" s="100"/>
      <c r="K742" s="22"/>
      <c r="L742" s="72">
        <f t="shared" ref="L742" si="1405">SUM(H742:J742)+K742</f>
        <v>1.9</v>
      </c>
      <c r="M742" s="72">
        <f t="shared" ref="M742" si="1406">+ROUND(IF(C742=8,PRODUCT(E742,F742,G742,L742),0),2)</f>
        <v>22.8</v>
      </c>
      <c r="N742" s="72">
        <f t="shared" ref="N742" si="1407">+ROUND(IF(C742=10,PRODUCT(E742,F742,G742,L742),0),2)</f>
        <v>0</v>
      </c>
      <c r="O742" s="72">
        <f t="shared" ref="O742" si="1408">+ROUND(IF(C742=12,PRODUCT(E742,F742,G742,L742),0),2)</f>
        <v>0</v>
      </c>
      <c r="P742" s="72">
        <f t="shared" ref="P742" si="1409">+ROUND(IF(C742=16,PRODUCT(E742,F742,G742,L742),0),2)</f>
        <v>0</v>
      </c>
      <c r="Q742" s="72">
        <f t="shared" ref="Q742" si="1410">+ROUND(IF(C742=20,PRODUCT(E742,F742,G742,L742),0),2)</f>
        <v>0</v>
      </c>
      <c r="R742" s="72">
        <f t="shared" ref="R742" si="1411">+ROUND(IF(C742=25,PRODUCT(E742,F742,G742,L742),0),2)</f>
        <v>0</v>
      </c>
    </row>
    <row r="743" spans="1:18" x14ac:dyDescent="0.25">
      <c r="A743" s="26"/>
      <c r="B743" s="105"/>
      <c r="C743" s="15"/>
      <c r="D743" s="16"/>
      <c r="E743" s="15"/>
      <c r="F743" s="11"/>
      <c r="G743" s="11"/>
      <c r="H743" s="95"/>
      <c r="I743" s="95"/>
      <c r="J743" s="100"/>
      <c r="K743" s="22"/>
      <c r="L743" s="72"/>
      <c r="M743" s="72"/>
      <c r="N743" s="72"/>
      <c r="O743" s="72"/>
      <c r="P743" s="72"/>
      <c r="Q743" s="72"/>
      <c r="R743" s="72"/>
    </row>
    <row r="744" spans="1:18" x14ac:dyDescent="0.25">
      <c r="A744" s="26"/>
      <c r="B744" s="45" t="s">
        <v>787</v>
      </c>
      <c r="C744" s="15"/>
      <c r="D744" s="16"/>
      <c r="E744" s="15"/>
      <c r="F744" s="11"/>
      <c r="G744" s="11"/>
      <c r="H744" s="95"/>
      <c r="I744" s="95"/>
      <c r="J744" s="100"/>
      <c r="K744" s="22"/>
      <c r="L744" s="72"/>
      <c r="M744" s="72">
        <f t="shared" ref="M744:M755" si="1412">+ROUND(IF(C744=8,PRODUCT(E744,F744,G744,L744),0),2)</f>
        <v>0</v>
      </c>
      <c r="N744" s="72">
        <f t="shared" ref="N744:N755" si="1413">+ROUND(IF(C744=10,PRODUCT(E744,F744,G744,L744),0),2)</f>
        <v>0</v>
      </c>
      <c r="O744" s="72">
        <f t="shared" ref="O744:O755" si="1414">+ROUND(IF(C744=12,PRODUCT(E744,F744,G744,L744),0),2)</f>
        <v>0</v>
      </c>
      <c r="P744" s="72">
        <f t="shared" ref="P744:P755" si="1415">+ROUND(IF(C744=16,PRODUCT(E744,F744,G744,L744),0),2)</f>
        <v>0</v>
      </c>
      <c r="Q744" s="72">
        <f t="shared" ref="Q744:Q755" si="1416">+ROUND(IF(C744=20,PRODUCT(E744,F744,G744,L744),0),2)</f>
        <v>0</v>
      </c>
      <c r="R744" s="72">
        <f t="shared" ref="R744:R755" si="1417">+ROUND(IF(C744=25,PRODUCT(E744,F744,G744,L744),0),2)</f>
        <v>0</v>
      </c>
    </row>
    <row r="745" spans="1:18" x14ac:dyDescent="0.25">
      <c r="A745" s="26"/>
      <c r="B745" s="104" t="s">
        <v>758</v>
      </c>
      <c r="C745" s="15">
        <v>8</v>
      </c>
      <c r="D745" s="16">
        <v>200</v>
      </c>
      <c r="E745" s="15">
        <v>2</v>
      </c>
      <c r="F745" s="11">
        <v>1</v>
      </c>
      <c r="G745" s="11">
        <f>+ROUND(3.385/(D745/1000)+1,0)</f>
        <v>18</v>
      </c>
      <c r="H745" s="95"/>
      <c r="I745" s="95">
        <f>0.175+1.425+0.175</f>
        <v>1.7750000000000001</v>
      </c>
      <c r="J745" s="100"/>
      <c r="K745" s="22"/>
      <c r="L745" s="72">
        <f t="shared" ref="L745" si="1418">SUM(H745:J745)+K745</f>
        <v>1.7750000000000001</v>
      </c>
      <c r="M745" s="72">
        <f t="shared" si="1412"/>
        <v>63.9</v>
      </c>
      <c r="N745" s="72">
        <f t="shared" si="1413"/>
        <v>0</v>
      </c>
      <c r="O745" s="72">
        <f t="shared" si="1414"/>
        <v>0</v>
      </c>
      <c r="P745" s="72">
        <f t="shared" si="1415"/>
        <v>0</v>
      </c>
      <c r="Q745" s="72">
        <f t="shared" si="1416"/>
        <v>0</v>
      </c>
      <c r="R745" s="72">
        <f t="shared" si="1417"/>
        <v>0</v>
      </c>
    </row>
    <row r="746" spans="1:18" x14ac:dyDescent="0.25">
      <c r="A746" s="26"/>
      <c r="B746" s="104" t="s">
        <v>521</v>
      </c>
      <c r="C746" s="15">
        <v>8</v>
      </c>
      <c r="D746" s="16">
        <v>200</v>
      </c>
      <c r="E746" s="15">
        <v>2</v>
      </c>
      <c r="F746" s="11">
        <v>1</v>
      </c>
      <c r="G746" s="11">
        <f>+ROUND(1.425/(D746/1000)+1,0)</f>
        <v>8</v>
      </c>
      <c r="H746" s="95"/>
      <c r="I746" s="95">
        <f>0.175+3.385+0.175</f>
        <v>3.7349999999999994</v>
      </c>
      <c r="J746" s="100"/>
      <c r="K746" s="47"/>
      <c r="L746" s="72">
        <f>SUM(H746:J746)+K746</f>
        <v>3.7349999999999994</v>
      </c>
      <c r="M746" s="72">
        <f t="shared" si="1412"/>
        <v>59.76</v>
      </c>
      <c r="N746" s="72">
        <f t="shared" si="1413"/>
        <v>0</v>
      </c>
      <c r="O746" s="72">
        <f t="shared" si="1414"/>
        <v>0</v>
      </c>
      <c r="P746" s="72">
        <f t="shared" si="1415"/>
        <v>0</v>
      </c>
      <c r="Q746" s="72">
        <f t="shared" si="1416"/>
        <v>0</v>
      </c>
      <c r="R746" s="72">
        <f t="shared" si="1417"/>
        <v>0</v>
      </c>
    </row>
    <row r="747" spans="1:18" x14ac:dyDescent="0.25">
      <c r="A747" s="26"/>
      <c r="B747" s="104" t="s">
        <v>512</v>
      </c>
      <c r="C747" s="15">
        <v>8</v>
      </c>
      <c r="D747" s="16">
        <v>200</v>
      </c>
      <c r="E747" s="15">
        <v>2</v>
      </c>
      <c r="F747" s="11">
        <v>1</v>
      </c>
      <c r="G747" s="11">
        <f>+ROUND(2.16/(D747/1000)+1,0)</f>
        <v>12</v>
      </c>
      <c r="H747" s="95">
        <v>0.1</v>
      </c>
      <c r="I747" s="95">
        <f>0.6+0.175</f>
        <v>0.77499999999999991</v>
      </c>
      <c r="J747" s="100"/>
      <c r="K747" s="22"/>
      <c r="L747" s="72">
        <f>SUM(H747:J747)+K747</f>
        <v>0.87499999999999989</v>
      </c>
      <c r="M747" s="72">
        <f t="shared" si="1412"/>
        <v>21</v>
      </c>
      <c r="N747" s="72">
        <f t="shared" si="1413"/>
        <v>0</v>
      </c>
      <c r="O747" s="72">
        <f t="shared" si="1414"/>
        <v>0</v>
      </c>
      <c r="P747" s="72">
        <f t="shared" si="1415"/>
        <v>0</v>
      </c>
      <c r="Q747" s="72">
        <f t="shared" si="1416"/>
        <v>0</v>
      </c>
      <c r="R747" s="72">
        <f t="shared" si="1417"/>
        <v>0</v>
      </c>
    </row>
    <row r="748" spans="1:18" x14ac:dyDescent="0.25">
      <c r="A748" s="26"/>
      <c r="B748" s="104" t="s">
        <v>512</v>
      </c>
      <c r="C748" s="15">
        <v>8</v>
      </c>
      <c r="D748" s="16">
        <v>200</v>
      </c>
      <c r="E748" s="15">
        <v>2</v>
      </c>
      <c r="F748" s="11">
        <v>1</v>
      </c>
      <c r="G748" s="11">
        <f>+ROUND(2.16/(D748/1000)+1,0)</f>
        <v>12</v>
      </c>
      <c r="H748" s="95">
        <v>0.1</v>
      </c>
      <c r="I748" s="95">
        <f>0.45+0.175</f>
        <v>0.625</v>
      </c>
      <c r="J748" s="100"/>
      <c r="K748" s="22"/>
      <c r="L748" s="72">
        <f t="shared" ref="L748" si="1419">SUM(H748:J748)+K748</f>
        <v>0.72499999999999998</v>
      </c>
      <c r="M748" s="72">
        <f t="shared" si="1412"/>
        <v>17.399999999999999</v>
      </c>
      <c r="N748" s="72">
        <f t="shared" si="1413"/>
        <v>0</v>
      </c>
      <c r="O748" s="72">
        <f t="shared" si="1414"/>
        <v>0</v>
      </c>
      <c r="P748" s="72">
        <f t="shared" si="1415"/>
        <v>0</v>
      </c>
      <c r="Q748" s="72">
        <f t="shared" si="1416"/>
        <v>0</v>
      </c>
      <c r="R748" s="72">
        <f t="shared" si="1417"/>
        <v>0</v>
      </c>
    </row>
    <row r="749" spans="1:18" x14ac:dyDescent="0.25">
      <c r="A749" s="26"/>
      <c r="B749" s="104" t="s">
        <v>512</v>
      </c>
      <c r="C749" s="15">
        <v>8</v>
      </c>
      <c r="D749" s="16">
        <v>200</v>
      </c>
      <c r="E749" s="15">
        <v>2</v>
      </c>
      <c r="F749" s="11">
        <v>1</v>
      </c>
      <c r="G749" s="11">
        <f>+ROUND(1.425/(D749/1000)+1,0)</f>
        <v>8</v>
      </c>
      <c r="H749" s="95">
        <v>0.1</v>
      </c>
      <c r="I749" s="95">
        <f>0.45+0.175</f>
        <v>0.625</v>
      </c>
      <c r="J749" s="100"/>
      <c r="K749" s="22"/>
      <c r="L749" s="72">
        <f t="shared" ref="L749:L755" si="1420">SUM(H749:J749)+K749</f>
        <v>0.72499999999999998</v>
      </c>
      <c r="M749" s="72">
        <f t="shared" si="1412"/>
        <v>11.6</v>
      </c>
      <c r="N749" s="72">
        <f t="shared" si="1413"/>
        <v>0</v>
      </c>
      <c r="O749" s="72">
        <f t="shared" si="1414"/>
        <v>0</v>
      </c>
      <c r="P749" s="72">
        <f t="shared" si="1415"/>
        <v>0</v>
      </c>
      <c r="Q749" s="72">
        <f t="shared" si="1416"/>
        <v>0</v>
      </c>
      <c r="R749" s="72">
        <f t="shared" si="1417"/>
        <v>0</v>
      </c>
    </row>
    <row r="750" spans="1:18" x14ac:dyDescent="0.25">
      <c r="A750" s="26"/>
      <c r="B750" s="104" t="s">
        <v>515</v>
      </c>
      <c r="C750" s="15">
        <v>8</v>
      </c>
      <c r="D750" s="16">
        <v>150</v>
      </c>
      <c r="E750" s="15">
        <v>2</v>
      </c>
      <c r="F750" s="11">
        <v>1</v>
      </c>
      <c r="G750" s="11">
        <f>+ROUND(1.1/(D750/1000)+1,0)</f>
        <v>8</v>
      </c>
      <c r="H750" s="95"/>
      <c r="I750" s="95">
        <f>0.1+1.425+0.1</f>
        <v>1.6250000000000002</v>
      </c>
      <c r="J750" s="100"/>
      <c r="K750" s="22"/>
      <c r="L750" s="72">
        <f t="shared" si="1420"/>
        <v>1.6250000000000002</v>
      </c>
      <c r="M750" s="72">
        <f t="shared" si="1412"/>
        <v>26</v>
      </c>
      <c r="N750" s="72">
        <f t="shared" si="1413"/>
        <v>0</v>
      </c>
      <c r="O750" s="72">
        <f t="shared" si="1414"/>
        <v>0</v>
      </c>
      <c r="P750" s="72">
        <f t="shared" si="1415"/>
        <v>0</v>
      </c>
      <c r="Q750" s="72">
        <f t="shared" si="1416"/>
        <v>0</v>
      </c>
      <c r="R750" s="72">
        <f t="shared" si="1417"/>
        <v>0</v>
      </c>
    </row>
    <row r="751" spans="1:18" x14ac:dyDescent="0.25">
      <c r="A751" s="26"/>
      <c r="B751" s="104" t="s">
        <v>512</v>
      </c>
      <c r="C751" s="15">
        <v>8</v>
      </c>
      <c r="D751" s="16">
        <v>200</v>
      </c>
      <c r="E751" s="15">
        <v>2</v>
      </c>
      <c r="F751" s="11">
        <v>1</v>
      </c>
      <c r="G751" s="11">
        <f>+ROUND(1.425/(D751/1000)+1,0)</f>
        <v>8</v>
      </c>
      <c r="H751" s="95"/>
      <c r="I751" s="95">
        <f>0.1+0.6</f>
        <v>0.7</v>
      </c>
      <c r="J751" s="100"/>
      <c r="K751" s="22"/>
      <c r="L751" s="72">
        <f t="shared" si="1420"/>
        <v>0.7</v>
      </c>
      <c r="M751" s="72">
        <f t="shared" si="1412"/>
        <v>11.2</v>
      </c>
      <c r="N751" s="72">
        <f t="shared" si="1413"/>
        <v>0</v>
      </c>
      <c r="O751" s="72">
        <f t="shared" si="1414"/>
        <v>0</v>
      </c>
      <c r="P751" s="72">
        <f t="shared" si="1415"/>
        <v>0</v>
      </c>
      <c r="Q751" s="72">
        <f t="shared" si="1416"/>
        <v>0</v>
      </c>
      <c r="R751" s="72">
        <f t="shared" si="1417"/>
        <v>0</v>
      </c>
    </row>
    <row r="752" spans="1:18" x14ac:dyDescent="0.25">
      <c r="A752" s="26"/>
      <c r="B752" s="104" t="s">
        <v>759</v>
      </c>
      <c r="C752" s="15">
        <v>8</v>
      </c>
      <c r="D752" s="16">
        <v>200</v>
      </c>
      <c r="E752" s="15">
        <v>2</v>
      </c>
      <c r="F752" s="11">
        <v>1</v>
      </c>
      <c r="G752" s="11">
        <f>+ROUND(0.6/(D752/1000)+1,0)</f>
        <v>4</v>
      </c>
      <c r="H752" s="95">
        <v>0.2</v>
      </c>
      <c r="I752" s="95">
        <v>1.425</v>
      </c>
      <c r="J752" s="100"/>
      <c r="K752" s="22"/>
      <c r="L752" s="72">
        <f t="shared" si="1420"/>
        <v>1.625</v>
      </c>
      <c r="M752" s="72">
        <f t="shared" si="1412"/>
        <v>13</v>
      </c>
      <c r="N752" s="72">
        <f t="shared" si="1413"/>
        <v>0</v>
      </c>
      <c r="O752" s="72">
        <f t="shared" si="1414"/>
        <v>0</v>
      </c>
      <c r="P752" s="72">
        <f t="shared" si="1415"/>
        <v>0</v>
      </c>
      <c r="Q752" s="72">
        <f t="shared" si="1416"/>
        <v>0</v>
      </c>
      <c r="R752" s="72">
        <f t="shared" si="1417"/>
        <v>0</v>
      </c>
    </row>
    <row r="753" spans="1:18" x14ac:dyDescent="0.25">
      <c r="A753" s="26"/>
      <c r="B753" s="104" t="s">
        <v>759</v>
      </c>
      <c r="C753" s="15">
        <v>8</v>
      </c>
      <c r="D753" s="16">
        <v>200</v>
      </c>
      <c r="E753" s="15">
        <v>2</v>
      </c>
      <c r="F753" s="11">
        <v>1</v>
      </c>
      <c r="G753" s="11">
        <f>+ROUND(0.6/(D753/1000)+1,0)</f>
        <v>4</v>
      </c>
      <c r="H753" s="95">
        <v>0.2</v>
      </c>
      <c r="I753" s="95">
        <v>1.425</v>
      </c>
      <c r="J753" s="100"/>
      <c r="K753" s="22"/>
      <c r="L753" s="72">
        <f t="shared" si="1420"/>
        <v>1.625</v>
      </c>
      <c r="M753" s="72">
        <f t="shared" si="1412"/>
        <v>13</v>
      </c>
      <c r="N753" s="72">
        <f t="shared" si="1413"/>
        <v>0</v>
      </c>
      <c r="O753" s="72">
        <f t="shared" si="1414"/>
        <v>0</v>
      </c>
      <c r="P753" s="72">
        <f t="shared" si="1415"/>
        <v>0</v>
      </c>
      <c r="Q753" s="72">
        <f t="shared" si="1416"/>
        <v>0</v>
      </c>
      <c r="R753" s="72">
        <f t="shared" si="1417"/>
        <v>0</v>
      </c>
    </row>
    <row r="754" spans="1:18" x14ac:dyDescent="0.25">
      <c r="A754" s="26"/>
      <c r="B754" s="104" t="s">
        <v>759</v>
      </c>
      <c r="C754" s="15">
        <v>8</v>
      </c>
      <c r="D754" s="16">
        <v>200</v>
      </c>
      <c r="E754" s="15">
        <v>2</v>
      </c>
      <c r="F754" s="11">
        <v>1</v>
      </c>
      <c r="G754" s="11">
        <f>+ROUND(0.55/(D754/1000)+1,0)</f>
        <v>4</v>
      </c>
      <c r="H754" s="95">
        <v>0.2</v>
      </c>
      <c r="I754" s="95">
        <v>3.5750000000000002</v>
      </c>
      <c r="J754" s="100"/>
      <c r="K754" s="22"/>
      <c r="L754" s="72">
        <f t="shared" si="1420"/>
        <v>3.7750000000000004</v>
      </c>
      <c r="M754" s="72">
        <f t="shared" si="1412"/>
        <v>30.2</v>
      </c>
      <c r="N754" s="72">
        <f t="shared" si="1413"/>
        <v>0</v>
      </c>
      <c r="O754" s="72">
        <f t="shared" si="1414"/>
        <v>0</v>
      </c>
      <c r="P754" s="72">
        <f t="shared" si="1415"/>
        <v>0</v>
      </c>
      <c r="Q754" s="72">
        <f t="shared" si="1416"/>
        <v>0</v>
      </c>
      <c r="R754" s="72">
        <f t="shared" si="1417"/>
        <v>0</v>
      </c>
    </row>
    <row r="755" spans="1:18" x14ac:dyDescent="0.25">
      <c r="A755" s="26"/>
      <c r="B755" s="104" t="s">
        <v>759</v>
      </c>
      <c r="C755" s="15">
        <v>8</v>
      </c>
      <c r="D755" s="16">
        <v>200</v>
      </c>
      <c r="E755" s="15">
        <v>2</v>
      </c>
      <c r="F755" s="11">
        <v>1</v>
      </c>
      <c r="G755" s="11">
        <f>+ROUND(0.55/(D755/1000)+1,0)</f>
        <v>4</v>
      </c>
      <c r="H755" s="95">
        <v>0.2</v>
      </c>
      <c r="I755" s="95">
        <v>3.5750000000000002</v>
      </c>
      <c r="J755" s="100"/>
      <c r="K755" s="22"/>
      <c r="L755" s="72">
        <f t="shared" si="1420"/>
        <v>3.7750000000000004</v>
      </c>
      <c r="M755" s="72">
        <f t="shared" si="1412"/>
        <v>30.2</v>
      </c>
      <c r="N755" s="72">
        <f t="shared" si="1413"/>
        <v>0</v>
      </c>
      <c r="O755" s="72">
        <f t="shared" si="1414"/>
        <v>0</v>
      </c>
      <c r="P755" s="72">
        <f t="shared" si="1415"/>
        <v>0</v>
      </c>
      <c r="Q755" s="72">
        <f t="shared" si="1416"/>
        <v>0</v>
      </c>
      <c r="R755" s="72">
        <f t="shared" si="1417"/>
        <v>0</v>
      </c>
    </row>
    <row r="756" spans="1:18" x14ac:dyDescent="0.25">
      <c r="A756" s="26"/>
      <c r="B756" s="25"/>
      <c r="C756" s="15"/>
      <c r="D756" s="16"/>
      <c r="E756" s="15"/>
      <c r="F756" s="11"/>
      <c r="G756" s="11"/>
      <c r="H756" s="95"/>
      <c r="I756" s="95"/>
      <c r="J756" s="100"/>
      <c r="K756" s="22"/>
      <c r="L756" s="72"/>
      <c r="M756" s="72"/>
      <c r="N756" s="72"/>
      <c r="O756" s="72"/>
      <c r="P756" s="72"/>
      <c r="Q756" s="72"/>
      <c r="R756" s="72"/>
    </row>
    <row r="757" spans="1:18" x14ac:dyDescent="0.25">
      <c r="A757" s="26"/>
      <c r="B757" s="45" t="s">
        <v>788</v>
      </c>
      <c r="C757" s="15"/>
      <c r="D757" s="16"/>
      <c r="E757" s="15"/>
      <c r="F757" s="11"/>
      <c r="G757" s="11"/>
      <c r="H757" s="95"/>
      <c r="I757" s="95"/>
      <c r="J757" s="100"/>
      <c r="K757" s="22"/>
      <c r="L757" s="72">
        <f>SUM(H757:J757)+K757</f>
        <v>0</v>
      </c>
      <c r="M757" s="72">
        <f>+ROUND(IF(C757=8,PRODUCT(E757,F757,G757,L757),0),2)</f>
        <v>0</v>
      </c>
      <c r="N757" s="72">
        <f>+ROUND(IF(C757=10,PRODUCT(E757,F757,G757,L757),0),2)</f>
        <v>0</v>
      </c>
      <c r="O757" s="72">
        <f>+ROUND(IF(C757=12,PRODUCT(E757,F757,G757,L757),0),2)</f>
        <v>0</v>
      </c>
      <c r="P757" s="72">
        <f>+ROUND(IF(C757=16,PRODUCT(E757,F757,G757,L757),0),2)</f>
        <v>0</v>
      </c>
      <c r="Q757" s="72">
        <f>+ROUND(IF(C757=20,PRODUCT(E757,F757,G757,L757),0),2)</f>
        <v>0</v>
      </c>
      <c r="R757" s="72">
        <f>+ROUND(IF(C757=25,PRODUCT(E757,F757,G757,L757),0),2)</f>
        <v>0</v>
      </c>
    </row>
    <row r="758" spans="1:18" x14ac:dyDescent="0.25">
      <c r="A758" s="26"/>
      <c r="B758" s="104" t="s">
        <v>771</v>
      </c>
      <c r="C758" s="15">
        <v>10</v>
      </c>
      <c r="D758" s="16">
        <v>150</v>
      </c>
      <c r="E758" s="15">
        <v>2</v>
      </c>
      <c r="F758" s="11">
        <v>1</v>
      </c>
      <c r="G758" s="11">
        <f>+ROUND(4.665/(D758/1000)+1,0)</f>
        <v>32</v>
      </c>
      <c r="H758" s="95">
        <v>0.25</v>
      </c>
      <c r="I758" s="95">
        <v>2.13</v>
      </c>
      <c r="J758" s="100">
        <v>0.4</v>
      </c>
      <c r="K758" s="22"/>
      <c r="L758" s="72">
        <f t="shared" ref="L758:L762" si="1421">SUM(H758:J758)+K758</f>
        <v>2.78</v>
      </c>
      <c r="M758" s="72">
        <f t="shared" ref="M758:M762" si="1422">+ROUND(IF(C758=8,PRODUCT(E758,F758,G758,L758),0),2)</f>
        <v>0</v>
      </c>
      <c r="N758" s="72">
        <f t="shared" ref="N758:N762" si="1423">+ROUND(IF(C758=10,PRODUCT(E758,F758,G758,L758),0),2)</f>
        <v>177.92</v>
      </c>
      <c r="O758" s="72">
        <f t="shared" ref="O758:O762" si="1424">+ROUND(IF(C758=12,PRODUCT(E758,F758,G758,L758),0),2)</f>
        <v>0</v>
      </c>
      <c r="P758" s="72">
        <f t="shared" ref="P758:P762" si="1425">+ROUND(IF(C758=16,PRODUCT(E758,F758,G758,L758),0),2)</f>
        <v>0</v>
      </c>
      <c r="Q758" s="72">
        <f t="shared" ref="Q758:Q762" si="1426">+ROUND(IF(C758=20,PRODUCT(E758,F758,G758,L758),0),2)</f>
        <v>0</v>
      </c>
      <c r="R758" s="72">
        <f t="shared" ref="R758:R762" si="1427">+ROUND(IF(C758=25,PRODUCT(E758,F758,G758,L758),0),2)</f>
        <v>0</v>
      </c>
    </row>
    <row r="759" spans="1:18" x14ac:dyDescent="0.25">
      <c r="A759" s="26"/>
      <c r="B759" s="104" t="s">
        <v>521</v>
      </c>
      <c r="C759" s="15">
        <v>8</v>
      </c>
      <c r="D759" s="16">
        <v>200</v>
      </c>
      <c r="E759" s="15">
        <v>2</v>
      </c>
      <c r="F759" s="11">
        <v>1</v>
      </c>
      <c r="G759" s="11">
        <v>10</v>
      </c>
      <c r="H759" s="95"/>
      <c r="I759" s="95">
        <f>4.665-0.05</f>
        <v>4.6150000000000002</v>
      </c>
      <c r="J759" s="100"/>
      <c r="K759" s="22"/>
      <c r="L759" s="72">
        <f t="shared" si="1421"/>
        <v>4.6150000000000002</v>
      </c>
      <c r="M759" s="72">
        <f t="shared" si="1422"/>
        <v>92.3</v>
      </c>
      <c r="N759" s="72">
        <f t="shared" si="1423"/>
        <v>0</v>
      </c>
      <c r="O759" s="72">
        <f t="shared" si="1424"/>
        <v>0</v>
      </c>
      <c r="P759" s="72">
        <f t="shared" si="1425"/>
        <v>0</v>
      </c>
      <c r="Q759" s="72">
        <f t="shared" si="1426"/>
        <v>0</v>
      </c>
      <c r="R759" s="72">
        <f t="shared" si="1427"/>
        <v>0</v>
      </c>
    </row>
    <row r="760" spans="1:18" x14ac:dyDescent="0.25">
      <c r="A760" s="26"/>
      <c r="B760" s="104" t="s">
        <v>773</v>
      </c>
      <c r="C760" s="15">
        <v>12</v>
      </c>
      <c r="D760" s="16">
        <v>100</v>
      </c>
      <c r="E760" s="15">
        <v>2</v>
      </c>
      <c r="F760" s="11">
        <v>1</v>
      </c>
      <c r="G760" s="11">
        <f>+ROUND(4.665/(D760/1000)+1,0)/2</f>
        <v>24</v>
      </c>
      <c r="H760" s="95"/>
      <c r="I760" s="95">
        <f>2+2.5-0.025</f>
        <v>4.4749999999999996</v>
      </c>
      <c r="J760" s="100">
        <v>0.1</v>
      </c>
      <c r="K760" s="22"/>
      <c r="L760" s="72">
        <f t="shared" si="1421"/>
        <v>4.5749999999999993</v>
      </c>
      <c r="M760" s="72">
        <f t="shared" si="1422"/>
        <v>0</v>
      </c>
      <c r="N760" s="72">
        <f t="shared" si="1423"/>
        <v>0</v>
      </c>
      <c r="O760" s="72">
        <f t="shared" si="1424"/>
        <v>219.6</v>
      </c>
      <c r="P760" s="72">
        <f t="shared" si="1425"/>
        <v>0</v>
      </c>
      <c r="Q760" s="72">
        <f t="shared" si="1426"/>
        <v>0</v>
      </c>
      <c r="R760" s="72">
        <f t="shared" si="1427"/>
        <v>0</v>
      </c>
    </row>
    <row r="761" spans="1:18" x14ac:dyDescent="0.25">
      <c r="A761" s="26"/>
      <c r="B761" s="104" t="s">
        <v>773</v>
      </c>
      <c r="C761" s="15">
        <v>10</v>
      </c>
      <c r="D761" s="16">
        <v>100</v>
      </c>
      <c r="E761" s="15">
        <v>2</v>
      </c>
      <c r="F761" s="11">
        <v>1</v>
      </c>
      <c r="G761" s="11">
        <f>+ROUND(4.665/(D761/1000)+1,0)/2</f>
        <v>24</v>
      </c>
      <c r="H761" s="95"/>
      <c r="I761" s="95">
        <f>1.35+0.2+2</f>
        <v>3.55</v>
      </c>
      <c r="J761" s="100"/>
      <c r="K761" s="22"/>
      <c r="L761" s="72">
        <f t="shared" si="1421"/>
        <v>3.55</v>
      </c>
      <c r="M761" s="72">
        <f t="shared" si="1422"/>
        <v>0</v>
      </c>
      <c r="N761" s="72">
        <f t="shared" si="1423"/>
        <v>170.4</v>
      </c>
      <c r="O761" s="72">
        <f t="shared" si="1424"/>
        <v>0</v>
      </c>
      <c r="P761" s="72">
        <f t="shared" si="1425"/>
        <v>0</v>
      </c>
      <c r="Q761" s="72">
        <f t="shared" si="1426"/>
        <v>0</v>
      </c>
      <c r="R761" s="72">
        <f t="shared" si="1427"/>
        <v>0</v>
      </c>
    </row>
    <row r="762" spans="1:18" x14ac:dyDescent="0.25">
      <c r="A762" s="26"/>
      <c r="B762" s="104" t="s">
        <v>774</v>
      </c>
      <c r="C762" s="15">
        <v>8</v>
      </c>
      <c r="D762" s="16">
        <v>200</v>
      </c>
      <c r="E762" s="15">
        <v>2</v>
      </c>
      <c r="F762" s="11">
        <v>2</v>
      </c>
      <c r="G762" s="11">
        <v>10</v>
      </c>
      <c r="H762" s="95"/>
      <c r="I762" s="95">
        <f>4.665-0.05</f>
        <v>4.6150000000000002</v>
      </c>
      <c r="J762" s="100"/>
      <c r="K762" s="22"/>
      <c r="L762" s="72">
        <f t="shared" si="1421"/>
        <v>4.6150000000000002</v>
      </c>
      <c r="M762" s="72">
        <f t="shared" si="1422"/>
        <v>184.6</v>
      </c>
      <c r="N762" s="72">
        <f t="shared" si="1423"/>
        <v>0</v>
      </c>
      <c r="O762" s="72">
        <f t="shared" si="1424"/>
        <v>0</v>
      </c>
      <c r="P762" s="72">
        <f t="shared" si="1425"/>
        <v>0</v>
      </c>
      <c r="Q762" s="72">
        <f t="shared" si="1426"/>
        <v>0</v>
      </c>
      <c r="R762" s="72">
        <f t="shared" si="1427"/>
        <v>0</v>
      </c>
    </row>
    <row r="763" spans="1:18" x14ac:dyDescent="0.25">
      <c r="A763" s="26"/>
      <c r="B763" s="25"/>
      <c r="C763" s="15"/>
      <c r="D763" s="16"/>
      <c r="E763" s="15"/>
      <c r="F763" s="11"/>
      <c r="G763" s="11"/>
      <c r="H763" s="95"/>
      <c r="I763" s="95"/>
      <c r="J763" s="100"/>
      <c r="K763" s="22"/>
      <c r="L763" s="72"/>
      <c r="M763" s="72"/>
      <c r="N763" s="72"/>
      <c r="O763" s="72"/>
      <c r="P763" s="72"/>
      <c r="Q763" s="72"/>
      <c r="R763" s="72"/>
    </row>
    <row r="764" spans="1:18" x14ac:dyDescent="0.25">
      <c r="A764" s="26"/>
      <c r="B764" s="45" t="s">
        <v>789</v>
      </c>
      <c r="C764" s="15"/>
      <c r="D764" s="16"/>
      <c r="E764" s="15"/>
      <c r="F764" s="11"/>
      <c r="G764" s="11"/>
      <c r="H764" s="95"/>
      <c r="I764" s="95"/>
      <c r="J764" s="100"/>
      <c r="K764" s="22"/>
      <c r="L764" s="72">
        <f>SUM(H764:J764)+K764</f>
        <v>0</v>
      </c>
      <c r="M764" s="72">
        <f t="shared" ref="M764:M769" si="1428">+ROUND(IF(C764=8,PRODUCT(E764,F764,G764,L764),0),2)</f>
        <v>0</v>
      </c>
      <c r="N764" s="72">
        <f t="shared" ref="N764:N769" si="1429">+ROUND(IF(C764=10,PRODUCT(E764,F764,G764,L764),0),2)</f>
        <v>0</v>
      </c>
      <c r="O764" s="72">
        <f t="shared" ref="O764:O769" si="1430">+ROUND(IF(C764=12,PRODUCT(E764,F764,G764,L764),0),2)</f>
        <v>0</v>
      </c>
      <c r="P764" s="72">
        <f t="shared" ref="P764:P769" si="1431">+ROUND(IF(C764=16,PRODUCT(E764,F764,G764,L764),0),2)</f>
        <v>0</v>
      </c>
      <c r="Q764" s="72">
        <f t="shared" ref="Q764:Q769" si="1432">+ROUND(IF(C764=20,PRODUCT(E764,F764,G764,L764),0),2)</f>
        <v>0</v>
      </c>
      <c r="R764" s="72">
        <f t="shared" ref="R764:R769" si="1433">+ROUND(IF(C764=25,PRODUCT(E764,F764,G764,L764),0),2)</f>
        <v>0</v>
      </c>
    </row>
    <row r="765" spans="1:18" x14ac:dyDescent="0.25">
      <c r="A765" s="26"/>
      <c r="B765" s="104" t="s">
        <v>771</v>
      </c>
      <c r="C765" s="15">
        <v>10</v>
      </c>
      <c r="D765" s="16">
        <v>150</v>
      </c>
      <c r="E765" s="15">
        <v>2</v>
      </c>
      <c r="F765" s="11">
        <v>1</v>
      </c>
      <c r="G765" s="11">
        <f>+ROUND(5.105/(D765/1000)+1,0)</f>
        <v>35</v>
      </c>
      <c r="H765" s="95">
        <v>0.25</v>
      </c>
      <c r="I765" s="95">
        <v>2.13</v>
      </c>
      <c r="J765" s="100">
        <v>0.4</v>
      </c>
      <c r="K765" s="22"/>
      <c r="L765" s="72">
        <f t="shared" ref="L765:L769" si="1434">SUM(H765:J765)+K765</f>
        <v>2.78</v>
      </c>
      <c r="M765" s="72">
        <f t="shared" si="1428"/>
        <v>0</v>
      </c>
      <c r="N765" s="72">
        <f t="shared" si="1429"/>
        <v>194.6</v>
      </c>
      <c r="O765" s="72">
        <f t="shared" si="1430"/>
        <v>0</v>
      </c>
      <c r="P765" s="72">
        <f t="shared" si="1431"/>
        <v>0</v>
      </c>
      <c r="Q765" s="72">
        <f t="shared" si="1432"/>
        <v>0</v>
      </c>
      <c r="R765" s="72">
        <f t="shared" si="1433"/>
        <v>0</v>
      </c>
    </row>
    <row r="766" spans="1:18" x14ac:dyDescent="0.25">
      <c r="A766" s="26"/>
      <c r="B766" s="104" t="s">
        <v>521</v>
      </c>
      <c r="C766" s="15">
        <v>8</v>
      </c>
      <c r="D766" s="16">
        <v>200</v>
      </c>
      <c r="E766" s="15">
        <v>2</v>
      </c>
      <c r="F766" s="11">
        <v>1</v>
      </c>
      <c r="G766" s="11">
        <f>+ROUND(2/(D766/1000)+1,0)</f>
        <v>11</v>
      </c>
      <c r="H766" s="95">
        <v>0.1</v>
      </c>
      <c r="I766" s="95">
        <f>5.105-0.05</f>
        <v>5.0550000000000006</v>
      </c>
      <c r="J766" s="100">
        <v>0.1</v>
      </c>
      <c r="K766" s="22"/>
      <c r="L766" s="72">
        <f t="shared" si="1434"/>
        <v>5.2549999999999999</v>
      </c>
      <c r="M766" s="72">
        <f t="shared" si="1428"/>
        <v>115.61</v>
      </c>
      <c r="N766" s="72">
        <f t="shared" si="1429"/>
        <v>0</v>
      </c>
      <c r="O766" s="72">
        <f t="shared" si="1430"/>
        <v>0</v>
      </c>
      <c r="P766" s="72">
        <f t="shared" si="1431"/>
        <v>0</v>
      </c>
      <c r="Q766" s="72">
        <f t="shared" si="1432"/>
        <v>0</v>
      </c>
      <c r="R766" s="72">
        <f t="shared" si="1433"/>
        <v>0</v>
      </c>
    </row>
    <row r="767" spans="1:18" x14ac:dyDescent="0.25">
      <c r="A767" s="26"/>
      <c r="B767" s="104" t="s">
        <v>773</v>
      </c>
      <c r="C767" s="15">
        <v>12</v>
      </c>
      <c r="D767" s="16">
        <v>100</v>
      </c>
      <c r="E767" s="15">
        <v>2</v>
      </c>
      <c r="F767" s="11">
        <v>1</v>
      </c>
      <c r="G767" s="11">
        <f>+ROUND(5.105/(D767/1000)+1,0)/2</f>
        <v>26</v>
      </c>
      <c r="H767" s="95"/>
      <c r="I767" s="95">
        <f>2+2.5-0.025</f>
        <v>4.4749999999999996</v>
      </c>
      <c r="J767" s="100">
        <v>0.1</v>
      </c>
      <c r="K767" s="22"/>
      <c r="L767" s="72">
        <f t="shared" si="1434"/>
        <v>4.5749999999999993</v>
      </c>
      <c r="M767" s="72">
        <f t="shared" si="1428"/>
        <v>0</v>
      </c>
      <c r="N767" s="72">
        <f t="shared" si="1429"/>
        <v>0</v>
      </c>
      <c r="O767" s="72">
        <f t="shared" si="1430"/>
        <v>237.9</v>
      </c>
      <c r="P767" s="72">
        <f t="shared" si="1431"/>
        <v>0</v>
      </c>
      <c r="Q767" s="72">
        <f t="shared" si="1432"/>
        <v>0</v>
      </c>
      <c r="R767" s="72">
        <f t="shared" si="1433"/>
        <v>0</v>
      </c>
    </row>
    <row r="768" spans="1:18" x14ac:dyDescent="0.25">
      <c r="A768" s="26"/>
      <c r="B768" s="104" t="s">
        <v>773</v>
      </c>
      <c r="C768" s="15">
        <v>10</v>
      </c>
      <c r="D768" s="16">
        <v>100</v>
      </c>
      <c r="E768" s="15">
        <v>2</v>
      </c>
      <c r="F768" s="11">
        <v>1</v>
      </c>
      <c r="G768" s="11">
        <f>+ROUND(5.105/(D768/1000)+1,0)/2</f>
        <v>26</v>
      </c>
      <c r="H768" s="95"/>
      <c r="I768" s="95">
        <f>1.35+0.2+2</f>
        <v>3.55</v>
      </c>
      <c r="J768" s="100"/>
      <c r="K768" s="22"/>
      <c r="L768" s="72">
        <f t="shared" si="1434"/>
        <v>3.55</v>
      </c>
      <c r="M768" s="72">
        <f t="shared" si="1428"/>
        <v>0</v>
      </c>
      <c r="N768" s="72">
        <f t="shared" si="1429"/>
        <v>184.6</v>
      </c>
      <c r="O768" s="72">
        <f t="shared" si="1430"/>
        <v>0</v>
      </c>
      <c r="P768" s="72">
        <f t="shared" si="1431"/>
        <v>0</v>
      </c>
      <c r="Q768" s="72">
        <f t="shared" si="1432"/>
        <v>0</v>
      </c>
      <c r="R768" s="72">
        <f t="shared" si="1433"/>
        <v>0</v>
      </c>
    </row>
    <row r="769" spans="1:18" x14ac:dyDescent="0.25">
      <c r="A769" s="26"/>
      <c r="B769" s="104" t="s">
        <v>774</v>
      </c>
      <c r="C769" s="15">
        <v>8</v>
      </c>
      <c r="D769" s="16">
        <v>200</v>
      </c>
      <c r="E769" s="15">
        <v>2</v>
      </c>
      <c r="F769" s="11">
        <v>2</v>
      </c>
      <c r="G769" s="11">
        <f>+ROUND(2/(D769/1000)+1,0)</f>
        <v>11</v>
      </c>
      <c r="H769" s="95">
        <v>0.1</v>
      </c>
      <c r="I769" s="95">
        <f>5.105-0.05</f>
        <v>5.0550000000000006</v>
      </c>
      <c r="J769" s="100">
        <v>0.1</v>
      </c>
      <c r="K769" s="22"/>
      <c r="L769" s="72">
        <f t="shared" si="1434"/>
        <v>5.2549999999999999</v>
      </c>
      <c r="M769" s="72">
        <f t="shared" si="1428"/>
        <v>231.22</v>
      </c>
      <c r="N769" s="72">
        <f t="shared" si="1429"/>
        <v>0</v>
      </c>
      <c r="O769" s="72">
        <f t="shared" si="1430"/>
        <v>0</v>
      </c>
      <c r="P769" s="72">
        <f t="shared" si="1431"/>
        <v>0</v>
      </c>
      <c r="Q769" s="72">
        <f t="shared" si="1432"/>
        <v>0</v>
      </c>
      <c r="R769" s="72">
        <f t="shared" si="1433"/>
        <v>0</v>
      </c>
    </row>
    <row r="770" spans="1:18" x14ac:dyDescent="0.25">
      <c r="A770" s="26"/>
      <c r="B770" s="25"/>
      <c r="C770" s="15"/>
      <c r="D770" s="16"/>
      <c r="E770" s="15"/>
      <c r="F770" s="11"/>
      <c r="G770" s="11"/>
      <c r="H770" s="95"/>
      <c r="I770" s="95"/>
      <c r="J770" s="100"/>
      <c r="K770" s="22"/>
      <c r="L770" s="72"/>
      <c r="M770" s="72"/>
      <c r="N770" s="72"/>
      <c r="O770" s="72"/>
      <c r="P770" s="72"/>
      <c r="Q770" s="72"/>
      <c r="R770" s="72"/>
    </row>
    <row r="771" spans="1:18" x14ac:dyDescent="0.25">
      <c r="A771" s="26"/>
      <c r="B771" s="45" t="s">
        <v>790</v>
      </c>
      <c r="C771" s="15"/>
      <c r="D771" s="16"/>
      <c r="E771" s="15"/>
      <c r="F771" s="11"/>
      <c r="G771" s="11"/>
      <c r="H771" s="95"/>
      <c r="I771" s="95"/>
      <c r="J771" s="100"/>
      <c r="K771" s="22"/>
      <c r="L771" s="72"/>
      <c r="M771" s="72">
        <f t="shared" ref="M771:M776" si="1435">+ROUND(IF(C771=8,PRODUCT(E771,F771,G771,L771),0),2)</f>
        <v>0</v>
      </c>
      <c r="N771" s="72">
        <f t="shared" ref="N771:N776" si="1436">+ROUND(IF(C771=10,PRODUCT(E771,F771,G771,L771),0),2)</f>
        <v>0</v>
      </c>
      <c r="O771" s="72">
        <f t="shared" ref="O771:O776" si="1437">+ROUND(IF(C771=12,PRODUCT(E771,F771,G771,L771),0),2)</f>
        <v>0</v>
      </c>
      <c r="P771" s="72">
        <f t="shared" ref="P771:P776" si="1438">+ROUND(IF(C771=16,PRODUCT(E771,F771,G771,L771),0),2)</f>
        <v>0</v>
      </c>
      <c r="Q771" s="72">
        <f t="shared" ref="Q771:Q776" si="1439">+ROUND(IF(C771=20,PRODUCT(E771,F771,G771,L771),0),2)</f>
        <v>0</v>
      </c>
      <c r="R771" s="72">
        <f t="shared" ref="R771:R776" si="1440">+ROUND(IF(C771=25,PRODUCT(E771,F771,G771,L771),0),2)</f>
        <v>0</v>
      </c>
    </row>
    <row r="772" spans="1:18" x14ac:dyDescent="0.25">
      <c r="A772" s="26"/>
      <c r="B772" s="104" t="s">
        <v>768</v>
      </c>
      <c r="C772" s="15">
        <v>8</v>
      </c>
      <c r="D772" s="16">
        <v>200</v>
      </c>
      <c r="E772" s="15">
        <v>2</v>
      </c>
      <c r="F772" s="11">
        <v>1</v>
      </c>
      <c r="G772" s="11">
        <f>+ROUND(3.58/(D772/1000)+1,0)</f>
        <v>19</v>
      </c>
      <c r="H772" s="95"/>
      <c r="I772" s="95">
        <f>0.175+3.05+0.175</f>
        <v>3.3999999999999995</v>
      </c>
      <c r="J772" s="100"/>
      <c r="K772" s="22"/>
      <c r="L772" s="72">
        <f t="shared" ref="L772" si="1441">SUM(H772:J772)+K772</f>
        <v>3.3999999999999995</v>
      </c>
      <c r="M772" s="72">
        <f t="shared" si="1435"/>
        <v>129.19999999999999</v>
      </c>
      <c r="N772" s="72">
        <f t="shared" si="1436"/>
        <v>0</v>
      </c>
      <c r="O772" s="72">
        <f t="shared" si="1437"/>
        <v>0</v>
      </c>
      <c r="P772" s="72">
        <f t="shared" si="1438"/>
        <v>0</v>
      </c>
      <c r="Q772" s="72">
        <f t="shared" si="1439"/>
        <v>0</v>
      </c>
      <c r="R772" s="72">
        <f t="shared" si="1440"/>
        <v>0</v>
      </c>
    </row>
    <row r="773" spans="1:18" x14ac:dyDescent="0.25">
      <c r="A773" s="26"/>
      <c r="B773" s="104" t="s">
        <v>521</v>
      </c>
      <c r="C773" s="15">
        <v>8</v>
      </c>
      <c r="D773" s="16">
        <v>200</v>
      </c>
      <c r="E773" s="15">
        <v>2</v>
      </c>
      <c r="F773" s="11">
        <v>1</v>
      </c>
      <c r="G773" s="11">
        <f>+ROUND(3.05/(D773/1000)+1,0)</f>
        <v>16</v>
      </c>
      <c r="H773" s="95"/>
      <c r="I773" s="95">
        <f>0.175+3.58+0.175</f>
        <v>3.9299999999999997</v>
      </c>
      <c r="J773" s="100"/>
      <c r="K773" s="47"/>
      <c r="L773" s="72">
        <f>SUM(H773:J773)+K773</f>
        <v>3.9299999999999997</v>
      </c>
      <c r="M773" s="72">
        <f t="shared" ref="M773" si="1442">+ROUND(IF(C773=8,PRODUCT(E773,F773,G773,L773),0),2)</f>
        <v>125.76</v>
      </c>
      <c r="N773" s="72">
        <f t="shared" ref="N773" si="1443">+ROUND(IF(C773=10,PRODUCT(E773,F773,G773,L773),0),2)</f>
        <v>0</v>
      </c>
      <c r="O773" s="72">
        <f t="shared" ref="O773" si="1444">+ROUND(IF(C773=12,PRODUCT(E773,F773,G773,L773),0),2)</f>
        <v>0</v>
      </c>
      <c r="P773" s="72">
        <f t="shared" ref="P773" si="1445">+ROUND(IF(C773=16,PRODUCT(E773,F773,G773,L773),0),2)</f>
        <v>0</v>
      </c>
      <c r="Q773" s="72">
        <f t="shared" ref="Q773" si="1446">+ROUND(IF(C773=20,PRODUCT(E773,F773,G773,L773),0),2)</f>
        <v>0</v>
      </c>
      <c r="R773" s="72">
        <f t="shared" ref="R773" si="1447">+ROUND(IF(C773=25,PRODUCT(E773,F773,G773,L773),0),2)</f>
        <v>0</v>
      </c>
    </row>
    <row r="774" spans="1:18" x14ac:dyDescent="0.25">
      <c r="A774" s="26"/>
      <c r="B774" s="104" t="s">
        <v>512</v>
      </c>
      <c r="C774" s="15">
        <v>8</v>
      </c>
      <c r="D774" s="16">
        <v>200</v>
      </c>
      <c r="E774" s="15">
        <v>2</v>
      </c>
      <c r="F774" s="11">
        <v>1</v>
      </c>
      <c r="G774" s="11">
        <f>+ROUND(3.05/(D774/1000)+1,0)</f>
        <v>16</v>
      </c>
      <c r="H774" s="95">
        <v>0.1</v>
      </c>
      <c r="I774" s="95">
        <f>0.6+0.175</f>
        <v>0.77499999999999991</v>
      </c>
      <c r="J774" s="100"/>
      <c r="K774" s="22"/>
      <c r="L774" s="72">
        <f t="shared" ref="L774" si="1448">SUM(H774:J774)+K774</f>
        <v>0.87499999999999989</v>
      </c>
      <c r="M774" s="72">
        <f t="shared" si="1435"/>
        <v>28</v>
      </c>
      <c r="N774" s="72">
        <f t="shared" si="1436"/>
        <v>0</v>
      </c>
      <c r="O774" s="72">
        <f t="shared" si="1437"/>
        <v>0</v>
      </c>
      <c r="P774" s="72">
        <f t="shared" si="1438"/>
        <v>0</v>
      </c>
      <c r="Q774" s="72">
        <f t="shared" si="1439"/>
        <v>0</v>
      </c>
      <c r="R774" s="72">
        <f t="shared" si="1440"/>
        <v>0</v>
      </c>
    </row>
    <row r="775" spans="1:18" x14ac:dyDescent="0.25">
      <c r="A775" s="26"/>
      <c r="B775" s="104" t="s">
        <v>512</v>
      </c>
      <c r="C775" s="15">
        <v>8</v>
      </c>
      <c r="D775" s="16">
        <v>200</v>
      </c>
      <c r="E775" s="15">
        <v>2</v>
      </c>
      <c r="F775" s="11">
        <v>1</v>
      </c>
      <c r="G775" s="11">
        <f>+ROUND(3.05/(D775/1000)+1,0)/2</f>
        <v>8</v>
      </c>
      <c r="H775" s="95"/>
      <c r="I775" s="95">
        <f>0.1+0.6</f>
        <v>0.7</v>
      </c>
      <c r="J775" s="100"/>
      <c r="K775" s="22"/>
      <c r="L775" s="72">
        <f>SUM(H775:J775)+K775</f>
        <v>0.7</v>
      </c>
      <c r="M775" s="72">
        <f t="shared" si="1435"/>
        <v>11.2</v>
      </c>
      <c r="N775" s="72">
        <f t="shared" si="1436"/>
        <v>0</v>
      </c>
      <c r="O775" s="72">
        <f t="shared" si="1437"/>
        <v>0</v>
      </c>
      <c r="P775" s="72">
        <f t="shared" si="1438"/>
        <v>0</v>
      </c>
      <c r="Q775" s="72">
        <f t="shared" si="1439"/>
        <v>0</v>
      </c>
      <c r="R775" s="72">
        <f t="shared" si="1440"/>
        <v>0</v>
      </c>
    </row>
    <row r="776" spans="1:18" x14ac:dyDescent="0.25">
      <c r="A776" s="26"/>
      <c r="B776" s="104" t="s">
        <v>512</v>
      </c>
      <c r="C776" s="15">
        <v>8</v>
      </c>
      <c r="D776" s="16">
        <v>200</v>
      </c>
      <c r="E776" s="15">
        <v>2</v>
      </c>
      <c r="F776" s="11">
        <v>1</v>
      </c>
      <c r="G776" s="11">
        <f>+ROUND(3.05/(D776/1000)+1,0)/2</f>
        <v>8</v>
      </c>
      <c r="H776" s="95"/>
      <c r="I776" s="95">
        <f>0.1+1.2</f>
        <v>1.3</v>
      </c>
      <c r="J776" s="100"/>
      <c r="K776" s="22"/>
      <c r="L776" s="72">
        <f t="shared" ref="L776" si="1449">SUM(H776:J776)+K776</f>
        <v>1.3</v>
      </c>
      <c r="M776" s="72">
        <f t="shared" si="1435"/>
        <v>20.8</v>
      </c>
      <c r="N776" s="72">
        <f t="shared" si="1436"/>
        <v>0</v>
      </c>
      <c r="O776" s="72">
        <f t="shared" si="1437"/>
        <v>0</v>
      </c>
      <c r="P776" s="72">
        <f t="shared" si="1438"/>
        <v>0</v>
      </c>
      <c r="Q776" s="72">
        <f t="shared" si="1439"/>
        <v>0</v>
      </c>
      <c r="R776" s="72">
        <f t="shared" si="1440"/>
        <v>0</v>
      </c>
    </row>
    <row r="777" spans="1:18" x14ac:dyDescent="0.25">
      <c r="A777" s="26"/>
      <c r="B777" s="104" t="s">
        <v>512</v>
      </c>
      <c r="C777" s="15">
        <v>8</v>
      </c>
      <c r="D777" s="16">
        <v>200</v>
      </c>
      <c r="E777" s="15">
        <v>2</v>
      </c>
      <c r="F777" s="11">
        <v>2</v>
      </c>
      <c r="G777" s="11">
        <f>+ROUND(3.58/(D777/1000)+1,0)/2</f>
        <v>9.5</v>
      </c>
      <c r="H777" s="95"/>
      <c r="I777" s="95">
        <f>0.1+0.5</f>
        <v>0.6</v>
      </c>
      <c r="J777" s="100"/>
      <c r="K777" s="22"/>
      <c r="L777" s="72">
        <f>SUM(H777:J777)+K777</f>
        <v>0.6</v>
      </c>
      <c r="M777" s="72">
        <f t="shared" ref="M777:M782" si="1450">+ROUND(IF(C777=8,PRODUCT(E777,F777,G777,L777),0),2)</f>
        <v>22.8</v>
      </c>
      <c r="N777" s="72">
        <f t="shared" ref="N777:N782" si="1451">+ROUND(IF(C777=10,PRODUCT(E777,F777,G777,L777),0),2)</f>
        <v>0</v>
      </c>
      <c r="O777" s="72">
        <f t="shared" ref="O777:O782" si="1452">+ROUND(IF(C777=12,PRODUCT(E777,F777,G777,L777),0),2)</f>
        <v>0</v>
      </c>
      <c r="P777" s="72">
        <f t="shared" ref="P777:P782" si="1453">+ROUND(IF(C777=16,PRODUCT(E777,F777,G777,L777),0),2)</f>
        <v>0</v>
      </c>
      <c r="Q777" s="72">
        <f t="shared" ref="Q777:Q782" si="1454">+ROUND(IF(C777=20,PRODUCT(E777,F777,G777,L777),0),2)</f>
        <v>0</v>
      </c>
      <c r="R777" s="72">
        <f t="shared" ref="R777:R782" si="1455">+ROUND(IF(C777=25,PRODUCT(E777,F777,G777,L777),0),2)</f>
        <v>0</v>
      </c>
    </row>
    <row r="778" spans="1:18" x14ac:dyDescent="0.25">
      <c r="A778" s="26"/>
      <c r="B778" s="104" t="s">
        <v>512</v>
      </c>
      <c r="C778" s="15">
        <v>8</v>
      </c>
      <c r="D778" s="16">
        <v>200</v>
      </c>
      <c r="E778" s="15">
        <v>2</v>
      </c>
      <c r="F778" s="11">
        <v>2</v>
      </c>
      <c r="G778" s="11">
        <f>+ROUND(3.58/(D778/1000)+1,0)/2</f>
        <v>9.5</v>
      </c>
      <c r="H778" s="95"/>
      <c r="I778" s="95">
        <f>0.1+1</f>
        <v>1.1000000000000001</v>
      </c>
      <c r="J778" s="100"/>
      <c r="K778" s="22"/>
      <c r="L778" s="72">
        <f t="shared" ref="L778:L782" si="1456">SUM(H778:J778)+K778</f>
        <v>1.1000000000000001</v>
      </c>
      <c r="M778" s="72">
        <f t="shared" si="1450"/>
        <v>41.8</v>
      </c>
      <c r="N778" s="72">
        <f t="shared" si="1451"/>
        <v>0</v>
      </c>
      <c r="O778" s="72">
        <f t="shared" si="1452"/>
        <v>0</v>
      </c>
      <c r="P778" s="72">
        <f t="shared" si="1453"/>
        <v>0</v>
      </c>
      <c r="Q778" s="72">
        <f t="shared" si="1454"/>
        <v>0</v>
      </c>
      <c r="R778" s="72">
        <f t="shared" si="1455"/>
        <v>0</v>
      </c>
    </row>
    <row r="779" spans="1:18" x14ac:dyDescent="0.25">
      <c r="A779" s="26"/>
      <c r="B779" s="104" t="s">
        <v>759</v>
      </c>
      <c r="C779" s="15">
        <v>8</v>
      </c>
      <c r="D779" s="16">
        <v>200</v>
      </c>
      <c r="E779" s="15">
        <v>2</v>
      </c>
      <c r="F779" s="11">
        <v>1</v>
      </c>
      <c r="G779" s="11">
        <f>+ROUND(0.6/(D779/1000)+1,0)</f>
        <v>4</v>
      </c>
      <c r="H779" s="95">
        <v>0.2</v>
      </c>
      <c r="I779" s="95">
        <v>3.05</v>
      </c>
      <c r="J779" s="100"/>
      <c r="K779" s="22"/>
      <c r="L779" s="72">
        <f t="shared" si="1456"/>
        <v>3.25</v>
      </c>
      <c r="M779" s="72">
        <f t="shared" si="1450"/>
        <v>26</v>
      </c>
      <c r="N779" s="72">
        <f t="shared" si="1451"/>
        <v>0</v>
      </c>
      <c r="O779" s="72">
        <f t="shared" si="1452"/>
        <v>0</v>
      </c>
      <c r="P779" s="72">
        <f t="shared" si="1453"/>
        <v>0</v>
      </c>
      <c r="Q779" s="72">
        <f t="shared" si="1454"/>
        <v>0</v>
      </c>
      <c r="R779" s="72">
        <f t="shared" si="1455"/>
        <v>0</v>
      </c>
    </row>
    <row r="780" spans="1:18" x14ac:dyDescent="0.25">
      <c r="A780" s="26"/>
      <c r="B780" s="104" t="s">
        <v>759</v>
      </c>
      <c r="C780" s="15">
        <v>8</v>
      </c>
      <c r="D780" s="16">
        <v>200</v>
      </c>
      <c r="E780" s="15">
        <v>2</v>
      </c>
      <c r="F780" s="11">
        <v>1</v>
      </c>
      <c r="G780" s="11">
        <f>+ROUND(1.2/(D780/1000)+1,0)</f>
        <v>7</v>
      </c>
      <c r="H780" s="95">
        <v>0.2</v>
      </c>
      <c r="I780" s="95">
        <v>3.05</v>
      </c>
      <c r="J780" s="100"/>
      <c r="K780" s="22"/>
      <c r="L780" s="72">
        <f t="shared" si="1456"/>
        <v>3.25</v>
      </c>
      <c r="M780" s="72">
        <f t="shared" si="1450"/>
        <v>45.5</v>
      </c>
      <c r="N780" s="72">
        <f t="shared" si="1451"/>
        <v>0</v>
      </c>
      <c r="O780" s="72">
        <f t="shared" si="1452"/>
        <v>0</v>
      </c>
      <c r="P780" s="72">
        <f t="shared" si="1453"/>
        <v>0</v>
      </c>
      <c r="Q780" s="72">
        <f t="shared" si="1454"/>
        <v>0</v>
      </c>
      <c r="R780" s="72">
        <f t="shared" si="1455"/>
        <v>0</v>
      </c>
    </row>
    <row r="781" spans="1:18" x14ac:dyDescent="0.25">
      <c r="A781" s="26"/>
      <c r="B781" s="104" t="s">
        <v>759</v>
      </c>
      <c r="C781" s="15">
        <v>8</v>
      </c>
      <c r="D781" s="16">
        <v>200</v>
      </c>
      <c r="E781" s="15">
        <v>2</v>
      </c>
      <c r="F781" s="11">
        <v>1</v>
      </c>
      <c r="G781" s="11">
        <f>+ROUND(1/(D781/1000)+1,0)</f>
        <v>6</v>
      </c>
      <c r="H781" s="95">
        <v>0.2</v>
      </c>
      <c r="I781" s="95">
        <v>3.58</v>
      </c>
      <c r="J781" s="100"/>
      <c r="K781" s="22"/>
      <c r="L781" s="72">
        <f t="shared" si="1456"/>
        <v>3.7800000000000002</v>
      </c>
      <c r="M781" s="72">
        <f t="shared" si="1450"/>
        <v>45.36</v>
      </c>
      <c r="N781" s="72">
        <f t="shared" si="1451"/>
        <v>0</v>
      </c>
      <c r="O781" s="72">
        <f t="shared" si="1452"/>
        <v>0</v>
      </c>
      <c r="P781" s="72">
        <f t="shared" si="1453"/>
        <v>0</v>
      </c>
      <c r="Q781" s="72">
        <f t="shared" si="1454"/>
        <v>0</v>
      </c>
      <c r="R781" s="72">
        <f t="shared" si="1455"/>
        <v>0</v>
      </c>
    </row>
    <row r="782" spans="1:18" x14ac:dyDescent="0.25">
      <c r="A782" s="26"/>
      <c r="B782" s="104" t="s">
        <v>759</v>
      </c>
      <c r="C782" s="15">
        <v>8</v>
      </c>
      <c r="D782" s="16">
        <v>200</v>
      </c>
      <c r="E782" s="15">
        <v>2</v>
      </c>
      <c r="F782" s="11">
        <v>1</v>
      </c>
      <c r="G782" s="11">
        <f>+ROUND(1/(D782/1000)+1,0)</f>
        <v>6</v>
      </c>
      <c r="H782" s="95">
        <v>0.2</v>
      </c>
      <c r="I782" s="95">
        <v>3.58</v>
      </c>
      <c r="J782" s="100"/>
      <c r="K782" s="22"/>
      <c r="L782" s="72">
        <f t="shared" si="1456"/>
        <v>3.7800000000000002</v>
      </c>
      <c r="M782" s="72">
        <f t="shared" si="1450"/>
        <v>45.36</v>
      </c>
      <c r="N782" s="72">
        <f t="shared" si="1451"/>
        <v>0</v>
      </c>
      <c r="O782" s="72">
        <f t="shared" si="1452"/>
        <v>0</v>
      </c>
      <c r="P782" s="72">
        <f t="shared" si="1453"/>
        <v>0</v>
      </c>
      <c r="Q782" s="72">
        <f t="shared" si="1454"/>
        <v>0</v>
      </c>
      <c r="R782" s="72">
        <f t="shared" si="1455"/>
        <v>0</v>
      </c>
    </row>
    <row r="783" spans="1:18" x14ac:dyDescent="0.25">
      <c r="A783" s="26"/>
      <c r="B783" s="25"/>
      <c r="C783" s="15"/>
      <c r="D783" s="16"/>
      <c r="E783" s="15"/>
      <c r="F783" s="11"/>
      <c r="G783" s="11"/>
      <c r="H783" s="95"/>
      <c r="I783" s="95"/>
      <c r="J783" s="100"/>
      <c r="K783" s="22"/>
      <c r="L783" s="72"/>
      <c r="M783" s="72"/>
      <c r="N783" s="72"/>
      <c r="O783" s="72"/>
      <c r="P783" s="72"/>
      <c r="Q783" s="72"/>
      <c r="R783" s="72"/>
    </row>
    <row r="784" spans="1:18" x14ac:dyDescent="0.25">
      <c r="A784" s="26"/>
      <c r="B784" s="45" t="s">
        <v>791</v>
      </c>
      <c r="C784" s="15"/>
      <c r="D784" s="16"/>
      <c r="E784" s="15"/>
      <c r="F784" s="11"/>
      <c r="G784" s="11"/>
      <c r="H784" s="95"/>
      <c r="I784" s="95"/>
      <c r="J784" s="100"/>
      <c r="K784" s="22"/>
      <c r="L784" s="72"/>
      <c r="M784" s="72">
        <f t="shared" ref="M784:M789" si="1457">+ROUND(IF(C784=8,PRODUCT(E784,F784,G784,L784),0),2)</f>
        <v>0</v>
      </c>
      <c r="N784" s="72">
        <f t="shared" ref="N784:N789" si="1458">+ROUND(IF(C784=10,PRODUCT(E784,F784,G784,L784),0),2)</f>
        <v>0</v>
      </c>
      <c r="O784" s="72">
        <f t="shared" ref="O784:O789" si="1459">+ROUND(IF(C784=12,PRODUCT(E784,F784,G784,L784),0),2)</f>
        <v>0</v>
      </c>
      <c r="P784" s="72">
        <f t="shared" ref="P784:P789" si="1460">+ROUND(IF(C784=16,PRODUCT(E784,F784,G784,L784),0),2)</f>
        <v>0</v>
      </c>
      <c r="Q784" s="72">
        <f t="shared" ref="Q784:Q789" si="1461">+ROUND(IF(C784=20,PRODUCT(E784,F784,G784,L784),0),2)</f>
        <v>0</v>
      </c>
      <c r="R784" s="72">
        <f t="shared" ref="R784:R789" si="1462">+ROUND(IF(C784=25,PRODUCT(E784,F784,G784,L784),0),2)</f>
        <v>0</v>
      </c>
    </row>
    <row r="785" spans="1:18" x14ac:dyDescent="0.25">
      <c r="A785" s="26"/>
      <c r="B785" s="104" t="s">
        <v>768</v>
      </c>
      <c r="C785" s="15">
        <v>8</v>
      </c>
      <c r="D785" s="16">
        <v>200</v>
      </c>
      <c r="E785" s="15">
        <v>2</v>
      </c>
      <c r="F785" s="11">
        <v>1</v>
      </c>
      <c r="G785" s="11">
        <f>+ROUND(2.43/(D785/1000)+1,0)</f>
        <v>13</v>
      </c>
      <c r="H785" s="95"/>
      <c r="I785" s="95">
        <f>0.175+1.41+0.175</f>
        <v>1.76</v>
      </c>
      <c r="J785" s="100"/>
      <c r="K785" s="47"/>
      <c r="L785" s="72">
        <f>SUM(H785:J785)+K785</f>
        <v>1.76</v>
      </c>
      <c r="M785" s="72">
        <f t="shared" si="1457"/>
        <v>45.76</v>
      </c>
      <c r="N785" s="72">
        <f t="shared" si="1458"/>
        <v>0</v>
      </c>
      <c r="O785" s="72">
        <f t="shared" si="1459"/>
        <v>0</v>
      </c>
      <c r="P785" s="72">
        <f t="shared" si="1460"/>
        <v>0</v>
      </c>
      <c r="Q785" s="72">
        <f t="shared" si="1461"/>
        <v>0</v>
      </c>
      <c r="R785" s="72">
        <f t="shared" si="1462"/>
        <v>0</v>
      </c>
    </row>
    <row r="786" spans="1:18" x14ac:dyDescent="0.25">
      <c r="A786" s="26"/>
      <c r="B786" s="104" t="s">
        <v>521</v>
      </c>
      <c r="C786" s="15">
        <v>8</v>
      </c>
      <c r="D786" s="16">
        <v>200</v>
      </c>
      <c r="E786" s="15">
        <v>2</v>
      </c>
      <c r="F786" s="11">
        <v>1</v>
      </c>
      <c r="G786" s="11">
        <f>+ROUND(1.41/(D786/1000)+1,0)</f>
        <v>8</v>
      </c>
      <c r="H786" s="95"/>
      <c r="I786" s="95">
        <f>0.175+2.43+0.175</f>
        <v>2.78</v>
      </c>
      <c r="J786" s="100"/>
      <c r="K786" s="47"/>
      <c r="L786" s="72">
        <f>SUM(H786:J786)+K786</f>
        <v>2.78</v>
      </c>
      <c r="M786" s="72">
        <f t="shared" ref="M786" si="1463">+ROUND(IF(C786=8,PRODUCT(E786,F786,G786,L786),0),2)</f>
        <v>44.48</v>
      </c>
      <c r="N786" s="72">
        <f t="shared" ref="N786" si="1464">+ROUND(IF(C786=10,PRODUCT(E786,F786,G786,L786),0),2)</f>
        <v>0</v>
      </c>
      <c r="O786" s="72">
        <f t="shared" ref="O786" si="1465">+ROUND(IF(C786=12,PRODUCT(E786,F786,G786,L786),0),2)</f>
        <v>0</v>
      </c>
      <c r="P786" s="72">
        <f t="shared" ref="P786" si="1466">+ROUND(IF(C786=16,PRODUCT(E786,F786,G786,L786),0),2)</f>
        <v>0</v>
      </c>
      <c r="Q786" s="72">
        <f t="shared" ref="Q786" si="1467">+ROUND(IF(C786=20,PRODUCT(E786,F786,G786,L786),0),2)</f>
        <v>0</v>
      </c>
      <c r="R786" s="72">
        <f t="shared" ref="R786" si="1468">+ROUND(IF(C786=25,PRODUCT(E786,F786,G786,L786),0),2)</f>
        <v>0</v>
      </c>
    </row>
    <row r="787" spans="1:18" x14ac:dyDescent="0.25">
      <c r="A787" s="26"/>
      <c r="B787" s="104" t="s">
        <v>512</v>
      </c>
      <c r="C787" s="15">
        <v>8</v>
      </c>
      <c r="D787" s="16">
        <v>200</v>
      </c>
      <c r="E787" s="15">
        <v>2</v>
      </c>
      <c r="F787" s="11">
        <v>1</v>
      </c>
      <c r="G787" s="11">
        <f>+ROUND(1.41/(D787/1000)+1,0)</f>
        <v>8</v>
      </c>
      <c r="H787" s="95">
        <v>0.1</v>
      </c>
      <c r="I787" s="95">
        <f>0.175+0.45</f>
        <v>0.625</v>
      </c>
      <c r="J787" s="100"/>
      <c r="K787" s="22"/>
      <c r="L787" s="72">
        <f t="shared" ref="L787" si="1469">SUM(H787:J787)+K787</f>
        <v>0.72499999999999998</v>
      </c>
      <c r="M787" s="72">
        <f t="shared" si="1457"/>
        <v>11.6</v>
      </c>
      <c r="N787" s="72">
        <f t="shared" si="1458"/>
        <v>0</v>
      </c>
      <c r="O787" s="72">
        <f t="shared" si="1459"/>
        <v>0</v>
      </c>
      <c r="P787" s="72">
        <f t="shared" si="1460"/>
        <v>0</v>
      </c>
      <c r="Q787" s="72">
        <f t="shared" si="1461"/>
        <v>0</v>
      </c>
      <c r="R787" s="72">
        <f t="shared" si="1462"/>
        <v>0</v>
      </c>
    </row>
    <row r="788" spans="1:18" x14ac:dyDescent="0.25">
      <c r="A788" s="26"/>
      <c r="B788" s="104" t="s">
        <v>512</v>
      </c>
      <c r="C788" s="15">
        <v>8</v>
      </c>
      <c r="D788" s="16">
        <v>200</v>
      </c>
      <c r="E788" s="15">
        <v>2</v>
      </c>
      <c r="F788" s="11">
        <v>1</v>
      </c>
      <c r="G788" s="11">
        <f>+ROUND(2.43/(D788/1000)+1,0)</f>
        <v>13</v>
      </c>
      <c r="H788" s="95">
        <v>0.1</v>
      </c>
      <c r="I788" s="95">
        <f>0.45+0.175</f>
        <v>0.625</v>
      </c>
      <c r="J788" s="100"/>
      <c r="K788" s="22"/>
      <c r="L788" s="72">
        <f>SUM(H788:J788)+K788</f>
        <v>0.72499999999999998</v>
      </c>
      <c r="M788" s="72">
        <f t="shared" si="1457"/>
        <v>18.850000000000001</v>
      </c>
      <c r="N788" s="72">
        <f t="shared" si="1458"/>
        <v>0</v>
      </c>
      <c r="O788" s="72">
        <f t="shared" si="1459"/>
        <v>0</v>
      </c>
      <c r="P788" s="72">
        <f t="shared" si="1460"/>
        <v>0</v>
      </c>
      <c r="Q788" s="72">
        <f t="shared" si="1461"/>
        <v>0</v>
      </c>
      <c r="R788" s="72">
        <f t="shared" si="1462"/>
        <v>0</v>
      </c>
    </row>
    <row r="789" spans="1:18" x14ac:dyDescent="0.25">
      <c r="A789" s="26"/>
      <c r="B789" s="104" t="s">
        <v>512</v>
      </c>
      <c r="C789" s="15">
        <v>8</v>
      </c>
      <c r="D789" s="16">
        <v>200</v>
      </c>
      <c r="E789" s="15">
        <v>2</v>
      </c>
      <c r="F789" s="11">
        <v>1</v>
      </c>
      <c r="G789" s="11">
        <f>+ROUND(2.43/(D789/1000)+1,0)</f>
        <v>13</v>
      </c>
      <c r="H789" s="95"/>
      <c r="I789" s="95">
        <f>0.1+0.5</f>
        <v>0.6</v>
      </c>
      <c r="J789" s="100"/>
      <c r="K789" s="22"/>
      <c r="L789" s="72">
        <f t="shared" ref="L789" si="1470">SUM(H789:J789)+K789</f>
        <v>0.6</v>
      </c>
      <c r="M789" s="72">
        <f t="shared" si="1457"/>
        <v>15.6</v>
      </c>
      <c r="N789" s="72">
        <f t="shared" si="1458"/>
        <v>0</v>
      </c>
      <c r="O789" s="72">
        <f t="shared" si="1459"/>
        <v>0</v>
      </c>
      <c r="P789" s="72">
        <f t="shared" si="1460"/>
        <v>0</v>
      </c>
      <c r="Q789" s="72">
        <f t="shared" si="1461"/>
        <v>0</v>
      </c>
      <c r="R789" s="72">
        <f t="shared" si="1462"/>
        <v>0</v>
      </c>
    </row>
    <row r="790" spans="1:18" x14ac:dyDescent="0.25">
      <c r="A790" s="26"/>
      <c r="B790" s="104" t="s">
        <v>512</v>
      </c>
      <c r="C790" s="15">
        <v>8</v>
      </c>
      <c r="D790" s="16">
        <v>200</v>
      </c>
      <c r="E790" s="15">
        <v>2</v>
      </c>
      <c r="F790" s="11">
        <v>1</v>
      </c>
      <c r="G790" s="11">
        <f>+ROUND(1.41/(D790/1000)+1,0)</f>
        <v>8</v>
      </c>
      <c r="H790" s="95"/>
      <c r="I790" s="95">
        <f>0.1+0.8</f>
        <v>0.9</v>
      </c>
      <c r="J790" s="100"/>
      <c r="K790" s="22"/>
      <c r="L790" s="72">
        <f t="shared" ref="L790" si="1471">SUM(H790:J790)+K790</f>
        <v>0.9</v>
      </c>
      <c r="M790" s="72">
        <f t="shared" ref="M790" si="1472">+ROUND(IF(C790=8,PRODUCT(E790,F790,G790,L790),0),2)</f>
        <v>14.4</v>
      </c>
      <c r="N790" s="72">
        <f t="shared" ref="N790" si="1473">+ROUND(IF(C790=10,PRODUCT(E790,F790,G790,L790),0),2)</f>
        <v>0</v>
      </c>
      <c r="O790" s="72">
        <f t="shared" ref="O790" si="1474">+ROUND(IF(C790=12,PRODUCT(E790,F790,G790,L790),0),2)</f>
        <v>0</v>
      </c>
      <c r="P790" s="72">
        <f t="shared" ref="P790" si="1475">+ROUND(IF(C790=16,PRODUCT(E790,F790,G790,L790),0),2)</f>
        <v>0</v>
      </c>
      <c r="Q790" s="72">
        <f t="shared" ref="Q790" si="1476">+ROUND(IF(C790=20,PRODUCT(E790,F790,G790,L790),0),2)</f>
        <v>0</v>
      </c>
      <c r="R790" s="72">
        <f t="shared" ref="R790" si="1477">+ROUND(IF(C790=25,PRODUCT(E790,F790,G790,L790),0),2)</f>
        <v>0</v>
      </c>
    </row>
    <row r="791" spans="1:18" x14ac:dyDescent="0.25">
      <c r="A791" s="26"/>
      <c r="B791" s="104" t="s">
        <v>759</v>
      </c>
      <c r="C791" s="15">
        <v>8</v>
      </c>
      <c r="D791" s="16">
        <v>200</v>
      </c>
      <c r="E791" s="15">
        <v>2</v>
      </c>
      <c r="F791" s="11">
        <v>1</v>
      </c>
      <c r="G791" s="11">
        <f>+ROUND(0.45/(D791/1000)+1,0)</f>
        <v>3</v>
      </c>
      <c r="H791" s="95">
        <v>0.2</v>
      </c>
      <c r="I791" s="95">
        <v>1.41</v>
      </c>
      <c r="J791" s="100"/>
      <c r="K791" s="22"/>
      <c r="L791" s="72">
        <f t="shared" ref="L791" si="1478">SUM(H791:J791)+K791</f>
        <v>1.6099999999999999</v>
      </c>
      <c r="M791" s="72">
        <f t="shared" ref="M791" si="1479">+ROUND(IF(C791=8,PRODUCT(E791,F791,G791,L791),0),2)</f>
        <v>9.66</v>
      </c>
      <c r="N791" s="72">
        <f t="shared" ref="N791" si="1480">+ROUND(IF(C791=10,PRODUCT(E791,F791,G791,L791),0),2)</f>
        <v>0</v>
      </c>
      <c r="O791" s="72">
        <f t="shared" ref="O791" si="1481">+ROUND(IF(C791=12,PRODUCT(E791,F791,G791,L791),0),2)</f>
        <v>0</v>
      </c>
      <c r="P791" s="72">
        <f t="shared" ref="P791" si="1482">+ROUND(IF(C791=16,PRODUCT(E791,F791,G791,L791),0),2)</f>
        <v>0</v>
      </c>
      <c r="Q791" s="72">
        <f t="shared" ref="Q791" si="1483">+ROUND(IF(C791=20,PRODUCT(E791,F791,G791,L791),0),2)</f>
        <v>0</v>
      </c>
      <c r="R791" s="72">
        <f t="shared" ref="R791" si="1484">+ROUND(IF(C791=25,PRODUCT(E791,F791,G791,L791),0),2)</f>
        <v>0</v>
      </c>
    </row>
    <row r="792" spans="1:18" x14ac:dyDescent="0.25">
      <c r="A792" s="26"/>
      <c r="B792" s="104" t="s">
        <v>759</v>
      </c>
      <c r="C792" s="15">
        <v>8</v>
      </c>
      <c r="D792" s="16">
        <v>200</v>
      </c>
      <c r="E792" s="15">
        <v>2</v>
      </c>
      <c r="F792" s="11">
        <v>1</v>
      </c>
      <c r="G792" s="11">
        <f>+ROUND(0.8/(D792/1000)+1,0)</f>
        <v>5</v>
      </c>
      <c r="H792" s="95">
        <v>0.2</v>
      </c>
      <c r="I792" s="95">
        <v>1.41</v>
      </c>
      <c r="J792" s="100"/>
      <c r="K792" s="22"/>
      <c r="L792" s="72">
        <f t="shared" ref="L792" si="1485">SUM(H792:J792)+K792</f>
        <v>1.6099999999999999</v>
      </c>
      <c r="M792" s="72">
        <f t="shared" ref="M792" si="1486">+ROUND(IF(C792=8,PRODUCT(E792,F792,G792,L792),0),2)</f>
        <v>16.100000000000001</v>
      </c>
      <c r="N792" s="72">
        <f t="shared" ref="N792" si="1487">+ROUND(IF(C792=10,PRODUCT(E792,F792,G792,L792),0),2)</f>
        <v>0</v>
      </c>
      <c r="O792" s="72">
        <f t="shared" ref="O792" si="1488">+ROUND(IF(C792=12,PRODUCT(E792,F792,G792,L792),0),2)</f>
        <v>0</v>
      </c>
      <c r="P792" s="72">
        <f t="shared" ref="P792" si="1489">+ROUND(IF(C792=16,PRODUCT(E792,F792,G792,L792),0),2)</f>
        <v>0</v>
      </c>
      <c r="Q792" s="72">
        <f t="shared" ref="Q792" si="1490">+ROUND(IF(C792=20,PRODUCT(E792,F792,G792,L792),0),2)</f>
        <v>0</v>
      </c>
      <c r="R792" s="72">
        <f t="shared" ref="R792" si="1491">+ROUND(IF(C792=25,PRODUCT(E792,F792,G792,L792),0),2)</f>
        <v>0</v>
      </c>
    </row>
    <row r="793" spans="1:18" x14ac:dyDescent="0.25">
      <c r="A793" s="26"/>
      <c r="B793" s="104" t="s">
        <v>759</v>
      </c>
      <c r="C793" s="15">
        <v>8</v>
      </c>
      <c r="D793" s="16">
        <v>200</v>
      </c>
      <c r="E793" s="15">
        <v>2</v>
      </c>
      <c r="F793" s="11">
        <v>1</v>
      </c>
      <c r="G793" s="11">
        <f>+ROUND(0.5/(D793/1000)+1,0)</f>
        <v>4</v>
      </c>
      <c r="H793" s="95">
        <v>0.2</v>
      </c>
      <c r="I793" s="95">
        <v>2.4300000000000002</v>
      </c>
      <c r="J793" s="100"/>
      <c r="K793" s="22"/>
      <c r="L793" s="72">
        <f t="shared" ref="L793" si="1492">SUM(H793:J793)+K793</f>
        <v>2.6300000000000003</v>
      </c>
      <c r="M793" s="72">
        <f t="shared" ref="M793" si="1493">+ROUND(IF(C793=8,PRODUCT(E793,F793,G793,L793),0),2)</f>
        <v>21.04</v>
      </c>
      <c r="N793" s="72">
        <f t="shared" ref="N793" si="1494">+ROUND(IF(C793=10,PRODUCT(E793,F793,G793,L793),0),2)</f>
        <v>0</v>
      </c>
      <c r="O793" s="72">
        <f t="shared" ref="O793" si="1495">+ROUND(IF(C793=12,PRODUCT(E793,F793,G793,L793),0),2)</f>
        <v>0</v>
      </c>
      <c r="P793" s="72">
        <f t="shared" ref="P793" si="1496">+ROUND(IF(C793=16,PRODUCT(E793,F793,G793,L793),0),2)</f>
        <v>0</v>
      </c>
      <c r="Q793" s="72">
        <f t="shared" ref="Q793" si="1497">+ROUND(IF(C793=20,PRODUCT(E793,F793,G793,L793),0),2)</f>
        <v>0</v>
      </c>
      <c r="R793" s="72">
        <f t="shared" ref="R793" si="1498">+ROUND(IF(C793=25,PRODUCT(E793,F793,G793,L793),0),2)</f>
        <v>0</v>
      </c>
    </row>
    <row r="794" spans="1:18" x14ac:dyDescent="0.25">
      <c r="A794" s="26"/>
      <c r="B794" s="104" t="s">
        <v>759</v>
      </c>
      <c r="C794" s="15">
        <v>8</v>
      </c>
      <c r="D794" s="16">
        <v>200</v>
      </c>
      <c r="E794" s="15">
        <v>2</v>
      </c>
      <c r="F794" s="11">
        <v>1</v>
      </c>
      <c r="G794" s="11">
        <f>+ROUND(0.45/(D794/1000)+1,0)</f>
        <v>3</v>
      </c>
      <c r="H794" s="95">
        <v>0.2</v>
      </c>
      <c r="I794" s="95">
        <v>2.4300000000000002</v>
      </c>
      <c r="J794" s="100"/>
      <c r="K794" s="22"/>
      <c r="L794" s="72">
        <f t="shared" ref="L794" si="1499">SUM(H794:J794)+K794</f>
        <v>2.6300000000000003</v>
      </c>
      <c r="M794" s="72">
        <f t="shared" ref="M794" si="1500">+ROUND(IF(C794=8,PRODUCT(E794,F794,G794,L794),0),2)</f>
        <v>15.78</v>
      </c>
      <c r="N794" s="72">
        <f t="shared" ref="N794" si="1501">+ROUND(IF(C794=10,PRODUCT(E794,F794,G794,L794),0),2)</f>
        <v>0</v>
      </c>
      <c r="O794" s="72">
        <f t="shared" ref="O794" si="1502">+ROUND(IF(C794=12,PRODUCT(E794,F794,G794,L794),0),2)</f>
        <v>0</v>
      </c>
      <c r="P794" s="72">
        <f t="shared" ref="P794" si="1503">+ROUND(IF(C794=16,PRODUCT(E794,F794,G794,L794),0),2)</f>
        <v>0</v>
      </c>
      <c r="Q794" s="72">
        <f t="shared" ref="Q794" si="1504">+ROUND(IF(C794=20,PRODUCT(E794,F794,G794,L794),0),2)</f>
        <v>0</v>
      </c>
      <c r="R794" s="72">
        <f t="shared" ref="R794" si="1505">+ROUND(IF(C794=25,PRODUCT(E794,F794,G794,L794),0),2)</f>
        <v>0</v>
      </c>
    </row>
    <row r="795" spans="1:18" x14ac:dyDescent="0.25">
      <c r="A795" s="26"/>
      <c r="B795" s="25"/>
      <c r="C795" s="15"/>
      <c r="D795" s="16"/>
      <c r="E795" s="15"/>
      <c r="F795" s="11"/>
      <c r="G795" s="11"/>
      <c r="H795" s="95"/>
      <c r="I795" s="95"/>
      <c r="J795" s="100"/>
      <c r="K795" s="22"/>
      <c r="L795" s="72"/>
      <c r="M795" s="72"/>
      <c r="N795" s="72"/>
      <c r="O795" s="72"/>
      <c r="P795" s="72"/>
      <c r="Q795" s="72"/>
      <c r="R795" s="72"/>
    </row>
    <row r="796" spans="1:18" x14ac:dyDescent="0.25">
      <c r="A796" s="26"/>
      <c r="B796" s="45" t="s">
        <v>792</v>
      </c>
      <c r="C796" s="15"/>
      <c r="D796" s="16"/>
      <c r="E796" s="15"/>
      <c r="F796" s="11"/>
      <c r="G796" s="11"/>
      <c r="H796" s="95"/>
      <c r="I796" s="95"/>
      <c r="J796" s="100"/>
      <c r="K796" s="22"/>
      <c r="L796" s="72"/>
      <c r="M796" s="72">
        <f t="shared" ref="M796:M806" si="1506">+ROUND(IF(C796=8,PRODUCT(E796,F796,G796,L796),0),2)</f>
        <v>0</v>
      </c>
      <c r="N796" s="72">
        <f t="shared" ref="N796:N806" si="1507">+ROUND(IF(C796=10,PRODUCT(E796,F796,G796,L796),0),2)</f>
        <v>0</v>
      </c>
      <c r="O796" s="72">
        <f t="shared" ref="O796:O806" si="1508">+ROUND(IF(C796=12,PRODUCT(E796,F796,G796,L796),0),2)</f>
        <v>0</v>
      </c>
      <c r="P796" s="72">
        <f t="shared" ref="P796:P806" si="1509">+ROUND(IF(C796=16,PRODUCT(E796,F796,G796,L796),0),2)</f>
        <v>0</v>
      </c>
      <c r="Q796" s="72">
        <f t="shared" ref="Q796:Q806" si="1510">+ROUND(IF(C796=20,PRODUCT(E796,F796,G796,L796),0),2)</f>
        <v>0</v>
      </c>
      <c r="R796" s="72">
        <f t="shared" ref="R796:R806" si="1511">+ROUND(IF(C796=25,PRODUCT(E796,F796,G796,L796),0),2)</f>
        <v>0</v>
      </c>
    </row>
    <row r="797" spans="1:18" x14ac:dyDescent="0.25">
      <c r="A797" s="26"/>
      <c r="B797" s="104" t="s">
        <v>768</v>
      </c>
      <c r="C797" s="15">
        <v>8</v>
      </c>
      <c r="D797" s="16">
        <v>200</v>
      </c>
      <c r="E797" s="15">
        <v>2</v>
      </c>
      <c r="F797" s="11">
        <v>1</v>
      </c>
      <c r="G797" s="11">
        <f>+ROUND(2.41/(D797/1000)+1,0)</f>
        <v>13</v>
      </c>
      <c r="H797" s="95"/>
      <c r="I797" s="95">
        <f>0.175+1.54+0.175</f>
        <v>1.8900000000000001</v>
      </c>
      <c r="J797" s="100"/>
      <c r="K797" s="47"/>
      <c r="L797" s="72">
        <f>SUM(H797:J797)+K797</f>
        <v>1.8900000000000001</v>
      </c>
      <c r="M797" s="72">
        <f t="shared" si="1506"/>
        <v>49.14</v>
      </c>
      <c r="N797" s="72">
        <f t="shared" si="1507"/>
        <v>0</v>
      </c>
      <c r="O797" s="72">
        <f t="shared" si="1508"/>
        <v>0</v>
      </c>
      <c r="P797" s="72">
        <f t="shared" si="1509"/>
        <v>0</v>
      </c>
      <c r="Q797" s="72">
        <f t="shared" si="1510"/>
        <v>0</v>
      </c>
      <c r="R797" s="72">
        <f t="shared" si="1511"/>
        <v>0</v>
      </c>
    </row>
    <row r="798" spans="1:18" x14ac:dyDescent="0.25">
      <c r="A798" s="26"/>
      <c r="B798" s="104" t="s">
        <v>521</v>
      </c>
      <c r="C798" s="15">
        <v>8</v>
      </c>
      <c r="D798" s="16">
        <v>200</v>
      </c>
      <c r="E798" s="15">
        <v>2</v>
      </c>
      <c r="F798" s="11">
        <v>1</v>
      </c>
      <c r="G798" s="11">
        <f>+ROUND(1.54/(D798/1000)+1,0)</f>
        <v>9</v>
      </c>
      <c r="H798" s="95"/>
      <c r="I798" s="95">
        <f>0.175+2.41+0.175</f>
        <v>2.76</v>
      </c>
      <c r="J798" s="100"/>
      <c r="K798" s="47"/>
      <c r="L798" s="72">
        <f>SUM(H798:J798)+K798</f>
        <v>2.76</v>
      </c>
      <c r="M798" s="72">
        <f t="shared" si="1506"/>
        <v>49.68</v>
      </c>
      <c r="N798" s="72">
        <f t="shared" si="1507"/>
        <v>0</v>
      </c>
      <c r="O798" s="72">
        <f t="shared" si="1508"/>
        <v>0</v>
      </c>
      <c r="P798" s="72">
        <f t="shared" si="1509"/>
        <v>0</v>
      </c>
      <c r="Q798" s="72">
        <f t="shared" si="1510"/>
        <v>0</v>
      </c>
      <c r="R798" s="72">
        <f t="shared" si="1511"/>
        <v>0</v>
      </c>
    </row>
    <row r="799" spans="1:18" x14ac:dyDescent="0.25">
      <c r="A799" s="26"/>
      <c r="B799" s="104" t="s">
        <v>512</v>
      </c>
      <c r="C799" s="15">
        <v>8</v>
      </c>
      <c r="D799" s="16">
        <v>200</v>
      </c>
      <c r="E799" s="15">
        <v>2</v>
      </c>
      <c r="F799" s="11">
        <v>1</v>
      </c>
      <c r="G799" s="11">
        <f>+ROUND(1.54/(D799/1000)+1,0)</f>
        <v>9</v>
      </c>
      <c r="H799" s="95">
        <v>0.1</v>
      </c>
      <c r="I799" s="95">
        <f>0.175+0.45</f>
        <v>0.625</v>
      </c>
      <c r="J799" s="100"/>
      <c r="K799" s="22"/>
      <c r="L799" s="72">
        <f t="shared" ref="L799" si="1512">SUM(H799:J799)+K799</f>
        <v>0.72499999999999998</v>
      </c>
      <c r="M799" s="72">
        <f t="shared" si="1506"/>
        <v>13.05</v>
      </c>
      <c r="N799" s="72">
        <f t="shared" si="1507"/>
        <v>0</v>
      </c>
      <c r="O799" s="72">
        <f t="shared" si="1508"/>
        <v>0</v>
      </c>
      <c r="P799" s="72">
        <f t="shared" si="1509"/>
        <v>0</v>
      </c>
      <c r="Q799" s="72">
        <f t="shared" si="1510"/>
        <v>0</v>
      </c>
      <c r="R799" s="72">
        <f t="shared" si="1511"/>
        <v>0</v>
      </c>
    </row>
    <row r="800" spans="1:18" x14ac:dyDescent="0.25">
      <c r="A800" s="26"/>
      <c r="B800" s="104" t="s">
        <v>512</v>
      </c>
      <c r="C800" s="15">
        <v>8</v>
      </c>
      <c r="D800" s="16">
        <v>200</v>
      </c>
      <c r="E800" s="15">
        <v>2</v>
      </c>
      <c r="F800" s="11">
        <v>1</v>
      </c>
      <c r="G800" s="11">
        <f>+ROUND(1.54/(D800/1000)+1,0)</f>
        <v>9</v>
      </c>
      <c r="H800" s="95">
        <v>0.1</v>
      </c>
      <c r="I800" s="95">
        <f>0.45+0.175</f>
        <v>0.625</v>
      </c>
      <c r="J800" s="100"/>
      <c r="K800" s="22"/>
      <c r="L800" s="72">
        <f>SUM(H800:J800)+K800</f>
        <v>0.72499999999999998</v>
      </c>
      <c r="M800" s="72">
        <f t="shared" si="1506"/>
        <v>13.05</v>
      </c>
      <c r="N800" s="72">
        <f t="shared" si="1507"/>
        <v>0</v>
      </c>
      <c r="O800" s="72">
        <f t="shared" si="1508"/>
        <v>0</v>
      </c>
      <c r="P800" s="72">
        <f t="shared" si="1509"/>
        <v>0</v>
      </c>
      <c r="Q800" s="72">
        <f t="shared" si="1510"/>
        <v>0</v>
      </c>
      <c r="R800" s="72">
        <f t="shared" si="1511"/>
        <v>0</v>
      </c>
    </row>
    <row r="801" spans="1:18" x14ac:dyDescent="0.25">
      <c r="A801" s="26"/>
      <c r="B801" s="104" t="s">
        <v>512</v>
      </c>
      <c r="C801" s="15">
        <v>8</v>
      </c>
      <c r="D801" s="16">
        <v>200</v>
      </c>
      <c r="E801" s="15">
        <v>2</v>
      </c>
      <c r="F801" s="11">
        <v>1</v>
      </c>
      <c r="G801" s="11">
        <f>+ROUND(2.41/(D801/1000)+1,0)</f>
        <v>13</v>
      </c>
      <c r="H801" s="95">
        <v>0.1</v>
      </c>
      <c r="I801" s="95">
        <f>0.1+0.45</f>
        <v>0.55000000000000004</v>
      </c>
      <c r="J801" s="100"/>
      <c r="K801" s="22"/>
      <c r="L801" s="72">
        <f t="shared" ref="L801:L806" si="1513">SUM(H801:J801)+K801</f>
        <v>0.65</v>
      </c>
      <c r="M801" s="72">
        <f t="shared" si="1506"/>
        <v>16.899999999999999</v>
      </c>
      <c r="N801" s="72">
        <f t="shared" si="1507"/>
        <v>0</v>
      </c>
      <c r="O801" s="72">
        <f t="shared" si="1508"/>
        <v>0</v>
      </c>
      <c r="P801" s="72">
        <f t="shared" si="1509"/>
        <v>0</v>
      </c>
      <c r="Q801" s="72">
        <f t="shared" si="1510"/>
        <v>0</v>
      </c>
      <c r="R801" s="72">
        <f t="shared" si="1511"/>
        <v>0</v>
      </c>
    </row>
    <row r="802" spans="1:18" x14ac:dyDescent="0.25">
      <c r="A802" s="26"/>
      <c r="B802" s="104" t="s">
        <v>512</v>
      </c>
      <c r="C802" s="15">
        <v>8</v>
      </c>
      <c r="D802" s="16">
        <v>200</v>
      </c>
      <c r="E802" s="15">
        <v>2</v>
      </c>
      <c r="F802" s="11">
        <v>1</v>
      </c>
      <c r="G802" s="11">
        <f>+ROUND(2.41/(D802/1000)+1,0)</f>
        <v>13</v>
      </c>
      <c r="H802" s="95">
        <v>0.1</v>
      </c>
      <c r="I802" s="95">
        <f>0.1+0.45</f>
        <v>0.55000000000000004</v>
      </c>
      <c r="J802" s="100"/>
      <c r="K802" s="22"/>
      <c r="L802" s="72">
        <f t="shared" si="1513"/>
        <v>0.65</v>
      </c>
      <c r="M802" s="72">
        <f t="shared" si="1506"/>
        <v>16.899999999999999</v>
      </c>
      <c r="N802" s="72">
        <f t="shared" si="1507"/>
        <v>0</v>
      </c>
      <c r="O802" s="72">
        <f t="shared" si="1508"/>
        <v>0</v>
      </c>
      <c r="P802" s="72">
        <f t="shared" si="1509"/>
        <v>0</v>
      </c>
      <c r="Q802" s="72">
        <f t="shared" si="1510"/>
        <v>0</v>
      </c>
      <c r="R802" s="72">
        <f t="shared" si="1511"/>
        <v>0</v>
      </c>
    </row>
    <row r="803" spans="1:18" x14ac:dyDescent="0.25">
      <c r="A803" s="26"/>
      <c r="B803" s="104" t="s">
        <v>759</v>
      </c>
      <c r="C803" s="15">
        <v>8</v>
      </c>
      <c r="D803" s="16">
        <v>200</v>
      </c>
      <c r="E803" s="15">
        <v>2</v>
      </c>
      <c r="F803" s="11">
        <v>1</v>
      </c>
      <c r="G803" s="11">
        <f>+ROUND(0.45/(D803/1000)+1,0)</f>
        <v>3</v>
      </c>
      <c r="H803" s="95">
        <v>0.2</v>
      </c>
      <c r="I803" s="95">
        <v>1.54</v>
      </c>
      <c r="J803" s="100"/>
      <c r="K803" s="22"/>
      <c r="L803" s="72">
        <f t="shared" si="1513"/>
        <v>1.74</v>
      </c>
      <c r="M803" s="72">
        <f t="shared" si="1506"/>
        <v>10.44</v>
      </c>
      <c r="N803" s="72">
        <f t="shared" si="1507"/>
        <v>0</v>
      </c>
      <c r="O803" s="72">
        <f t="shared" si="1508"/>
        <v>0</v>
      </c>
      <c r="P803" s="72">
        <f t="shared" si="1509"/>
        <v>0</v>
      </c>
      <c r="Q803" s="72">
        <f t="shared" si="1510"/>
        <v>0</v>
      </c>
      <c r="R803" s="72">
        <f t="shared" si="1511"/>
        <v>0</v>
      </c>
    </row>
    <row r="804" spans="1:18" x14ac:dyDescent="0.25">
      <c r="A804" s="26"/>
      <c r="B804" s="104" t="s">
        <v>759</v>
      </c>
      <c r="C804" s="15">
        <v>8</v>
      </c>
      <c r="D804" s="16">
        <v>200</v>
      </c>
      <c r="E804" s="15">
        <v>2</v>
      </c>
      <c r="F804" s="11">
        <v>1</v>
      </c>
      <c r="G804" s="11">
        <f t="shared" ref="G804:G806" si="1514">+ROUND(0.45/(D804/1000)+1,0)</f>
        <v>3</v>
      </c>
      <c r="H804" s="95">
        <v>0.2</v>
      </c>
      <c r="I804" s="95">
        <v>1.54</v>
      </c>
      <c r="J804" s="100"/>
      <c r="K804" s="22"/>
      <c r="L804" s="72">
        <f t="shared" si="1513"/>
        <v>1.74</v>
      </c>
      <c r="M804" s="72">
        <f t="shared" si="1506"/>
        <v>10.44</v>
      </c>
      <c r="N804" s="72">
        <f t="shared" si="1507"/>
        <v>0</v>
      </c>
      <c r="O804" s="72">
        <f t="shared" si="1508"/>
        <v>0</v>
      </c>
      <c r="P804" s="72">
        <f t="shared" si="1509"/>
        <v>0</v>
      </c>
      <c r="Q804" s="72">
        <f t="shared" si="1510"/>
        <v>0</v>
      </c>
      <c r="R804" s="72">
        <f t="shared" si="1511"/>
        <v>0</v>
      </c>
    </row>
    <row r="805" spans="1:18" x14ac:dyDescent="0.25">
      <c r="A805" s="26"/>
      <c r="B805" s="104" t="s">
        <v>759</v>
      </c>
      <c r="C805" s="15">
        <v>8</v>
      </c>
      <c r="D805" s="16">
        <v>200</v>
      </c>
      <c r="E805" s="15">
        <v>2</v>
      </c>
      <c r="F805" s="11">
        <v>1</v>
      </c>
      <c r="G805" s="11">
        <f t="shared" si="1514"/>
        <v>3</v>
      </c>
      <c r="H805" s="95">
        <v>0.2</v>
      </c>
      <c r="I805" s="95">
        <v>2.41</v>
      </c>
      <c r="J805" s="100"/>
      <c r="K805" s="22"/>
      <c r="L805" s="72">
        <f t="shared" si="1513"/>
        <v>2.6100000000000003</v>
      </c>
      <c r="M805" s="72">
        <f t="shared" si="1506"/>
        <v>15.66</v>
      </c>
      <c r="N805" s="72">
        <f t="shared" si="1507"/>
        <v>0</v>
      </c>
      <c r="O805" s="72">
        <f t="shared" si="1508"/>
        <v>0</v>
      </c>
      <c r="P805" s="72">
        <f t="shared" si="1509"/>
        <v>0</v>
      </c>
      <c r="Q805" s="72">
        <f t="shared" si="1510"/>
        <v>0</v>
      </c>
      <c r="R805" s="72">
        <f t="shared" si="1511"/>
        <v>0</v>
      </c>
    </row>
    <row r="806" spans="1:18" x14ac:dyDescent="0.25">
      <c r="A806" s="26"/>
      <c r="B806" s="104" t="s">
        <v>759</v>
      </c>
      <c r="C806" s="15">
        <v>8</v>
      </c>
      <c r="D806" s="16">
        <v>200</v>
      </c>
      <c r="E806" s="15">
        <v>2</v>
      </c>
      <c r="F806" s="11">
        <v>1</v>
      </c>
      <c r="G806" s="11">
        <f t="shared" si="1514"/>
        <v>3</v>
      </c>
      <c r="H806" s="95">
        <v>0.2</v>
      </c>
      <c r="I806" s="95">
        <v>2.41</v>
      </c>
      <c r="J806" s="100"/>
      <c r="K806" s="22"/>
      <c r="L806" s="72">
        <f t="shared" si="1513"/>
        <v>2.6100000000000003</v>
      </c>
      <c r="M806" s="72">
        <f t="shared" si="1506"/>
        <v>15.66</v>
      </c>
      <c r="N806" s="72">
        <f t="shared" si="1507"/>
        <v>0</v>
      </c>
      <c r="O806" s="72">
        <f t="shared" si="1508"/>
        <v>0</v>
      </c>
      <c r="P806" s="72">
        <f t="shared" si="1509"/>
        <v>0</v>
      </c>
      <c r="Q806" s="72">
        <f t="shared" si="1510"/>
        <v>0</v>
      </c>
      <c r="R806" s="72">
        <f t="shared" si="1511"/>
        <v>0</v>
      </c>
    </row>
    <row r="807" spans="1:18" x14ac:dyDescent="0.25">
      <c r="A807" s="26"/>
      <c r="B807" s="25"/>
      <c r="C807" s="15"/>
      <c r="D807" s="16"/>
      <c r="E807" s="15"/>
      <c r="F807" s="11"/>
      <c r="G807" s="11"/>
      <c r="H807" s="95"/>
      <c r="I807" s="95"/>
      <c r="J807" s="100"/>
      <c r="K807" s="22"/>
      <c r="L807" s="72"/>
      <c r="M807" s="72"/>
      <c r="N807" s="72"/>
      <c r="O807" s="72"/>
      <c r="P807" s="72"/>
      <c r="Q807" s="72"/>
      <c r="R807" s="72"/>
    </row>
    <row r="808" spans="1:18" x14ac:dyDescent="0.25">
      <c r="A808" s="26"/>
      <c r="B808" s="45" t="s">
        <v>793</v>
      </c>
      <c r="C808" s="15"/>
      <c r="D808" s="16"/>
      <c r="E808" s="15"/>
      <c r="F808" s="11"/>
      <c r="G808" s="11"/>
      <c r="H808" s="95"/>
      <c r="I808" s="95"/>
      <c r="J808" s="100"/>
      <c r="K808" s="22"/>
      <c r="L808" s="72">
        <f t="shared" ref="L808" si="1515">SUM(H808:J808)+K808</f>
        <v>0</v>
      </c>
      <c r="M808" s="72">
        <f t="shared" ref="M808" si="1516">+ROUND(IF(C808=8,PRODUCT(E808,F808,G808,L808),0),2)</f>
        <v>0</v>
      </c>
      <c r="N808" s="72">
        <f t="shared" ref="N808" si="1517">+ROUND(IF(C808=10,PRODUCT(E808,F808,G808,L808),0),2)</f>
        <v>0</v>
      </c>
      <c r="O808" s="72">
        <f t="shared" ref="O808" si="1518">+ROUND(IF(C808=12,PRODUCT(E808,F808,G808,L808),0),2)</f>
        <v>0</v>
      </c>
      <c r="P808" s="72">
        <f t="shared" ref="P808" si="1519">+ROUND(IF(C808=16,PRODUCT(E808,F808,G808,L808),0),2)</f>
        <v>0</v>
      </c>
      <c r="Q808" s="72">
        <f t="shared" ref="Q808" si="1520">+ROUND(IF(C808=20,PRODUCT(E808,F808,G808,L808),0),2)</f>
        <v>0</v>
      </c>
      <c r="R808" s="72">
        <f t="shared" ref="R808" si="1521">+ROUND(IF(C808=25,PRODUCT(E808,F808,G808,L808),0),2)</f>
        <v>0</v>
      </c>
    </row>
    <row r="809" spans="1:18" x14ac:dyDescent="0.25">
      <c r="A809" s="26"/>
      <c r="B809" s="104" t="s">
        <v>771</v>
      </c>
      <c r="C809" s="15">
        <v>10</v>
      </c>
      <c r="D809" s="16">
        <v>150</v>
      </c>
      <c r="E809" s="15">
        <v>2</v>
      </c>
      <c r="F809" s="11">
        <v>1</v>
      </c>
      <c r="G809" s="11">
        <f>+ROUND(3.265/(D809/1000)+1,0)</f>
        <v>23</v>
      </c>
      <c r="H809" s="95">
        <v>0.25</v>
      </c>
      <c r="I809" s="95">
        <v>2.13</v>
      </c>
      <c r="J809" s="100">
        <v>0.4</v>
      </c>
      <c r="K809" s="22"/>
      <c r="L809" s="72">
        <f t="shared" ref="L809:L813" si="1522">SUM(H809:J809)+K809</f>
        <v>2.78</v>
      </c>
      <c r="M809" s="72">
        <f t="shared" ref="M809:M813" si="1523">+ROUND(IF(C809=8,PRODUCT(E809,F809,G809,L809),0),2)</f>
        <v>0</v>
      </c>
      <c r="N809" s="72">
        <f t="shared" ref="N809:N813" si="1524">+ROUND(IF(C809=10,PRODUCT(E809,F809,G809,L809),0),2)</f>
        <v>127.88</v>
      </c>
      <c r="O809" s="72">
        <f t="shared" ref="O809:O813" si="1525">+ROUND(IF(C809=12,PRODUCT(E809,F809,G809,L809),0),2)</f>
        <v>0</v>
      </c>
      <c r="P809" s="72">
        <f t="shared" ref="P809:P813" si="1526">+ROUND(IF(C809=16,PRODUCT(E809,F809,G809,L809),0),2)</f>
        <v>0</v>
      </c>
      <c r="Q809" s="72">
        <f t="shared" ref="Q809:Q813" si="1527">+ROUND(IF(C809=20,PRODUCT(E809,F809,G809,L809),0),2)</f>
        <v>0</v>
      </c>
      <c r="R809" s="72">
        <f t="shared" ref="R809:R813" si="1528">+ROUND(IF(C809=25,PRODUCT(E809,F809,G809,L809),0),2)</f>
        <v>0</v>
      </c>
    </row>
    <row r="810" spans="1:18" x14ac:dyDescent="0.25">
      <c r="A810" s="26"/>
      <c r="B810" s="104" t="s">
        <v>521</v>
      </c>
      <c r="C810" s="15">
        <v>8</v>
      </c>
      <c r="D810" s="16">
        <v>200</v>
      </c>
      <c r="E810" s="15">
        <v>2</v>
      </c>
      <c r="F810" s="11">
        <v>1</v>
      </c>
      <c r="G810" s="11">
        <f>+ROUND(2/(D810/1000)+1,0)</f>
        <v>11</v>
      </c>
      <c r="H810" s="95"/>
      <c r="I810" s="95">
        <f>3.265-0.05</f>
        <v>3.2150000000000003</v>
      </c>
      <c r="J810" s="100"/>
      <c r="K810" s="22"/>
      <c r="L810" s="72">
        <f t="shared" si="1522"/>
        <v>3.2150000000000003</v>
      </c>
      <c r="M810" s="72">
        <f t="shared" si="1523"/>
        <v>70.73</v>
      </c>
      <c r="N810" s="72">
        <f t="shared" si="1524"/>
        <v>0</v>
      </c>
      <c r="O810" s="72">
        <f t="shared" si="1525"/>
        <v>0</v>
      </c>
      <c r="P810" s="72">
        <f t="shared" si="1526"/>
        <v>0</v>
      </c>
      <c r="Q810" s="72">
        <f t="shared" si="1527"/>
        <v>0</v>
      </c>
      <c r="R810" s="72">
        <f t="shared" si="1528"/>
        <v>0</v>
      </c>
    </row>
    <row r="811" spans="1:18" x14ac:dyDescent="0.25">
      <c r="A811" s="26"/>
      <c r="B811" s="104" t="s">
        <v>773</v>
      </c>
      <c r="C811" s="15">
        <v>12</v>
      </c>
      <c r="D811" s="16">
        <v>100</v>
      </c>
      <c r="E811" s="15">
        <v>2</v>
      </c>
      <c r="F811" s="11">
        <v>1</v>
      </c>
      <c r="G811" s="11">
        <f>+ROUND(3.265/(D811/1000)+1,0)/2</f>
        <v>17</v>
      </c>
      <c r="H811" s="95"/>
      <c r="I811" s="95">
        <f>2+2.5-0.025</f>
        <v>4.4749999999999996</v>
      </c>
      <c r="J811" s="100">
        <v>0.1</v>
      </c>
      <c r="K811" s="22"/>
      <c r="L811" s="72">
        <f t="shared" si="1522"/>
        <v>4.5749999999999993</v>
      </c>
      <c r="M811" s="72">
        <f t="shared" si="1523"/>
        <v>0</v>
      </c>
      <c r="N811" s="72">
        <f t="shared" si="1524"/>
        <v>0</v>
      </c>
      <c r="O811" s="72">
        <f t="shared" si="1525"/>
        <v>155.55000000000001</v>
      </c>
      <c r="P811" s="72">
        <f t="shared" si="1526"/>
        <v>0</v>
      </c>
      <c r="Q811" s="72">
        <f t="shared" si="1527"/>
        <v>0</v>
      </c>
      <c r="R811" s="72">
        <f t="shared" si="1528"/>
        <v>0</v>
      </c>
    </row>
    <row r="812" spans="1:18" x14ac:dyDescent="0.25">
      <c r="A812" s="26"/>
      <c r="B812" s="104" t="s">
        <v>773</v>
      </c>
      <c r="C812" s="15">
        <v>10</v>
      </c>
      <c r="D812" s="16">
        <v>100</v>
      </c>
      <c r="E812" s="15">
        <v>2</v>
      </c>
      <c r="F812" s="11">
        <v>1</v>
      </c>
      <c r="G812" s="11">
        <f>+ROUND(3.265/(D812/1000)+1,0)/2</f>
        <v>17</v>
      </c>
      <c r="H812" s="95"/>
      <c r="I812" s="95">
        <f>1.35+0.2+2</f>
        <v>3.55</v>
      </c>
      <c r="J812" s="100"/>
      <c r="K812" s="22"/>
      <c r="L812" s="72">
        <f t="shared" si="1522"/>
        <v>3.55</v>
      </c>
      <c r="M812" s="72">
        <f t="shared" si="1523"/>
        <v>0</v>
      </c>
      <c r="N812" s="72">
        <f t="shared" si="1524"/>
        <v>120.7</v>
      </c>
      <c r="O812" s="72">
        <f t="shared" si="1525"/>
        <v>0</v>
      </c>
      <c r="P812" s="72">
        <f t="shared" si="1526"/>
        <v>0</v>
      </c>
      <c r="Q812" s="72">
        <f t="shared" si="1527"/>
        <v>0</v>
      </c>
      <c r="R812" s="72">
        <f t="shared" si="1528"/>
        <v>0</v>
      </c>
    </row>
    <row r="813" spans="1:18" x14ac:dyDescent="0.25">
      <c r="A813" s="26"/>
      <c r="B813" s="104" t="s">
        <v>774</v>
      </c>
      <c r="C813" s="15">
        <v>8</v>
      </c>
      <c r="D813" s="16">
        <v>200</v>
      </c>
      <c r="E813" s="15">
        <v>2</v>
      </c>
      <c r="F813" s="11">
        <v>2</v>
      </c>
      <c r="G813" s="11">
        <f>+ROUND(2/(D813/1000)+1,0)</f>
        <v>11</v>
      </c>
      <c r="H813" s="95"/>
      <c r="I813" s="95">
        <f>3.265-0.05</f>
        <v>3.2150000000000003</v>
      </c>
      <c r="J813" s="100"/>
      <c r="K813" s="22"/>
      <c r="L813" s="72">
        <f t="shared" si="1522"/>
        <v>3.2150000000000003</v>
      </c>
      <c r="M813" s="72">
        <f t="shared" si="1523"/>
        <v>141.46</v>
      </c>
      <c r="N813" s="72">
        <f t="shared" si="1524"/>
        <v>0</v>
      </c>
      <c r="O813" s="72">
        <f t="shared" si="1525"/>
        <v>0</v>
      </c>
      <c r="P813" s="72">
        <f t="shared" si="1526"/>
        <v>0</v>
      </c>
      <c r="Q813" s="72">
        <f t="shared" si="1527"/>
        <v>0</v>
      </c>
      <c r="R813" s="72">
        <f t="shared" si="1528"/>
        <v>0</v>
      </c>
    </row>
    <row r="814" spans="1:18" x14ac:dyDescent="0.25">
      <c r="A814" s="26"/>
      <c r="B814" s="45"/>
      <c r="C814" s="15"/>
      <c r="D814" s="16"/>
      <c r="E814" s="15"/>
      <c r="F814" s="11"/>
      <c r="G814" s="11"/>
      <c r="H814" s="95"/>
      <c r="I814" s="95"/>
      <c r="J814" s="100"/>
      <c r="K814" s="47"/>
      <c r="L814" s="72"/>
      <c r="M814" s="72"/>
      <c r="N814" s="72"/>
      <c r="O814" s="72"/>
      <c r="P814" s="72"/>
      <c r="Q814" s="72"/>
      <c r="R814" s="72"/>
    </row>
    <row r="815" spans="1:18" x14ac:dyDescent="0.25">
      <c r="A815" s="26"/>
      <c r="B815" s="48" t="s">
        <v>795</v>
      </c>
      <c r="C815" s="15"/>
      <c r="D815" s="16"/>
      <c r="E815" s="15"/>
      <c r="F815" s="11"/>
      <c r="G815" s="11"/>
      <c r="H815" s="95"/>
      <c r="I815" s="95"/>
      <c r="J815" s="100"/>
      <c r="K815" s="22"/>
      <c r="L815" s="72">
        <f>SUM(H815:J815)+K815</f>
        <v>0</v>
      </c>
      <c r="M815" s="72">
        <f t="shared" ref="M815:M829" si="1529">+ROUND(IF(C815=8,PRODUCT(E815,F815,G815,L815),0),2)</f>
        <v>0</v>
      </c>
      <c r="N815" s="72">
        <f t="shared" ref="N815:N829" si="1530">+ROUND(IF(C815=10,PRODUCT(E815,F815,G815,L815),0),2)</f>
        <v>0</v>
      </c>
      <c r="O815" s="72">
        <f t="shared" ref="O815:O829" si="1531">+ROUND(IF(C815=12,PRODUCT(E815,F815,G815,L815),0),2)</f>
        <v>0</v>
      </c>
      <c r="P815" s="72">
        <f t="shared" ref="P815:P829" si="1532">+ROUND(IF(C815=16,PRODUCT(E815,F815,G815,L815),0),2)</f>
        <v>0</v>
      </c>
      <c r="Q815" s="72">
        <f t="shared" ref="Q815:Q829" si="1533">+ROUND(IF(C815=20,PRODUCT(E815,F815,G815,L815),0),2)</f>
        <v>0</v>
      </c>
      <c r="R815" s="72">
        <f t="shared" ref="R815:R829" si="1534">+ROUND(IF(C815=25,PRODUCT(E815,F815,G815,L815),0),2)</f>
        <v>0</v>
      </c>
    </row>
    <row r="816" spans="1:18" x14ac:dyDescent="0.25">
      <c r="A816" s="26"/>
      <c r="B816" s="45" t="s">
        <v>780</v>
      </c>
      <c r="C816" s="15"/>
      <c r="D816" s="16"/>
      <c r="E816" s="15"/>
      <c r="F816" s="11"/>
      <c r="G816" s="11"/>
      <c r="H816" s="95"/>
      <c r="I816" s="95"/>
      <c r="J816" s="100"/>
      <c r="K816" s="22"/>
      <c r="L816" s="72"/>
      <c r="M816" s="72">
        <f t="shared" si="1529"/>
        <v>0</v>
      </c>
      <c r="N816" s="72">
        <f t="shared" si="1530"/>
        <v>0</v>
      </c>
      <c r="O816" s="72">
        <f t="shared" si="1531"/>
        <v>0</v>
      </c>
      <c r="P816" s="72">
        <f t="shared" si="1532"/>
        <v>0</v>
      </c>
      <c r="Q816" s="72">
        <f t="shared" si="1533"/>
        <v>0</v>
      </c>
      <c r="R816" s="72">
        <f t="shared" si="1534"/>
        <v>0</v>
      </c>
    </row>
    <row r="817" spans="1:18" x14ac:dyDescent="0.25">
      <c r="A817" s="26"/>
      <c r="B817" s="104" t="s">
        <v>758</v>
      </c>
      <c r="C817" s="15">
        <v>8</v>
      </c>
      <c r="D817" s="16">
        <v>200</v>
      </c>
      <c r="E817" s="15">
        <v>2</v>
      </c>
      <c r="F817" s="11">
        <v>1</v>
      </c>
      <c r="G817" s="11">
        <f>+ROUND(3.56/(D817/1000)+1,0)</f>
        <v>19</v>
      </c>
      <c r="H817" s="95"/>
      <c r="I817" s="95">
        <f>3.205+0.175+0.175</f>
        <v>3.5549999999999997</v>
      </c>
      <c r="J817" s="100"/>
      <c r="K817" s="22"/>
      <c r="L817" s="72">
        <f t="shared" ref="L817" si="1535">SUM(H817:J817)+K817</f>
        <v>3.5549999999999997</v>
      </c>
      <c r="M817" s="72">
        <f t="shared" si="1529"/>
        <v>135.09</v>
      </c>
      <c r="N817" s="72">
        <f t="shared" si="1530"/>
        <v>0</v>
      </c>
      <c r="O817" s="72">
        <f t="shared" si="1531"/>
        <v>0</v>
      </c>
      <c r="P817" s="72">
        <f t="shared" si="1532"/>
        <v>0</v>
      </c>
      <c r="Q817" s="72">
        <f t="shared" si="1533"/>
        <v>0</v>
      </c>
      <c r="R817" s="72">
        <f t="shared" si="1534"/>
        <v>0</v>
      </c>
    </row>
    <row r="818" spans="1:18" x14ac:dyDescent="0.25">
      <c r="A818" s="26"/>
      <c r="B818" s="104" t="s">
        <v>521</v>
      </c>
      <c r="C818" s="15">
        <v>8</v>
      </c>
      <c r="D818" s="16">
        <v>200</v>
      </c>
      <c r="E818" s="15">
        <v>2</v>
      </c>
      <c r="F818" s="11">
        <v>1</v>
      </c>
      <c r="G818" s="11">
        <f>+ROUND(3.205/(D818/1000)+1,0)</f>
        <v>17</v>
      </c>
      <c r="H818" s="95"/>
      <c r="I818" s="95">
        <f>0.175+3.56+0.2+0.5</f>
        <v>4.4350000000000005</v>
      </c>
      <c r="J818" s="100"/>
      <c r="K818" s="47"/>
      <c r="L818" s="72">
        <f>SUM(H818:J818)+K818</f>
        <v>4.4350000000000005</v>
      </c>
      <c r="M818" s="72">
        <f t="shared" si="1529"/>
        <v>150.79</v>
      </c>
      <c r="N818" s="72">
        <f t="shared" si="1530"/>
        <v>0</v>
      </c>
      <c r="O818" s="72">
        <f t="shared" si="1531"/>
        <v>0</v>
      </c>
      <c r="P818" s="72">
        <f t="shared" si="1532"/>
        <v>0</v>
      </c>
      <c r="Q818" s="72">
        <f t="shared" si="1533"/>
        <v>0</v>
      </c>
      <c r="R818" s="72">
        <f t="shared" si="1534"/>
        <v>0</v>
      </c>
    </row>
    <row r="819" spans="1:18" x14ac:dyDescent="0.25">
      <c r="A819" s="26"/>
      <c r="B819" s="104" t="s">
        <v>512</v>
      </c>
      <c r="C819" s="15">
        <v>8</v>
      </c>
      <c r="D819" s="16">
        <v>200</v>
      </c>
      <c r="E819" s="15">
        <v>2</v>
      </c>
      <c r="F819" s="11">
        <v>1</v>
      </c>
      <c r="G819" s="11">
        <f>+ROUND(3.205/(D819/1000)+1,0)</f>
        <v>17</v>
      </c>
      <c r="H819" s="95">
        <v>0.1</v>
      </c>
      <c r="I819" s="95">
        <f>0.55+0.175</f>
        <v>0.72500000000000009</v>
      </c>
      <c r="J819" s="100"/>
      <c r="K819" s="22"/>
      <c r="L819" s="72">
        <f>SUM(H819:J819)+K819</f>
        <v>0.82500000000000007</v>
      </c>
      <c r="M819" s="72">
        <f t="shared" si="1529"/>
        <v>28.05</v>
      </c>
      <c r="N819" s="72">
        <f t="shared" si="1530"/>
        <v>0</v>
      </c>
      <c r="O819" s="72">
        <f t="shared" si="1531"/>
        <v>0</v>
      </c>
      <c r="P819" s="72">
        <f t="shared" si="1532"/>
        <v>0</v>
      </c>
      <c r="Q819" s="72">
        <f t="shared" si="1533"/>
        <v>0</v>
      </c>
      <c r="R819" s="72">
        <f t="shared" si="1534"/>
        <v>0</v>
      </c>
    </row>
    <row r="820" spans="1:18" x14ac:dyDescent="0.25">
      <c r="A820" s="26"/>
      <c r="B820" s="104" t="s">
        <v>514</v>
      </c>
      <c r="C820" s="15">
        <v>8</v>
      </c>
      <c r="D820" s="16">
        <v>100</v>
      </c>
      <c r="E820" s="15">
        <v>2</v>
      </c>
      <c r="F820" s="11">
        <v>1</v>
      </c>
      <c r="G820" s="11">
        <f>+ROUND(3.56/(D820/1000)+1,0)/2</f>
        <v>18.5</v>
      </c>
      <c r="H820" s="95"/>
      <c r="I820" s="95">
        <f>0.1+1.1</f>
        <v>1.2000000000000002</v>
      </c>
      <c r="J820" s="100"/>
      <c r="K820" s="22"/>
      <c r="L820" s="72">
        <f t="shared" ref="L820" si="1536">SUM(H820:J820)+K820</f>
        <v>1.2000000000000002</v>
      </c>
      <c r="M820" s="72">
        <f t="shared" si="1529"/>
        <v>44.4</v>
      </c>
      <c r="N820" s="72">
        <f t="shared" si="1530"/>
        <v>0</v>
      </c>
      <c r="O820" s="72">
        <f t="shared" si="1531"/>
        <v>0</v>
      </c>
      <c r="P820" s="72">
        <f t="shared" si="1532"/>
        <v>0</v>
      </c>
      <c r="Q820" s="72">
        <f t="shared" si="1533"/>
        <v>0</v>
      </c>
      <c r="R820" s="72">
        <f t="shared" si="1534"/>
        <v>0</v>
      </c>
    </row>
    <row r="821" spans="1:18" x14ac:dyDescent="0.25">
      <c r="A821" s="26"/>
      <c r="B821" s="104" t="s">
        <v>514</v>
      </c>
      <c r="C821" s="15">
        <v>8</v>
      </c>
      <c r="D821" s="16">
        <v>100</v>
      </c>
      <c r="E821" s="15">
        <v>2</v>
      </c>
      <c r="F821" s="11">
        <v>1</v>
      </c>
      <c r="G821" s="11">
        <v>18</v>
      </c>
      <c r="H821" s="95"/>
      <c r="I821" s="95">
        <f>0.1+0.55</f>
        <v>0.65</v>
      </c>
      <c r="J821" s="100"/>
      <c r="K821" s="22"/>
      <c r="L821" s="72">
        <f>SUM(H821:J821)+K821</f>
        <v>0.65</v>
      </c>
      <c r="M821" s="72">
        <f t="shared" si="1529"/>
        <v>23.4</v>
      </c>
      <c r="N821" s="72">
        <f t="shared" si="1530"/>
        <v>0</v>
      </c>
      <c r="O821" s="72">
        <f t="shared" si="1531"/>
        <v>0</v>
      </c>
      <c r="P821" s="72">
        <f t="shared" si="1532"/>
        <v>0</v>
      </c>
      <c r="Q821" s="72">
        <f t="shared" si="1533"/>
        <v>0</v>
      </c>
      <c r="R821" s="72">
        <f t="shared" si="1534"/>
        <v>0</v>
      </c>
    </row>
    <row r="822" spans="1:18" x14ac:dyDescent="0.25">
      <c r="A822" s="26"/>
      <c r="B822" s="104" t="s">
        <v>515</v>
      </c>
      <c r="C822" s="15">
        <v>8</v>
      </c>
      <c r="D822" s="16">
        <v>150</v>
      </c>
      <c r="E822" s="15">
        <v>2</v>
      </c>
      <c r="F822" s="11">
        <v>1</v>
      </c>
      <c r="G822" s="11">
        <f>+ROUND(3.56/(D822/1000)+1,0)/2</f>
        <v>12.5</v>
      </c>
      <c r="H822" s="95"/>
      <c r="I822" s="95">
        <f>0.1+1.1</f>
        <v>1.2000000000000002</v>
      </c>
      <c r="J822" s="100"/>
      <c r="K822" s="22"/>
      <c r="L822" s="72">
        <f t="shared" ref="L822" si="1537">SUM(H822:J822)+K822</f>
        <v>1.2000000000000002</v>
      </c>
      <c r="M822" s="72">
        <f t="shared" si="1529"/>
        <v>30</v>
      </c>
      <c r="N822" s="72">
        <f t="shared" si="1530"/>
        <v>0</v>
      </c>
      <c r="O822" s="72">
        <f t="shared" si="1531"/>
        <v>0</v>
      </c>
      <c r="P822" s="72">
        <f t="shared" si="1532"/>
        <v>0</v>
      </c>
      <c r="Q822" s="72">
        <f t="shared" si="1533"/>
        <v>0</v>
      </c>
      <c r="R822" s="72">
        <f t="shared" si="1534"/>
        <v>0</v>
      </c>
    </row>
    <row r="823" spans="1:18" x14ac:dyDescent="0.25">
      <c r="A823" s="26"/>
      <c r="B823" s="104" t="s">
        <v>515</v>
      </c>
      <c r="C823" s="15">
        <v>8</v>
      </c>
      <c r="D823" s="16">
        <v>150</v>
      </c>
      <c r="E823" s="15">
        <v>2</v>
      </c>
      <c r="F823" s="11">
        <v>1</v>
      </c>
      <c r="G823" s="11">
        <v>12</v>
      </c>
      <c r="H823" s="95"/>
      <c r="I823" s="95">
        <f>0.1+0.55</f>
        <v>0.65</v>
      </c>
      <c r="J823" s="100"/>
      <c r="K823" s="22"/>
      <c r="L823" s="72">
        <f t="shared" ref="L823:L829" si="1538">SUM(H823:J823)+K823</f>
        <v>0.65</v>
      </c>
      <c r="M823" s="72">
        <f t="shared" si="1529"/>
        <v>15.6</v>
      </c>
      <c r="N823" s="72">
        <f t="shared" si="1530"/>
        <v>0</v>
      </c>
      <c r="O823" s="72">
        <f t="shared" si="1531"/>
        <v>0</v>
      </c>
      <c r="P823" s="72">
        <f t="shared" si="1532"/>
        <v>0</v>
      </c>
      <c r="Q823" s="72">
        <f t="shared" si="1533"/>
        <v>0</v>
      </c>
      <c r="R823" s="72">
        <f t="shared" si="1534"/>
        <v>0</v>
      </c>
    </row>
    <row r="824" spans="1:18" x14ac:dyDescent="0.25">
      <c r="A824" s="26"/>
      <c r="B824" s="104" t="s">
        <v>515</v>
      </c>
      <c r="C824" s="15">
        <v>8</v>
      </c>
      <c r="D824" s="16">
        <v>150</v>
      </c>
      <c r="E824" s="15">
        <v>2</v>
      </c>
      <c r="F824" s="11">
        <v>1</v>
      </c>
      <c r="G824" s="11">
        <f>+ROUND(3.205/(D824/1000)+1,0)/2</f>
        <v>11</v>
      </c>
      <c r="H824" s="95"/>
      <c r="I824" s="95">
        <f>0.1+1.1</f>
        <v>1.2000000000000002</v>
      </c>
      <c r="J824" s="100"/>
      <c r="K824" s="22"/>
      <c r="L824" s="72">
        <f t="shared" si="1538"/>
        <v>1.2000000000000002</v>
      </c>
      <c r="M824" s="72">
        <f t="shared" si="1529"/>
        <v>26.4</v>
      </c>
      <c r="N824" s="72">
        <f t="shared" si="1530"/>
        <v>0</v>
      </c>
      <c r="O824" s="72">
        <f t="shared" si="1531"/>
        <v>0</v>
      </c>
      <c r="P824" s="72">
        <f t="shared" si="1532"/>
        <v>0</v>
      </c>
      <c r="Q824" s="72">
        <f t="shared" si="1533"/>
        <v>0</v>
      </c>
      <c r="R824" s="72">
        <f t="shared" si="1534"/>
        <v>0</v>
      </c>
    </row>
    <row r="825" spans="1:18" x14ac:dyDescent="0.25">
      <c r="A825" s="26"/>
      <c r="B825" s="104" t="s">
        <v>515</v>
      </c>
      <c r="C825" s="15">
        <v>8</v>
      </c>
      <c r="D825" s="16">
        <v>150</v>
      </c>
      <c r="E825" s="15">
        <v>2</v>
      </c>
      <c r="F825" s="11">
        <v>1</v>
      </c>
      <c r="G825" s="11">
        <f>+ROUND(3.205/(D825/1000)+1,0)/2</f>
        <v>11</v>
      </c>
      <c r="H825" s="95"/>
      <c r="I825" s="95">
        <f>0.1+0.55</f>
        <v>0.65</v>
      </c>
      <c r="J825" s="100"/>
      <c r="K825" s="22"/>
      <c r="L825" s="72">
        <f t="shared" si="1538"/>
        <v>0.65</v>
      </c>
      <c r="M825" s="72">
        <f t="shared" si="1529"/>
        <v>14.3</v>
      </c>
      <c r="N825" s="72">
        <f t="shared" si="1530"/>
        <v>0</v>
      </c>
      <c r="O825" s="72">
        <f t="shared" si="1531"/>
        <v>0</v>
      </c>
      <c r="P825" s="72">
        <f t="shared" si="1532"/>
        <v>0</v>
      </c>
      <c r="Q825" s="72">
        <f t="shared" si="1533"/>
        <v>0</v>
      </c>
      <c r="R825" s="72">
        <f t="shared" si="1534"/>
        <v>0</v>
      </c>
    </row>
    <row r="826" spans="1:18" x14ac:dyDescent="0.25">
      <c r="A826" s="26"/>
      <c r="B826" s="104" t="s">
        <v>759</v>
      </c>
      <c r="C826" s="15">
        <v>8</v>
      </c>
      <c r="D826" s="16">
        <v>200</v>
      </c>
      <c r="E826" s="15">
        <v>2</v>
      </c>
      <c r="F826" s="11">
        <v>1</v>
      </c>
      <c r="G826" s="11">
        <f>+ROUND(1.1/(D826/1000)+1,0)</f>
        <v>7</v>
      </c>
      <c r="H826" s="95">
        <v>0.2</v>
      </c>
      <c r="I826" s="95">
        <v>3.2050000000000001</v>
      </c>
      <c r="J826" s="100"/>
      <c r="K826" s="22"/>
      <c r="L826" s="72">
        <f t="shared" si="1538"/>
        <v>3.4050000000000002</v>
      </c>
      <c r="M826" s="72">
        <f t="shared" si="1529"/>
        <v>47.67</v>
      </c>
      <c r="N826" s="72">
        <f t="shared" si="1530"/>
        <v>0</v>
      </c>
      <c r="O826" s="72">
        <f t="shared" si="1531"/>
        <v>0</v>
      </c>
      <c r="P826" s="72">
        <f t="shared" si="1532"/>
        <v>0</v>
      </c>
      <c r="Q826" s="72">
        <f t="shared" si="1533"/>
        <v>0</v>
      </c>
      <c r="R826" s="72">
        <f t="shared" si="1534"/>
        <v>0</v>
      </c>
    </row>
    <row r="827" spans="1:18" x14ac:dyDescent="0.25">
      <c r="A827" s="26"/>
      <c r="B827" s="104" t="s">
        <v>759</v>
      </c>
      <c r="C827" s="15">
        <v>8</v>
      </c>
      <c r="D827" s="16">
        <v>200</v>
      </c>
      <c r="E827" s="15">
        <v>2</v>
      </c>
      <c r="F827" s="11">
        <v>1</v>
      </c>
      <c r="G827" s="11">
        <f>+ROUND(0.55/(D827/1000)+1,0)</f>
        <v>4</v>
      </c>
      <c r="H827" s="95">
        <v>0.2</v>
      </c>
      <c r="I827" s="95">
        <v>3.2050000000000001</v>
      </c>
      <c r="J827" s="100"/>
      <c r="K827" s="22"/>
      <c r="L827" s="72">
        <f t="shared" si="1538"/>
        <v>3.4050000000000002</v>
      </c>
      <c r="M827" s="72">
        <f t="shared" si="1529"/>
        <v>27.24</v>
      </c>
      <c r="N827" s="72">
        <f t="shared" si="1530"/>
        <v>0</v>
      </c>
      <c r="O827" s="72">
        <f t="shared" si="1531"/>
        <v>0</v>
      </c>
      <c r="P827" s="72">
        <f t="shared" si="1532"/>
        <v>0</v>
      </c>
      <c r="Q827" s="72">
        <f t="shared" si="1533"/>
        <v>0</v>
      </c>
      <c r="R827" s="72">
        <f t="shared" si="1534"/>
        <v>0</v>
      </c>
    </row>
    <row r="828" spans="1:18" x14ac:dyDescent="0.25">
      <c r="A828" s="26"/>
      <c r="B828" s="104" t="s">
        <v>759</v>
      </c>
      <c r="C828" s="15">
        <v>8</v>
      </c>
      <c r="D828" s="16">
        <v>200</v>
      </c>
      <c r="E828" s="15">
        <v>2</v>
      </c>
      <c r="F828" s="11">
        <v>1</v>
      </c>
      <c r="G828" s="11">
        <f>+ROUND(1.1/(D828/1000)+1,0)</f>
        <v>7</v>
      </c>
      <c r="H828" s="95">
        <v>0.2</v>
      </c>
      <c r="I828" s="95">
        <v>3.56</v>
      </c>
      <c r="J828" s="100"/>
      <c r="K828" s="22"/>
      <c r="L828" s="72">
        <f t="shared" si="1538"/>
        <v>3.7600000000000002</v>
      </c>
      <c r="M828" s="72">
        <f t="shared" si="1529"/>
        <v>52.64</v>
      </c>
      <c r="N828" s="72">
        <f t="shared" si="1530"/>
        <v>0</v>
      </c>
      <c r="O828" s="72">
        <f t="shared" si="1531"/>
        <v>0</v>
      </c>
      <c r="P828" s="72">
        <f t="shared" si="1532"/>
        <v>0</v>
      </c>
      <c r="Q828" s="72">
        <f t="shared" si="1533"/>
        <v>0</v>
      </c>
      <c r="R828" s="72">
        <f t="shared" si="1534"/>
        <v>0</v>
      </c>
    </row>
    <row r="829" spans="1:18" x14ac:dyDescent="0.25">
      <c r="A829" s="26"/>
      <c r="B829" s="104" t="s">
        <v>759</v>
      </c>
      <c r="C829" s="15">
        <v>8</v>
      </c>
      <c r="D829" s="16">
        <v>200</v>
      </c>
      <c r="E829" s="15">
        <v>2</v>
      </c>
      <c r="F829" s="11">
        <v>1</v>
      </c>
      <c r="G829" s="11">
        <f>+ROUND(1.1/(D829/1000)+1,0)</f>
        <v>7</v>
      </c>
      <c r="H829" s="95">
        <v>0.2</v>
      </c>
      <c r="I829" s="95">
        <v>3.56</v>
      </c>
      <c r="J829" s="100"/>
      <c r="K829" s="22"/>
      <c r="L829" s="72">
        <f t="shared" si="1538"/>
        <v>3.7600000000000002</v>
      </c>
      <c r="M829" s="72">
        <f t="shared" si="1529"/>
        <v>52.64</v>
      </c>
      <c r="N829" s="72">
        <f t="shared" si="1530"/>
        <v>0</v>
      </c>
      <c r="O829" s="72">
        <f t="shared" si="1531"/>
        <v>0</v>
      </c>
      <c r="P829" s="72">
        <f t="shared" si="1532"/>
        <v>0</v>
      </c>
      <c r="Q829" s="72">
        <f t="shared" si="1533"/>
        <v>0</v>
      </c>
      <c r="R829" s="72">
        <f t="shared" si="1534"/>
        <v>0</v>
      </c>
    </row>
    <row r="830" spans="1:18" x14ac:dyDescent="0.25">
      <c r="A830" s="26"/>
      <c r="B830" s="25"/>
      <c r="C830" s="15"/>
      <c r="D830" s="16"/>
      <c r="E830" s="15"/>
      <c r="F830" s="11"/>
      <c r="G830" s="11"/>
      <c r="H830" s="95"/>
      <c r="I830" s="95"/>
      <c r="J830" s="100"/>
      <c r="K830" s="22"/>
      <c r="L830" s="72"/>
      <c r="M830" s="72"/>
      <c r="N830" s="72"/>
      <c r="O830" s="72"/>
      <c r="P830" s="72"/>
      <c r="Q830" s="72"/>
      <c r="R830" s="72"/>
    </row>
    <row r="831" spans="1:18" x14ac:dyDescent="0.25">
      <c r="A831" s="26"/>
      <c r="B831" s="45" t="s">
        <v>781</v>
      </c>
      <c r="C831" s="15"/>
      <c r="D831" s="16"/>
      <c r="E831" s="15"/>
      <c r="F831" s="11"/>
      <c r="G831" s="11"/>
      <c r="H831" s="95"/>
      <c r="I831" s="95"/>
      <c r="J831" s="100"/>
      <c r="K831" s="22"/>
      <c r="L831" s="72"/>
      <c r="M831" s="72">
        <f t="shared" ref="M831:M841" si="1539">+ROUND(IF(C831=8,PRODUCT(E831,F831,G831,L831),0),2)</f>
        <v>0</v>
      </c>
      <c r="N831" s="72">
        <f t="shared" ref="N831:N841" si="1540">+ROUND(IF(C831=10,PRODUCT(E831,F831,G831,L831),0),2)</f>
        <v>0</v>
      </c>
      <c r="O831" s="72">
        <f t="shared" ref="O831:O841" si="1541">+ROUND(IF(C831=12,PRODUCT(E831,F831,G831,L831),0),2)</f>
        <v>0</v>
      </c>
      <c r="P831" s="72">
        <f t="shared" ref="P831:P841" si="1542">+ROUND(IF(C831=16,PRODUCT(E831,F831,G831,L831),0),2)</f>
        <v>0</v>
      </c>
      <c r="Q831" s="72">
        <f t="shared" ref="Q831:Q841" si="1543">+ROUND(IF(C831=20,PRODUCT(E831,F831,G831,L831),0),2)</f>
        <v>0</v>
      </c>
      <c r="R831" s="72">
        <f t="shared" ref="R831:R841" si="1544">+ROUND(IF(C831=25,PRODUCT(E831,F831,G831,L831),0),2)</f>
        <v>0</v>
      </c>
    </row>
    <row r="832" spans="1:18" x14ac:dyDescent="0.25">
      <c r="A832" s="26"/>
      <c r="B832" s="104" t="s">
        <v>758</v>
      </c>
      <c r="C832" s="15">
        <v>8</v>
      </c>
      <c r="D832" s="16">
        <v>200</v>
      </c>
      <c r="E832" s="15">
        <v>2</v>
      </c>
      <c r="F832" s="11">
        <v>1</v>
      </c>
      <c r="G832" s="11">
        <f>+ROUND(2.225/(D832/1000)+1,0)</f>
        <v>12</v>
      </c>
      <c r="H832" s="95"/>
      <c r="I832" s="95">
        <f>0.175+1.5+0.175</f>
        <v>1.85</v>
      </c>
      <c r="J832" s="100"/>
      <c r="K832" s="22"/>
      <c r="L832" s="72">
        <f t="shared" ref="L832" si="1545">SUM(H832:J832)+K832</f>
        <v>1.85</v>
      </c>
      <c r="M832" s="72">
        <f t="shared" si="1539"/>
        <v>44.4</v>
      </c>
      <c r="N832" s="72">
        <f t="shared" si="1540"/>
        <v>0</v>
      </c>
      <c r="O832" s="72">
        <f t="shared" si="1541"/>
        <v>0</v>
      </c>
      <c r="P832" s="72">
        <f t="shared" si="1542"/>
        <v>0</v>
      </c>
      <c r="Q832" s="72">
        <f t="shared" si="1543"/>
        <v>0</v>
      </c>
      <c r="R832" s="72">
        <f t="shared" si="1544"/>
        <v>0</v>
      </c>
    </row>
    <row r="833" spans="1:18" x14ac:dyDescent="0.25">
      <c r="A833" s="26"/>
      <c r="B833" s="104" t="s">
        <v>521</v>
      </c>
      <c r="C833" s="15">
        <v>8</v>
      </c>
      <c r="D833" s="16">
        <v>200</v>
      </c>
      <c r="E833" s="15">
        <v>2</v>
      </c>
      <c r="F833" s="11">
        <v>1</v>
      </c>
      <c r="G833" s="11">
        <f>+ROUND(1.5/(D833/1000)+1,0)</f>
        <v>9</v>
      </c>
      <c r="H833" s="95"/>
      <c r="I833" s="95">
        <f>0.175+2.225+0.175</f>
        <v>2.5749999999999997</v>
      </c>
      <c r="J833" s="100"/>
      <c r="K833" s="47"/>
      <c r="L833" s="72">
        <f>SUM(H833:J833)+K833</f>
        <v>2.5749999999999997</v>
      </c>
      <c r="M833" s="72">
        <f t="shared" si="1539"/>
        <v>46.35</v>
      </c>
      <c r="N833" s="72">
        <f t="shared" si="1540"/>
        <v>0</v>
      </c>
      <c r="O833" s="72">
        <f t="shared" si="1541"/>
        <v>0</v>
      </c>
      <c r="P833" s="72">
        <f t="shared" si="1542"/>
        <v>0</v>
      </c>
      <c r="Q833" s="72">
        <f t="shared" si="1543"/>
        <v>0</v>
      </c>
      <c r="R833" s="72">
        <f t="shared" si="1544"/>
        <v>0</v>
      </c>
    </row>
    <row r="834" spans="1:18" x14ac:dyDescent="0.25">
      <c r="A834" s="26"/>
      <c r="B834" s="104" t="s">
        <v>512</v>
      </c>
      <c r="C834" s="15">
        <v>8</v>
      </c>
      <c r="D834" s="16">
        <v>200</v>
      </c>
      <c r="E834" s="15">
        <v>2</v>
      </c>
      <c r="F834" s="11">
        <v>1</v>
      </c>
      <c r="G834" s="11">
        <f>+ROUND(2.225/(D834/1000)+1,0)</f>
        <v>12</v>
      </c>
      <c r="H834" s="95">
        <v>0.1</v>
      </c>
      <c r="I834" s="95">
        <f>0.45+0.175</f>
        <v>0.625</v>
      </c>
      <c r="J834" s="100"/>
      <c r="K834" s="22"/>
      <c r="L834" s="72">
        <f>SUM(H834:J834)+K834</f>
        <v>0.72499999999999998</v>
      </c>
      <c r="M834" s="72">
        <f t="shared" si="1539"/>
        <v>17.399999999999999</v>
      </c>
      <c r="N834" s="72">
        <f t="shared" si="1540"/>
        <v>0</v>
      </c>
      <c r="O834" s="72">
        <f t="shared" si="1541"/>
        <v>0</v>
      </c>
      <c r="P834" s="72">
        <f t="shared" si="1542"/>
        <v>0</v>
      </c>
      <c r="Q834" s="72">
        <f t="shared" si="1543"/>
        <v>0</v>
      </c>
      <c r="R834" s="72">
        <f t="shared" si="1544"/>
        <v>0</v>
      </c>
    </row>
    <row r="835" spans="1:18" x14ac:dyDescent="0.25">
      <c r="A835" s="26"/>
      <c r="B835" s="104" t="s">
        <v>512</v>
      </c>
      <c r="C835" s="15">
        <v>8</v>
      </c>
      <c r="D835" s="16">
        <v>200</v>
      </c>
      <c r="E835" s="15">
        <v>2</v>
      </c>
      <c r="F835" s="11">
        <v>1</v>
      </c>
      <c r="G835" s="11">
        <f>+ROUND(2.225/(D835/1000)+1,0)</f>
        <v>12</v>
      </c>
      <c r="H835" s="95">
        <v>0.1</v>
      </c>
      <c r="I835" s="95">
        <f>0.45+0.175</f>
        <v>0.625</v>
      </c>
      <c r="J835" s="100"/>
      <c r="K835" s="22"/>
      <c r="L835" s="72">
        <f t="shared" ref="L835" si="1546">SUM(H835:J835)+K835</f>
        <v>0.72499999999999998</v>
      </c>
      <c r="M835" s="72">
        <f t="shared" si="1539"/>
        <v>17.399999999999999</v>
      </c>
      <c r="N835" s="72">
        <f t="shared" si="1540"/>
        <v>0</v>
      </c>
      <c r="O835" s="72">
        <f t="shared" si="1541"/>
        <v>0</v>
      </c>
      <c r="P835" s="72">
        <f t="shared" si="1542"/>
        <v>0</v>
      </c>
      <c r="Q835" s="72">
        <f t="shared" si="1543"/>
        <v>0</v>
      </c>
      <c r="R835" s="72">
        <f t="shared" si="1544"/>
        <v>0</v>
      </c>
    </row>
    <row r="836" spans="1:18" x14ac:dyDescent="0.25">
      <c r="A836" s="26"/>
      <c r="B836" s="104" t="s">
        <v>512</v>
      </c>
      <c r="C836" s="15">
        <v>8</v>
      </c>
      <c r="D836" s="16">
        <v>200</v>
      </c>
      <c r="E836" s="15">
        <v>2</v>
      </c>
      <c r="F836" s="11">
        <v>1</v>
      </c>
      <c r="G836" s="11">
        <f>+ROUND(1.5/(D836/1000)+1,0)</f>
        <v>9</v>
      </c>
      <c r="H836" s="95">
        <v>0.1</v>
      </c>
      <c r="I836" s="95">
        <f>0.45+0.175</f>
        <v>0.625</v>
      </c>
      <c r="J836" s="100"/>
      <c r="K836" s="22"/>
      <c r="L836" s="72">
        <f t="shared" ref="L836:L841" si="1547">SUM(H836:J836)+K836</f>
        <v>0.72499999999999998</v>
      </c>
      <c r="M836" s="72">
        <f t="shared" si="1539"/>
        <v>13.05</v>
      </c>
      <c r="N836" s="72">
        <f t="shared" si="1540"/>
        <v>0</v>
      </c>
      <c r="O836" s="72">
        <f t="shared" si="1541"/>
        <v>0</v>
      </c>
      <c r="P836" s="72">
        <f t="shared" si="1542"/>
        <v>0</v>
      </c>
      <c r="Q836" s="72">
        <f t="shared" si="1543"/>
        <v>0</v>
      </c>
      <c r="R836" s="72">
        <f t="shared" si="1544"/>
        <v>0</v>
      </c>
    </row>
    <row r="837" spans="1:18" x14ac:dyDescent="0.25">
      <c r="A837" s="26"/>
      <c r="B837" s="104" t="s">
        <v>512</v>
      </c>
      <c r="C837" s="15">
        <v>8</v>
      </c>
      <c r="D837" s="16">
        <v>200</v>
      </c>
      <c r="E837" s="15">
        <v>2</v>
      </c>
      <c r="F837" s="11">
        <v>1</v>
      </c>
      <c r="G837" s="11">
        <f>+ROUND(1.5/(D837/1000)+1,0)</f>
        <v>9</v>
      </c>
      <c r="H837" s="95">
        <v>0.1</v>
      </c>
      <c r="I837" s="95">
        <f>0.5+0.175</f>
        <v>0.67500000000000004</v>
      </c>
      <c r="J837" s="100"/>
      <c r="K837" s="22"/>
      <c r="L837" s="72">
        <f t="shared" si="1547"/>
        <v>0.77500000000000002</v>
      </c>
      <c r="M837" s="72">
        <f t="shared" si="1539"/>
        <v>13.95</v>
      </c>
      <c r="N837" s="72">
        <f t="shared" si="1540"/>
        <v>0</v>
      </c>
      <c r="O837" s="72">
        <f t="shared" si="1541"/>
        <v>0</v>
      </c>
      <c r="P837" s="72">
        <f t="shared" si="1542"/>
        <v>0</v>
      </c>
      <c r="Q837" s="72">
        <f t="shared" si="1543"/>
        <v>0</v>
      </c>
      <c r="R837" s="72">
        <f t="shared" si="1544"/>
        <v>0</v>
      </c>
    </row>
    <row r="838" spans="1:18" x14ac:dyDescent="0.25">
      <c r="A838" s="26"/>
      <c r="B838" s="104" t="s">
        <v>759</v>
      </c>
      <c r="C838" s="15">
        <v>8</v>
      </c>
      <c r="D838" s="16">
        <v>200</v>
      </c>
      <c r="E838" s="15">
        <v>2</v>
      </c>
      <c r="F838" s="11">
        <v>1</v>
      </c>
      <c r="G838" s="11">
        <f>+ROUND(0.45/(D838/1000)+1,0)</f>
        <v>3</v>
      </c>
      <c r="H838" s="95">
        <v>0.2</v>
      </c>
      <c r="I838" s="95">
        <v>1.5</v>
      </c>
      <c r="J838" s="100"/>
      <c r="K838" s="22"/>
      <c r="L838" s="72">
        <f t="shared" si="1547"/>
        <v>1.7</v>
      </c>
      <c r="M838" s="72">
        <f t="shared" si="1539"/>
        <v>10.199999999999999</v>
      </c>
      <c r="N838" s="72">
        <f t="shared" si="1540"/>
        <v>0</v>
      </c>
      <c r="O838" s="72">
        <f t="shared" si="1541"/>
        <v>0</v>
      </c>
      <c r="P838" s="72">
        <f t="shared" si="1542"/>
        <v>0</v>
      </c>
      <c r="Q838" s="72">
        <f t="shared" si="1543"/>
        <v>0</v>
      </c>
      <c r="R838" s="72">
        <f t="shared" si="1544"/>
        <v>0</v>
      </c>
    </row>
    <row r="839" spans="1:18" x14ac:dyDescent="0.25">
      <c r="A839" s="26"/>
      <c r="B839" s="104" t="s">
        <v>759</v>
      </c>
      <c r="C839" s="15">
        <v>8</v>
      </c>
      <c r="D839" s="16">
        <v>200</v>
      </c>
      <c r="E839" s="15">
        <v>2</v>
      </c>
      <c r="F839" s="11">
        <v>1</v>
      </c>
      <c r="G839" s="11">
        <f>+ROUND(0.45/(D839/1000)+1,0)</f>
        <v>3</v>
      </c>
      <c r="H839" s="95">
        <v>0.2</v>
      </c>
      <c r="I839" s="95">
        <v>1.5</v>
      </c>
      <c r="J839" s="100"/>
      <c r="K839" s="22"/>
      <c r="L839" s="72">
        <f t="shared" si="1547"/>
        <v>1.7</v>
      </c>
      <c r="M839" s="72">
        <f t="shared" si="1539"/>
        <v>10.199999999999999</v>
      </c>
      <c r="N839" s="72">
        <f t="shared" si="1540"/>
        <v>0</v>
      </c>
      <c r="O839" s="72">
        <f t="shared" si="1541"/>
        <v>0</v>
      </c>
      <c r="P839" s="72">
        <f t="shared" si="1542"/>
        <v>0</v>
      </c>
      <c r="Q839" s="72">
        <f t="shared" si="1543"/>
        <v>0</v>
      </c>
      <c r="R839" s="72">
        <f t="shared" si="1544"/>
        <v>0</v>
      </c>
    </row>
    <row r="840" spans="1:18" x14ac:dyDescent="0.25">
      <c r="A840" s="26"/>
      <c r="B840" s="104" t="s">
        <v>759</v>
      </c>
      <c r="C840" s="15">
        <v>8</v>
      </c>
      <c r="D840" s="16">
        <v>200</v>
      </c>
      <c r="E840" s="15">
        <v>2</v>
      </c>
      <c r="F840" s="11">
        <v>1</v>
      </c>
      <c r="G840" s="11">
        <f>+ROUND(0.45/(D840/1000)+1,0)</f>
        <v>3</v>
      </c>
      <c r="H840" s="95">
        <v>0.2</v>
      </c>
      <c r="I840" s="95">
        <v>2.2250000000000001</v>
      </c>
      <c r="J840" s="100"/>
      <c r="K840" s="22"/>
      <c r="L840" s="72">
        <f t="shared" si="1547"/>
        <v>2.4250000000000003</v>
      </c>
      <c r="M840" s="72">
        <f t="shared" si="1539"/>
        <v>14.55</v>
      </c>
      <c r="N840" s="72">
        <f t="shared" si="1540"/>
        <v>0</v>
      </c>
      <c r="O840" s="72">
        <f t="shared" si="1541"/>
        <v>0</v>
      </c>
      <c r="P840" s="72">
        <f t="shared" si="1542"/>
        <v>0</v>
      </c>
      <c r="Q840" s="72">
        <f t="shared" si="1543"/>
        <v>0</v>
      </c>
      <c r="R840" s="72">
        <f t="shared" si="1544"/>
        <v>0</v>
      </c>
    </row>
    <row r="841" spans="1:18" x14ac:dyDescent="0.25">
      <c r="A841" s="26"/>
      <c r="B841" s="104" t="s">
        <v>759</v>
      </c>
      <c r="C841" s="15">
        <v>8</v>
      </c>
      <c r="D841" s="16">
        <v>200</v>
      </c>
      <c r="E841" s="15">
        <v>2</v>
      </c>
      <c r="F841" s="11">
        <v>1</v>
      </c>
      <c r="G841" s="11">
        <f>+ROUND(0.45/(D841/1000)+1,0)</f>
        <v>3</v>
      </c>
      <c r="H841" s="95">
        <v>0.2</v>
      </c>
      <c r="I841" s="95">
        <v>2.2250000000000001</v>
      </c>
      <c r="J841" s="100"/>
      <c r="K841" s="22"/>
      <c r="L841" s="72">
        <f t="shared" si="1547"/>
        <v>2.4250000000000003</v>
      </c>
      <c r="M841" s="72">
        <f t="shared" si="1539"/>
        <v>14.55</v>
      </c>
      <c r="N841" s="72">
        <f t="shared" si="1540"/>
        <v>0</v>
      </c>
      <c r="O841" s="72">
        <f t="shared" si="1541"/>
        <v>0</v>
      </c>
      <c r="P841" s="72">
        <f t="shared" si="1542"/>
        <v>0</v>
      </c>
      <c r="Q841" s="72">
        <f t="shared" si="1543"/>
        <v>0</v>
      </c>
      <c r="R841" s="72">
        <f t="shared" si="1544"/>
        <v>0</v>
      </c>
    </row>
    <row r="842" spans="1:18" x14ac:dyDescent="0.25">
      <c r="A842" s="26"/>
      <c r="B842" s="25"/>
      <c r="C842" s="15"/>
      <c r="D842" s="16"/>
      <c r="E842" s="15"/>
      <c r="F842" s="11"/>
      <c r="G842" s="11"/>
      <c r="H842" s="95"/>
      <c r="I842" s="95"/>
      <c r="J842" s="100"/>
      <c r="K842" s="22"/>
      <c r="L842" s="72"/>
      <c r="M842" s="72"/>
      <c r="N842" s="72"/>
      <c r="O842" s="72"/>
      <c r="P842" s="72"/>
      <c r="Q842" s="72"/>
      <c r="R842" s="72"/>
    </row>
    <row r="843" spans="1:18" x14ac:dyDescent="0.25">
      <c r="A843" s="26"/>
      <c r="B843" s="45" t="s">
        <v>783</v>
      </c>
      <c r="C843" s="15"/>
      <c r="D843" s="16"/>
      <c r="E843" s="15"/>
      <c r="F843" s="11"/>
      <c r="G843" s="11"/>
      <c r="H843" s="95"/>
      <c r="I843" s="95"/>
      <c r="J843" s="100"/>
      <c r="K843" s="22"/>
      <c r="L843" s="72"/>
      <c r="M843" s="72">
        <f t="shared" ref="M843:M857" si="1548">+ROUND(IF(C843=8,PRODUCT(E843,F843,G843,L843),0),2)</f>
        <v>0</v>
      </c>
      <c r="N843" s="72">
        <f t="shared" ref="N843:N857" si="1549">+ROUND(IF(C843=10,PRODUCT(E843,F843,G843,L843),0),2)</f>
        <v>0</v>
      </c>
      <c r="O843" s="72">
        <f t="shared" ref="O843:O857" si="1550">+ROUND(IF(C843=12,PRODUCT(E843,F843,G843,L843),0),2)</f>
        <v>0</v>
      </c>
      <c r="P843" s="72">
        <f t="shared" ref="P843:P857" si="1551">+ROUND(IF(C843=16,PRODUCT(E843,F843,G843,L843),0),2)</f>
        <v>0</v>
      </c>
      <c r="Q843" s="72">
        <f t="shared" ref="Q843:Q857" si="1552">+ROUND(IF(C843=20,PRODUCT(E843,F843,G843,L843),0),2)</f>
        <v>0</v>
      </c>
      <c r="R843" s="72">
        <f t="shared" ref="R843:R857" si="1553">+ROUND(IF(C843=25,PRODUCT(E843,F843,G843,L843),0),2)</f>
        <v>0</v>
      </c>
    </row>
    <row r="844" spans="1:18" x14ac:dyDescent="0.25">
      <c r="A844" s="26"/>
      <c r="B844" s="104" t="s">
        <v>782</v>
      </c>
      <c r="C844" s="15">
        <v>8</v>
      </c>
      <c r="D844" s="16">
        <v>150</v>
      </c>
      <c r="E844" s="15">
        <v>2</v>
      </c>
      <c r="F844" s="11">
        <v>1</v>
      </c>
      <c r="G844" s="11">
        <v>6</v>
      </c>
      <c r="H844" s="95"/>
      <c r="I844" s="95">
        <f>0.175+3.33+0.175</f>
        <v>3.6799999999999997</v>
      </c>
      <c r="J844" s="100"/>
      <c r="K844" s="47"/>
      <c r="L844" s="72">
        <f t="shared" ref="L844:L853" si="1554">SUM(H844:J844)+K844</f>
        <v>3.6799999999999997</v>
      </c>
      <c r="M844" s="72">
        <f t="shared" si="1548"/>
        <v>44.16</v>
      </c>
      <c r="N844" s="72">
        <f t="shared" si="1549"/>
        <v>0</v>
      </c>
      <c r="O844" s="72">
        <f t="shared" si="1550"/>
        <v>0</v>
      </c>
      <c r="P844" s="72">
        <f t="shared" si="1551"/>
        <v>0</v>
      </c>
      <c r="Q844" s="72">
        <f t="shared" si="1552"/>
        <v>0</v>
      </c>
      <c r="R844" s="72">
        <f t="shared" si="1553"/>
        <v>0</v>
      </c>
    </row>
    <row r="845" spans="1:18" x14ac:dyDescent="0.25">
      <c r="A845" s="26"/>
      <c r="B845" s="104" t="s">
        <v>782</v>
      </c>
      <c r="C845" s="15">
        <v>8</v>
      </c>
      <c r="D845" s="16">
        <v>150</v>
      </c>
      <c r="E845" s="15">
        <v>2</v>
      </c>
      <c r="F845" s="11">
        <v>1</v>
      </c>
      <c r="G845" s="11">
        <f>+ROUND(1.83/(D845/1000)+1,0)/2</f>
        <v>6.5</v>
      </c>
      <c r="H845" s="95"/>
      <c r="I845" s="95">
        <f>3.33-1.4</f>
        <v>1.9300000000000002</v>
      </c>
      <c r="J845" s="100"/>
      <c r="K845" s="47"/>
      <c r="L845" s="72">
        <f t="shared" si="1554"/>
        <v>1.9300000000000002</v>
      </c>
      <c r="M845" s="72">
        <f t="shared" si="1548"/>
        <v>25.09</v>
      </c>
      <c r="N845" s="72">
        <f t="shared" si="1549"/>
        <v>0</v>
      </c>
      <c r="O845" s="72">
        <f t="shared" si="1550"/>
        <v>0</v>
      </c>
      <c r="P845" s="72">
        <f t="shared" si="1551"/>
        <v>0</v>
      </c>
      <c r="Q845" s="72">
        <f t="shared" si="1552"/>
        <v>0</v>
      </c>
      <c r="R845" s="72">
        <f t="shared" si="1553"/>
        <v>0</v>
      </c>
    </row>
    <row r="846" spans="1:18" x14ac:dyDescent="0.25">
      <c r="A846" s="26"/>
      <c r="B846" s="104" t="s">
        <v>782</v>
      </c>
      <c r="C846" s="15">
        <v>8</v>
      </c>
      <c r="D846" s="16">
        <v>150</v>
      </c>
      <c r="E846" s="15">
        <v>2</v>
      </c>
      <c r="F846" s="11">
        <v>1</v>
      </c>
      <c r="G846" s="11">
        <f>+ROUND(1.93/(D846/1000)+1,0)/2</f>
        <v>7</v>
      </c>
      <c r="H846" s="95"/>
      <c r="I846" s="95">
        <f>0.175+4.27+0.175</f>
        <v>4.6199999999999992</v>
      </c>
      <c r="J846" s="100"/>
      <c r="K846" s="47"/>
      <c r="L846" s="72">
        <f t="shared" si="1554"/>
        <v>4.6199999999999992</v>
      </c>
      <c r="M846" s="72">
        <f t="shared" si="1548"/>
        <v>64.680000000000007</v>
      </c>
      <c r="N846" s="72">
        <f t="shared" si="1549"/>
        <v>0</v>
      </c>
      <c r="O846" s="72">
        <f t="shared" si="1550"/>
        <v>0</v>
      </c>
      <c r="P846" s="72">
        <f t="shared" si="1551"/>
        <v>0</v>
      </c>
      <c r="Q846" s="72">
        <f t="shared" si="1552"/>
        <v>0</v>
      </c>
      <c r="R846" s="72">
        <f t="shared" si="1553"/>
        <v>0</v>
      </c>
    </row>
    <row r="847" spans="1:18" x14ac:dyDescent="0.25">
      <c r="A847" s="26"/>
      <c r="B847" s="104" t="s">
        <v>782</v>
      </c>
      <c r="C847" s="15">
        <v>8</v>
      </c>
      <c r="D847" s="16">
        <v>150</v>
      </c>
      <c r="E847" s="15">
        <v>2</v>
      </c>
      <c r="F847" s="11">
        <v>1</v>
      </c>
      <c r="G847" s="11">
        <v>6</v>
      </c>
      <c r="H847" s="95"/>
      <c r="I847" s="95">
        <f>4.27-1.4</f>
        <v>2.8699999999999997</v>
      </c>
      <c r="J847" s="100"/>
      <c r="K847" s="47"/>
      <c r="L847" s="72">
        <f t="shared" si="1554"/>
        <v>2.8699999999999997</v>
      </c>
      <c r="M847" s="72">
        <f t="shared" si="1548"/>
        <v>34.44</v>
      </c>
      <c r="N847" s="72">
        <f t="shared" si="1549"/>
        <v>0</v>
      </c>
      <c r="O847" s="72">
        <f t="shared" si="1550"/>
        <v>0</v>
      </c>
      <c r="P847" s="72">
        <f t="shared" si="1551"/>
        <v>0</v>
      </c>
      <c r="Q847" s="72">
        <f t="shared" si="1552"/>
        <v>0</v>
      </c>
      <c r="R847" s="72">
        <f t="shared" si="1553"/>
        <v>0</v>
      </c>
    </row>
    <row r="848" spans="1:18" x14ac:dyDescent="0.25">
      <c r="A848" s="26"/>
      <c r="B848" s="104" t="s">
        <v>782</v>
      </c>
      <c r="C848" s="15">
        <v>8</v>
      </c>
      <c r="D848" s="16">
        <v>150</v>
      </c>
      <c r="E848" s="15">
        <v>2</v>
      </c>
      <c r="F848" s="11">
        <v>1</v>
      </c>
      <c r="G848" s="11">
        <v>5</v>
      </c>
      <c r="H848" s="95"/>
      <c r="I848" s="95">
        <f>0.175+6.8+0.175</f>
        <v>7.1499999999999995</v>
      </c>
      <c r="J848" s="100"/>
      <c r="K848" s="47"/>
      <c r="L848" s="72">
        <f t="shared" si="1554"/>
        <v>7.1499999999999995</v>
      </c>
      <c r="M848" s="72">
        <f t="shared" si="1548"/>
        <v>71.5</v>
      </c>
      <c r="N848" s="72">
        <f t="shared" si="1549"/>
        <v>0</v>
      </c>
      <c r="O848" s="72">
        <f t="shared" si="1550"/>
        <v>0</v>
      </c>
      <c r="P848" s="72">
        <f t="shared" si="1551"/>
        <v>0</v>
      </c>
      <c r="Q848" s="72">
        <f t="shared" si="1552"/>
        <v>0</v>
      </c>
      <c r="R848" s="72">
        <f t="shared" si="1553"/>
        <v>0</v>
      </c>
    </row>
    <row r="849" spans="1:18" x14ac:dyDescent="0.25">
      <c r="A849" s="26"/>
      <c r="B849" s="104" t="s">
        <v>782</v>
      </c>
      <c r="C849" s="15">
        <v>8</v>
      </c>
      <c r="D849" s="16">
        <v>150</v>
      </c>
      <c r="E849" s="15">
        <v>2</v>
      </c>
      <c r="F849" s="11">
        <v>1</v>
      </c>
      <c r="G849" s="11">
        <f>+ROUND(1.47/(D849/1000)+1,0)/2</f>
        <v>5.5</v>
      </c>
      <c r="H849" s="95"/>
      <c r="I849" s="95">
        <f>6.8-1.7</f>
        <v>5.0999999999999996</v>
      </c>
      <c r="J849" s="100"/>
      <c r="K849" s="47"/>
      <c r="L849" s="72">
        <f t="shared" si="1554"/>
        <v>5.0999999999999996</v>
      </c>
      <c r="M849" s="72">
        <f t="shared" si="1548"/>
        <v>56.1</v>
      </c>
      <c r="N849" s="72">
        <f t="shared" si="1549"/>
        <v>0</v>
      </c>
      <c r="O849" s="72">
        <f t="shared" si="1550"/>
        <v>0</v>
      </c>
      <c r="P849" s="72">
        <f t="shared" si="1551"/>
        <v>0</v>
      </c>
      <c r="Q849" s="72">
        <f t="shared" si="1552"/>
        <v>0</v>
      </c>
      <c r="R849" s="72">
        <f t="shared" si="1553"/>
        <v>0</v>
      </c>
    </row>
    <row r="850" spans="1:18" x14ac:dyDescent="0.25">
      <c r="A850" s="26"/>
      <c r="B850" s="104" t="s">
        <v>517</v>
      </c>
      <c r="C850" s="15">
        <v>8</v>
      </c>
      <c r="D850" s="16">
        <v>175</v>
      </c>
      <c r="E850" s="15">
        <v>2</v>
      </c>
      <c r="F850" s="11">
        <v>1</v>
      </c>
      <c r="G850" s="11">
        <v>15</v>
      </c>
      <c r="H850" s="95"/>
      <c r="I850" s="95">
        <f>0.175+1.47+0.175</f>
        <v>1.82</v>
      </c>
      <c r="J850" s="100"/>
      <c r="K850" s="47"/>
      <c r="L850" s="72">
        <f t="shared" si="1554"/>
        <v>1.82</v>
      </c>
      <c r="M850" s="72">
        <f t="shared" si="1548"/>
        <v>54.6</v>
      </c>
      <c r="N850" s="72">
        <f t="shared" si="1549"/>
        <v>0</v>
      </c>
      <c r="O850" s="72">
        <f t="shared" si="1550"/>
        <v>0</v>
      </c>
      <c r="P850" s="72">
        <f t="shared" si="1551"/>
        <v>0</v>
      </c>
      <c r="Q850" s="72">
        <f t="shared" si="1552"/>
        <v>0</v>
      </c>
      <c r="R850" s="72">
        <f t="shared" si="1553"/>
        <v>0</v>
      </c>
    </row>
    <row r="851" spans="1:18" x14ac:dyDescent="0.25">
      <c r="A851" s="26"/>
      <c r="B851" s="104" t="s">
        <v>517</v>
      </c>
      <c r="C851" s="15">
        <v>8</v>
      </c>
      <c r="D851" s="16">
        <v>175</v>
      </c>
      <c r="E851" s="15">
        <v>2</v>
      </c>
      <c r="F851" s="11">
        <v>1</v>
      </c>
      <c r="G851" s="11">
        <v>19</v>
      </c>
      <c r="H851" s="95"/>
      <c r="I851" s="95">
        <f>0.175+5.215+0.2+0.5</f>
        <v>6.09</v>
      </c>
      <c r="J851" s="100"/>
      <c r="K851" s="47"/>
      <c r="L851" s="72">
        <f t="shared" si="1554"/>
        <v>6.09</v>
      </c>
      <c r="M851" s="72">
        <f t="shared" si="1548"/>
        <v>231.42</v>
      </c>
      <c r="N851" s="72">
        <f t="shared" si="1549"/>
        <v>0</v>
      </c>
      <c r="O851" s="72">
        <f t="shared" si="1550"/>
        <v>0</v>
      </c>
      <c r="P851" s="72">
        <f t="shared" si="1551"/>
        <v>0</v>
      </c>
      <c r="Q851" s="72">
        <f t="shared" si="1552"/>
        <v>0</v>
      </c>
      <c r="R851" s="72">
        <f t="shared" si="1553"/>
        <v>0</v>
      </c>
    </row>
    <row r="852" spans="1:18" x14ac:dyDescent="0.25">
      <c r="A852" s="26"/>
      <c r="B852" s="104" t="s">
        <v>517</v>
      </c>
      <c r="C852" s="15">
        <v>8</v>
      </c>
      <c r="D852" s="16">
        <v>175</v>
      </c>
      <c r="E852" s="15">
        <v>2</v>
      </c>
      <c r="F852" s="11">
        <v>1</v>
      </c>
      <c r="G852" s="11">
        <f>+ROUND(0.94/(D852/1000)+1,0)</f>
        <v>6</v>
      </c>
      <c r="H852" s="95"/>
      <c r="I852" s="95">
        <f>0.175+3.4+0.175</f>
        <v>3.7499999999999996</v>
      </c>
      <c r="J852" s="100"/>
      <c r="K852" s="47"/>
      <c r="L852" s="72">
        <f t="shared" si="1554"/>
        <v>3.7499999999999996</v>
      </c>
      <c r="M852" s="72">
        <f t="shared" si="1548"/>
        <v>45</v>
      </c>
      <c r="N852" s="72">
        <f t="shared" si="1549"/>
        <v>0</v>
      </c>
      <c r="O852" s="72">
        <f t="shared" si="1550"/>
        <v>0</v>
      </c>
      <c r="P852" s="72">
        <f t="shared" si="1551"/>
        <v>0</v>
      </c>
      <c r="Q852" s="72">
        <f t="shared" si="1552"/>
        <v>0</v>
      </c>
      <c r="R852" s="72">
        <f t="shared" si="1553"/>
        <v>0</v>
      </c>
    </row>
    <row r="853" spans="1:18" x14ac:dyDescent="0.25">
      <c r="A853" s="26"/>
      <c r="B853" s="104" t="s">
        <v>513</v>
      </c>
      <c r="C853" s="15">
        <v>8</v>
      </c>
      <c r="D853" s="16">
        <v>175</v>
      </c>
      <c r="E853" s="15">
        <v>2</v>
      </c>
      <c r="F853" s="11">
        <v>1</v>
      </c>
      <c r="G853" s="11">
        <f>+ROUND(3.33/(D853/1000)+1,0)</f>
        <v>20</v>
      </c>
      <c r="H853" s="95">
        <v>0.1</v>
      </c>
      <c r="I853" s="95">
        <f>0.175+0.8</f>
        <v>0.97500000000000009</v>
      </c>
      <c r="J853" s="100"/>
      <c r="K853" s="22"/>
      <c r="L853" s="72">
        <f t="shared" si="1554"/>
        <v>1.0750000000000002</v>
      </c>
      <c r="M853" s="72">
        <f t="shared" si="1548"/>
        <v>43</v>
      </c>
      <c r="N853" s="72">
        <f t="shared" si="1549"/>
        <v>0</v>
      </c>
      <c r="O853" s="72">
        <f t="shared" si="1550"/>
        <v>0</v>
      </c>
      <c r="P853" s="72">
        <f t="shared" si="1551"/>
        <v>0</v>
      </c>
      <c r="Q853" s="72">
        <f t="shared" si="1552"/>
        <v>0</v>
      </c>
      <c r="R853" s="72">
        <f t="shared" si="1553"/>
        <v>0</v>
      </c>
    </row>
    <row r="854" spans="1:18" x14ac:dyDescent="0.25">
      <c r="A854" s="26"/>
      <c r="B854" s="104" t="s">
        <v>515</v>
      </c>
      <c r="C854" s="15">
        <v>8</v>
      </c>
      <c r="D854" s="16">
        <v>150</v>
      </c>
      <c r="E854" s="15">
        <v>2</v>
      </c>
      <c r="F854" s="11">
        <v>1</v>
      </c>
      <c r="G854" s="11">
        <f>+ROUND(3.76/(D854/1000)+1,0)/2</f>
        <v>13</v>
      </c>
      <c r="H854" s="95"/>
      <c r="I854" s="95">
        <f>0.1+1.1</f>
        <v>1.2000000000000002</v>
      </c>
      <c r="J854" s="100"/>
      <c r="K854" s="22"/>
      <c r="L854" s="72">
        <f t="shared" ref="L854:L857" si="1555">SUM(H854:J854)+K854</f>
        <v>1.2000000000000002</v>
      </c>
      <c r="M854" s="72">
        <f t="shared" si="1548"/>
        <v>31.2</v>
      </c>
      <c r="N854" s="72">
        <f t="shared" si="1549"/>
        <v>0</v>
      </c>
      <c r="O854" s="72">
        <f t="shared" si="1550"/>
        <v>0</v>
      </c>
      <c r="P854" s="72">
        <f t="shared" si="1551"/>
        <v>0</v>
      </c>
      <c r="Q854" s="72">
        <f t="shared" si="1552"/>
        <v>0</v>
      </c>
      <c r="R854" s="72">
        <f t="shared" si="1553"/>
        <v>0</v>
      </c>
    </row>
    <row r="855" spans="1:18" x14ac:dyDescent="0.25">
      <c r="A855" s="26"/>
      <c r="B855" s="104" t="s">
        <v>515</v>
      </c>
      <c r="C855" s="15">
        <v>8</v>
      </c>
      <c r="D855" s="16">
        <v>150</v>
      </c>
      <c r="E855" s="15">
        <v>2</v>
      </c>
      <c r="F855" s="11">
        <v>1</v>
      </c>
      <c r="G855" s="11">
        <f>+ROUND(3.76/(D855/1000)+1,0)/2</f>
        <v>13</v>
      </c>
      <c r="H855" s="95"/>
      <c r="I855" s="95">
        <f>0.1+0.55</f>
        <v>0.65</v>
      </c>
      <c r="J855" s="100"/>
      <c r="K855" s="22"/>
      <c r="L855" s="72">
        <f t="shared" si="1555"/>
        <v>0.65</v>
      </c>
      <c r="M855" s="72">
        <f t="shared" si="1548"/>
        <v>16.899999999999999</v>
      </c>
      <c r="N855" s="72">
        <f t="shared" si="1549"/>
        <v>0</v>
      </c>
      <c r="O855" s="72">
        <f t="shared" si="1550"/>
        <v>0</v>
      </c>
      <c r="P855" s="72">
        <f t="shared" si="1551"/>
        <v>0</v>
      </c>
      <c r="Q855" s="72">
        <f t="shared" si="1552"/>
        <v>0</v>
      </c>
      <c r="R855" s="72">
        <f t="shared" si="1553"/>
        <v>0</v>
      </c>
    </row>
    <row r="856" spans="1:18" x14ac:dyDescent="0.25">
      <c r="A856" s="26"/>
      <c r="B856" s="104" t="s">
        <v>515</v>
      </c>
      <c r="C856" s="15">
        <v>8</v>
      </c>
      <c r="D856" s="16">
        <v>150</v>
      </c>
      <c r="E856" s="15">
        <v>2</v>
      </c>
      <c r="F856" s="11">
        <v>1</v>
      </c>
      <c r="G856" s="11">
        <f>+ROUND(1.83/(D856/1000)+1,0)/2</f>
        <v>6.5</v>
      </c>
      <c r="H856" s="95"/>
      <c r="I856" s="95">
        <f>0.1+1.1</f>
        <v>1.2000000000000002</v>
      </c>
      <c r="J856" s="100"/>
      <c r="K856" s="22"/>
      <c r="L856" s="72">
        <f t="shared" si="1555"/>
        <v>1.2000000000000002</v>
      </c>
      <c r="M856" s="72">
        <f t="shared" si="1548"/>
        <v>15.6</v>
      </c>
      <c r="N856" s="72">
        <f t="shared" si="1549"/>
        <v>0</v>
      </c>
      <c r="O856" s="72">
        <f t="shared" si="1550"/>
        <v>0</v>
      </c>
      <c r="P856" s="72">
        <f t="shared" si="1551"/>
        <v>0</v>
      </c>
      <c r="Q856" s="72">
        <f t="shared" si="1552"/>
        <v>0</v>
      </c>
      <c r="R856" s="72">
        <f t="shared" si="1553"/>
        <v>0</v>
      </c>
    </row>
    <row r="857" spans="1:18" x14ac:dyDescent="0.25">
      <c r="A857" s="26"/>
      <c r="B857" s="104" t="s">
        <v>515</v>
      </c>
      <c r="C857" s="15">
        <v>8</v>
      </c>
      <c r="D857" s="16">
        <v>150</v>
      </c>
      <c r="E857" s="15">
        <v>2</v>
      </c>
      <c r="F857" s="11">
        <v>1</v>
      </c>
      <c r="G857" s="11">
        <f>+ROUND(1.83/(D857/1000)+1,0)/2</f>
        <v>6.5</v>
      </c>
      <c r="H857" s="95"/>
      <c r="I857" s="95">
        <f>0.1+0.55</f>
        <v>0.65</v>
      </c>
      <c r="J857" s="100"/>
      <c r="K857" s="22"/>
      <c r="L857" s="72">
        <f t="shared" si="1555"/>
        <v>0.65</v>
      </c>
      <c r="M857" s="72">
        <f t="shared" si="1548"/>
        <v>8.4499999999999993</v>
      </c>
      <c r="N857" s="72">
        <f t="shared" si="1549"/>
        <v>0</v>
      </c>
      <c r="O857" s="72">
        <f t="shared" si="1550"/>
        <v>0</v>
      </c>
      <c r="P857" s="72">
        <f t="shared" si="1551"/>
        <v>0</v>
      </c>
      <c r="Q857" s="72">
        <f t="shared" si="1552"/>
        <v>0</v>
      </c>
      <c r="R857" s="72">
        <f t="shared" si="1553"/>
        <v>0</v>
      </c>
    </row>
    <row r="858" spans="1:18" x14ac:dyDescent="0.25">
      <c r="A858" s="26"/>
      <c r="B858" s="104" t="s">
        <v>515</v>
      </c>
      <c r="C858" s="15">
        <v>8</v>
      </c>
      <c r="D858" s="16">
        <v>150</v>
      </c>
      <c r="E858" s="15">
        <v>2</v>
      </c>
      <c r="F858" s="11">
        <v>1</v>
      </c>
      <c r="G858" s="11">
        <f>+ROUND(1.225/(D858/1000)+1,0)/2</f>
        <v>4.5</v>
      </c>
      <c r="H858" s="95"/>
      <c r="I858" s="95">
        <f>0.1+1.4</f>
        <v>1.5</v>
      </c>
      <c r="J858" s="100"/>
      <c r="K858" s="22"/>
      <c r="L858" s="72">
        <f t="shared" ref="L858:L863" si="1556">SUM(H858:J858)+K858</f>
        <v>1.5</v>
      </c>
      <c r="M858" s="72">
        <f>+ROUND(IF(C858=8,PRODUCT(E858,F858,G858,L858),0),2)</f>
        <v>13.5</v>
      </c>
      <c r="N858" s="72">
        <f>+ROUND(IF(C858=10,PRODUCT(E858,F858,G858,L858),0),2)</f>
        <v>0</v>
      </c>
      <c r="O858" s="72">
        <f>+ROUND(IF(C858=12,PRODUCT(E858,F858,G858,L858),0),2)</f>
        <v>0</v>
      </c>
      <c r="P858" s="72">
        <f>+ROUND(IF(C858=16,PRODUCT(E858,F858,G858,L858),0),2)</f>
        <v>0</v>
      </c>
      <c r="Q858" s="72">
        <f>+ROUND(IF(C858=20,PRODUCT(E858,F858,G858,L858),0),2)</f>
        <v>0</v>
      </c>
      <c r="R858" s="72">
        <f>+ROUND(IF(C858=25,PRODUCT(E858,F858,G858,L858),0),2)</f>
        <v>0</v>
      </c>
    </row>
    <row r="859" spans="1:18" x14ac:dyDescent="0.25">
      <c r="A859" s="26"/>
      <c r="B859" s="104" t="s">
        <v>515</v>
      </c>
      <c r="C859" s="15">
        <v>8</v>
      </c>
      <c r="D859" s="16">
        <v>150</v>
      </c>
      <c r="E859" s="15">
        <v>2</v>
      </c>
      <c r="F859" s="11">
        <v>1</v>
      </c>
      <c r="G859" s="11">
        <v>4</v>
      </c>
      <c r="H859" s="95"/>
      <c r="I859" s="95">
        <f>0.1+0.7</f>
        <v>0.79999999999999993</v>
      </c>
      <c r="J859" s="100"/>
      <c r="K859" s="22"/>
      <c r="L859" s="72">
        <f t="shared" si="1556"/>
        <v>0.79999999999999993</v>
      </c>
      <c r="M859" s="72">
        <f>+ROUND(IF(C859=8,PRODUCT(E859,F859,G859,L859),0),2)</f>
        <v>6.4</v>
      </c>
      <c r="N859" s="72">
        <f>+ROUND(IF(C859=10,PRODUCT(E859,F859,G859,L859),0),2)</f>
        <v>0</v>
      </c>
      <c r="O859" s="72">
        <f>+ROUND(IF(C859=12,PRODUCT(E859,F859,G859,L859),0),2)</f>
        <v>0</v>
      </c>
      <c r="P859" s="72">
        <f>+ROUND(IF(C859=16,PRODUCT(E859,F859,G859,L859),0),2)</f>
        <v>0</v>
      </c>
      <c r="Q859" s="72">
        <f>+ROUND(IF(C859=20,PRODUCT(E859,F859,G859,L859),0),2)</f>
        <v>0</v>
      </c>
      <c r="R859" s="72">
        <f>+ROUND(IF(C859=25,PRODUCT(E859,F859,G859,L859),0),2)</f>
        <v>0</v>
      </c>
    </row>
    <row r="860" spans="1:18" x14ac:dyDescent="0.25">
      <c r="A860" s="26"/>
      <c r="B860" s="104" t="s">
        <v>512</v>
      </c>
      <c r="C860" s="15">
        <v>8</v>
      </c>
      <c r="D860" s="16">
        <v>200</v>
      </c>
      <c r="E860" s="15">
        <v>2</v>
      </c>
      <c r="F860" s="11">
        <v>1</v>
      </c>
      <c r="G860" s="11">
        <v>13</v>
      </c>
      <c r="H860" s="95">
        <v>0.1</v>
      </c>
      <c r="I860" s="95">
        <f>0.175+0.7</f>
        <v>0.875</v>
      </c>
      <c r="J860" s="100"/>
      <c r="K860" s="22"/>
      <c r="L860" s="72">
        <f t="shared" si="1556"/>
        <v>0.97499999999999998</v>
      </c>
      <c r="M860" s="72">
        <f t="shared" ref="M860:M870" si="1557">+ROUND(IF(C860=8,PRODUCT(E860,F860,G860,L860),0),2)</f>
        <v>25.35</v>
      </c>
      <c r="N860" s="72">
        <f t="shared" ref="N860:N870" si="1558">+ROUND(IF(C860=10,PRODUCT(E860,F860,G860,L860),0),2)</f>
        <v>0</v>
      </c>
      <c r="O860" s="72">
        <f t="shared" ref="O860:O870" si="1559">+ROUND(IF(C860=12,PRODUCT(E860,F860,G860,L860),0),2)</f>
        <v>0</v>
      </c>
      <c r="P860" s="72">
        <f t="shared" ref="P860:P870" si="1560">+ROUND(IF(C860=16,PRODUCT(E860,F860,G860,L860),0),2)</f>
        <v>0</v>
      </c>
      <c r="Q860" s="72">
        <f t="shared" ref="Q860:Q870" si="1561">+ROUND(IF(C860=20,PRODUCT(E860,F860,G860,L860),0),2)</f>
        <v>0</v>
      </c>
      <c r="R860" s="72">
        <f t="shared" ref="R860:R870" si="1562">+ROUND(IF(C860=25,PRODUCT(E860,F860,G860,L860),0),2)</f>
        <v>0</v>
      </c>
    </row>
    <row r="861" spans="1:18" x14ac:dyDescent="0.25">
      <c r="A861" s="26"/>
      <c r="B861" s="104" t="s">
        <v>515</v>
      </c>
      <c r="C861" s="15">
        <v>8</v>
      </c>
      <c r="D861" s="16">
        <v>150</v>
      </c>
      <c r="E861" s="15">
        <v>2</v>
      </c>
      <c r="F861" s="11">
        <v>1</v>
      </c>
      <c r="G861" s="11">
        <f>+ROUND(4.24/(D861/1000)+1,0)/2</f>
        <v>14.5</v>
      </c>
      <c r="H861" s="95"/>
      <c r="I861" s="95">
        <f>0.1+1.6</f>
        <v>1.7000000000000002</v>
      </c>
      <c r="J861" s="100"/>
      <c r="K861" s="22"/>
      <c r="L861" s="72">
        <f t="shared" si="1556"/>
        <v>1.7000000000000002</v>
      </c>
      <c r="M861" s="72">
        <f t="shared" si="1557"/>
        <v>49.3</v>
      </c>
      <c r="N861" s="72">
        <f t="shared" si="1558"/>
        <v>0</v>
      </c>
      <c r="O861" s="72">
        <f t="shared" si="1559"/>
        <v>0</v>
      </c>
      <c r="P861" s="72">
        <f t="shared" si="1560"/>
        <v>0</v>
      </c>
      <c r="Q861" s="72">
        <f t="shared" si="1561"/>
        <v>0</v>
      </c>
      <c r="R861" s="72">
        <f t="shared" si="1562"/>
        <v>0</v>
      </c>
    </row>
    <row r="862" spans="1:18" x14ac:dyDescent="0.25">
      <c r="A862" s="26"/>
      <c r="B862" s="104" t="s">
        <v>515</v>
      </c>
      <c r="C862" s="15">
        <v>8</v>
      </c>
      <c r="D862" s="16">
        <v>150</v>
      </c>
      <c r="E862" s="15">
        <v>2</v>
      </c>
      <c r="F862" s="11">
        <v>1</v>
      </c>
      <c r="G862" s="11">
        <f>+ROUND(4.24/(D862/1000)+1,0)/2</f>
        <v>14.5</v>
      </c>
      <c r="H862" s="95"/>
      <c r="I862" s="95">
        <f>0.1+0.8</f>
        <v>0.9</v>
      </c>
      <c r="J862" s="100"/>
      <c r="K862" s="22"/>
      <c r="L862" s="72">
        <f t="shared" si="1556"/>
        <v>0.9</v>
      </c>
      <c r="M862" s="72">
        <f t="shared" si="1557"/>
        <v>26.1</v>
      </c>
      <c r="N862" s="72">
        <f t="shared" si="1558"/>
        <v>0</v>
      </c>
      <c r="O862" s="72">
        <f t="shared" si="1559"/>
        <v>0</v>
      </c>
      <c r="P862" s="72">
        <f t="shared" si="1560"/>
        <v>0</v>
      </c>
      <c r="Q862" s="72">
        <f t="shared" si="1561"/>
        <v>0</v>
      </c>
      <c r="R862" s="72">
        <f t="shared" si="1562"/>
        <v>0</v>
      </c>
    </row>
    <row r="863" spans="1:18" x14ac:dyDescent="0.25">
      <c r="A863" s="26"/>
      <c r="B863" s="104" t="s">
        <v>515</v>
      </c>
      <c r="C863" s="15">
        <v>8</v>
      </c>
      <c r="D863" s="16">
        <v>150</v>
      </c>
      <c r="E863" s="15">
        <v>2</v>
      </c>
      <c r="F863" s="11">
        <v>1</v>
      </c>
      <c r="G863" s="11">
        <v>17</v>
      </c>
      <c r="H863" s="95"/>
      <c r="I863" s="95">
        <f>0.1+1.47+0.1</f>
        <v>1.6700000000000002</v>
      </c>
      <c r="J863" s="100"/>
      <c r="K863" s="22"/>
      <c r="L863" s="72">
        <f t="shared" si="1556"/>
        <v>1.6700000000000002</v>
      </c>
      <c r="M863" s="72">
        <f t="shared" si="1557"/>
        <v>56.78</v>
      </c>
      <c r="N863" s="72">
        <f t="shared" si="1558"/>
        <v>0</v>
      </c>
      <c r="O863" s="72">
        <f t="shared" si="1559"/>
        <v>0</v>
      </c>
      <c r="P863" s="72">
        <f t="shared" si="1560"/>
        <v>0</v>
      </c>
      <c r="Q863" s="72">
        <f t="shared" si="1561"/>
        <v>0</v>
      </c>
      <c r="R863" s="72">
        <f t="shared" si="1562"/>
        <v>0</v>
      </c>
    </row>
    <row r="864" spans="1:18" x14ac:dyDescent="0.25">
      <c r="A864" s="26"/>
      <c r="B864" s="104" t="s">
        <v>759</v>
      </c>
      <c r="C864" s="15">
        <v>8</v>
      </c>
      <c r="D864" s="16">
        <v>200</v>
      </c>
      <c r="E864" s="15">
        <v>2</v>
      </c>
      <c r="F864" s="11">
        <v>1</v>
      </c>
      <c r="G864" s="11">
        <f>+ROUND(0.8/(D864/1000)+1,0)</f>
        <v>5</v>
      </c>
      <c r="H864" s="95">
        <v>0.2</v>
      </c>
      <c r="I864" s="95">
        <v>3.05</v>
      </c>
      <c r="J864" s="100"/>
      <c r="K864" s="22"/>
      <c r="L864" s="72">
        <f t="shared" ref="L864" si="1563">SUM(H864:J864)+K864</f>
        <v>3.25</v>
      </c>
      <c r="M864" s="72">
        <f t="shared" si="1557"/>
        <v>32.5</v>
      </c>
      <c r="N864" s="72">
        <f t="shared" si="1558"/>
        <v>0</v>
      </c>
      <c r="O864" s="72">
        <f t="shared" si="1559"/>
        <v>0</v>
      </c>
      <c r="P864" s="72">
        <f t="shared" si="1560"/>
        <v>0</v>
      </c>
      <c r="Q864" s="72">
        <f t="shared" si="1561"/>
        <v>0</v>
      </c>
      <c r="R864" s="72">
        <f t="shared" si="1562"/>
        <v>0</v>
      </c>
    </row>
    <row r="865" spans="1:18" x14ac:dyDescent="0.25">
      <c r="A865" s="26"/>
      <c r="B865" s="104" t="s">
        <v>759</v>
      </c>
      <c r="C865" s="15">
        <v>8</v>
      </c>
      <c r="D865" s="16">
        <v>200</v>
      </c>
      <c r="E865" s="15">
        <v>2</v>
      </c>
      <c r="F865" s="11">
        <v>1</v>
      </c>
      <c r="G865" s="11">
        <f>+ROUND(1.1/(D865/1000)+1,0)</f>
        <v>7</v>
      </c>
      <c r="H865" s="95">
        <v>0.1</v>
      </c>
      <c r="I865" s="95">
        <v>3.76</v>
      </c>
      <c r="J865" s="100"/>
      <c r="K865" s="22"/>
      <c r="L865" s="72">
        <f>SUM(H865:J865)+K865</f>
        <v>3.86</v>
      </c>
      <c r="M865" s="72">
        <f t="shared" si="1557"/>
        <v>54.04</v>
      </c>
      <c r="N865" s="72">
        <f t="shared" si="1558"/>
        <v>0</v>
      </c>
      <c r="O865" s="72">
        <f t="shared" si="1559"/>
        <v>0</v>
      </c>
      <c r="P865" s="72">
        <f t="shared" si="1560"/>
        <v>0</v>
      </c>
      <c r="Q865" s="72">
        <f t="shared" si="1561"/>
        <v>0</v>
      </c>
      <c r="R865" s="72">
        <f t="shared" si="1562"/>
        <v>0</v>
      </c>
    </row>
    <row r="866" spans="1:18" x14ac:dyDescent="0.25">
      <c r="A866" s="26"/>
      <c r="B866" s="104" t="s">
        <v>759</v>
      </c>
      <c r="C866" s="15">
        <v>8</v>
      </c>
      <c r="D866" s="16">
        <v>200</v>
      </c>
      <c r="E866" s="15">
        <v>2</v>
      </c>
      <c r="F866" s="11">
        <v>1</v>
      </c>
      <c r="G866" s="11">
        <v>6</v>
      </c>
      <c r="H866" s="95">
        <v>0.2</v>
      </c>
      <c r="I866" s="95">
        <v>3.2</v>
      </c>
      <c r="J866" s="100"/>
      <c r="K866" s="22"/>
      <c r="L866" s="72">
        <f t="shared" ref="L866" si="1564">SUM(H866:J866)+K866</f>
        <v>3.4000000000000004</v>
      </c>
      <c r="M866" s="72">
        <f t="shared" si="1557"/>
        <v>40.799999999999997</v>
      </c>
      <c r="N866" s="72">
        <f t="shared" si="1558"/>
        <v>0</v>
      </c>
      <c r="O866" s="72">
        <f t="shared" si="1559"/>
        <v>0</v>
      </c>
      <c r="P866" s="72">
        <f t="shared" si="1560"/>
        <v>0</v>
      </c>
      <c r="Q866" s="72">
        <f t="shared" si="1561"/>
        <v>0</v>
      </c>
      <c r="R866" s="72">
        <f t="shared" si="1562"/>
        <v>0</v>
      </c>
    </row>
    <row r="867" spans="1:18" x14ac:dyDescent="0.25">
      <c r="A867" s="26"/>
      <c r="B867" s="104" t="s">
        <v>759</v>
      </c>
      <c r="C867" s="15">
        <v>8</v>
      </c>
      <c r="D867" s="16">
        <v>200</v>
      </c>
      <c r="E867" s="15">
        <v>2</v>
      </c>
      <c r="F867" s="11">
        <v>1</v>
      </c>
      <c r="G867" s="11">
        <f>+ROUND(1.6/(D867/1000)+1,0)</f>
        <v>9</v>
      </c>
      <c r="H867" s="95">
        <v>0.2</v>
      </c>
      <c r="I867" s="95">
        <v>6.79</v>
      </c>
      <c r="J867" s="100"/>
      <c r="K867" s="22"/>
      <c r="L867" s="72">
        <f>SUM(H867:J867)+K867</f>
        <v>6.99</v>
      </c>
      <c r="M867" s="72">
        <f t="shared" si="1557"/>
        <v>125.82</v>
      </c>
      <c r="N867" s="72">
        <f t="shared" si="1558"/>
        <v>0</v>
      </c>
      <c r="O867" s="72">
        <f t="shared" si="1559"/>
        <v>0</v>
      </c>
      <c r="P867" s="72">
        <f t="shared" si="1560"/>
        <v>0</v>
      </c>
      <c r="Q867" s="72">
        <f t="shared" si="1561"/>
        <v>0</v>
      </c>
      <c r="R867" s="72">
        <f t="shared" si="1562"/>
        <v>0</v>
      </c>
    </row>
    <row r="868" spans="1:18" x14ac:dyDescent="0.25">
      <c r="A868" s="26"/>
      <c r="B868" s="104" t="s">
        <v>759</v>
      </c>
      <c r="C868" s="15">
        <v>8</v>
      </c>
      <c r="D868" s="16">
        <v>200</v>
      </c>
      <c r="E868" s="15">
        <v>2</v>
      </c>
      <c r="F868" s="11">
        <v>1</v>
      </c>
      <c r="G868" s="11">
        <f>+ROUND(1.46/(D868/1000)+1,0)</f>
        <v>8</v>
      </c>
      <c r="H868" s="95">
        <v>0.2</v>
      </c>
      <c r="I868" s="95">
        <v>1.47</v>
      </c>
      <c r="J868" s="100"/>
      <c r="K868" s="22"/>
      <c r="L868" s="72">
        <f>SUM(H868:J868)+K868</f>
        <v>1.67</v>
      </c>
      <c r="M868" s="72">
        <f t="shared" si="1557"/>
        <v>26.72</v>
      </c>
      <c r="N868" s="72">
        <f t="shared" si="1558"/>
        <v>0</v>
      </c>
      <c r="O868" s="72">
        <f t="shared" si="1559"/>
        <v>0</v>
      </c>
      <c r="P868" s="72">
        <f t="shared" si="1560"/>
        <v>0</v>
      </c>
      <c r="Q868" s="72">
        <f t="shared" si="1561"/>
        <v>0</v>
      </c>
      <c r="R868" s="72">
        <f t="shared" si="1562"/>
        <v>0</v>
      </c>
    </row>
    <row r="869" spans="1:18" x14ac:dyDescent="0.25">
      <c r="A869" s="26"/>
      <c r="B869" s="104" t="s">
        <v>759</v>
      </c>
      <c r="C869" s="15">
        <v>8</v>
      </c>
      <c r="D869" s="16">
        <v>200</v>
      </c>
      <c r="E869" s="15">
        <v>2</v>
      </c>
      <c r="F869" s="11">
        <v>1</v>
      </c>
      <c r="G869" s="11">
        <f>+ROUND(1.3/(D869/1000)+1,0)</f>
        <v>8</v>
      </c>
      <c r="H869" s="95">
        <v>0.2</v>
      </c>
      <c r="I869" s="95">
        <v>2.5499999999999998</v>
      </c>
      <c r="J869" s="100"/>
      <c r="K869" s="22"/>
      <c r="L869" s="72">
        <f>SUM(H869:J869)+K869</f>
        <v>2.75</v>
      </c>
      <c r="M869" s="72">
        <f t="shared" si="1557"/>
        <v>44</v>
      </c>
      <c r="N869" s="72">
        <f t="shared" si="1558"/>
        <v>0</v>
      </c>
      <c r="O869" s="72">
        <f t="shared" si="1559"/>
        <v>0</v>
      </c>
      <c r="P869" s="72">
        <f t="shared" si="1560"/>
        <v>0</v>
      </c>
      <c r="Q869" s="72">
        <f t="shared" si="1561"/>
        <v>0</v>
      </c>
      <c r="R869" s="72">
        <f t="shared" si="1562"/>
        <v>0</v>
      </c>
    </row>
    <row r="870" spans="1:18" x14ac:dyDescent="0.25">
      <c r="A870" s="26"/>
      <c r="B870" s="104" t="s">
        <v>759</v>
      </c>
      <c r="C870" s="15">
        <v>8</v>
      </c>
      <c r="D870" s="16">
        <v>200</v>
      </c>
      <c r="E870" s="15">
        <v>2</v>
      </c>
      <c r="F870" s="11">
        <v>1</v>
      </c>
      <c r="G870" s="11">
        <f>+ROUND(1.1/(D870/1000)+1,0)</f>
        <v>7</v>
      </c>
      <c r="H870" s="95">
        <v>0.1</v>
      </c>
      <c r="I870" s="95">
        <v>3.76</v>
      </c>
      <c r="J870" s="100"/>
      <c r="K870" s="22"/>
      <c r="L870" s="72">
        <f>SUM(H870:J870)+K870</f>
        <v>3.86</v>
      </c>
      <c r="M870" s="72">
        <f t="shared" si="1557"/>
        <v>54.04</v>
      </c>
      <c r="N870" s="72">
        <f t="shared" si="1558"/>
        <v>0</v>
      </c>
      <c r="O870" s="72">
        <f t="shared" si="1559"/>
        <v>0</v>
      </c>
      <c r="P870" s="72">
        <f t="shared" si="1560"/>
        <v>0</v>
      </c>
      <c r="Q870" s="72">
        <f t="shared" si="1561"/>
        <v>0</v>
      </c>
      <c r="R870" s="72">
        <f t="shared" si="1562"/>
        <v>0</v>
      </c>
    </row>
    <row r="871" spans="1:18" x14ac:dyDescent="0.25">
      <c r="A871" s="26"/>
      <c r="B871" s="25"/>
      <c r="C871" s="15"/>
      <c r="D871" s="16"/>
      <c r="E871" s="15"/>
      <c r="F871" s="11"/>
      <c r="G871" s="11"/>
      <c r="H871" s="95"/>
      <c r="I871" s="95"/>
      <c r="J871" s="100"/>
      <c r="K871" s="22"/>
      <c r="L871" s="72"/>
      <c r="M871" s="72"/>
      <c r="N871" s="72"/>
      <c r="O871" s="72"/>
      <c r="P871" s="72"/>
      <c r="Q871" s="72"/>
      <c r="R871" s="72"/>
    </row>
    <row r="872" spans="1:18" x14ac:dyDescent="0.25">
      <c r="A872" s="26"/>
      <c r="B872" s="45" t="s">
        <v>784</v>
      </c>
      <c r="C872" s="15"/>
      <c r="D872" s="16"/>
      <c r="E872" s="15"/>
      <c r="F872" s="11"/>
      <c r="G872" s="11"/>
      <c r="H872" s="95"/>
      <c r="I872" s="95"/>
      <c r="J872" s="100"/>
      <c r="K872" s="22"/>
      <c r="L872" s="72"/>
      <c r="M872" s="72">
        <f t="shared" ref="M872:M883" si="1565">+ROUND(IF(C872=8,PRODUCT(E872,F872,G872,L872),0),2)</f>
        <v>0</v>
      </c>
      <c r="N872" s="72">
        <f t="shared" ref="N872:N883" si="1566">+ROUND(IF(C872=10,PRODUCT(E872,F872,G872,L872),0),2)</f>
        <v>0</v>
      </c>
      <c r="O872" s="72">
        <f t="shared" ref="O872:O883" si="1567">+ROUND(IF(C872=12,PRODUCT(E872,F872,G872,L872),0),2)</f>
        <v>0</v>
      </c>
      <c r="P872" s="72">
        <f t="shared" ref="P872:P883" si="1568">+ROUND(IF(C872=16,PRODUCT(E872,F872,G872,L872),0),2)</f>
        <v>0</v>
      </c>
      <c r="Q872" s="72">
        <f t="shared" ref="Q872:Q883" si="1569">+ROUND(IF(C872=20,PRODUCT(E872,F872,G872,L872),0),2)</f>
        <v>0</v>
      </c>
      <c r="R872" s="72">
        <f t="shared" ref="R872:R883" si="1570">+ROUND(IF(C872=25,PRODUCT(E872,F872,G872,L872),0),2)</f>
        <v>0</v>
      </c>
    </row>
    <row r="873" spans="1:18" x14ac:dyDescent="0.25">
      <c r="A873" s="26"/>
      <c r="B873" s="104" t="s">
        <v>778</v>
      </c>
      <c r="C873" s="15">
        <v>8</v>
      </c>
      <c r="D873" s="16">
        <v>200</v>
      </c>
      <c r="E873" s="15">
        <v>2</v>
      </c>
      <c r="F873" s="11">
        <v>1</v>
      </c>
      <c r="G873" s="11">
        <f>+ROUND(3.25/(D873/1000)+1,0)</f>
        <v>17</v>
      </c>
      <c r="H873" s="95"/>
      <c r="I873" s="95">
        <f>0.175+2.365+0.175</f>
        <v>2.7149999999999999</v>
      </c>
      <c r="J873" s="100"/>
      <c r="K873" s="47"/>
      <c r="L873" s="72">
        <f>SUM(H873:J873)+K873</f>
        <v>2.7149999999999999</v>
      </c>
      <c r="M873" s="72">
        <f t="shared" si="1565"/>
        <v>92.31</v>
      </c>
      <c r="N873" s="72">
        <f t="shared" si="1566"/>
        <v>0</v>
      </c>
      <c r="O873" s="72">
        <f t="shared" si="1567"/>
        <v>0</v>
      </c>
      <c r="P873" s="72">
        <f t="shared" si="1568"/>
        <v>0</v>
      </c>
      <c r="Q873" s="72">
        <f t="shared" si="1569"/>
        <v>0</v>
      </c>
      <c r="R873" s="72">
        <f t="shared" si="1570"/>
        <v>0</v>
      </c>
    </row>
    <row r="874" spans="1:18" x14ac:dyDescent="0.25">
      <c r="A874" s="26"/>
      <c r="B874" s="104" t="s">
        <v>521</v>
      </c>
      <c r="C874" s="15">
        <v>8</v>
      </c>
      <c r="D874" s="16">
        <v>200</v>
      </c>
      <c r="E874" s="15">
        <v>2</v>
      </c>
      <c r="F874" s="11">
        <v>1</v>
      </c>
      <c r="G874" s="11">
        <f>+ROUND(2.365/(D874/1000)+1,0)</f>
        <v>13</v>
      </c>
      <c r="H874" s="95"/>
      <c r="I874" s="95">
        <f>0.175+3.25+0.175</f>
        <v>3.5999999999999996</v>
      </c>
      <c r="J874" s="100"/>
      <c r="K874" s="47"/>
      <c r="L874" s="72">
        <f>SUM(H874:J874)+K874</f>
        <v>3.5999999999999996</v>
      </c>
      <c r="M874" s="72">
        <f t="shared" si="1565"/>
        <v>93.6</v>
      </c>
      <c r="N874" s="72">
        <f t="shared" si="1566"/>
        <v>0</v>
      </c>
      <c r="O874" s="72">
        <f t="shared" si="1567"/>
        <v>0</v>
      </c>
      <c r="P874" s="72">
        <f t="shared" si="1568"/>
        <v>0</v>
      </c>
      <c r="Q874" s="72">
        <f t="shared" si="1569"/>
        <v>0</v>
      </c>
      <c r="R874" s="72">
        <f t="shared" si="1570"/>
        <v>0</v>
      </c>
    </row>
    <row r="875" spans="1:18" x14ac:dyDescent="0.25">
      <c r="A875" s="26"/>
      <c r="B875" s="104" t="s">
        <v>512</v>
      </c>
      <c r="C875" s="15">
        <v>8</v>
      </c>
      <c r="D875" s="16">
        <v>200</v>
      </c>
      <c r="E875" s="15">
        <v>2</v>
      </c>
      <c r="F875" s="11">
        <v>1</v>
      </c>
      <c r="G875" s="11">
        <f>+ROUND(2.365/(D875/1000)+1,0)</f>
        <v>13</v>
      </c>
      <c r="H875" s="95">
        <v>0.1</v>
      </c>
      <c r="I875" s="95">
        <f>0.55+0.175</f>
        <v>0.72500000000000009</v>
      </c>
      <c r="J875" s="100"/>
      <c r="K875" s="22"/>
      <c r="L875" s="72">
        <f>SUM(H875:J875)+K875</f>
        <v>0.82500000000000007</v>
      </c>
      <c r="M875" s="72">
        <f t="shared" si="1565"/>
        <v>21.45</v>
      </c>
      <c r="N875" s="72">
        <f t="shared" si="1566"/>
        <v>0</v>
      </c>
      <c r="O875" s="72">
        <f t="shared" si="1567"/>
        <v>0</v>
      </c>
      <c r="P875" s="72">
        <f t="shared" si="1568"/>
        <v>0</v>
      </c>
      <c r="Q875" s="72">
        <f t="shared" si="1569"/>
        <v>0</v>
      </c>
      <c r="R875" s="72">
        <f t="shared" si="1570"/>
        <v>0</v>
      </c>
    </row>
    <row r="876" spans="1:18" x14ac:dyDescent="0.25">
      <c r="A876" s="26"/>
      <c r="B876" s="104" t="s">
        <v>512</v>
      </c>
      <c r="C876" s="15">
        <v>8</v>
      </c>
      <c r="D876" s="16">
        <v>200</v>
      </c>
      <c r="E876" s="15">
        <v>2</v>
      </c>
      <c r="F876" s="11">
        <v>1</v>
      </c>
      <c r="G876" s="11">
        <f>+ROUND(1.52/(D876/1000)+1,0)</f>
        <v>9</v>
      </c>
      <c r="H876" s="95">
        <v>0.1</v>
      </c>
      <c r="I876" s="95">
        <f>0.45+0.175</f>
        <v>0.625</v>
      </c>
      <c r="J876" s="100"/>
      <c r="K876" s="22"/>
      <c r="L876" s="72">
        <f t="shared" ref="L876" si="1571">SUM(H876:J876)+K876</f>
        <v>0.72499999999999998</v>
      </c>
      <c r="M876" s="72">
        <f t="shared" si="1565"/>
        <v>13.05</v>
      </c>
      <c r="N876" s="72">
        <f t="shared" si="1566"/>
        <v>0</v>
      </c>
      <c r="O876" s="72">
        <f t="shared" si="1567"/>
        <v>0</v>
      </c>
      <c r="P876" s="72">
        <f t="shared" si="1568"/>
        <v>0</v>
      </c>
      <c r="Q876" s="72">
        <f t="shared" si="1569"/>
        <v>0</v>
      </c>
      <c r="R876" s="72">
        <f t="shared" si="1570"/>
        <v>0</v>
      </c>
    </row>
    <row r="877" spans="1:18" x14ac:dyDescent="0.25">
      <c r="A877" s="26"/>
      <c r="B877" s="104" t="s">
        <v>515</v>
      </c>
      <c r="C877" s="15">
        <v>8</v>
      </c>
      <c r="D877" s="16">
        <v>150</v>
      </c>
      <c r="E877" s="15">
        <v>2</v>
      </c>
      <c r="F877" s="11">
        <v>1</v>
      </c>
      <c r="G877" s="11">
        <f>+ROUND(1.53/(D877/1000)+1,0)/2</f>
        <v>5.5</v>
      </c>
      <c r="H877" s="95"/>
      <c r="I877" s="95">
        <f>0.1+0.8</f>
        <v>0.9</v>
      </c>
      <c r="J877" s="100"/>
      <c r="K877" s="22"/>
      <c r="L877" s="72">
        <f>SUM(H877:J877)+K877</f>
        <v>0.9</v>
      </c>
      <c r="M877" s="72">
        <f t="shared" si="1565"/>
        <v>9.9</v>
      </c>
      <c r="N877" s="72">
        <f t="shared" si="1566"/>
        <v>0</v>
      </c>
      <c r="O877" s="72">
        <f t="shared" si="1567"/>
        <v>0</v>
      </c>
      <c r="P877" s="72">
        <f t="shared" si="1568"/>
        <v>0</v>
      </c>
      <c r="Q877" s="72">
        <f t="shared" si="1569"/>
        <v>0</v>
      </c>
      <c r="R877" s="72">
        <f t="shared" si="1570"/>
        <v>0</v>
      </c>
    </row>
    <row r="878" spans="1:18" x14ac:dyDescent="0.25">
      <c r="A878" s="26"/>
      <c r="B878" s="104" t="s">
        <v>515</v>
      </c>
      <c r="C878" s="15">
        <v>8</v>
      </c>
      <c r="D878" s="16">
        <v>150</v>
      </c>
      <c r="E878" s="15">
        <v>2</v>
      </c>
      <c r="F878" s="11">
        <v>1</v>
      </c>
      <c r="G878" s="11">
        <f>+ROUND(1.53/(D878/1000)+1,0)/2</f>
        <v>5.5</v>
      </c>
      <c r="H878" s="95"/>
      <c r="I878" s="95">
        <f>0.1+0.4</f>
        <v>0.5</v>
      </c>
      <c r="J878" s="100"/>
      <c r="K878" s="22"/>
      <c r="L878" s="72">
        <f t="shared" ref="L878" si="1572">SUM(H878:J878)+K878</f>
        <v>0.5</v>
      </c>
      <c r="M878" s="72">
        <f t="shared" si="1565"/>
        <v>5.5</v>
      </c>
      <c r="N878" s="72">
        <f t="shared" si="1566"/>
        <v>0</v>
      </c>
      <c r="O878" s="72">
        <f t="shared" si="1567"/>
        <v>0</v>
      </c>
      <c r="P878" s="72">
        <f t="shared" si="1568"/>
        <v>0</v>
      </c>
      <c r="Q878" s="72">
        <f t="shared" si="1569"/>
        <v>0</v>
      </c>
      <c r="R878" s="72">
        <f t="shared" si="1570"/>
        <v>0</v>
      </c>
    </row>
    <row r="879" spans="1:18" x14ac:dyDescent="0.25">
      <c r="A879" s="26"/>
      <c r="B879" s="104" t="s">
        <v>512</v>
      </c>
      <c r="C879" s="15">
        <v>8</v>
      </c>
      <c r="D879" s="16">
        <v>200</v>
      </c>
      <c r="E879" s="15">
        <v>2</v>
      </c>
      <c r="F879" s="11">
        <v>1</v>
      </c>
      <c r="G879" s="11">
        <f>+ROUND(3.25/(D879/1000)+1,0)/2</f>
        <v>8.5</v>
      </c>
      <c r="H879" s="95"/>
      <c r="I879" s="95">
        <f>0.1+0.8</f>
        <v>0.9</v>
      </c>
      <c r="J879" s="100"/>
      <c r="K879" s="22"/>
      <c r="L879" s="72">
        <f>SUM(H879:J879)+K879</f>
        <v>0.9</v>
      </c>
      <c r="M879" s="72">
        <f t="shared" si="1565"/>
        <v>15.3</v>
      </c>
      <c r="N879" s="72">
        <f t="shared" si="1566"/>
        <v>0</v>
      </c>
      <c r="O879" s="72">
        <f t="shared" si="1567"/>
        <v>0</v>
      </c>
      <c r="P879" s="72">
        <f t="shared" si="1568"/>
        <v>0</v>
      </c>
      <c r="Q879" s="72">
        <f t="shared" si="1569"/>
        <v>0</v>
      </c>
      <c r="R879" s="72">
        <f t="shared" si="1570"/>
        <v>0</v>
      </c>
    </row>
    <row r="880" spans="1:18" x14ac:dyDescent="0.25">
      <c r="A880" s="26"/>
      <c r="B880" s="104" t="s">
        <v>512</v>
      </c>
      <c r="C880" s="15">
        <v>8</v>
      </c>
      <c r="D880" s="16">
        <v>200</v>
      </c>
      <c r="E880" s="15">
        <v>2</v>
      </c>
      <c r="F880" s="11">
        <v>1</v>
      </c>
      <c r="G880" s="11">
        <f>+ROUND(3.25/(D880/1000)+1,0)/2</f>
        <v>8.5</v>
      </c>
      <c r="H880" s="95"/>
      <c r="I880" s="95">
        <f>0.1+0.4</f>
        <v>0.5</v>
      </c>
      <c r="J880" s="100"/>
      <c r="K880" s="22"/>
      <c r="L880" s="72">
        <f t="shared" ref="L880:L883" si="1573">SUM(H880:J880)+K880</f>
        <v>0.5</v>
      </c>
      <c r="M880" s="72">
        <f t="shared" si="1565"/>
        <v>8.5</v>
      </c>
      <c r="N880" s="72">
        <f t="shared" si="1566"/>
        <v>0</v>
      </c>
      <c r="O880" s="72">
        <f t="shared" si="1567"/>
        <v>0</v>
      </c>
      <c r="P880" s="72">
        <f t="shared" si="1568"/>
        <v>0</v>
      </c>
      <c r="Q880" s="72">
        <f t="shared" si="1569"/>
        <v>0</v>
      </c>
      <c r="R880" s="72">
        <f t="shared" si="1570"/>
        <v>0</v>
      </c>
    </row>
    <row r="881" spans="1:18" x14ac:dyDescent="0.25">
      <c r="A881" s="26"/>
      <c r="B881" s="104" t="s">
        <v>759</v>
      </c>
      <c r="C881" s="15">
        <v>8</v>
      </c>
      <c r="D881" s="16">
        <v>200</v>
      </c>
      <c r="E881" s="15">
        <v>2</v>
      </c>
      <c r="F881" s="11">
        <v>1</v>
      </c>
      <c r="G881" s="11">
        <f>+ROUND(0.55/(D881/1000)+1,0)</f>
        <v>4</v>
      </c>
      <c r="H881" s="95">
        <v>0.2</v>
      </c>
      <c r="I881" s="95">
        <v>2.3650000000000002</v>
      </c>
      <c r="J881" s="100"/>
      <c r="K881" s="22"/>
      <c r="L881" s="72">
        <f t="shared" si="1573"/>
        <v>2.5650000000000004</v>
      </c>
      <c r="M881" s="72">
        <f t="shared" si="1565"/>
        <v>20.52</v>
      </c>
      <c r="N881" s="72">
        <f t="shared" si="1566"/>
        <v>0</v>
      </c>
      <c r="O881" s="72">
        <f t="shared" si="1567"/>
        <v>0</v>
      </c>
      <c r="P881" s="72">
        <f t="shared" si="1568"/>
        <v>0</v>
      </c>
      <c r="Q881" s="72">
        <f t="shared" si="1569"/>
        <v>0</v>
      </c>
      <c r="R881" s="72">
        <f t="shared" si="1570"/>
        <v>0</v>
      </c>
    </row>
    <row r="882" spans="1:18" x14ac:dyDescent="0.25">
      <c r="A882" s="26"/>
      <c r="B882" s="104" t="s">
        <v>759</v>
      </c>
      <c r="C882" s="15">
        <v>8</v>
      </c>
      <c r="D882" s="16">
        <v>200</v>
      </c>
      <c r="E882" s="15">
        <v>2</v>
      </c>
      <c r="F882" s="11">
        <v>1</v>
      </c>
      <c r="G882" s="11">
        <f>+ROUND(0.8/(D882/1000)+1,0)</f>
        <v>5</v>
      </c>
      <c r="H882" s="95">
        <v>0.2</v>
      </c>
      <c r="I882" s="95">
        <v>3.25</v>
      </c>
      <c r="J882" s="100"/>
      <c r="K882" s="22"/>
      <c r="L882" s="72">
        <f t="shared" si="1573"/>
        <v>3.45</v>
      </c>
      <c r="M882" s="72">
        <f t="shared" si="1565"/>
        <v>34.5</v>
      </c>
      <c r="N882" s="72">
        <f t="shared" si="1566"/>
        <v>0</v>
      </c>
      <c r="O882" s="72">
        <f t="shared" si="1567"/>
        <v>0</v>
      </c>
      <c r="P882" s="72">
        <f t="shared" si="1568"/>
        <v>0</v>
      </c>
      <c r="Q882" s="72">
        <f t="shared" si="1569"/>
        <v>0</v>
      </c>
      <c r="R882" s="72">
        <f t="shared" si="1570"/>
        <v>0</v>
      </c>
    </row>
    <row r="883" spans="1:18" x14ac:dyDescent="0.25">
      <c r="A883" s="26"/>
      <c r="B883" s="104" t="s">
        <v>759</v>
      </c>
      <c r="C883" s="15">
        <v>8</v>
      </c>
      <c r="D883" s="16">
        <v>200</v>
      </c>
      <c r="E883" s="15">
        <v>2</v>
      </c>
      <c r="F883" s="11">
        <v>1</v>
      </c>
      <c r="G883" s="11">
        <f>+ROUND(0.8/(D883/1000)+1,0)</f>
        <v>5</v>
      </c>
      <c r="H883" s="95">
        <v>0.2</v>
      </c>
      <c r="I883" s="95">
        <v>3.25</v>
      </c>
      <c r="J883" s="100"/>
      <c r="K883" s="22"/>
      <c r="L883" s="72">
        <f t="shared" si="1573"/>
        <v>3.45</v>
      </c>
      <c r="M883" s="72">
        <f t="shared" si="1565"/>
        <v>34.5</v>
      </c>
      <c r="N883" s="72">
        <f t="shared" si="1566"/>
        <v>0</v>
      </c>
      <c r="O883" s="72">
        <f t="shared" si="1567"/>
        <v>0</v>
      </c>
      <c r="P883" s="72">
        <f t="shared" si="1568"/>
        <v>0</v>
      </c>
      <c r="Q883" s="72">
        <f t="shared" si="1569"/>
        <v>0</v>
      </c>
      <c r="R883" s="72">
        <f t="shared" si="1570"/>
        <v>0</v>
      </c>
    </row>
    <row r="884" spans="1:18" x14ac:dyDescent="0.25">
      <c r="A884" s="26"/>
      <c r="B884" s="25"/>
      <c r="C884" s="15"/>
      <c r="D884" s="16"/>
      <c r="E884" s="15"/>
      <c r="F884" s="11"/>
      <c r="G884" s="11"/>
      <c r="H884" s="95"/>
      <c r="I884" s="95"/>
      <c r="J884" s="100"/>
      <c r="K884" s="22"/>
      <c r="L884" s="72"/>
      <c r="M884" s="72"/>
      <c r="N884" s="72"/>
      <c r="O884" s="72"/>
      <c r="P884" s="72"/>
      <c r="Q884" s="72"/>
      <c r="R884" s="72"/>
    </row>
    <row r="885" spans="1:18" x14ac:dyDescent="0.25">
      <c r="A885" s="26"/>
      <c r="B885" s="45" t="s">
        <v>785</v>
      </c>
      <c r="C885" s="15"/>
      <c r="D885" s="16"/>
      <c r="E885" s="15"/>
      <c r="F885" s="11"/>
      <c r="G885" s="11"/>
      <c r="H885" s="95"/>
      <c r="I885" s="95"/>
      <c r="J885" s="100"/>
      <c r="K885" s="22"/>
      <c r="L885" s="72"/>
      <c r="M885" s="72">
        <f t="shared" ref="M885:M898" si="1574">+ROUND(IF(C885=8,PRODUCT(E885,F885,G885,L885),0),2)</f>
        <v>0</v>
      </c>
      <c r="N885" s="72">
        <f t="shared" ref="N885:N898" si="1575">+ROUND(IF(C885=10,PRODUCT(E885,F885,G885,L885),0),2)</f>
        <v>0</v>
      </c>
      <c r="O885" s="72">
        <f t="shared" ref="O885:O898" si="1576">+ROUND(IF(C885=12,PRODUCT(E885,F885,G885,L885),0),2)</f>
        <v>0</v>
      </c>
      <c r="P885" s="72">
        <f t="shared" ref="P885:P898" si="1577">+ROUND(IF(C885=16,PRODUCT(E885,F885,G885,L885),0),2)</f>
        <v>0</v>
      </c>
      <c r="Q885" s="72">
        <f t="shared" ref="Q885:Q898" si="1578">+ROUND(IF(C885=20,PRODUCT(E885,F885,G885,L885),0),2)</f>
        <v>0</v>
      </c>
      <c r="R885" s="72">
        <f t="shared" ref="R885:R898" si="1579">+ROUND(IF(C885=25,PRODUCT(E885,F885,G885,L885),0),2)</f>
        <v>0</v>
      </c>
    </row>
    <row r="886" spans="1:18" x14ac:dyDescent="0.25">
      <c r="A886" s="26"/>
      <c r="B886" s="104" t="s">
        <v>778</v>
      </c>
      <c r="C886" s="15">
        <v>8</v>
      </c>
      <c r="D886" s="16">
        <v>200</v>
      </c>
      <c r="E886" s="15">
        <v>2</v>
      </c>
      <c r="F886" s="11">
        <v>1</v>
      </c>
      <c r="G886" s="11">
        <f>+ROUND(3.25/(D886/1000)+1,0)</f>
        <v>17</v>
      </c>
      <c r="H886" s="95"/>
      <c r="I886" s="95">
        <f>0.175+2.925+0.175</f>
        <v>3.2749999999999995</v>
      </c>
      <c r="J886" s="100"/>
      <c r="K886" s="47"/>
      <c r="L886" s="72">
        <f>SUM(H886:J886)+K886</f>
        <v>3.2749999999999995</v>
      </c>
      <c r="M886" s="72">
        <f t="shared" si="1574"/>
        <v>111.35</v>
      </c>
      <c r="N886" s="72">
        <f t="shared" si="1575"/>
        <v>0</v>
      </c>
      <c r="O886" s="72">
        <f t="shared" si="1576"/>
        <v>0</v>
      </c>
      <c r="P886" s="72">
        <f t="shared" si="1577"/>
        <v>0</v>
      </c>
      <c r="Q886" s="72">
        <f t="shared" si="1578"/>
        <v>0</v>
      </c>
      <c r="R886" s="72">
        <f t="shared" si="1579"/>
        <v>0</v>
      </c>
    </row>
    <row r="887" spans="1:18" x14ac:dyDescent="0.25">
      <c r="A887" s="26"/>
      <c r="B887" s="104" t="s">
        <v>521</v>
      </c>
      <c r="C887" s="15">
        <v>8</v>
      </c>
      <c r="D887" s="16">
        <v>200</v>
      </c>
      <c r="E887" s="15">
        <v>2</v>
      </c>
      <c r="F887" s="11">
        <v>1</v>
      </c>
      <c r="G887" s="11">
        <f>+ROUND(2.925/(D887/1000)+1,0)</f>
        <v>16</v>
      </c>
      <c r="H887" s="95"/>
      <c r="I887" s="95">
        <f>0.175+3.25+0.175</f>
        <v>3.5999999999999996</v>
      </c>
      <c r="J887" s="100"/>
      <c r="K887" s="47"/>
      <c r="L887" s="72">
        <f>SUM(H887:J887)+K887</f>
        <v>3.5999999999999996</v>
      </c>
      <c r="M887" s="72">
        <f t="shared" si="1574"/>
        <v>115.2</v>
      </c>
      <c r="N887" s="72">
        <f t="shared" si="1575"/>
        <v>0</v>
      </c>
      <c r="O887" s="72">
        <f t="shared" si="1576"/>
        <v>0</v>
      </c>
      <c r="P887" s="72">
        <f t="shared" si="1577"/>
        <v>0</v>
      </c>
      <c r="Q887" s="72">
        <f t="shared" si="1578"/>
        <v>0</v>
      </c>
      <c r="R887" s="72">
        <f t="shared" si="1579"/>
        <v>0</v>
      </c>
    </row>
    <row r="888" spans="1:18" x14ac:dyDescent="0.25">
      <c r="A888" s="26"/>
      <c r="B888" s="104" t="s">
        <v>512</v>
      </c>
      <c r="C888" s="15">
        <v>8</v>
      </c>
      <c r="D888" s="16">
        <v>200</v>
      </c>
      <c r="E888" s="15">
        <v>2</v>
      </c>
      <c r="F888" s="11">
        <v>1</v>
      </c>
      <c r="G888" s="11">
        <f>+ROUND(2.925/(D888/1000)+1,0)</f>
        <v>16</v>
      </c>
      <c r="H888" s="95">
        <v>0.1</v>
      </c>
      <c r="I888" s="95">
        <f>0.55+0.175</f>
        <v>0.72500000000000009</v>
      </c>
      <c r="J888" s="100"/>
      <c r="K888" s="22"/>
      <c r="L888" s="72">
        <f>SUM(H888:J888)+K888</f>
        <v>0.82500000000000007</v>
      </c>
      <c r="M888" s="72">
        <f t="shared" si="1574"/>
        <v>26.4</v>
      </c>
      <c r="N888" s="72">
        <f t="shared" si="1575"/>
        <v>0</v>
      </c>
      <c r="O888" s="72">
        <f t="shared" si="1576"/>
        <v>0</v>
      </c>
      <c r="P888" s="72">
        <f t="shared" si="1577"/>
        <v>0</v>
      </c>
      <c r="Q888" s="72">
        <f t="shared" si="1578"/>
        <v>0</v>
      </c>
      <c r="R888" s="72">
        <f t="shared" si="1579"/>
        <v>0</v>
      </c>
    </row>
    <row r="889" spans="1:18" x14ac:dyDescent="0.25">
      <c r="A889" s="26"/>
      <c r="B889" s="104" t="s">
        <v>512</v>
      </c>
      <c r="C889" s="15">
        <v>8</v>
      </c>
      <c r="D889" s="16">
        <v>200</v>
      </c>
      <c r="E889" s="15">
        <v>2</v>
      </c>
      <c r="F889" s="11">
        <v>1</v>
      </c>
      <c r="G889" s="11">
        <f>+ROUND(1.52/(D889/1000)+1,0)</f>
        <v>9</v>
      </c>
      <c r="H889" s="95">
        <v>0.1</v>
      </c>
      <c r="I889" s="95">
        <f>0.5+0.175</f>
        <v>0.67500000000000004</v>
      </c>
      <c r="J889" s="100"/>
      <c r="K889" s="22"/>
      <c r="L889" s="72">
        <f t="shared" ref="L889" si="1580">SUM(H889:J889)+K889</f>
        <v>0.77500000000000002</v>
      </c>
      <c r="M889" s="72">
        <f t="shared" si="1574"/>
        <v>13.95</v>
      </c>
      <c r="N889" s="72">
        <f t="shared" si="1575"/>
        <v>0</v>
      </c>
      <c r="O889" s="72">
        <f t="shared" si="1576"/>
        <v>0</v>
      </c>
      <c r="P889" s="72">
        <f t="shared" si="1577"/>
        <v>0</v>
      </c>
      <c r="Q889" s="72">
        <f t="shared" si="1578"/>
        <v>0</v>
      </c>
      <c r="R889" s="72">
        <f t="shared" si="1579"/>
        <v>0</v>
      </c>
    </row>
    <row r="890" spans="1:18" x14ac:dyDescent="0.25">
      <c r="A890" s="26"/>
      <c r="B890" s="104" t="s">
        <v>512</v>
      </c>
      <c r="C890" s="15">
        <v>8</v>
      </c>
      <c r="D890" s="16">
        <v>200</v>
      </c>
      <c r="E890" s="15">
        <v>2</v>
      </c>
      <c r="F890" s="11">
        <v>1</v>
      </c>
      <c r="G890" s="11">
        <f>+ROUND(1.53/(D890/1000)+1,0)/2</f>
        <v>4.5</v>
      </c>
      <c r="H890" s="95"/>
      <c r="I890" s="95">
        <f>0.1+1</f>
        <v>1.1000000000000001</v>
      </c>
      <c r="J890" s="100"/>
      <c r="K890" s="22"/>
      <c r="L890" s="72">
        <f>SUM(H890:J890)+K890</f>
        <v>1.1000000000000001</v>
      </c>
      <c r="M890" s="72">
        <f t="shared" si="1574"/>
        <v>9.9</v>
      </c>
      <c r="N890" s="72">
        <f t="shared" si="1575"/>
        <v>0</v>
      </c>
      <c r="O890" s="72">
        <f t="shared" si="1576"/>
        <v>0</v>
      </c>
      <c r="P890" s="72">
        <f t="shared" si="1577"/>
        <v>0</v>
      </c>
      <c r="Q890" s="72">
        <f t="shared" si="1578"/>
        <v>0</v>
      </c>
      <c r="R890" s="72">
        <f t="shared" si="1579"/>
        <v>0</v>
      </c>
    </row>
    <row r="891" spans="1:18" x14ac:dyDescent="0.25">
      <c r="A891" s="26"/>
      <c r="B891" s="104" t="s">
        <v>512</v>
      </c>
      <c r="C891" s="15">
        <v>8</v>
      </c>
      <c r="D891" s="16">
        <v>200</v>
      </c>
      <c r="E891" s="15">
        <v>2</v>
      </c>
      <c r="F891" s="11">
        <v>1</v>
      </c>
      <c r="G891" s="11">
        <f>+ROUND(1.53/(D891/1000)+1,0)/2</f>
        <v>4.5</v>
      </c>
      <c r="H891" s="95"/>
      <c r="I891" s="95">
        <f>0.1+0.5</f>
        <v>0.6</v>
      </c>
      <c r="J891" s="100"/>
      <c r="K891" s="22"/>
      <c r="L891" s="72">
        <f t="shared" ref="L891" si="1581">SUM(H891:J891)+K891</f>
        <v>0.6</v>
      </c>
      <c r="M891" s="72">
        <f t="shared" si="1574"/>
        <v>5.4</v>
      </c>
      <c r="N891" s="72">
        <f t="shared" si="1575"/>
        <v>0</v>
      </c>
      <c r="O891" s="72">
        <f t="shared" si="1576"/>
        <v>0</v>
      </c>
      <c r="P891" s="72">
        <f t="shared" si="1577"/>
        <v>0</v>
      </c>
      <c r="Q891" s="72">
        <f t="shared" si="1578"/>
        <v>0</v>
      </c>
      <c r="R891" s="72">
        <f t="shared" si="1579"/>
        <v>0</v>
      </c>
    </row>
    <row r="892" spans="1:18" x14ac:dyDescent="0.25">
      <c r="A892" s="26"/>
      <c r="B892" s="104" t="s">
        <v>512</v>
      </c>
      <c r="C892" s="15">
        <v>8</v>
      </c>
      <c r="D892" s="16">
        <v>200</v>
      </c>
      <c r="E892" s="15">
        <v>2</v>
      </c>
      <c r="F892" s="11">
        <v>1</v>
      </c>
      <c r="G892" s="11">
        <f>+ROUND(3.25/(D892/1000)+1,0)/2</f>
        <v>8.5</v>
      </c>
      <c r="H892" s="95"/>
      <c r="I892" s="95">
        <f>0.1+1</f>
        <v>1.1000000000000001</v>
      </c>
      <c r="J892" s="100"/>
      <c r="K892" s="22"/>
      <c r="L892" s="72">
        <f>SUM(H892:J892)+K892</f>
        <v>1.1000000000000001</v>
      </c>
      <c r="M892" s="72">
        <f t="shared" si="1574"/>
        <v>18.7</v>
      </c>
      <c r="N892" s="72">
        <f t="shared" si="1575"/>
        <v>0</v>
      </c>
      <c r="O892" s="72">
        <f t="shared" si="1576"/>
        <v>0</v>
      </c>
      <c r="P892" s="72">
        <f t="shared" si="1577"/>
        <v>0</v>
      </c>
      <c r="Q892" s="72">
        <f t="shared" si="1578"/>
        <v>0</v>
      </c>
      <c r="R892" s="72">
        <f t="shared" si="1579"/>
        <v>0</v>
      </c>
    </row>
    <row r="893" spans="1:18" x14ac:dyDescent="0.25">
      <c r="A893" s="26"/>
      <c r="B893" s="104" t="s">
        <v>512</v>
      </c>
      <c r="C893" s="15">
        <v>8</v>
      </c>
      <c r="D893" s="16">
        <v>200</v>
      </c>
      <c r="E893" s="15">
        <v>2</v>
      </c>
      <c r="F893" s="11">
        <v>1</v>
      </c>
      <c r="G893" s="11">
        <f>+ROUND(3.25/(D893/1000)+1,0)/2</f>
        <v>8.5</v>
      </c>
      <c r="H893" s="95"/>
      <c r="I893" s="95">
        <f>0.1+0.5</f>
        <v>0.6</v>
      </c>
      <c r="J893" s="100"/>
      <c r="K893" s="22"/>
      <c r="L893" s="72">
        <f t="shared" ref="L893" si="1582">SUM(H893:J893)+K893</f>
        <v>0.6</v>
      </c>
      <c r="M893" s="72">
        <f t="shared" si="1574"/>
        <v>10.199999999999999</v>
      </c>
      <c r="N893" s="72">
        <f t="shared" si="1575"/>
        <v>0</v>
      </c>
      <c r="O893" s="72">
        <f t="shared" si="1576"/>
        <v>0</v>
      </c>
      <c r="P893" s="72">
        <f t="shared" si="1577"/>
        <v>0</v>
      </c>
      <c r="Q893" s="72">
        <f t="shared" si="1578"/>
        <v>0</v>
      </c>
      <c r="R893" s="72">
        <f t="shared" si="1579"/>
        <v>0</v>
      </c>
    </row>
    <row r="894" spans="1:18" x14ac:dyDescent="0.25">
      <c r="A894" s="26"/>
      <c r="B894" s="104" t="s">
        <v>512</v>
      </c>
      <c r="C894" s="15">
        <v>8</v>
      </c>
      <c r="D894" s="16">
        <v>200</v>
      </c>
      <c r="E894" s="15">
        <v>2</v>
      </c>
      <c r="F894" s="11">
        <v>1</v>
      </c>
      <c r="G894" s="11">
        <f>+ROUND(2.925/(D894/1000)+1,0)/2</f>
        <v>8</v>
      </c>
      <c r="H894" s="95"/>
      <c r="I894" s="95">
        <f>0.1+1</f>
        <v>1.1000000000000001</v>
      </c>
      <c r="J894" s="100"/>
      <c r="K894" s="22"/>
      <c r="L894" s="72">
        <f>SUM(H894:J894)+K894</f>
        <v>1.1000000000000001</v>
      </c>
      <c r="M894" s="72">
        <f t="shared" si="1574"/>
        <v>17.600000000000001</v>
      </c>
      <c r="N894" s="72">
        <f t="shared" si="1575"/>
        <v>0</v>
      </c>
      <c r="O894" s="72">
        <f t="shared" si="1576"/>
        <v>0</v>
      </c>
      <c r="P894" s="72">
        <f t="shared" si="1577"/>
        <v>0</v>
      </c>
      <c r="Q894" s="72">
        <f t="shared" si="1578"/>
        <v>0</v>
      </c>
      <c r="R894" s="72">
        <f t="shared" si="1579"/>
        <v>0</v>
      </c>
    </row>
    <row r="895" spans="1:18" x14ac:dyDescent="0.25">
      <c r="A895" s="26"/>
      <c r="B895" s="104" t="s">
        <v>512</v>
      </c>
      <c r="C895" s="15">
        <v>8</v>
      </c>
      <c r="D895" s="16">
        <v>200</v>
      </c>
      <c r="E895" s="15">
        <v>2</v>
      </c>
      <c r="F895" s="11">
        <v>1</v>
      </c>
      <c r="G895" s="11">
        <f>+ROUND(2.925/(D895/1000)+1,0)/2</f>
        <v>8</v>
      </c>
      <c r="H895" s="95"/>
      <c r="I895" s="95">
        <f>0.1+0.5</f>
        <v>0.6</v>
      </c>
      <c r="J895" s="100"/>
      <c r="K895" s="22"/>
      <c r="L895" s="72">
        <f t="shared" ref="L895:L898" si="1583">SUM(H895:J895)+K895</f>
        <v>0.6</v>
      </c>
      <c r="M895" s="72">
        <f t="shared" si="1574"/>
        <v>9.6</v>
      </c>
      <c r="N895" s="72">
        <f t="shared" si="1575"/>
        <v>0</v>
      </c>
      <c r="O895" s="72">
        <f t="shared" si="1576"/>
        <v>0</v>
      </c>
      <c r="P895" s="72">
        <f t="shared" si="1577"/>
        <v>0</v>
      </c>
      <c r="Q895" s="72">
        <f t="shared" si="1578"/>
        <v>0</v>
      </c>
      <c r="R895" s="72">
        <f t="shared" si="1579"/>
        <v>0</v>
      </c>
    </row>
    <row r="896" spans="1:18" x14ac:dyDescent="0.25">
      <c r="A896" s="26"/>
      <c r="B896" s="104" t="s">
        <v>759</v>
      </c>
      <c r="C896" s="15">
        <v>8</v>
      </c>
      <c r="D896" s="16">
        <v>200</v>
      </c>
      <c r="E896" s="15">
        <v>2</v>
      </c>
      <c r="F896" s="11">
        <v>1</v>
      </c>
      <c r="G896" s="11">
        <f>+ROUND(0.55/(D896/1000)+1,0)</f>
        <v>4</v>
      </c>
      <c r="H896" s="95">
        <v>0.2</v>
      </c>
      <c r="I896" s="95">
        <v>2.9249999999999998</v>
      </c>
      <c r="J896" s="100"/>
      <c r="K896" s="22"/>
      <c r="L896" s="72">
        <f t="shared" si="1583"/>
        <v>3.125</v>
      </c>
      <c r="M896" s="72">
        <f t="shared" si="1574"/>
        <v>25</v>
      </c>
      <c r="N896" s="72">
        <f t="shared" si="1575"/>
        <v>0</v>
      </c>
      <c r="O896" s="72">
        <f t="shared" si="1576"/>
        <v>0</v>
      </c>
      <c r="P896" s="72">
        <f t="shared" si="1577"/>
        <v>0</v>
      </c>
      <c r="Q896" s="72">
        <f t="shared" si="1578"/>
        <v>0</v>
      </c>
      <c r="R896" s="72">
        <f t="shared" si="1579"/>
        <v>0</v>
      </c>
    </row>
    <row r="897" spans="1:18" x14ac:dyDescent="0.25">
      <c r="A897" s="26"/>
      <c r="B897" s="104" t="s">
        <v>759</v>
      </c>
      <c r="C897" s="15">
        <v>8</v>
      </c>
      <c r="D897" s="16">
        <v>200</v>
      </c>
      <c r="E897" s="15">
        <v>2</v>
      </c>
      <c r="F897" s="11">
        <v>1</v>
      </c>
      <c r="G897" s="11">
        <f>+ROUND(1/(D897/1000)+1,0)</f>
        <v>6</v>
      </c>
      <c r="H897" s="95">
        <v>0.2</v>
      </c>
      <c r="I897" s="95">
        <v>3.25</v>
      </c>
      <c r="J897" s="100"/>
      <c r="K897" s="22"/>
      <c r="L897" s="72">
        <f t="shared" si="1583"/>
        <v>3.45</v>
      </c>
      <c r="M897" s="72">
        <f t="shared" si="1574"/>
        <v>41.4</v>
      </c>
      <c r="N897" s="72">
        <f t="shared" si="1575"/>
        <v>0</v>
      </c>
      <c r="O897" s="72">
        <f t="shared" si="1576"/>
        <v>0</v>
      </c>
      <c r="P897" s="72">
        <f t="shared" si="1577"/>
        <v>0</v>
      </c>
      <c r="Q897" s="72">
        <f t="shared" si="1578"/>
        <v>0</v>
      </c>
      <c r="R897" s="72">
        <f t="shared" si="1579"/>
        <v>0</v>
      </c>
    </row>
    <row r="898" spans="1:18" x14ac:dyDescent="0.25">
      <c r="A898" s="26"/>
      <c r="B898" s="104" t="s">
        <v>759</v>
      </c>
      <c r="C898" s="15">
        <v>8</v>
      </c>
      <c r="D898" s="16">
        <v>200</v>
      </c>
      <c r="E898" s="15">
        <v>2</v>
      </c>
      <c r="F898" s="11">
        <v>1</v>
      </c>
      <c r="G898" s="11">
        <f>+ROUND(1/(D898/1000)+1,0)</f>
        <v>6</v>
      </c>
      <c r="H898" s="95">
        <v>0.2</v>
      </c>
      <c r="I898" s="95">
        <v>3.25</v>
      </c>
      <c r="J898" s="100"/>
      <c r="K898" s="22"/>
      <c r="L898" s="72">
        <f t="shared" si="1583"/>
        <v>3.45</v>
      </c>
      <c r="M898" s="72">
        <f t="shared" si="1574"/>
        <v>41.4</v>
      </c>
      <c r="N898" s="72">
        <f t="shared" si="1575"/>
        <v>0</v>
      </c>
      <c r="O898" s="72">
        <f t="shared" si="1576"/>
        <v>0</v>
      </c>
      <c r="P898" s="72">
        <f t="shared" si="1577"/>
        <v>0</v>
      </c>
      <c r="Q898" s="72">
        <f t="shared" si="1578"/>
        <v>0</v>
      </c>
      <c r="R898" s="72">
        <f t="shared" si="1579"/>
        <v>0</v>
      </c>
    </row>
    <row r="899" spans="1:18" x14ac:dyDescent="0.25">
      <c r="A899" s="26"/>
      <c r="B899" s="25"/>
      <c r="C899" s="15"/>
      <c r="D899" s="16"/>
      <c r="E899" s="15"/>
      <c r="F899" s="11"/>
      <c r="G899" s="11"/>
      <c r="H899" s="95"/>
      <c r="I899" s="95"/>
      <c r="J899" s="100"/>
      <c r="K899" s="22"/>
      <c r="L899" s="72"/>
      <c r="M899" s="72"/>
      <c r="N899" s="72"/>
      <c r="O899" s="72"/>
      <c r="P899" s="72"/>
      <c r="Q899" s="72"/>
      <c r="R899" s="72"/>
    </row>
    <row r="900" spans="1:18" x14ac:dyDescent="0.25">
      <c r="A900" s="26"/>
      <c r="B900" s="45" t="s">
        <v>786</v>
      </c>
      <c r="C900" s="15"/>
      <c r="D900" s="16"/>
      <c r="E900" s="15"/>
      <c r="F900" s="11"/>
      <c r="G900" s="11"/>
      <c r="H900" s="95"/>
      <c r="I900" s="95"/>
      <c r="J900" s="100"/>
      <c r="K900" s="22"/>
      <c r="L900" s="72"/>
      <c r="M900" s="72">
        <f t="shared" ref="M900:M912" si="1584">+ROUND(IF(C900=8,PRODUCT(E900,F900,G900,L900),0),2)</f>
        <v>0</v>
      </c>
      <c r="N900" s="72">
        <f t="shared" ref="N900:N912" si="1585">+ROUND(IF(C900=10,PRODUCT(E900,F900,G900,L900),0),2)</f>
        <v>0</v>
      </c>
      <c r="O900" s="72">
        <f t="shared" ref="O900:O912" si="1586">+ROUND(IF(C900=12,PRODUCT(E900,F900,G900,L900),0),2)</f>
        <v>0</v>
      </c>
      <c r="P900" s="72">
        <f t="shared" ref="P900:P912" si="1587">+ROUND(IF(C900=16,PRODUCT(E900,F900,G900,L900),0),2)</f>
        <v>0</v>
      </c>
      <c r="Q900" s="72">
        <f t="shared" ref="Q900:Q912" si="1588">+ROUND(IF(C900=20,PRODUCT(E900,F900,G900,L900),0),2)</f>
        <v>0</v>
      </c>
      <c r="R900" s="72">
        <f t="shared" ref="R900:R912" si="1589">+ROUND(IF(C900=25,PRODUCT(E900,F900,G900,L900),0),2)</f>
        <v>0</v>
      </c>
    </row>
    <row r="901" spans="1:18" x14ac:dyDescent="0.25">
      <c r="A901" s="26"/>
      <c r="B901" s="104" t="s">
        <v>768</v>
      </c>
      <c r="C901" s="15">
        <v>8</v>
      </c>
      <c r="D901" s="16">
        <v>200</v>
      </c>
      <c r="E901" s="15">
        <v>2</v>
      </c>
      <c r="F901" s="11">
        <v>1</v>
      </c>
      <c r="G901" s="11">
        <f>+ROUND(2.925/(D901/1000)+1,0)</f>
        <v>16</v>
      </c>
      <c r="H901" s="95"/>
      <c r="I901" s="95">
        <f>0.175+1.7+0.175</f>
        <v>2.0499999999999998</v>
      </c>
      <c r="J901" s="100"/>
      <c r="K901" s="47"/>
      <c r="L901" s="72">
        <f>SUM(H901:J901)+K901</f>
        <v>2.0499999999999998</v>
      </c>
      <c r="M901" s="72">
        <f t="shared" si="1584"/>
        <v>65.599999999999994</v>
      </c>
      <c r="N901" s="72">
        <f t="shared" si="1585"/>
        <v>0</v>
      </c>
      <c r="O901" s="72">
        <f t="shared" si="1586"/>
        <v>0</v>
      </c>
      <c r="P901" s="72">
        <f t="shared" si="1587"/>
        <v>0</v>
      </c>
      <c r="Q901" s="72">
        <f t="shared" si="1588"/>
        <v>0</v>
      </c>
      <c r="R901" s="72">
        <f t="shared" si="1589"/>
        <v>0</v>
      </c>
    </row>
    <row r="902" spans="1:18" x14ac:dyDescent="0.25">
      <c r="A902" s="26"/>
      <c r="B902" s="104" t="s">
        <v>521</v>
      </c>
      <c r="C902" s="15">
        <v>8</v>
      </c>
      <c r="D902" s="16">
        <v>200</v>
      </c>
      <c r="E902" s="15">
        <v>2</v>
      </c>
      <c r="F902" s="11">
        <v>1</v>
      </c>
      <c r="G902" s="11">
        <f>+ROUND(1.7/(D902/1000)+1,0)</f>
        <v>10</v>
      </c>
      <c r="H902" s="95"/>
      <c r="I902" s="95">
        <f>0.175+2.925+0.175</f>
        <v>3.2749999999999995</v>
      </c>
      <c r="J902" s="100"/>
      <c r="K902" s="47"/>
      <c r="L902" s="72">
        <f>SUM(H902:J902)+K902</f>
        <v>3.2749999999999995</v>
      </c>
      <c r="M902" s="72">
        <f t="shared" si="1584"/>
        <v>65.5</v>
      </c>
      <c r="N902" s="72">
        <f t="shared" si="1585"/>
        <v>0</v>
      </c>
      <c r="O902" s="72">
        <f t="shared" si="1586"/>
        <v>0</v>
      </c>
      <c r="P902" s="72">
        <f t="shared" si="1587"/>
        <v>0</v>
      </c>
      <c r="Q902" s="72">
        <f t="shared" si="1588"/>
        <v>0</v>
      </c>
      <c r="R902" s="72">
        <f t="shared" si="1589"/>
        <v>0</v>
      </c>
    </row>
    <row r="903" spans="1:18" x14ac:dyDescent="0.25">
      <c r="A903" s="26"/>
      <c r="B903" s="104" t="s">
        <v>512</v>
      </c>
      <c r="C903" s="15">
        <v>8</v>
      </c>
      <c r="D903" s="16">
        <v>200</v>
      </c>
      <c r="E903" s="15">
        <v>2</v>
      </c>
      <c r="F903" s="11">
        <v>1</v>
      </c>
      <c r="G903" s="11">
        <f>+ROUND(2.925/(D903/1000)+1,0)</f>
        <v>16</v>
      </c>
      <c r="H903" s="95"/>
      <c r="I903" s="95">
        <f>0.1+0.6</f>
        <v>0.7</v>
      </c>
      <c r="J903" s="100"/>
      <c r="K903" s="22"/>
      <c r="L903" s="72">
        <f t="shared" ref="L903" si="1590">SUM(H903:J903)+K903</f>
        <v>0.7</v>
      </c>
      <c r="M903" s="72">
        <f t="shared" si="1584"/>
        <v>22.4</v>
      </c>
      <c r="N903" s="72">
        <f t="shared" si="1585"/>
        <v>0</v>
      </c>
      <c r="O903" s="72">
        <f t="shared" si="1586"/>
        <v>0</v>
      </c>
      <c r="P903" s="72">
        <f t="shared" si="1587"/>
        <v>0</v>
      </c>
      <c r="Q903" s="72">
        <f t="shared" si="1588"/>
        <v>0</v>
      </c>
      <c r="R903" s="72">
        <f t="shared" si="1589"/>
        <v>0</v>
      </c>
    </row>
    <row r="904" spans="1:18" x14ac:dyDescent="0.25">
      <c r="A904" s="26"/>
      <c r="B904" s="104" t="s">
        <v>512</v>
      </c>
      <c r="C904" s="15">
        <v>8</v>
      </c>
      <c r="D904" s="16">
        <v>200</v>
      </c>
      <c r="E904" s="15">
        <v>2</v>
      </c>
      <c r="F904" s="11">
        <v>1</v>
      </c>
      <c r="G904" s="11">
        <f>+ROUND(2.925/(D904/1000)+1,0)</f>
        <v>16</v>
      </c>
      <c r="H904" s="95">
        <v>0.1</v>
      </c>
      <c r="I904" s="95">
        <f>0.175+0.5</f>
        <v>0.67500000000000004</v>
      </c>
      <c r="J904" s="100"/>
      <c r="K904" s="22"/>
      <c r="L904" s="72">
        <f>SUM(H904:J904)+K904</f>
        <v>0.77500000000000002</v>
      </c>
      <c r="M904" s="72">
        <f t="shared" si="1584"/>
        <v>24.8</v>
      </c>
      <c r="N904" s="72">
        <f t="shared" si="1585"/>
        <v>0</v>
      </c>
      <c r="O904" s="72">
        <f t="shared" si="1586"/>
        <v>0</v>
      </c>
      <c r="P904" s="72">
        <f t="shared" si="1587"/>
        <v>0</v>
      </c>
      <c r="Q904" s="72">
        <f t="shared" si="1588"/>
        <v>0</v>
      </c>
      <c r="R904" s="72">
        <f t="shared" si="1589"/>
        <v>0</v>
      </c>
    </row>
    <row r="905" spans="1:18" x14ac:dyDescent="0.25">
      <c r="A905" s="26"/>
      <c r="B905" s="104" t="s">
        <v>512</v>
      </c>
      <c r="C905" s="15">
        <v>8</v>
      </c>
      <c r="D905" s="16">
        <v>200</v>
      </c>
      <c r="E905" s="15">
        <v>2</v>
      </c>
      <c r="F905" s="11">
        <v>1</v>
      </c>
      <c r="G905" s="11">
        <f>+ROUND(1.7/(D905/1000)+1,0)/2</f>
        <v>5</v>
      </c>
      <c r="H905" s="95"/>
      <c r="I905" s="95">
        <f>0.1+1</f>
        <v>1.1000000000000001</v>
      </c>
      <c r="J905" s="100"/>
      <c r="K905" s="22"/>
      <c r="L905" s="72">
        <f t="shared" ref="L905:L912" si="1591">SUM(H905:J905)+K905</f>
        <v>1.1000000000000001</v>
      </c>
      <c r="M905" s="72">
        <f t="shared" si="1584"/>
        <v>11</v>
      </c>
      <c r="N905" s="72">
        <f t="shared" si="1585"/>
        <v>0</v>
      </c>
      <c r="O905" s="72">
        <f t="shared" si="1586"/>
        <v>0</v>
      </c>
      <c r="P905" s="72">
        <f t="shared" si="1587"/>
        <v>0</v>
      </c>
      <c r="Q905" s="72">
        <f t="shared" si="1588"/>
        <v>0</v>
      </c>
      <c r="R905" s="72">
        <f t="shared" si="1589"/>
        <v>0</v>
      </c>
    </row>
    <row r="906" spans="1:18" x14ac:dyDescent="0.25">
      <c r="A906" s="26"/>
      <c r="B906" s="104" t="s">
        <v>512</v>
      </c>
      <c r="C906" s="15">
        <v>8</v>
      </c>
      <c r="D906" s="16">
        <v>200</v>
      </c>
      <c r="E906" s="15">
        <v>2</v>
      </c>
      <c r="F906" s="11">
        <v>1</v>
      </c>
      <c r="G906" s="11">
        <f>+ROUND(1.7/(D906/1000)+1,0)/2</f>
        <v>5</v>
      </c>
      <c r="H906" s="95"/>
      <c r="I906" s="95">
        <f>0.1+0.5</f>
        <v>0.6</v>
      </c>
      <c r="J906" s="100"/>
      <c r="K906" s="22"/>
      <c r="L906" s="72">
        <f t="shared" si="1591"/>
        <v>0.6</v>
      </c>
      <c r="M906" s="72">
        <f t="shared" si="1584"/>
        <v>6</v>
      </c>
      <c r="N906" s="72">
        <f t="shared" si="1585"/>
        <v>0</v>
      </c>
      <c r="O906" s="72">
        <f t="shared" si="1586"/>
        <v>0</v>
      </c>
      <c r="P906" s="72">
        <f t="shared" si="1587"/>
        <v>0</v>
      </c>
      <c r="Q906" s="72">
        <f t="shared" si="1588"/>
        <v>0</v>
      </c>
      <c r="R906" s="72">
        <f t="shared" si="1589"/>
        <v>0</v>
      </c>
    </row>
    <row r="907" spans="1:18" x14ac:dyDescent="0.25">
      <c r="A907" s="26"/>
      <c r="B907" s="104" t="s">
        <v>515</v>
      </c>
      <c r="C907" s="15">
        <v>8</v>
      </c>
      <c r="D907" s="16">
        <v>150</v>
      </c>
      <c r="E907" s="15">
        <v>2</v>
      </c>
      <c r="F907" s="11">
        <v>1</v>
      </c>
      <c r="G907" s="11">
        <f>+ROUND(1.7/(D907/1000)+1,0)/2</f>
        <v>6</v>
      </c>
      <c r="H907" s="95"/>
      <c r="I907" s="95">
        <f>0.1+1</f>
        <v>1.1000000000000001</v>
      </c>
      <c r="J907" s="100"/>
      <c r="K907" s="22"/>
      <c r="L907" s="72">
        <f t="shared" si="1591"/>
        <v>1.1000000000000001</v>
      </c>
      <c r="M907" s="72">
        <f t="shared" si="1584"/>
        <v>13.2</v>
      </c>
      <c r="N907" s="72">
        <f t="shared" si="1585"/>
        <v>0</v>
      </c>
      <c r="O907" s="72">
        <f t="shared" si="1586"/>
        <v>0</v>
      </c>
      <c r="P907" s="72">
        <f t="shared" si="1587"/>
        <v>0</v>
      </c>
      <c r="Q907" s="72">
        <f t="shared" si="1588"/>
        <v>0</v>
      </c>
      <c r="R907" s="72">
        <f t="shared" si="1589"/>
        <v>0</v>
      </c>
    </row>
    <row r="908" spans="1:18" x14ac:dyDescent="0.25">
      <c r="A908" s="26"/>
      <c r="B908" s="104" t="s">
        <v>515</v>
      </c>
      <c r="C908" s="15">
        <v>8</v>
      </c>
      <c r="D908" s="16">
        <v>150</v>
      </c>
      <c r="E908" s="15">
        <v>2</v>
      </c>
      <c r="F908" s="11">
        <v>1</v>
      </c>
      <c r="G908" s="11">
        <f>+ROUND(1.7/(D908/1000)+1,0)/2</f>
        <v>6</v>
      </c>
      <c r="H908" s="95"/>
      <c r="I908" s="95">
        <f>0.1+0.5</f>
        <v>0.6</v>
      </c>
      <c r="J908" s="100"/>
      <c r="K908" s="22"/>
      <c r="L908" s="72">
        <f t="shared" si="1591"/>
        <v>0.6</v>
      </c>
      <c r="M908" s="72">
        <f t="shared" si="1584"/>
        <v>7.2</v>
      </c>
      <c r="N908" s="72">
        <f t="shared" si="1585"/>
        <v>0</v>
      </c>
      <c r="O908" s="72">
        <f t="shared" si="1586"/>
        <v>0</v>
      </c>
      <c r="P908" s="72">
        <f t="shared" si="1587"/>
        <v>0</v>
      </c>
      <c r="Q908" s="72">
        <f t="shared" si="1588"/>
        <v>0</v>
      </c>
      <c r="R908" s="72">
        <f t="shared" si="1589"/>
        <v>0</v>
      </c>
    </row>
    <row r="909" spans="1:18" x14ac:dyDescent="0.25">
      <c r="A909" s="26"/>
      <c r="B909" s="104" t="s">
        <v>759</v>
      </c>
      <c r="C909" s="15">
        <v>8</v>
      </c>
      <c r="D909" s="16">
        <v>200</v>
      </c>
      <c r="E909" s="15">
        <v>2</v>
      </c>
      <c r="F909" s="11">
        <v>1</v>
      </c>
      <c r="G909" s="11">
        <f>+ROUND(0.6/(D909/1000)+1,0)</f>
        <v>4</v>
      </c>
      <c r="H909" s="95">
        <v>0.2</v>
      </c>
      <c r="I909" s="95">
        <v>2.9249999999999998</v>
      </c>
      <c r="J909" s="100"/>
      <c r="K909" s="22"/>
      <c r="L909" s="72">
        <f t="shared" si="1591"/>
        <v>3.125</v>
      </c>
      <c r="M909" s="72">
        <f t="shared" si="1584"/>
        <v>25</v>
      </c>
      <c r="N909" s="72">
        <f t="shared" si="1585"/>
        <v>0</v>
      </c>
      <c r="O909" s="72">
        <f t="shared" si="1586"/>
        <v>0</v>
      </c>
      <c r="P909" s="72">
        <f t="shared" si="1587"/>
        <v>0</v>
      </c>
      <c r="Q909" s="72">
        <f t="shared" si="1588"/>
        <v>0</v>
      </c>
      <c r="R909" s="72">
        <f t="shared" si="1589"/>
        <v>0</v>
      </c>
    </row>
    <row r="910" spans="1:18" x14ac:dyDescent="0.25">
      <c r="A910" s="26"/>
      <c r="B910" s="104" t="s">
        <v>759</v>
      </c>
      <c r="C910" s="15">
        <v>8</v>
      </c>
      <c r="D910" s="16">
        <v>200</v>
      </c>
      <c r="E910" s="15">
        <v>2</v>
      </c>
      <c r="F910" s="11">
        <v>1</v>
      </c>
      <c r="G910" s="11">
        <f>+ROUND(0.5/(D910/1000)+1,0)</f>
        <v>4</v>
      </c>
      <c r="H910" s="95">
        <v>0.2</v>
      </c>
      <c r="I910" s="95">
        <v>2.9249999999999998</v>
      </c>
      <c r="J910" s="100"/>
      <c r="K910" s="22"/>
      <c r="L910" s="72">
        <f t="shared" si="1591"/>
        <v>3.125</v>
      </c>
      <c r="M910" s="72">
        <f t="shared" si="1584"/>
        <v>25</v>
      </c>
      <c r="N910" s="72">
        <f t="shared" si="1585"/>
        <v>0</v>
      </c>
      <c r="O910" s="72">
        <f t="shared" si="1586"/>
        <v>0</v>
      </c>
      <c r="P910" s="72">
        <f t="shared" si="1587"/>
        <v>0</v>
      </c>
      <c r="Q910" s="72">
        <f t="shared" si="1588"/>
        <v>0</v>
      </c>
      <c r="R910" s="72">
        <f t="shared" si="1589"/>
        <v>0</v>
      </c>
    </row>
    <row r="911" spans="1:18" x14ac:dyDescent="0.25">
      <c r="A911" s="26"/>
      <c r="B911" s="104" t="s">
        <v>759</v>
      </c>
      <c r="C911" s="15">
        <v>8</v>
      </c>
      <c r="D911" s="16">
        <v>200</v>
      </c>
      <c r="E911" s="15">
        <v>2</v>
      </c>
      <c r="F911" s="11">
        <v>1</v>
      </c>
      <c r="G911" s="11">
        <f>+ROUND(1/(D911/1000)+1,0)</f>
        <v>6</v>
      </c>
      <c r="H911" s="95">
        <v>0.2</v>
      </c>
      <c r="I911" s="95">
        <v>1.7</v>
      </c>
      <c r="J911" s="100"/>
      <c r="K911" s="22"/>
      <c r="L911" s="72">
        <f t="shared" si="1591"/>
        <v>1.9</v>
      </c>
      <c r="M911" s="72">
        <f t="shared" si="1584"/>
        <v>22.8</v>
      </c>
      <c r="N911" s="72">
        <f t="shared" si="1585"/>
        <v>0</v>
      </c>
      <c r="O911" s="72">
        <f t="shared" si="1586"/>
        <v>0</v>
      </c>
      <c r="P911" s="72">
        <f t="shared" si="1587"/>
        <v>0</v>
      </c>
      <c r="Q911" s="72">
        <f t="shared" si="1588"/>
        <v>0</v>
      </c>
      <c r="R911" s="72">
        <f t="shared" si="1589"/>
        <v>0</v>
      </c>
    </row>
    <row r="912" spans="1:18" x14ac:dyDescent="0.25">
      <c r="A912" s="26"/>
      <c r="B912" s="104" t="s">
        <v>759</v>
      </c>
      <c r="C912" s="15">
        <v>8</v>
      </c>
      <c r="D912" s="16">
        <v>200</v>
      </c>
      <c r="E912" s="15">
        <v>2</v>
      </c>
      <c r="F912" s="11">
        <v>1</v>
      </c>
      <c r="G912" s="11">
        <f>+ROUND(1/(D912/1000)+1,0)</f>
        <v>6</v>
      </c>
      <c r="H912" s="95">
        <v>0.2</v>
      </c>
      <c r="I912" s="95">
        <v>1.7</v>
      </c>
      <c r="J912" s="100"/>
      <c r="K912" s="22"/>
      <c r="L912" s="72">
        <f t="shared" si="1591"/>
        <v>1.9</v>
      </c>
      <c r="M912" s="72">
        <f t="shared" si="1584"/>
        <v>22.8</v>
      </c>
      <c r="N912" s="72">
        <f t="shared" si="1585"/>
        <v>0</v>
      </c>
      <c r="O912" s="72">
        <f t="shared" si="1586"/>
        <v>0</v>
      </c>
      <c r="P912" s="72">
        <f t="shared" si="1587"/>
        <v>0</v>
      </c>
      <c r="Q912" s="72">
        <f t="shared" si="1588"/>
        <v>0</v>
      </c>
      <c r="R912" s="72">
        <f t="shared" si="1589"/>
        <v>0</v>
      </c>
    </row>
    <row r="913" spans="1:18" x14ac:dyDescent="0.25">
      <c r="A913" s="26"/>
      <c r="B913" s="105"/>
      <c r="C913" s="15"/>
      <c r="D913" s="16"/>
      <c r="E913" s="15"/>
      <c r="F913" s="11"/>
      <c r="G913" s="11"/>
      <c r="H913" s="95"/>
      <c r="I913" s="95"/>
      <c r="J913" s="100"/>
      <c r="K913" s="22"/>
      <c r="L913" s="72"/>
      <c r="M913" s="72"/>
      <c r="N913" s="72"/>
      <c r="O913" s="72"/>
      <c r="P913" s="72"/>
      <c r="Q913" s="72"/>
      <c r="R913" s="72"/>
    </row>
    <row r="914" spans="1:18" x14ac:dyDescent="0.25">
      <c r="A914" s="26"/>
      <c r="B914" s="45" t="s">
        <v>787</v>
      </c>
      <c r="C914" s="15"/>
      <c r="D914" s="16"/>
      <c r="E914" s="15"/>
      <c r="F914" s="11"/>
      <c r="G914" s="11"/>
      <c r="H914" s="95"/>
      <c r="I914" s="95"/>
      <c r="J914" s="100"/>
      <c r="K914" s="22"/>
      <c r="L914" s="72"/>
      <c r="M914" s="72">
        <f t="shared" ref="M914:M925" si="1592">+ROUND(IF(C914=8,PRODUCT(E914,F914,G914,L914),0),2)</f>
        <v>0</v>
      </c>
      <c r="N914" s="72">
        <f t="shared" ref="N914:N925" si="1593">+ROUND(IF(C914=10,PRODUCT(E914,F914,G914,L914),0),2)</f>
        <v>0</v>
      </c>
      <c r="O914" s="72">
        <f t="shared" ref="O914:O925" si="1594">+ROUND(IF(C914=12,PRODUCT(E914,F914,G914,L914),0),2)</f>
        <v>0</v>
      </c>
      <c r="P914" s="72">
        <f t="shared" ref="P914:P925" si="1595">+ROUND(IF(C914=16,PRODUCT(E914,F914,G914,L914),0),2)</f>
        <v>0</v>
      </c>
      <c r="Q914" s="72">
        <f t="shared" ref="Q914:Q925" si="1596">+ROUND(IF(C914=20,PRODUCT(E914,F914,G914,L914),0),2)</f>
        <v>0</v>
      </c>
      <c r="R914" s="72">
        <f t="shared" ref="R914:R925" si="1597">+ROUND(IF(C914=25,PRODUCT(E914,F914,G914,L914),0),2)</f>
        <v>0</v>
      </c>
    </row>
    <row r="915" spans="1:18" x14ac:dyDescent="0.25">
      <c r="A915" s="26"/>
      <c r="B915" s="104" t="s">
        <v>758</v>
      </c>
      <c r="C915" s="15">
        <v>8</v>
      </c>
      <c r="D915" s="16">
        <v>200</v>
      </c>
      <c r="E915" s="15">
        <v>2</v>
      </c>
      <c r="F915" s="11">
        <v>1</v>
      </c>
      <c r="G915" s="11">
        <f>+ROUND(3.385/(D915/1000)+1,0)</f>
        <v>18</v>
      </c>
      <c r="H915" s="95"/>
      <c r="I915" s="95">
        <f>0.175+1.425+0.175</f>
        <v>1.7750000000000001</v>
      </c>
      <c r="J915" s="100"/>
      <c r="K915" s="22"/>
      <c r="L915" s="72">
        <f t="shared" ref="L915" si="1598">SUM(H915:J915)+K915</f>
        <v>1.7750000000000001</v>
      </c>
      <c r="M915" s="72">
        <f t="shared" si="1592"/>
        <v>63.9</v>
      </c>
      <c r="N915" s="72">
        <f t="shared" si="1593"/>
        <v>0</v>
      </c>
      <c r="O915" s="72">
        <f t="shared" si="1594"/>
        <v>0</v>
      </c>
      <c r="P915" s="72">
        <f t="shared" si="1595"/>
        <v>0</v>
      </c>
      <c r="Q915" s="72">
        <f t="shared" si="1596"/>
        <v>0</v>
      </c>
      <c r="R915" s="72">
        <f t="shared" si="1597"/>
        <v>0</v>
      </c>
    </row>
    <row r="916" spans="1:18" x14ac:dyDescent="0.25">
      <c r="A916" s="26"/>
      <c r="B916" s="104" t="s">
        <v>521</v>
      </c>
      <c r="C916" s="15">
        <v>8</v>
      </c>
      <c r="D916" s="16">
        <v>200</v>
      </c>
      <c r="E916" s="15">
        <v>2</v>
      </c>
      <c r="F916" s="11">
        <v>1</v>
      </c>
      <c r="G916" s="11">
        <f>+ROUND(1.425/(D916/1000)+1,0)</f>
        <v>8</v>
      </c>
      <c r="H916" s="95"/>
      <c r="I916" s="95">
        <f>0.175+3.385+0.175</f>
        <v>3.7349999999999994</v>
      </c>
      <c r="J916" s="100"/>
      <c r="K916" s="47"/>
      <c r="L916" s="72">
        <f>SUM(H916:J916)+K916</f>
        <v>3.7349999999999994</v>
      </c>
      <c r="M916" s="72">
        <f t="shared" si="1592"/>
        <v>59.76</v>
      </c>
      <c r="N916" s="72">
        <f t="shared" si="1593"/>
        <v>0</v>
      </c>
      <c r="O916" s="72">
        <f t="shared" si="1594"/>
        <v>0</v>
      </c>
      <c r="P916" s="72">
        <f t="shared" si="1595"/>
        <v>0</v>
      </c>
      <c r="Q916" s="72">
        <f t="shared" si="1596"/>
        <v>0</v>
      </c>
      <c r="R916" s="72">
        <f t="shared" si="1597"/>
        <v>0</v>
      </c>
    </row>
    <row r="917" spans="1:18" x14ac:dyDescent="0.25">
      <c r="A917" s="26"/>
      <c r="B917" s="104" t="s">
        <v>512</v>
      </c>
      <c r="C917" s="15">
        <v>8</v>
      </c>
      <c r="D917" s="16">
        <v>200</v>
      </c>
      <c r="E917" s="15">
        <v>2</v>
      </c>
      <c r="F917" s="11">
        <v>1</v>
      </c>
      <c r="G917" s="11">
        <f>+ROUND(2.16/(D917/1000)+1,0)</f>
        <v>12</v>
      </c>
      <c r="H917" s="95">
        <v>0.1</v>
      </c>
      <c r="I917" s="95">
        <f>0.6+0.175</f>
        <v>0.77499999999999991</v>
      </c>
      <c r="J917" s="100"/>
      <c r="K917" s="22"/>
      <c r="L917" s="72">
        <f>SUM(H917:J917)+K917</f>
        <v>0.87499999999999989</v>
      </c>
      <c r="M917" s="72">
        <f t="shared" si="1592"/>
        <v>21</v>
      </c>
      <c r="N917" s="72">
        <f t="shared" si="1593"/>
        <v>0</v>
      </c>
      <c r="O917" s="72">
        <f t="shared" si="1594"/>
        <v>0</v>
      </c>
      <c r="P917" s="72">
        <f t="shared" si="1595"/>
        <v>0</v>
      </c>
      <c r="Q917" s="72">
        <f t="shared" si="1596"/>
        <v>0</v>
      </c>
      <c r="R917" s="72">
        <f t="shared" si="1597"/>
        <v>0</v>
      </c>
    </row>
    <row r="918" spans="1:18" x14ac:dyDescent="0.25">
      <c r="A918" s="26"/>
      <c r="B918" s="104" t="s">
        <v>512</v>
      </c>
      <c r="C918" s="15">
        <v>8</v>
      </c>
      <c r="D918" s="16">
        <v>200</v>
      </c>
      <c r="E918" s="15">
        <v>2</v>
      </c>
      <c r="F918" s="11">
        <v>1</v>
      </c>
      <c r="G918" s="11">
        <f>+ROUND(2.16/(D918/1000)+1,0)</f>
        <v>12</v>
      </c>
      <c r="H918" s="95">
        <v>0.1</v>
      </c>
      <c r="I918" s="95">
        <f>0.45+0.175</f>
        <v>0.625</v>
      </c>
      <c r="J918" s="100"/>
      <c r="K918" s="22"/>
      <c r="L918" s="72">
        <f t="shared" ref="L918" si="1599">SUM(H918:J918)+K918</f>
        <v>0.72499999999999998</v>
      </c>
      <c r="M918" s="72">
        <f t="shared" si="1592"/>
        <v>17.399999999999999</v>
      </c>
      <c r="N918" s="72">
        <f t="shared" si="1593"/>
        <v>0</v>
      </c>
      <c r="O918" s="72">
        <f t="shared" si="1594"/>
        <v>0</v>
      </c>
      <c r="P918" s="72">
        <f t="shared" si="1595"/>
        <v>0</v>
      </c>
      <c r="Q918" s="72">
        <f t="shared" si="1596"/>
        <v>0</v>
      </c>
      <c r="R918" s="72">
        <f t="shared" si="1597"/>
        <v>0</v>
      </c>
    </row>
    <row r="919" spans="1:18" x14ac:dyDescent="0.25">
      <c r="A919" s="26"/>
      <c r="B919" s="104" t="s">
        <v>512</v>
      </c>
      <c r="C919" s="15">
        <v>8</v>
      </c>
      <c r="D919" s="16">
        <v>200</v>
      </c>
      <c r="E919" s="15">
        <v>2</v>
      </c>
      <c r="F919" s="11">
        <v>1</v>
      </c>
      <c r="G919" s="11">
        <f>+ROUND(1.425/(D919/1000)+1,0)</f>
        <v>8</v>
      </c>
      <c r="H919" s="95">
        <v>0.1</v>
      </c>
      <c r="I919" s="95">
        <f>0.45+0.175</f>
        <v>0.625</v>
      </c>
      <c r="J919" s="100"/>
      <c r="K919" s="22"/>
      <c r="L919" s="72">
        <f t="shared" ref="L919:L925" si="1600">SUM(H919:J919)+K919</f>
        <v>0.72499999999999998</v>
      </c>
      <c r="M919" s="72">
        <f t="shared" si="1592"/>
        <v>11.6</v>
      </c>
      <c r="N919" s="72">
        <f t="shared" si="1593"/>
        <v>0</v>
      </c>
      <c r="O919" s="72">
        <f t="shared" si="1594"/>
        <v>0</v>
      </c>
      <c r="P919" s="72">
        <f t="shared" si="1595"/>
        <v>0</v>
      </c>
      <c r="Q919" s="72">
        <f t="shared" si="1596"/>
        <v>0</v>
      </c>
      <c r="R919" s="72">
        <f t="shared" si="1597"/>
        <v>0</v>
      </c>
    </row>
    <row r="920" spans="1:18" x14ac:dyDescent="0.25">
      <c r="A920" s="26"/>
      <c r="B920" s="104" t="s">
        <v>515</v>
      </c>
      <c r="C920" s="15">
        <v>8</v>
      </c>
      <c r="D920" s="16">
        <v>150</v>
      </c>
      <c r="E920" s="15">
        <v>2</v>
      </c>
      <c r="F920" s="11">
        <v>1</v>
      </c>
      <c r="G920" s="11">
        <f>+ROUND(1.1/(D920/1000)+1,0)</f>
        <v>8</v>
      </c>
      <c r="H920" s="95"/>
      <c r="I920" s="95">
        <f>0.1+1.425+0.1</f>
        <v>1.6250000000000002</v>
      </c>
      <c r="J920" s="100"/>
      <c r="K920" s="22"/>
      <c r="L920" s="72">
        <f t="shared" si="1600"/>
        <v>1.6250000000000002</v>
      </c>
      <c r="M920" s="72">
        <f t="shared" si="1592"/>
        <v>26</v>
      </c>
      <c r="N920" s="72">
        <f t="shared" si="1593"/>
        <v>0</v>
      </c>
      <c r="O920" s="72">
        <f t="shared" si="1594"/>
        <v>0</v>
      </c>
      <c r="P920" s="72">
        <f t="shared" si="1595"/>
        <v>0</v>
      </c>
      <c r="Q920" s="72">
        <f t="shared" si="1596"/>
        <v>0</v>
      </c>
      <c r="R920" s="72">
        <f t="shared" si="1597"/>
        <v>0</v>
      </c>
    </row>
    <row r="921" spans="1:18" x14ac:dyDescent="0.25">
      <c r="A921" s="26"/>
      <c r="B921" s="104" t="s">
        <v>512</v>
      </c>
      <c r="C921" s="15">
        <v>8</v>
      </c>
      <c r="D921" s="16">
        <v>200</v>
      </c>
      <c r="E921" s="15">
        <v>2</v>
      </c>
      <c r="F921" s="11">
        <v>1</v>
      </c>
      <c r="G921" s="11">
        <f>+ROUND(1.425/(D921/1000)+1,0)</f>
        <v>8</v>
      </c>
      <c r="H921" s="95"/>
      <c r="I921" s="95">
        <f>0.1+0.6</f>
        <v>0.7</v>
      </c>
      <c r="J921" s="100"/>
      <c r="K921" s="22"/>
      <c r="L921" s="72">
        <f t="shared" si="1600"/>
        <v>0.7</v>
      </c>
      <c r="M921" s="72">
        <f t="shared" si="1592"/>
        <v>11.2</v>
      </c>
      <c r="N921" s="72">
        <f t="shared" si="1593"/>
        <v>0</v>
      </c>
      <c r="O921" s="72">
        <f t="shared" si="1594"/>
        <v>0</v>
      </c>
      <c r="P921" s="72">
        <f t="shared" si="1595"/>
        <v>0</v>
      </c>
      <c r="Q921" s="72">
        <f t="shared" si="1596"/>
        <v>0</v>
      </c>
      <c r="R921" s="72">
        <f t="shared" si="1597"/>
        <v>0</v>
      </c>
    </row>
    <row r="922" spans="1:18" x14ac:dyDescent="0.25">
      <c r="A922" s="26"/>
      <c r="B922" s="104" t="s">
        <v>759</v>
      </c>
      <c r="C922" s="15">
        <v>8</v>
      </c>
      <c r="D922" s="16">
        <v>200</v>
      </c>
      <c r="E922" s="15">
        <v>2</v>
      </c>
      <c r="F922" s="11">
        <v>1</v>
      </c>
      <c r="G922" s="11">
        <f>+ROUND(0.6/(D922/1000)+1,0)</f>
        <v>4</v>
      </c>
      <c r="H922" s="95">
        <v>0.2</v>
      </c>
      <c r="I922" s="95">
        <v>1.425</v>
      </c>
      <c r="J922" s="100"/>
      <c r="K922" s="22"/>
      <c r="L922" s="72">
        <f t="shared" si="1600"/>
        <v>1.625</v>
      </c>
      <c r="M922" s="72">
        <f t="shared" si="1592"/>
        <v>13</v>
      </c>
      <c r="N922" s="72">
        <f t="shared" si="1593"/>
        <v>0</v>
      </c>
      <c r="O922" s="72">
        <f t="shared" si="1594"/>
        <v>0</v>
      </c>
      <c r="P922" s="72">
        <f t="shared" si="1595"/>
        <v>0</v>
      </c>
      <c r="Q922" s="72">
        <f t="shared" si="1596"/>
        <v>0</v>
      </c>
      <c r="R922" s="72">
        <f t="shared" si="1597"/>
        <v>0</v>
      </c>
    </row>
    <row r="923" spans="1:18" x14ac:dyDescent="0.25">
      <c r="A923" s="26"/>
      <c r="B923" s="104" t="s">
        <v>759</v>
      </c>
      <c r="C923" s="15">
        <v>8</v>
      </c>
      <c r="D923" s="16">
        <v>200</v>
      </c>
      <c r="E923" s="15">
        <v>2</v>
      </c>
      <c r="F923" s="11">
        <v>1</v>
      </c>
      <c r="G923" s="11">
        <f>+ROUND(0.6/(D923/1000)+1,0)</f>
        <v>4</v>
      </c>
      <c r="H923" s="95">
        <v>0.2</v>
      </c>
      <c r="I923" s="95">
        <v>1.425</v>
      </c>
      <c r="J923" s="100"/>
      <c r="K923" s="22"/>
      <c r="L923" s="72">
        <f t="shared" si="1600"/>
        <v>1.625</v>
      </c>
      <c r="M923" s="72">
        <f t="shared" si="1592"/>
        <v>13</v>
      </c>
      <c r="N923" s="72">
        <f t="shared" si="1593"/>
        <v>0</v>
      </c>
      <c r="O923" s="72">
        <f t="shared" si="1594"/>
        <v>0</v>
      </c>
      <c r="P923" s="72">
        <f t="shared" si="1595"/>
        <v>0</v>
      </c>
      <c r="Q923" s="72">
        <f t="shared" si="1596"/>
        <v>0</v>
      </c>
      <c r="R923" s="72">
        <f t="shared" si="1597"/>
        <v>0</v>
      </c>
    </row>
    <row r="924" spans="1:18" x14ac:dyDescent="0.25">
      <c r="A924" s="26"/>
      <c r="B924" s="104" t="s">
        <v>759</v>
      </c>
      <c r="C924" s="15">
        <v>8</v>
      </c>
      <c r="D924" s="16">
        <v>200</v>
      </c>
      <c r="E924" s="15">
        <v>2</v>
      </c>
      <c r="F924" s="11">
        <v>1</v>
      </c>
      <c r="G924" s="11">
        <f>+ROUND(0.55/(D924/1000)+1,0)</f>
        <v>4</v>
      </c>
      <c r="H924" s="95">
        <v>0.2</v>
      </c>
      <c r="I924" s="95">
        <v>3.5750000000000002</v>
      </c>
      <c r="J924" s="100"/>
      <c r="K924" s="22"/>
      <c r="L924" s="72">
        <f t="shared" si="1600"/>
        <v>3.7750000000000004</v>
      </c>
      <c r="M924" s="72">
        <f t="shared" si="1592"/>
        <v>30.2</v>
      </c>
      <c r="N924" s="72">
        <f t="shared" si="1593"/>
        <v>0</v>
      </c>
      <c r="O924" s="72">
        <f t="shared" si="1594"/>
        <v>0</v>
      </c>
      <c r="P924" s="72">
        <f t="shared" si="1595"/>
        <v>0</v>
      </c>
      <c r="Q924" s="72">
        <f t="shared" si="1596"/>
        <v>0</v>
      </c>
      <c r="R924" s="72">
        <f t="shared" si="1597"/>
        <v>0</v>
      </c>
    </row>
    <row r="925" spans="1:18" x14ac:dyDescent="0.25">
      <c r="A925" s="26"/>
      <c r="B925" s="104" t="s">
        <v>759</v>
      </c>
      <c r="C925" s="15">
        <v>8</v>
      </c>
      <c r="D925" s="16">
        <v>200</v>
      </c>
      <c r="E925" s="15">
        <v>2</v>
      </c>
      <c r="F925" s="11">
        <v>1</v>
      </c>
      <c r="G925" s="11">
        <f>+ROUND(0.55/(D925/1000)+1,0)</f>
        <v>4</v>
      </c>
      <c r="H925" s="95">
        <v>0.2</v>
      </c>
      <c r="I925" s="95">
        <v>3.5750000000000002</v>
      </c>
      <c r="J925" s="100"/>
      <c r="K925" s="22"/>
      <c r="L925" s="72">
        <f t="shared" si="1600"/>
        <v>3.7750000000000004</v>
      </c>
      <c r="M925" s="72">
        <f t="shared" si="1592"/>
        <v>30.2</v>
      </c>
      <c r="N925" s="72">
        <f t="shared" si="1593"/>
        <v>0</v>
      </c>
      <c r="O925" s="72">
        <f t="shared" si="1594"/>
        <v>0</v>
      </c>
      <c r="P925" s="72">
        <f t="shared" si="1595"/>
        <v>0</v>
      </c>
      <c r="Q925" s="72">
        <f t="shared" si="1596"/>
        <v>0</v>
      </c>
      <c r="R925" s="72">
        <f t="shared" si="1597"/>
        <v>0</v>
      </c>
    </row>
    <row r="926" spans="1:18" x14ac:dyDescent="0.25">
      <c r="A926" s="26"/>
      <c r="B926" s="25"/>
      <c r="C926" s="15"/>
      <c r="D926" s="16"/>
      <c r="E926" s="15"/>
      <c r="F926" s="11"/>
      <c r="G926" s="11"/>
      <c r="H926" s="95"/>
      <c r="I926" s="95"/>
      <c r="J926" s="100"/>
      <c r="K926" s="22"/>
      <c r="L926" s="72"/>
      <c r="M926" s="72"/>
      <c r="N926" s="72"/>
      <c r="O926" s="72"/>
      <c r="P926" s="72"/>
      <c r="Q926" s="72"/>
      <c r="R926" s="72"/>
    </row>
    <row r="927" spans="1:18" x14ac:dyDescent="0.25">
      <c r="A927" s="26"/>
      <c r="B927" s="45" t="s">
        <v>788</v>
      </c>
      <c r="C927" s="15"/>
      <c r="D927" s="16"/>
      <c r="E927" s="15"/>
      <c r="F927" s="11"/>
      <c r="G927" s="11"/>
      <c r="H927" s="95"/>
      <c r="I927" s="95"/>
      <c r="J927" s="100"/>
      <c r="K927" s="22"/>
      <c r="L927" s="72">
        <f>SUM(H927:J927)+K927</f>
        <v>0</v>
      </c>
      <c r="M927" s="72">
        <f>+ROUND(IF(C927=8,PRODUCT(E927,F927,G927,L927),0),2)</f>
        <v>0</v>
      </c>
      <c r="N927" s="72">
        <f>+ROUND(IF(C927=10,PRODUCT(E927,F927,G927,L927),0),2)</f>
        <v>0</v>
      </c>
      <c r="O927" s="72">
        <f>+ROUND(IF(C927=12,PRODUCT(E927,F927,G927,L927),0),2)</f>
        <v>0</v>
      </c>
      <c r="P927" s="72">
        <f>+ROUND(IF(C927=16,PRODUCT(E927,F927,G927,L927),0),2)</f>
        <v>0</v>
      </c>
      <c r="Q927" s="72">
        <f>+ROUND(IF(C927=20,PRODUCT(E927,F927,G927,L927),0),2)</f>
        <v>0</v>
      </c>
      <c r="R927" s="72">
        <f>+ROUND(IF(C927=25,PRODUCT(E927,F927,G927,L927),0),2)</f>
        <v>0</v>
      </c>
    </row>
    <row r="928" spans="1:18" x14ac:dyDescent="0.25">
      <c r="A928" s="26"/>
      <c r="B928" s="104" t="s">
        <v>771</v>
      </c>
      <c r="C928" s="15">
        <v>10</v>
      </c>
      <c r="D928" s="16">
        <v>150</v>
      </c>
      <c r="E928" s="15">
        <v>2</v>
      </c>
      <c r="F928" s="11">
        <v>1</v>
      </c>
      <c r="G928" s="11">
        <f>+ROUND(4.665/(D928/1000)+1,0)</f>
        <v>32</v>
      </c>
      <c r="H928" s="95">
        <v>0.25</v>
      </c>
      <c r="I928" s="95">
        <v>2.13</v>
      </c>
      <c r="J928" s="100">
        <v>0.4</v>
      </c>
      <c r="K928" s="22"/>
      <c r="L928" s="72">
        <f t="shared" ref="L928:L932" si="1601">SUM(H928:J928)+K928</f>
        <v>2.78</v>
      </c>
      <c r="M928" s="72">
        <f t="shared" ref="M928:M932" si="1602">+ROUND(IF(C928=8,PRODUCT(E928,F928,G928,L928),0),2)</f>
        <v>0</v>
      </c>
      <c r="N928" s="72">
        <f t="shared" ref="N928:N932" si="1603">+ROUND(IF(C928=10,PRODUCT(E928,F928,G928,L928),0),2)</f>
        <v>177.92</v>
      </c>
      <c r="O928" s="72">
        <f t="shared" ref="O928:O932" si="1604">+ROUND(IF(C928=12,PRODUCT(E928,F928,G928,L928),0),2)</f>
        <v>0</v>
      </c>
      <c r="P928" s="72">
        <f t="shared" ref="P928:P932" si="1605">+ROUND(IF(C928=16,PRODUCT(E928,F928,G928,L928),0),2)</f>
        <v>0</v>
      </c>
      <c r="Q928" s="72">
        <f t="shared" ref="Q928:Q932" si="1606">+ROUND(IF(C928=20,PRODUCT(E928,F928,G928,L928),0),2)</f>
        <v>0</v>
      </c>
      <c r="R928" s="72">
        <f t="shared" ref="R928:R932" si="1607">+ROUND(IF(C928=25,PRODUCT(E928,F928,G928,L928),0),2)</f>
        <v>0</v>
      </c>
    </row>
    <row r="929" spans="1:18" x14ac:dyDescent="0.25">
      <c r="A929" s="26"/>
      <c r="B929" s="104" t="s">
        <v>521</v>
      </c>
      <c r="C929" s="15">
        <v>8</v>
      </c>
      <c r="D929" s="16">
        <v>200</v>
      </c>
      <c r="E929" s="15">
        <v>2</v>
      </c>
      <c r="F929" s="11">
        <v>1</v>
      </c>
      <c r="G929" s="11">
        <v>10</v>
      </c>
      <c r="H929" s="95"/>
      <c r="I929" s="95">
        <f>4.665-0.05</f>
        <v>4.6150000000000002</v>
      </c>
      <c r="J929" s="100"/>
      <c r="K929" s="22"/>
      <c r="L929" s="72">
        <f t="shared" si="1601"/>
        <v>4.6150000000000002</v>
      </c>
      <c r="M929" s="72">
        <f t="shared" si="1602"/>
        <v>92.3</v>
      </c>
      <c r="N929" s="72">
        <f t="shared" si="1603"/>
        <v>0</v>
      </c>
      <c r="O929" s="72">
        <f t="shared" si="1604"/>
        <v>0</v>
      </c>
      <c r="P929" s="72">
        <f t="shared" si="1605"/>
        <v>0</v>
      </c>
      <c r="Q929" s="72">
        <f t="shared" si="1606"/>
        <v>0</v>
      </c>
      <c r="R929" s="72">
        <f t="shared" si="1607"/>
        <v>0</v>
      </c>
    </row>
    <row r="930" spans="1:18" x14ac:dyDescent="0.25">
      <c r="A930" s="26"/>
      <c r="B930" s="104" t="s">
        <v>773</v>
      </c>
      <c r="C930" s="15">
        <v>12</v>
      </c>
      <c r="D930" s="16">
        <v>100</v>
      </c>
      <c r="E930" s="15">
        <v>2</v>
      </c>
      <c r="F930" s="11">
        <v>1</v>
      </c>
      <c r="G930" s="11">
        <f>+ROUND(4.665/(D930/1000)+1,0)/2</f>
        <v>24</v>
      </c>
      <c r="H930" s="95"/>
      <c r="I930" s="95">
        <f>2+2.5-0.025</f>
        <v>4.4749999999999996</v>
      </c>
      <c r="J930" s="100">
        <v>0.1</v>
      </c>
      <c r="K930" s="22"/>
      <c r="L930" s="72">
        <f t="shared" si="1601"/>
        <v>4.5749999999999993</v>
      </c>
      <c r="M930" s="72">
        <f t="shared" si="1602"/>
        <v>0</v>
      </c>
      <c r="N930" s="72">
        <f t="shared" si="1603"/>
        <v>0</v>
      </c>
      <c r="O930" s="72">
        <f t="shared" si="1604"/>
        <v>219.6</v>
      </c>
      <c r="P930" s="72">
        <f t="shared" si="1605"/>
        <v>0</v>
      </c>
      <c r="Q930" s="72">
        <f t="shared" si="1606"/>
        <v>0</v>
      </c>
      <c r="R930" s="72">
        <f t="shared" si="1607"/>
        <v>0</v>
      </c>
    </row>
    <row r="931" spans="1:18" x14ac:dyDescent="0.25">
      <c r="A931" s="26"/>
      <c r="B931" s="104" t="s">
        <v>773</v>
      </c>
      <c r="C931" s="15">
        <v>10</v>
      </c>
      <c r="D931" s="16">
        <v>100</v>
      </c>
      <c r="E931" s="15">
        <v>2</v>
      </c>
      <c r="F931" s="11">
        <v>1</v>
      </c>
      <c r="G931" s="11">
        <f>+ROUND(4.665/(D931/1000)+1,0)/2</f>
        <v>24</v>
      </c>
      <c r="H931" s="95"/>
      <c r="I931" s="95">
        <f>1.35+0.2+2</f>
        <v>3.55</v>
      </c>
      <c r="J931" s="100"/>
      <c r="K931" s="22"/>
      <c r="L931" s="72">
        <f t="shared" si="1601"/>
        <v>3.55</v>
      </c>
      <c r="M931" s="72">
        <f t="shared" si="1602"/>
        <v>0</v>
      </c>
      <c r="N931" s="72">
        <f t="shared" si="1603"/>
        <v>170.4</v>
      </c>
      <c r="O931" s="72">
        <f t="shared" si="1604"/>
        <v>0</v>
      </c>
      <c r="P931" s="72">
        <f t="shared" si="1605"/>
        <v>0</v>
      </c>
      <c r="Q931" s="72">
        <f t="shared" si="1606"/>
        <v>0</v>
      </c>
      <c r="R931" s="72">
        <f t="shared" si="1607"/>
        <v>0</v>
      </c>
    </row>
    <row r="932" spans="1:18" x14ac:dyDescent="0.25">
      <c r="A932" s="26"/>
      <c r="B932" s="104" t="s">
        <v>774</v>
      </c>
      <c r="C932" s="15">
        <v>8</v>
      </c>
      <c r="D932" s="16">
        <v>200</v>
      </c>
      <c r="E932" s="15">
        <v>2</v>
      </c>
      <c r="F932" s="11">
        <v>2</v>
      </c>
      <c r="G932" s="11">
        <v>10</v>
      </c>
      <c r="H932" s="95"/>
      <c r="I932" s="95">
        <f>4.665-0.05</f>
        <v>4.6150000000000002</v>
      </c>
      <c r="J932" s="100"/>
      <c r="K932" s="22"/>
      <c r="L932" s="72">
        <f t="shared" si="1601"/>
        <v>4.6150000000000002</v>
      </c>
      <c r="M932" s="72">
        <f t="shared" si="1602"/>
        <v>184.6</v>
      </c>
      <c r="N932" s="72">
        <f t="shared" si="1603"/>
        <v>0</v>
      </c>
      <c r="O932" s="72">
        <f t="shared" si="1604"/>
        <v>0</v>
      </c>
      <c r="P932" s="72">
        <f t="shared" si="1605"/>
        <v>0</v>
      </c>
      <c r="Q932" s="72">
        <f t="shared" si="1606"/>
        <v>0</v>
      </c>
      <c r="R932" s="72">
        <f t="shared" si="1607"/>
        <v>0</v>
      </c>
    </row>
    <row r="933" spans="1:18" x14ac:dyDescent="0.25">
      <c r="A933" s="26"/>
      <c r="B933" s="25"/>
      <c r="C933" s="15"/>
      <c r="D933" s="16"/>
      <c r="E933" s="15"/>
      <c r="F933" s="11"/>
      <c r="G933" s="11"/>
      <c r="H933" s="95"/>
      <c r="I933" s="95"/>
      <c r="J933" s="100"/>
      <c r="K933" s="22"/>
      <c r="L933" s="72"/>
      <c r="M933" s="72"/>
      <c r="N933" s="72"/>
      <c r="O933" s="72"/>
      <c r="P933" s="72"/>
      <c r="Q933" s="72"/>
      <c r="R933" s="72"/>
    </row>
    <row r="934" spans="1:18" x14ac:dyDescent="0.25">
      <c r="A934" s="26"/>
      <c r="B934" s="45" t="s">
        <v>789</v>
      </c>
      <c r="C934" s="15"/>
      <c r="D934" s="16"/>
      <c r="E934" s="15"/>
      <c r="F934" s="11"/>
      <c r="G934" s="11"/>
      <c r="H934" s="95"/>
      <c r="I934" s="95"/>
      <c r="J934" s="100"/>
      <c r="K934" s="22"/>
      <c r="L934" s="72">
        <f>SUM(H934:J934)+K934</f>
        <v>0</v>
      </c>
      <c r="M934" s="72">
        <f t="shared" ref="M934:M939" si="1608">+ROUND(IF(C934=8,PRODUCT(E934,F934,G934,L934),0),2)</f>
        <v>0</v>
      </c>
      <c r="N934" s="72">
        <f t="shared" ref="N934:N939" si="1609">+ROUND(IF(C934=10,PRODUCT(E934,F934,G934,L934),0),2)</f>
        <v>0</v>
      </c>
      <c r="O934" s="72">
        <f t="shared" ref="O934:O939" si="1610">+ROUND(IF(C934=12,PRODUCT(E934,F934,G934,L934),0),2)</f>
        <v>0</v>
      </c>
      <c r="P934" s="72">
        <f t="shared" ref="P934:P939" si="1611">+ROUND(IF(C934=16,PRODUCT(E934,F934,G934,L934),0),2)</f>
        <v>0</v>
      </c>
      <c r="Q934" s="72">
        <f t="shared" ref="Q934:Q939" si="1612">+ROUND(IF(C934=20,PRODUCT(E934,F934,G934,L934),0),2)</f>
        <v>0</v>
      </c>
      <c r="R934" s="72">
        <f t="shared" ref="R934:R939" si="1613">+ROUND(IF(C934=25,PRODUCT(E934,F934,G934,L934),0),2)</f>
        <v>0</v>
      </c>
    </row>
    <row r="935" spans="1:18" x14ac:dyDescent="0.25">
      <c r="A935" s="26"/>
      <c r="B935" s="104" t="s">
        <v>771</v>
      </c>
      <c r="C935" s="15">
        <v>10</v>
      </c>
      <c r="D935" s="16">
        <v>150</v>
      </c>
      <c r="E935" s="15">
        <v>2</v>
      </c>
      <c r="F935" s="11">
        <v>1</v>
      </c>
      <c r="G935" s="11">
        <f>+ROUND(5.105/(D935/1000)+1,0)</f>
        <v>35</v>
      </c>
      <c r="H935" s="95">
        <v>0.25</v>
      </c>
      <c r="I935" s="95">
        <f>2-0.025</f>
        <v>1.9750000000000001</v>
      </c>
      <c r="J935" s="100">
        <v>0.4</v>
      </c>
      <c r="K935" s="22"/>
      <c r="L935" s="72">
        <f t="shared" ref="L935:L939" si="1614">SUM(H935:J935)+K935</f>
        <v>2.625</v>
      </c>
      <c r="M935" s="72">
        <f t="shared" si="1608"/>
        <v>0</v>
      </c>
      <c r="N935" s="72">
        <f t="shared" si="1609"/>
        <v>183.75</v>
      </c>
      <c r="O935" s="72">
        <f t="shared" si="1610"/>
        <v>0</v>
      </c>
      <c r="P935" s="72">
        <f t="shared" si="1611"/>
        <v>0</v>
      </c>
      <c r="Q935" s="72">
        <f t="shared" si="1612"/>
        <v>0</v>
      </c>
      <c r="R935" s="72">
        <f t="shared" si="1613"/>
        <v>0</v>
      </c>
    </row>
    <row r="936" spans="1:18" x14ac:dyDescent="0.25">
      <c r="A936" s="26"/>
      <c r="B936" s="104" t="s">
        <v>521</v>
      </c>
      <c r="C936" s="15">
        <v>8</v>
      </c>
      <c r="D936" s="16">
        <v>200</v>
      </c>
      <c r="E936" s="15">
        <v>2</v>
      </c>
      <c r="F936" s="11">
        <v>1</v>
      </c>
      <c r="G936" s="11">
        <f>+ROUND(2/(D936/1000)+1,0)</f>
        <v>11</v>
      </c>
      <c r="H936" s="95">
        <v>0.1</v>
      </c>
      <c r="I936" s="95">
        <f>5.105-0.05</f>
        <v>5.0550000000000006</v>
      </c>
      <c r="J936" s="100">
        <v>0.1</v>
      </c>
      <c r="K936" s="22"/>
      <c r="L936" s="72">
        <f t="shared" si="1614"/>
        <v>5.2549999999999999</v>
      </c>
      <c r="M936" s="72">
        <f t="shared" si="1608"/>
        <v>115.61</v>
      </c>
      <c r="N936" s="72">
        <f t="shared" si="1609"/>
        <v>0</v>
      </c>
      <c r="O936" s="72">
        <f t="shared" si="1610"/>
        <v>0</v>
      </c>
      <c r="P936" s="72">
        <f t="shared" si="1611"/>
        <v>0</v>
      </c>
      <c r="Q936" s="72">
        <f t="shared" si="1612"/>
        <v>0</v>
      </c>
      <c r="R936" s="72">
        <f t="shared" si="1613"/>
        <v>0</v>
      </c>
    </row>
    <row r="937" spans="1:18" x14ac:dyDescent="0.25">
      <c r="A937" s="26"/>
      <c r="B937" s="104" t="s">
        <v>773</v>
      </c>
      <c r="C937" s="15">
        <v>12</v>
      </c>
      <c r="D937" s="16">
        <v>100</v>
      </c>
      <c r="E937" s="15">
        <v>2</v>
      </c>
      <c r="F937" s="11">
        <v>1</v>
      </c>
      <c r="G937" s="11">
        <f>+ROUND(5.105/(D937/1000)+1,0)/2</f>
        <v>26</v>
      </c>
      <c r="H937" s="95"/>
      <c r="I937" s="95">
        <f>2+2.5-0.025</f>
        <v>4.4749999999999996</v>
      </c>
      <c r="J937" s="100">
        <v>0.1</v>
      </c>
      <c r="K937" s="22"/>
      <c r="L937" s="72">
        <f t="shared" si="1614"/>
        <v>4.5749999999999993</v>
      </c>
      <c r="M937" s="72">
        <f t="shared" si="1608"/>
        <v>0</v>
      </c>
      <c r="N937" s="72">
        <f t="shared" si="1609"/>
        <v>0</v>
      </c>
      <c r="O937" s="72">
        <f t="shared" si="1610"/>
        <v>237.9</v>
      </c>
      <c r="P937" s="72">
        <f t="shared" si="1611"/>
        <v>0</v>
      </c>
      <c r="Q937" s="72">
        <f t="shared" si="1612"/>
        <v>0</v>
      </c>
      <c r="R937" s="72">
        <f t="shared" si="1613"/>
        <v>0</v>
      </c>
    </row>
    <row r="938" spans="1:18" x14ac:dyDescent="0.25">
      <c r="A938" s="26"/>
      <c r="B938" s="104" t="s">
        <v>773</v>
      </c>
      <c r="C938" s="15">
        <v>10</v>
      </c>
      <c r="D938" s="16">
        <v>100</v>
      </c>
      <c r="E938" s="15">
        <v>2</v>
      </c>
      <c r="F938" s="11">
        <v>1</v>
      </c>
      <c r="G938" s="11">
        <f>+ROUND(5.105/(D938/1000)+1,0)/2</f>
        <v>26</v>
      </c>
      <c r="H938" s="95"/>
      <c r="I938" s="95">
        <f>1.35+0.2+2</f>
        <v>3.55</v>
      </c>
      <c r="J938" s="100"/>
      <c r="K938" s="22"/>
      <c r="L938" s="72">
        <f t="shared" si="1614"/>
        <v>3.55</v>
      </c>
      <c r="M938" s="72">
        <f t="shared" si="1608"/>
        <v>0</v>
      </c>
      <c r="N938" s="72">
        <f t="shared" si="1609"/>
        <v>184.6</v>
      </c>
      <c r="O938" s="72">
        <f t="shared" si="1610"/>
        <v>0</v>
      </c>
      <c r="P938" s="72">
        <f t="shared" si="1611"/>
        <v>0</v>
      </c>
      <c r="Q938" s="72">
        <f t="shared" si="1612"/>
        <v>0</v>
      </c>
      <c r="R938" s="72">
        <f t="shared" si="1613"/>
        <v>0</v>
      </c>
    </row>
    <row r="939" spans="1:18" x14ac:dyDescent="0.25">
      <c r="A939" s="26"/>
      <c r="B939" s="104" t="s">
        <v>774</v>
      </c>
      <c r="C939" s="15">
        <v>8</v>
      </c>
      <c r="D939" s="16">
        <v>200</v>
      </c>
      <c r="E939" s="15">
        <v>2</v>
      </c>
      <c r="F939" s="11">
        <v>2</v>
      </c>
      <c r="G939" s="11">
        <f>+ROUND(2/(D939/1000)+1,0)</f>
        <v>11</v>
      </c>
      <c r="H939" s="95">
        <v>0.1</v>
      </c>
      <c r="I939" s="95">
        <f>5.105-0.05</f>
        <v>5.0550000000000006</v>
      </c>
      <c r="J939" s="100">
        <v>0.1</v>
      </c>
      <c r="K939" s="22"/>
      <c r="L939" s="72">
        <f t="shared" si="1614"/>
        <v>5.2549999999999999</v>
      </c>
      <c r="M939" s="72">
        <f t="shared" si="1608"/>
        <v>231.22</v>
      </c>
      <c r="N939" s="72">
        <f t="shared" si="1609"/>
        <v>0</v>
      </c>
      <c r="O939" s="72">
        <f t="shared" si="1610"/>
        <v>0</v>
      </c>
      <c r="P939" s="72">
        <f t="shared" si="1611"/>
        <v>0</v>
      </c>
      <c r="Q939" s="72">
        <f t="shared" si="1612"/>
        <v>0</v>
      </c>
      <c r="R939" s="72">
        <f t="shared" si="1613"/>
        <v>0</v>
      </c>
    </row>
    <row r="940" spans="1:18" x14ac:dyDescent="0.25">
      <c r="A940" s="26"/>
      <c r="B940" s="25"/>
      <c r="C940" s="15"/>
      <c r="D940" s="16"/>
      <c r="E940" s="15"/>
      <c r="F940" s="11"/>
      <c r="G940" s="11"/>
      <c r="H940" s="95"/>
      <c r="I940" s="95"/>
      <c r="J940" s="100"/>
      <c r="K940" s="22"/>
      <c r="L940" s="72"/>
      <c r="M940" s="72"/>
      <c r="N940" s="72"/>
      <c r="O940" s="72"/>
      <c r="P940" s="72"/>
      <c r="Q940" s="72"/>
      <c r="R940" s="72"/>
    </row>
    <row r="941" spans="1:18" x14ac:dyDescent="0.25">
      <c r="A941" s="26"/>
      <c r="B941" s="103" t="s">
        <v>794</v>
      </c>
      <c r="C941" s="15"/>
      <c r="D941" s="16"/>
      <c r="E941" s="15"/>
      <c r="F941" s="11"/>
      <c r="G941" s="11"/>
      <c r="H941" s="95"/>
      <c r="I941" s="95"/>
      <c r="J941" s="100"/>
      <c r="K941" s="22"/>
      <c r="L941" s="72">
        <f>SUM(H941:J941)+K941</f>
        <v>0</v>
      </c>
      <c r="M941" s="72">
        <f t="shared" si="0"/>
        <v>0</v>
      </c>
      <c r="N941" s="72">
        <f t="shared" si="1"/>
        <v>0</v>
      </c>
      <c r="O941" s="72">
        <f t="shared" si="2"/>
        <v>0</v>
      </c>
      <c r="P941" s="72">
        <f t="shared" si="3"/>
        <v>0</v>
      </c>
      <c r="Q941" s="72">
        <f t="shared" si="4"/>
        <v>0</v>
      </c>
      <c r="R941" s="72">
        <f t="shared" si="5"/>
        <v>0</v>
      </c>
    </row>
    <row r="942" spans="1:18" x14ac:dyDescent="0.25">
      <c r="A942" s="26"/>
      <c r="B942" s="45" t="s">
        <v>798</v>
      </c>
      <c r="C942" s="15"/>
      <c r="D942" s="16"/>
      <c r="E942" s="15"/>
      <c r="F942" s="11"/>
      <c r="G942" s="11"/>
      <c r="H942" s="95"/>
      <c r="I942" s="95"/>
      <c r="J942" s="100"/>
      <c r="K942" s="22"/>
      <c r="L942" s="72"/>
      <c r="M942" s="72">
        <f t="shared" si="0"/>
        <v>0</v>
      </c>
      <c r="N942" s="72">
        <f t="shared" si="1"/>
        <v>0</v>
      </c>
      <c r="O942" s="72">
        <f t="shared" si="2"/>
        <v>0</v>
      </c>
      <c r="P942" s="72">
        <f t="shared" si="3"/>
        <v>0</v>
      </c>
      <c r="Q942" s="72">
        <f t="shared" si="4"/>
        <v>0</v>
      </c>
      <c r="R942" s="72">
        <f t="shared" si="5"/>
        <v>0</v>
      </c>
    </row>
    <row r="943" spans="1:18" x14ac:dyDescent="0.25">
      <c r="A943" s="26"/>
      <c r="B943" s="104" t="s">
        <v>799</v>
      </c>
      <c r="C943" s="15">
        <v>8</v>
      </c>
      <c r="D943" s="16">
        <v>200</v>
      </c>
      <c r="E943" s="15">
        <v>6</v>
      </c>
      <c r="F943" s="11">
        <v>1</v>
      </c>
      <c r="G943" s="11">
        <f>+ROUND(3.86/(D943/1000)+1,0)</f>
        <v>20</v>
      </c>
      <c r="H943" s="95"/>
      <c r="I943" s="95">
        <f>0.175+3.25+0.175</f>
        <v>3.5999999999999996</v>
      </c>
      <c r="J943" s="100"/>
      <c r="K943" s="22"/>
      <c r="L943" s="72">
        <f t="shared" ref="L943" si="1615">SUM(H943:J943)+K943</f>
        <v>3.5999999999999996</v>
      </c>
      <c r="M943" s="72">
        <f t="shared" si="0"/>
        <v>432</v>
      </c>
      <c r="N943" s="72">
        <f t="shared" si="1"/>
        <v>0</v>
      </c>
      <c r="O943" s="72">
        <f t="shared" si="2"/>
        <v>0</v>
      </c>
      <c r="P943" s="72">
        <f t="shared" si="3"/>
        <v>0</v>
      </c>
      <c r="Q943" s="72">
        <f t="shared" si="4"/>
        <v>0</v>
      </c>
      <c r="R943" s="72">
        <f t="shared" si="5"/>
        <v>0</v>
      </c>
    </row>
    <row r="944" spans="1:18" x14ac:dyDescent="0.25">
      <c r="A944" s="26"/>
      <c r="B944" s="104" t="s">
        <v>521</v>
      </c>
      <c r="C944" s="15">
        <v>8</v>
      </c>
      <c r="D944" s="16">
        <v>200</v>
      </c>
      <c r="E944" s="15">
        <v>6</v>
      </c>
      <c r="F944" s="11">
        <v>1</v>
      </c>
      <c r="G944" s="11">
        <f>+ROUND(3.25/(D944/1000)+1,0)</f>
        <v>17</v>
      </c>
      <c r="H944" s="95"/>
      <c r="I944" s="95">
        <f>0.175+3.86+0.175</f>
        <v>4.21</v>
      </c>
      <c r="J944" s="100"/>
      <c r="K944" s="47"/>
      <c r="L944" s="72">
        <f>SUM(H944:J944)+K944</f>
        <v>4.21</v>
      </c>
      <c r="M944" s="72">
        <f t="shared" ref="M944" si="1616">+ROUND(IF(C944=8,PRODUCT(E944,F944,G944,L944),0),2)</f>
        <v>429.42</v>
      </c>
      <c r="N944" s="72">
        <f t="shared" ref="N944" si="1617">+ROUND(IF(C944=10,PRODUCT(E944,F944,G944,L944),0),2)</f>
        <v>0</v>
      </c>
      <c r="O944" s="72">
        <f t="shared" ref="O944" si="1618">+ROUND(IF(C944=12,PRODUCT(E944,F944,G944,L944),0),2)</f>
        <v>0</v>
      </c>
      <c r="P944" s="72">
        <f t="shared" ref="P944" si="1619">+ROUND(IF(C944=16,PRODUCT(E944,F944,G944,L944),0),2)</f>
        <v>0</v>
      </c>
      <c r="Q944" s="72">
        <f t="shared" ref="Q944" si="1620">+ROUND(IF(C944=20,PRODUCT(E944,F944,G944,L944),0),2)</f>
        <v>0</v>
      </c>
      <c r="R944" s="72">
        <f t="shared" ref="R944" si="1621">+ROUND(IF(C944=25,PRODUCT(E944,F944,G944,L944),0),2)</f>
        <v>0</v>
      </c>
    </row>
    <row r="945" spans="1:18" x14ac:dyDescent="0.25">
      <c r="A945" s="26"/>
      <c r="B945" s="104" t="s">
        <v>512</v>
      </c>
      <c r="C945" s="15">
        <v>8</v>
      </c>
      <c r="D945" s="16">
        <v>200</v>
      </c>
      <c r="E945" s="15">
        <v>6</v>
      </c>
      <c r="F945" s="11">
        <v>1</v>
      </c>
      <c r="G945" s="11">
        <v>17</v>
      </c>
      <c r="H945" s="95">
        <v>0.1</v>
      </c>
      <c r="I945" s="95">
        <f>0.55+0.175</f>
        <v>0.72500000000000009</v>
      </c>
      <c r="J945" s="100"/>
      <c r="K945" s="22"/>
      <c r="L945" s="72">
        <f>SUM(H945:J945)+K945</f>
        <v>0.82500000000000007</v>
      </c>
      <c r="M945" s="72">
        <f t="shared" si="0"/>
        <v>84.15</v>
      </c>
      <c r="N945" s="72">
        <f t="shared" si="1"/>
        <v>0</v>
      </c>
      <c r="O945" s="72">
        <f t="shared" si="2"/>
        <v>0</v>
      </c>
      <c r="P945" s="72">
        <f t="shared" si="3"/>
        <v>0</v>
      </c>
      <c r="Q945" s="72">
        <f t="shared" si="4"/>
        <v>0</v>
      </c>
      <c r="R945" s="72">
        <f t="shared" si="5"/>
        <v>0</v>
      </c>
    </row>
    <row r="946" spans="1:18" x14ac:dyDescent="0.25">
      <c r="A946" s="26"/>
      <c r="B946" s="104" t="s">
        <v>512</v>
      </c>
      <c r="C946" s="15">
        <v>8</v>
      </c>
      <c r="D946" s="16">
        <v>200</v>
      </c>
      <c r="E946" s="15">
        <v>6</v>
      </c>
      <c r="F946" s="11">
        <v>1</v>
      </c>
      <c r="G946" s="11">
        <v>12</v>
      </c>
      <c r="H946" s="95">
        <v>0.1</v>
      </c>
      <c r="I946" s="95">
        <f>0.6+0.175</f>
        <v>0.77499999999999991</v>
      </c>
      <c r="J946" s="100"/>
      <c r="K946" s="22"/>
      <c r="L946" s="72">
        <f t="shared" ref="L946" si="1622">SUM(H946:J946)+K946</f>
        <v>0.87499999999999989</v>
      </c>
      <c r="M946" s="72">
        <f t="shared" si="0"/>
        <v>63</v>
      </c>
      <c r="N946" s="72">
        <f t="shared" si="1"/>
        <v>0</v>
      </c>
      <c r="O946" s="72">
        <f t="shared" si="2"/>
        <v>0</v>
      </c>
      <c r="P946" s="72">
        <f t="shared" si="3"/>
        <v>0</v>
      </c>
      <c r="Q946" s="72">
        <f t="shared" si="4"/>
        <v>0</v>
      </c>
      <c r="R946" s="72">
        <f t="shared" si="5"/>
        <v>0</v>
      </c>
    </row>
    <row r="947" spans="1:18" x14ac:dyDescent="0.25">
      <c r="A947" s="26"/>
      <c r="B947" s="104" t="s">
        <v>512</v>
      </c>
      <c r="C947" s="15">
        <v>8</v>
      </c>
      <c r="D947" s="16">
        <v>200</v>
      </c>
      <c r="E947" s="15">
        <v>6</v>
      </c>
      <c r="F947" s="11">
        <v>1</v>
      </c>
      <c r="G947" s="11">
        <f>+ROUND(3.25/(D947/1000)+1,0)/2</f>
        <v>8.5</v>
      </c>
      <c r="H947" s="95"/>
      <c r="I947" s="95">
        <f>0.1+1.2</f>
        <v>1.3</v>
      </c>
      <c r="J947" s="100"/>
      <c r="K947" s="22"/>
      <c r="L947" s="72">
        <f t="shared" ref="L947" si="1623">SUM(H947:J947)+K947</f>
        <v>1.3</v>
      </c>
      <c r="M947" s="72">
        <f t="shared" ref="M947" si="1624">+ROUND(IF(C947=8,PRODUCT(E947,F947,G947,L947),0),2)</f>
        <v>66.3</v>
      </c>
      <c r="N947" s="72">
        <f t="shared" ref="N947" si="1625">+ROUND(IF(C947=10,PRODUCT(E947,F947,G947,L947),0),2)</f>
        <v>0</v>
      </c>
      <c r="O947" s="72">
        <f t="shared" ref="O947" si="1626">+ROUND(IF(C947=12,PRODUCT(E947,F947,G947,L947),0),2)</f>
        <v>0</v>
      </c>
      <c r="P947" s="72">
        <f t="shared" ref="P947" si="1627">+ROUND(IF(C947=16,PRODUCT(E947,F947,G947,L947),0),2)</f>
        <v>0</v>
      </c>
      <c r="Q947" s="72">
        <f t="shared" ref="Q947" si="1628">+ROUND(IF(C947=20,PRODUCT(E947,F947,G947,L947),0),2)</f>
        <v>0</v>
      </c>
      <c r="R947" s="72">
        <f t="shared" ref="R947" si="1629">+ROUND(IF(C947=25,PRODUCT(E947,F947,G947,L947),0),2)</f>
        <v>0</v>
      </c>
    </row>
    <row r="948" spans="1:18" x14ac:dyDescent="0.25">
      <c r="A948" s="26"/>
      <c r="B948" s="104" t="s">
        <v>512</v>
      </c>
      <c r="C948" s="15">
        <v>8</v>
      </c>
      <c r="D948" s="16">
        <v>200</v>
      </c>
      <c r="E948" s="15">
        <v>6</v>
      </c>
      <c r="F948" s="11">
        <v>1</v>
      </c>
      <c r="G948" s="11">
        <v>8</v>
      </c>
      <c r="H948" s="95"/>
      <c r="I948" s="95">
        <f>0.1+0.6</f>
        <v>0.7</v>
      </c>
      <c r="J948" s="100"/>
      <c r="K948" s="22"/>
      <c r="L948" s="72">
        <f>SUM(H948:J948)+K948</f>
        <v>0.7</v>
      </c>
      <c r="M948" s="72">
        <f t="shared" si="0"/>
        <v>33.6</v>
      </c>
      <c r="N948" s="72">
        <f t="shared" si="1"/>
        <v>0</v>
      </c>
      <c r="O948" s="72">
        <f t="shared" si="2"/>
        <v>0</v>
      </c>
      <c r="P948" s="72">
        <f t="shared" si="3"/>
        <v>0</v>
      </c>
      <c r="Q948" s="72">
        <f t="shared" si="4"/>
        <v>0</v>
      </c>
      <c r="R948" s="72">
        <f t="shared" si="5"/>
        <v>0</v>
      </c>
    </row>
    <row r="949" spans="1:18" x14ac:dyDescent="0.25">
      <c r="A949" s="26"/>
      <c r="B949" s="104" t="s">
        <v>512</v>
      </c>
      <c r="C949" s="15">
        <v>8</v>
      </c>
      <c r="D949" s="16">
        <v>200</v>
      </c>
      <c r="E949" s="15">
        <v>6</v>
      </c>
      <c r="F949" s="11">
        <v>1</v>
      </c>
      <c r="G949" s="11">
        <v>10</v>
      </c>
      <c r="H949" s="95"/>
      <c r="I949" s="95">
        <f>0.1+1.1</f>
        <v>1.2000000000000002</v>
      </c>
      <c r="J949" s="100"/>
      <c r="K949" s="22"/>
      <c r="L949" s="72">
        <f t="shared" ref="L949" si="1630">SUM(H949:J949)+K949</f>
        <v>1.2000000000000002</v>
      </c>
      <c r="M949" s="72">
        <f t="shared" si="0"/>
        <v>72</v>
      </c>
      <c r="N949" s="72">
        <f t="shared" si="1"/>
        <v>0</v>
      </c>
      <c r="O949" s="72">
        <f t="shared" si="2"/>
        <v>0</v>
      </c>
      <c r="P949" s="72">
        <f t="shared" si="3"/>
        <v>0</v>
      </c>
      <c r="Q949" s="72">
        <f t="shared" si="4"/>
        <v>0</v>
      </c>
      <c r="R949" s="72">
        <f t="shared" si="5"/>
        <v>0</v>
      </c>
    </row>
    <row r="950" spans="1:18" x14ac:dyDescent="0.25">
      <c r="A950" s="26"/>
      <c r="B950" s="104" t="s">
        <v>512</v>
      </c>
      <c r="C950" s="15">
        <v>8</v>
      </c>
      <c r="D950" s="16">
        <v>200</v>
      </c>
      <c r="E950" s="15">
        <v>6</v>
      </c>
      <c r="F950" s="11">
        <v>1</v>
      </c>
      <c r="G950" s="11">
        <v>9</v>
      </c>
      <c r="H950" s="95"/>
      <c r="I950" s="95">
        <f>0.1+0.5</f>
        <v>0.6</v>
      </c>
      <c r="J950" s="100"/>
      <c r="K950" s="22"/>
      <c r="L950" s="72">
        <f>SUM(H950:J950)+K950</f>
        <v>0.6</v>
      </c>
      <c r="M950" s="72">
        <f t="shared" ref="M950:M964" si="1631">+ROUND(IF(C950=8,PRODUCT(E950,F950,G950,L950),0),2)</f>
        <v>32.4</v>
      </c>
      <c r="N950" s="72">
        <f t="shared" ref="N950:N964" si="1632">+ROUND(IF(C950=10,PRODUCT(E950,F950,G950,L950),0),2)</f>
        <v>0</v>
      </c>
      <c r="O950" s="72">
        <f t="shared" ref="O950:O964" si="1633">+ROUND(IF(C950=12,PRODUCT(E950,F950,G950,L950),0),2)</f>
        <v>0</v>
      </c>
      <c r="P950" s="72">
        <f t="shared" ref="P950:P964" si="1634">+ROUND(IF(C950=16,PRODUCT(E950,F950,G950,L950),0),2)</f>
        <v>0</v>
      </c>
      <c r="Q950" s="72">
        <f t="shared" ref="Q950:Q964" si="1635">+ROUND(IF(C950=20,PRODUCT(E950,F950,G950,L950),0),2)</f>
        <v>0</v>
      </c>
      <c r="R950" s="72">
        <f t="shared" ref="R950:R964" si="1636">+ROUND(IF(C950=25,PRODUCT(E950,F950,G950,L950),0),2)</f>
        <v>0</v>
      </c>
    </row>
    <row r="951" spans="1:18" x14ac:dyDescent="0.25">
      <c r="A951" s="26"/>
      <c r="B951" s="104" t="s">
        <v>800</v>
      </c>
      <c r="C951" s="15">
        <v>8</v>
      </c>
      <c r="D951" s="16">
        <v>200</v>
      </c>
      <c r="E951" s="15">
        <v>6</v>
      </c>
      <c r="F951" s="11">
        <v>1</v>
      </c>
      <c r="G951" s="11">
        <v>12</v>
      </c>
      <c r="H951" s="95">
        <v>0.2</v>
      </c>
      <c r="I951" s="95">
        <v>3.25</v>
      </c>
      <c r="J951" s="100"/>
      <c r="K951" s="22"/>
      <c r="L951" s="72">
        <f>SUM(H951:J951)+K951</f>
        <v>3.45</v>
      </c>
      <c r="M951" s="72">
        <f t="shared" ref="M951" si="1637">+ROUND(IF(C951=8,PRODUCT(E951,F951,G951,L951),0),2)</f>
        <v>248.4</v>
      </c>
      <c r="N951" s="72">
        <f t="shared" ref="N951" si="1638">+ROUND(IF(C951=10,PRODUCT(E951,F951,G951,L951),0),2)</f>
        <v>0</v>
      </c>
      <c r="O951" s="72">
        <f t="shared" ref="O951" si="1639">+ROUND(IF(C951=12,PRODUCT(E951,F951,G951,L951),0),2)</f>
        <v>0</v>
      </c>
      <c r="P951" s="72">
        <f t="shared" ref="P951" si="1640">+ROUND(IF(C951=16,PRODUCT(E951,F951,G951,L951),0),2)</f>
        <v>0</v>
      </c>
      <c r="Q951" s="72">
        <f t="shared" ref="Q951" si="1641">+ROUND(IF(C951=20,PRODUCT(E951,F951,G951,L951),0),2)</f>
        <v>0</v>
      </c>
      <c r="R951" s="72">
        <f t="shared" ref="R951" si="1642">+ROUND(IF(C951=25,PRODUCT(E951,F951,G951,L951),0),2)</f>
        <v>0</v>
      </c>
    </row>
    <row r="952" spans="1:18" x14ac:dyDescent="0.25">
      <c r="A952" s="26"/>
      <c r="B952" s="104" t="s">
        <v>800</v>
      </c>
      <c r="C952" s="15">
        <v>8</v>
      </c>
      <c r="D952" s="16">
        <v>200</v>
      </c>
      <c r="E952" s="15">
        <v>6</v>
      </c>
      <c r="F952" s="11">
        <v>1</v>
      </c>
      <c r="G952" s="11">
        <f>+ROUND(1.2/(D952/1000)+1,0)</f>
        <v>7</v>
      </c>
      <c r="H952" s="95">
        <v>0.2</v>
      </c>
      <c r="I952" s="95">
        <v>3.25</v>
      </c>
      <c r="J952" s="100"/>
      <c r="K952" s="22"/>
      <c r="L952" s="72">
        <f t="shared" ref="L952:L954" si="1643">SUM(H952:J952)+K952</f>
        <v>3.45</v>
      </c>
      <c r="M952" s="72">
        <f t="shared" ref="M952:M954" si="1644">+ROUND(IF(C952=8,PRODUCT(E952,F952,G952,L952),0),2)</f>
        <v>144.9</v>
      </c>
      <c r="N952" s="72">
        <f t="shared" ref="N952:N954" si="1645">+ROUND(IF(C952=10,PRODUCT(E952,F952,G952,L952),0),2)</f>
        <v>0</v>
      </c>
      <c r="O952" s="72">
        <f t="shared" ref="O952:O954" si="1646">+ROUND(IF(C952=12,PRODUCT(E952,F952,G952,L952),0),2)</f>
        <v>0</v>
      </c>
      <c r="P952" s="72">
        <f t="shared" ref="P952:P954" si="1647">+ROUND(IF(C952=16,PRODUCT(E952,F952,G952,L952),0),2)</f>
        <v>0</v>
      </c>
      <c r="Q952" s="72">
        <f t="shared" ref="Q952:Q954" si="1648">+ROUND(IF(C952=20,PRODUCT(E952,F952,G952,L952),0),2)</f>
        <v>0</v>
      </c>
      <c r="R952" s="72">
        <f t="shared" ref="R952:R954" si="1649">+ROUND(IF(C952=25,PRODUCT(E952,F952,G952,L952),0),2)</f>
        <v>0</v>
      </c>
    </row>
    <row r="953" spans="1:18" x14ac:dyDescent="0.25">
      <c r="A953" s="26"/>
      <c r="B953" s="104" t="s">
        <v>800</v>
      </c>
      <c r="C953" s="15">
        <v>8</v>
      </c>
      <c r="D953" s="16">
        <v>200</v>
      </c>
      <c r="E953" s="15">
        <v>6</v>
      </c>
      <c r="F953" s="11">
        <v>1</v>
      </c>
      <c r="G953" s="11">
        <f>+ROUND(0.55/(D953/1000)+1,0)</f>
        <v>4</v>
      </c>
      <c r="H953" s="95">
        <v>0.2</v>
      </c>
      <c r="I953" s="95">
        <v>3.86</v>
      </c>
      <c r="J953" s="100"/>
      <c r="K953" s="22"/>
      <c r="L953" s="72">
        <f t="shared" si="1643"/>
        <v>4.0599999999999996</v>
      </c>
      <c r="M953" s="72">
        <f t="shared" si="1644"/>
        <v>97.44</v>
      </c>
      <c r="N953" s="72">
        <f t="shared" si="1645"/>
        <v>0</v>
      </c>
      <c r="O953" s="72">
        <f t="shared" si="1646"/>
        <v>0</v>
      </c>
      <c r="P953" s="72">
        <f t="shared" si="1647"/>
        <v>0</v>
      </c>
      <c r="Q953" s="72">
        <f t="shared" si="1648"/>
        <v>0</v>
      </c>
      <c r="R953" s="72">
        <f t="shared" si="1649"/>
        <v>0</v>
      </c>
    </row>
    <row r="954" spans="1:18" x14ac:dyDescent="0.25">
      <c r="A954" s="26"/>
      <c r="B954" s="104" t="s">
        <v>800</v>
      </c>
      <c r="C954" s="15">
        <v>8</v>
      </c>
      <c r="D954" s="16">
        <v>200</v>
      </c>
      <c r="E954" s="15">
        <v>6</v>
      </c>
      <c r="F954" s="11">
        <v>1</v>
      </c>
      <c r="G954" s="11">
        <v>6</v>
      </c>
      <c r="H954" s="95">
        <v>0.2</v>
      </c>
      <c r="I954" s="95">
        <v>3.86</v>
      </c>
      <c r="J954" s="100"/>
      <c r="K954" s="22"/>
      <c r="L954" s="72">
        <f t="shared" si="1643"/>
        <v>4.0599999999999996</v>
      </c>
      <c r="M954" s="72">
        <f t="shared" si="1644"/>
        <v>146.16</v>
      </c>
      <c r="N954" s="72">
        <f t="shared" si="1645"/>
        <v>0</v>
      </c>
      <c r="O954" s="72">
        <f t="shared" si="1646"/>
        <v>0</v>
      </c>
      <c r="P954" s="72">
        <f t="shared" si="1647"/>
        <v>0</v>
      </c>
      <c r="Q954" s="72">
        <f t="shared" si="1648"/>
        <v>0</v>
      </c>
      <c r="R954" s="72">
        <f t="shared" si="1649"/>
        <v>0</v>
      </c>
    </row>
    <row r="955" spans="1:18" x14ac:dyDescent="0.25">
      <c r="A955" s="26"/>
      <c r="B955" s="104"/>
      <c r="C955" s="15"/>
      <c r="D955" s="16"/>
      <c r="E955" s="15"/>
      <c r="F955" s="11"/>
      <c r="G955" s="11"/>
      <c r="H955" s="95"/>
      <c r="I955" s="95"/>
      <c r="J955" s="100"/>
      <c r="K955" s="22"/>
      <c r="L955" s="72"/>
      <c r="M955" s="72"/>
      <c r="N955" s="72"/>
      <c r="O955" s="72"/>
      <c r="P955" s="72"/>
      <c r="Q955" s="72"/>
      <c r="R955" s="72"/>
    </row>
    <row r="956" spans="1:18" x14ac:dyDescent="0.25">
      <c r="A956" s="26"/>
      <c r="B956" s="45" t="s">
        <v>801</v>
      </c>
      <c r="C956" s="15"/>
      <c r="D956" s="16"/>
      <c r="E956" s="15"/>
      <c r="F956" s="11"/>
      <c r="G956" s="11"/>
      <c r="H956" s="95"/>
      <c r="I956" s="95"/>
      <c r="J956" s="100"/>
      <c r="K956" s="22"/>
      <c r="L956" s="72"/>
      <c r="M956" s="72">
        <f t="shared" si="1631"/>
        <v>0</v>
      </c>
      <c r="N956" s="72">
        <f t="shared" si="1632"/>
        <v>0</v>
      </c>
      <c r="O956" s="72">
        <f t="shared" si="1633"/>
        <v>0</v>
      </c>
      <c r="P956" s="72">
        <f t="shared" si="1634"/>
        <v>0</v>
      </c>
      <c r="Q956" s="72">
        <f t="shared" si="1635"/>
        <v>0</v>
      </c>
      <c r="R956" s="72">
        <f t="shared" si="1636"/>
        <v>0</v>
      </c>
    </row>
    <row r="957" spans="1:18" x14ac:dyDescent="0.25">
      <c r="A957" s="26"/>
      <c r="B957" s="104" t="s">
        <v>799</v>
      </c>
      <c r="C957" s="15">
        <v>8</v>
      </c>
      <c r="D957" s="16">
        <v>200</v>
      </c>
      <c r="E957" s="15">
        <v>6</v>
      </c>
      <c r="F957" s="11">
        <v>1</v>
      </c>
      <c r="G957" s="11">
        <f>+ROUND(3.86/(D957/1000)+1,0)</f>
        <v>20</v>
      </c>
      <c r="H957" s="95"/>
      <c r="I957" s="95">
        <f>0.175+3.335+0.175</f>
        <v>3.6849999999999996</v>
      </c>
      <c r="J957" s="100"/>
      <c r="K957" s="22"/>
      <c r="L957" s="72">
        <f t="shared" ref="L957" si="1650">SUM(H957:J957)+K957</f>
        <v>3.6849999999999996</v>
      </c>
      <c r="M957" s="72">
        <f t="shared" si="1631"/>
        <v>442.2</v>
      </c>
      <c r="N957" s="72">
        <f t="shared" si="1632"/>
        <v>0</v>
      </c>
      <c r="O957" s="72">
        <f t="shared" si="1633"/>
        <v>0</v>
      </c>
      <c r="P957" s="72">
        <f t="shared" si="1634"/>
        <v>0</v>
      </c>
      <c r="Q957" s="72">
        <f t="shared" si="1635"/>
        <v>0</v>
      </c>
      <c r="R957" s="72">
        <f t="shared" si="1636"/>
        <v>0</v>
      </c>
    </row>
    <row r="958" spans="1:18" x14ac:dyDescent="0.25">
      <c r="A958" s="26"/>
      <c r="B958" s="104" t="s">
        <v>521</v>
      </c>
      <c r="C958" s="15">
        <v>8</v>
      </c>
      <c r="D958" s="16">
        <v>200</v>
      </c>
      <c r="E958" s="15">
        <v>6</v>
      </c>
      <c r="F958" s="11">
        <v>1</v>
      </c>
      <c r="G958" s="11">
        <f>+ROUND(3.335/(D958/1000)+1,0)</f>
        <v>18</v>
      </c>
      <c r="H958" s="95"/>
      <c r="I958" s="95">
        <f>0.175+3.86+0.175</f>
        <v>4.21</v>
      </c>
      <c r="J958" s="100"/>
      <c r="K958" s="47"/>
      <c r="L958" s="72">
        <f>SUM(H958:J958)+K958</f>
        <v>4.21</v>
      </c>
      <c r="M958" s="72">
        <f t="shared" si="1631"/>
        <v>454.68</v>
      </c>
      <c r="N958" s="72">
        <f t="shared" si="1632"/>
        <v>0</v>
      </c>
      <c r="O958" s="72">
        <f t="shared" si="1633"/>
        <v>0</v>
      </c>
      <c r="P958" s="72">
        <f t="shared" si="1634"/>
        <v>0</v>
      </c>
      <c r="Q958" s="72">
        <f t="shared" si="1635"/>
        <v>0</v>
      </c>
      <c r="R958" s="72">
        <f t="shared" si="1636"/>
        <v>0</v>
      </c>
    </row>
    <row r="959" spans="1:18" x14ac:dyDescent="0.25">
      <c r="A959" s="26"/>
      <c r="B959" s="104" t="s">
        <v>512</v>
      </c>
      <c r="C959" s="15">
        <v>8</v>
      </c>
      <c r="D959" s="16">
        <v>200</v>
      </c>
      <c r="E959" s="15">
        <v>6</v>
      </c>
      <c r="F959" s="11">
        <v>1</v>
      </c>
      <c r="G959" s="11">
        <f>+ROUND(3.335/(D959/1000)+1,0)</f>
        <v>18</v>
      </c>
      <c r="H959" s="95">
        <v>0.1</v>
      </c>
      <c r="I959" s="95">
        <f>0.6+0.175</f>
        <v>0.77499999999999991</v>
      </c>
      <c r="J959" s="100"/>
      <c r="K959" s="22"/>
      <c r="L959" s="72">
        <f>SUM(H959:J959)+K959</f>
        <v>0.87499999999999989</v>
      </c>
      <c r="M959" s="72">
        <f t="shared" si="1631"/>
        <v>94.5</v>
      </c>
      <c r="N959" s="72">
        <f t="shared" si="1632"/>
        <v>0</v>
      </c>
      <c r="O959" s="72">
        <f t="shared" si="1633"/>
        <v>0</v>
      </c>
      <c r="P959" s="72">
        <f t="shared" si="1634"/>
        <v>0</v>
      </c>
      <c r="Q959" s="72">
        <f t="shared" si="1635"/>
        <v>0</v>
      </c>
      <c r="R959" s="72">
        <f t="shared" si="1636"/>
        <v>0</v>
      </c>
    </row>
    <row r="960" spans="1:18" x14ac:dyDescent="0.25">
      <c r="A960" s="26"/>
      <c r="B960" s="104" t="s">
        <v>514</v>
      </c>
      <c r="C960" s="15">
        <v>8</v>
      </c>
      <c r="D960" s="16">
        <v>100</v>
      </c>
      <c r="E960" s="15">
        <v>6</v>
      </c>
      <c r="F960" s="11">
        <v>1</v>
      </c>
      <c r="G960" s="11">
        <f>+ROUND(3.86/(D960/1000)+1,0)</f>
        <v>40</v>
      </c>
      <c r="H960" s="95"/>
      <c r="I960" s="95">
        <f>0.1+1.1</f>
        <v>1.2000000000000002</v>
      </c>
      <c r="J960" s="100"/>
      <c r="K960" s="22"/>
      <c r="L960" s="72">
        <f t="shared" ref="L960" si="1651">SUM(H960:J960)+K960</f>
        <v>1.2000000000000002</v>
      </c>
      <c r="M960" s="72">
        <f t="shared" si="1631"/>
        <v>288</v>
      </c>
      <c r="N960" s="72">
        <f t="shared" si="1632"/>
        <v>0</v>
      </c>
      <c r="O960" s="72">
        <f t="shared" si="1633"/>
        <v>0</v>
      </c>
      <c r="P960" s="72">
        <f t="shared" si="1634"/>
        <v>0</v>
      </c>
      <c r="Q960" s="72">
        <f t="shared" si="1635"/>
        <v>0</v>
      </c>
      <c r="R960" s="72">
        <f t="shared" si="1636"/>
        <v>0</v>
      </c>
    </row>
    <row r="961" spans="1:18" x14ac:dyDescent="0.25">
      <c r="A961" s="26"/>
      <c r="B961" s="104" t="s">
        <v>514</v>
      </c>
      <c r="C961" s="15">
        <v>8</v>
      </c>
      <c r="D961" s="16">
        <v>100</v>
      </c>
      <c r="E961" s="15">
        <v>6</v>
      </c>
      <c r="F961" s="11">
        <v>1</v>
      </c>
      <c r="G961" s="11">
        <f>+ROUND(3.86/(D961/1000)+1,0)</f>
        <v>40</v>
      </c>
      <c r="H961" s="95"/>
      <c r="I961" s="95">
        <f>0.1+0.55</f>
        <v>0.65</v>
      </c>
      <c r="J961" s="100"/>
      <c r="K961" s="22"/>
      <c r="L961" s="72">
        <f t="shared" ref="L961" si="1652">SUM(H961:J961)+K961</f>
        <v>0.65</v>
      </c>
      <c r="M961" s="72">
        <f t="shared" ref="M961" si="1653">+ROUND(IF(C961=8,PRODUCT(E961,F961,G961,L961),0),2)</f>
        <v>156</v>
      </c>
      <c r="N961" s="72">
        <f t="shared" ref="N961" si="1654">+ROUND(IF(C961=10,PRODUCT(E961,F961,G961,L961),0),2)</f>
        <v>0</v>
      </c>
      <c r="O961" s="72">
        <f t="shared" ref="O961" si="1655">+ROUND(IF(C961=12,PRODUCT(E961,F961,G961,L961),0),2)</f>
        <v>0</v>
      </c>
      <c r="P961" s="72">
        <f t="shared" ref="P961" si="1656">+ROUND(IF(C961=16,PRODUCT(E961,F961,G961,L961),0),2)</f>
        <v>0</v>
      </c>
      <c r="Q961" s="72">
        <f t="shared" ref="Q961" si="1657">+ROUND(IF(C961=20,PRODUCT(E961,F961,G961,L961),0),2)</f>
        <v>0</v>
      </c>
      <c r="R961" s="72">
        <f t="shared" ref="R961" si="1658">+ROUND(IF(C961=25,PRODUCT(E961,F961,G961,L961),0),2)</f>
        <v>0</v>
      </c>
    </row>
    <row r="962" spans="1:18" x14ac:dyDescent="0.25">
      <c r="A962" s="26"/>
      <c r="B962" s="104" t="s">
        <v>512</v>
      </c>
      <c r="C962" s="15">
        <v>8</v>
      </c>
      <c r="D962" s="16">
        <v>200</v>
      </c>
      <c r="E962" s="15">
        <v>6</v>
      </c>
      <c r="F962" s="11">
        <v>1</v>
      </c>
      <c r="G962" s="11">
        <v>10</v>
      </c>
      <c r="H962" s="95"/>
      <c r="I962" s="95">
        <f>0.1+1.2</f>
        <v>1.3</v>
      </c>
      <c r="J962" s="100"/>
      <c r="K962" s="22"/>
      <c r="L962" s="72">
        <f t="shared" ref="L962" si="1659">SUM(H962:J962)+K962</f>
        <v>1.3</v>
      </c>
      <c r="M962" s="72">
        <f t="shared" si="1631"/>
        <v>78</v>
      </c>
      <c r="N962" s="72">
        <f t="shared" si="1632"/>
        <v>0</v>
      </c>
      <c r="O962" s="72">
        <f t="shared" si="1633"/>
        <v>0</v>
      </c>
      <c r="P962" s="72">
        <f t="shared" si="1634"/>
        <v>0</v>
      </c>
      <c r="Q962" s="72">
        <f t="shared" si="1635"/>
        <v>0</v>
      </c>
      <c r="R962" s="72">
        <f t="shared" si="1636"/>
        <v>0</v>
      </c>
    </row>
    <row r="963" spans="1:18" x14ac:dyDescent="0.25">
      <c r="A963" s="26"/>
      <c r="B963" s="104" t="s">
        <v>512</v>
      </c>
      <c r="C963" s="15">
        <v>8</v>
      </c>
      <c r="D963" s="16">
        <v>200</v>
      </c>
      <c r="E963" s="15">
        <v>6</v>
      </c>
      <c r="F963" s="11">
        <v>1</v>
      </c>
      <c r="G963" s="11">
        <f>+ROUND(3.335/(D963/1000)+1,0)/2</f>
        <v>9</v>
      </c>
      <c r="H963" s="95"/>
      <c r="I963" s="95">
        <f>0.1+0.6</f>
        <v>0.7</v>
      </c>
      <c r="J963" s="100"/>
      <c r="K963" s="22"/>
      <c r="L963" s="72">
        <f>SUM(H963:J963)+K963</f>
        <v>0.7</v>
      </c>
      <c r="M963" s="72">
        <f t="shared" si="1631"/>
        <v>37.799999999999997</v>
      </c>
      <c r="N963" s="72">
        <f t="shared" si="1632"/>
        <v>0</v>
      </c>
      <c r="O963" s="72">
        <f t="shared" si="1633"/>
        <v>0</v>
      </c>
      <c r="P963" s="72">
        <f t="shared" si="1634"/>
        <v>0</v>
      </c>
      <c r="Q963" s="72">
        <f t="shared" si="1635"/>
        <v>0</v>
      </c>
      <c r="R963" s="72">
        <f t="shared" si="1636"/>
        <v>0</v>
      </c>
    </row>
    <row r="964" spans="1:18" x14ac:dyDescent="0.25">
      <c r="A964" s="26"/>
      <c r="B964" s="104" t="s">
        <v>512</v>
      </c>
      <c r="C964" s="15">
        <v>8</v>
      </c>
      <c r="D964" s="16">
        <v>200</v>
      </c>
      <c r="E964" s="15">
        <v>6</v>
      </c>
      <c r="F964" s="11">
        <v>1</v>
      </c>
      <c r="G964" s="11">
        <v>9</v>
      </c>
      <c r="H964" s="95"/>
      <c r="I964" s="95">
        <f>0.1+1.1</f>
        <v>1.2000000000000002</v>
      </c>
      <c r="J964" s="100"/>
      <c r="K964" s="22"/>
      <c r="L964" s="72">
        <f t="shared" ref="L964" si="1660">SUM(H964:J964)+K964</f>
        <v>1.2000000000000002</v>
      </c>
      <c r="M964" s="72">
        <f t="shared" si="1631"/>
        <v>64.8</v>
      </c>
      <c r="N964" s="72">
        <f t="shared" si="1632"/>
        <v>0</v>
      </c>
      <c r="O964" s="72">
        <f t="shared" si="1633"/>
        <v>0</v>
      </c>
      <c r="P964" s="72">
        <f t="shared" si="1634"/>
        <v>0</v>
      </c>
      <c r="Q964" s="72">
        <f t="shared" si="1635"/>
        <v>0</v>
      </c>
      <c r="R964" s="72">
        <f t="shared" si="1636"/>
        <v>0</v>
      </c>
    </row>
    <row r="965" spans="1:18" x14ac:dyDescent="0.25">
      <c r="A965" s="26"/>
      <c r="B965" s="104" t="s">
        <v>512</v>
      </c>
      <c r="C965" s="15">
        <v>8</v>
      </c>
      <c r="D965" s="16">
        <v>200</v>
      </c>
      <c r="E965" s="15">
        <v>6</v>
      </c>
      <c r="F965" s="11">
        <v>1</v>
      </c>
      <c r="G965" s="11">
        <v>9</v>
      </c>
      <c r="H965" s="95"/>
      <c r="I965" s="95">
        <f>0.1+0.5</f>
        <v>0.6</v>
      </c>
      <c r="J965" s="100"/>
      <c r="K965" s="22"/>
      <c r="L965" s="72">
        <f>SUM(H965:J965)+K965</f>
        <v>0.6</v>
      </c>
      <c r="M965" s="72">
        <f t="shared" ref="M965:M969" si="1661">+ROUND(IF(C965=8,PRODUCT(E965,F965,G965,L965),0),2)</f>
        <v>32.4</v>
      </c>
      <c r="N965" s="72">
        <f t="shared" ref="N965:N969" si="1662">+ROUND(IF(C965=10,PRODUCT(E965,F965,G965,L965),0),2)</f>
        <v>0</v>
      </c>
      <c r="O965" s="72">
        <f t="shared" ref="O965:O969" si="1663">+ROUND(IF(C965=12,PRODUCT(E965,F965,G965,L965),0),2)</f>
        <v>0</v>
      </c>
      <c r="P965" s="72">
        <f t="shared" ref="P965:P969" si="1664">+ROUND(IF(C965=16,PRODUCT(E965,F965,G965,L965),0),2)</f>
        <v>0</v>
      </c>
      <c r="Q965" s="72">
        <f t="shared" ref="Q965:Q969" si="1665">+ROUND(IF(C965=20,PRODUCT(E965,F965,G965,L965),0),2)</f>
        <v>0</v>
      </c>
      <c r="R965" s="72">
        <f t="shared" ref="R965:R969" si="1666">+ROUND(IF(C965=25,PRODUCT(E965,F965,G965,L965),0),2)</f>
        <v>0</v>
      </c>
    </row>
    <row r="966" spans="1:18" x14ac:dyDescent="0.25">
      <c r="A966" s="26"/>
      <c r="B966" s="104" t="s">
        <v>800</v>
      </c>
      <c r="C966" s="15">
        <v>8</v>
      </c>
      <c r="D966" s="16">
        <v>200</v>
      </c>
      <c r="E966" s="15">
        <v>6</v>
      </c>
      <c r="F966" s="11">
        <v>1</v>
      </c>
      <c r="G966" s="11">
        <v>12</v>
      </c>
      <c r="H966" s="95">
        <v>0.2</v>
      </c>
      <c r="I966" s="95">
        <v>3.335</v>
      </c>
      <c r="J966" s="100"/>
      <c r="K966" s="22"/>
      <c r="L966" s="72">
        <f>SUM(H966:J966)+K966</f>
        <v>3.5350000000000001</v>
      </c>
      <c r="M966" s="72">
        <f t="shared" si="1661"/>
        <v>254.52</v>
      </c>
      <c r="N966" s="72">
        <f t="shared" si="1662"/>
        <v>0</v>
      </c>
      <c r="O966" s="72">
        <f t="shared" si="1663"/>
        <v>0</v>
      </c>
      <c r="P966" s="72">
        <f t="shared" si="1664"/>
        <v>0</v>
      </c>
      <c r="Q966" s="72">
        <f t="shared" si="1665"/>
        <v>0</v>
      </c>
      <c r="R966" s="72">
        <f t="shared" si="1666"/>
        <v>0</v>
      </c>
    </row>
    <row r="967" spans="1:18" x14ac:dyDescent="0.25">
      <c r="A967" s="26"/>
      <c r="B967" s="104" t="s">
        <v>800</v>
      </c>
      <c r="C967" s="15">
        <v>8</v>
      </c>
      <c r="D967" s="16">
        <v>200</v>
      </c>
      <c r="E967" s="15">
        <v>6</v>
      </c>
      <c r="F967" s="11">
        <v>1</v>
      </c>
      <c r="G967" s="11">
        <f>+ROUND(1.2/(D967/1000)+1,0)</f>
        <v>7</v>
      </c>
      <c r="H967" s="95">
        <v>0.2</v>
      </c>
      <c r="I967" s="95">
        <v>3.335</v>
      </c>
      <c r="J967" s="100"/>
      <c r="K967" s="22"/>
      <c r="L967" s="72">
        <f t="shared" ref="L967:L969" si="1667">SUM(H967:J967)+K967</f>
        <v>3.5350000000000001</v>
      </c>
      <c r="M967" s="72">
        <f t="shared" si="1661"/>
        <v>148.47</v>
      </c>
      <c r="N967" s="72">
        <f t="shared" si="1662"/>
        <v>0</v>
      </c>
      <c r="O967" s="72">
        <f t="shared" si="1663"/>
        <v>0</v>
      </c>
      <c r="P967" s="72">
        <f t="shared" si="1664"/>
        <v>0</v>
      </c>
      <c r="Q967" s="72">
        <f t="shared" si="1665"/>
        <v>0</v>
      </c>
      <c r="R967" s="72">
        <f t="shared" si="1666"/>
        <v>0</v>
      </c>
    </row>
    <row r="968" spans="1:18" x14ac:dyDescent="0.25">
      <c r="A968" s="26"/>
      <c r="B968" s="104" t="s">
        <v>800</v>
      </c>
      <c r="C968" s="15">
        <v>8</v>
      </c>
      <c r="D968" s="16">
        <v>200</v>
      </c>
      <c r="E968" s="15">
        <v>6</v>
      </c>
      <c r="F968" s="11">
        <v>1</v>
      </c>
      <c r="G968" s="11">
        <f>+ROUND(0.55/(D968/1000)+1,0)</f>
        <v>4</v>
      </c>
      <c r="H968" s="95">
        <v>0.2</v>
      </c>
      <c r="I968" s="95">
        <v>3.86</v>
      </c>
      <c r="J968" s="100"/>
      <c r="K968" s="22"/>
      <c r="L968" s="72">
        <f t="shared" si="1667"/>
        <v>4.0599999999999996</v>
      </c>
      <c r="M968" s="72">
        <f t="shared" si="1661"/>
        <v>97.44</v>
      </c>
      <c r="N968" s="72">
        <f t="shared" si="1662"/>
        <v>0</v>
      </c>
      <c r="O968" s="72">
        <f t="shared" si="1663"/>
        <v>0</v>
      </c>
      <c r="P968" s="72">
        <f t="shared" si="1664"/>
        <v>0</v>
      </c>
      <c r="Q968" s="72">
        <f t="shared" si="1665"/>
        <v>0</v>
      </c>
      <c r="R968" s="72">
        <f t="shared" si="1666"/>
        <v>0</v>
      </c>
    </row>
    <row r="969" spans="1:18" x14ac:dyDescent="0.25">
      <c r="A969" s="26"/>
      <c r="B969" s="104" t="s">
        <v>800</v>
      </c>
      <c r="C969" s="15">
        <v>8</v>
      </c>
      <c r="D969" s="16">
        <v>200</v>
      </c>
      <c r="E969" s="15">
        <v>6</v>
      </c>
      <c r="F969" s="11">
        <v>1</v>
      </c>
      <c r="G969" s="11">
        <f>+ROUND(1.1/(D969/1000)+1,0)</f>
        <v>7</v>
      </c>
      <c r="H969" s="95">
        <v>0.2</v>
      </c>
      <c r="I969" s="95">
        <v>3.86</v>
      </c>
      <c r="J969" s="100"/>
      <c r="K969" s="22"/>
      <c r="L969" s="72">
        <f t="shared" si="1667"/>
        <v>4.0599999999999996</v>
      </c>
      <c r="M969" s="72">
        <f t="shared" si="1661"/>
        <v>170.52</v>
      </c>
      <c r="N969" s="72">
        <f t="shared" si="1662"/>
        <v>0</v>
      </c>
      <c r="O969" s="72">
        <f t="shared" si="1663"/>
        <v>0</v>
      </c>
      <c r="P969" s="72">
        <f t="shared" si="1664"/>
        <v>0</v>
      </c>
      <c r="Q969" s="72">
        <f t="shared" si="1665"/>
        <v>0</v>
      </c>
      <c r="R969" s="72">
        <f t="shared" si="1666"/>
        <v>0</v>
      </c>
    </row>
    <row r="970" spans="1:18" x14ac:dyDescent="0.25">
      <c r="A970" s="26"/>
      <c r="B970" s="25"/>
      <c r="C970" s="15"/>
      <c r="D970" s="16"/>
      <c r="E970" s="15"/>
      <c r="F970" s="11"/>
      <c r="G970" s="11"/>
      <c r="H970" s="95"/>
      <c r="I970" s="95"/>
      <c r="J970" s="100"/>
      <c r="K970" s="22"/>
      <c r="L970" s="72"/>
      <c r="M970" s="72"/>
      <c r="N970" s="72"/>
      <c r="O970" s="72"/>
      <c r="P970" s="72"/>
      <c r="Q970" s="72"/>
      <c r="R970" s="72"/>
    </row>
    <row r="971" spans="1:18" x14ac:dyDescent="0.25">
      <c r="A971" s="26"/>
      <c r="B971" s="45" t="s">
        <v>802</v>
      </c>
      <c r="C971" s="15"/>
      <c r="D971" s="16"/>
      <c r="E971" s="15"/>
      <c r="F971" s="11"/>
      <c r="G971" s="11"/>
      <c r="H971" s="95"/>
      <c r="I971" s="95"/>
      <c r="J971" s="100"/>
      <c r="K971" s="22"/>
      <c r="L971" s="72"/>
      <c r="M971" s="72">
        <f t="shared" ref="M971:M998" si="1668">+ROUND(IF(C971=8,PRODUCT(E971,F971,G971,L971),0),2)</f>
        <v>0</v>
      </c>
      <c r="N971" s="72">
        <f t="shared" ref="N971:N998" si="1669">+ROUND(IF(C971=10,PRODUCT(E971,F971,G971,L971),0),2)</f>
        <v>0</v>
      </c>
      <c r="O971" s="72">
        <f t="shared" ref="O971:O998" si="1670">+ROUND(IF(C971=12,PRODUCT(E971,F971,G971,L971),0),2)</f>
        <v>0</v>
      </c>
      <c r="P971" s="72">
        <f t="shared" ref="P971:P998" si="1671">+ROUND(IF(C971=16,PRODUCT(E971,F971,G971,L971),0),2)</f>
        <v>0</v>
      </c>
      <c r="Q971" s="72">
        <f t="shared" ref="Q971:Q998" si="1672">+ROUND(IF(C971=20,PRODUCT(E971,F971,G971,L971),0),2)</f>
        <v>0</v>
      </c>
      <c r="R971" s="72">
        <f t="shared" ref="R971:R998" si="1673">+ROUND(IF(C971=25,PRODUCT(E971,F971,G971,L971),0),2)</f>
        <v>0</v>
      </c>
    </row>
    <row r="972" spans="1:18" x14ac:dyDescent="0.25">
      <c r="A972" s="26"/>
      <c r="B972" s="104" t="s">
        <v>758</v>
      </c>
      <c r="C972" s="15">
        <v>8</v>
      </c>
      <c r="D972" s="16">
        <v>200</v>
      </c>
      <c r="E972" s="15">
        <v>6</v>
      </c>
      <c r="F972" s="11">
        <v>1</v>
      </c>
      <c r="G972" s="11">
        <f>+ROUND(3.55/(D972/1000)+1,0)</f>
        <v>19</v>
      </c>
      <c r="H972" s="95"/>
      <c r="I972" s="95">
        <f>3.265+0.175+0.175</f>
        <v>3.6149999999999998</v>
      </c>
      <c r="J972" s="100"/>
      <c r="K972" s="22"/>
      <c r="L972" s="72">
        <f t="shared" ref="L972" si="1674">SUM(H972:J972)+K972</f>
        <v>3.6149999999999998</v>
      </c>
      <c r="M972" s="72">
        <f t="shared" si="1668"/>
        <v>412.11</v>
      </c>
      <c r="N972" s="72">
        <f t="shared" si="1669"/>
        <v>0</v>
      </c>
      <c r="O972" s="72">
        <f t="shared" si="1670"/>
        <v>0</v>
      </c>
      <c r="P972" s="72">
        <f t="shared" si="1671"/>
        <v>0</v>
      </c>
      <c r="Q972" s="72">
        <f t="shared" si="1672"/>
        <v>0</v>
      </c>
      <c r="R972" s="72">
        <f t="shared" si="1673"/>
        <v>0</v>
      </c>
    </row>
    <row r="973" spans="1:18" x14ac:dyDescent="0.25">
      <c r="A973" s="26"/>
      <c r="B973" s="104" t="s">
        <v>521</v>
      </c>
      <c r="C973" s="15">
        <v>8</v>
      </c>
      <c r="D973" s="16">
        <v>200</v>
      </c>
      <c r="E973" s="15">
        <v>6</v>
      </c>
      <c r="F973" s="11">
        <v>1</v>
      </c>
      <c r="G973" s="11">
        <f>+ROUND(3.265/(D973/1000)+1,0)</f>
        <v>17</v>
      </c>
      <c r="H973" s="95"/>
      <c r="I973" s="95">
        <f>0.175+3.55+0.2+0.5</f>
        <v>4.4249999999999998</v>
      </c>
      <c r="J973" s="100"/>
      <c r="K973" s="47"/>
      <c r="L973" s="72">
        <f>SUM(H973:J973)+K973</f>
        <v>4.4249999999999998</v>
      </c>
      <c r="M973" s="72">
        <f t="shared" si="1668"/>
        <v>451.35</v>
      </c>
      <c r="N973" s="72">
        <f t="shared" si="1669"/>
        <v>0</v>
      </c>
      <c r="O973" s="72">
        <f t="shared" si="1670"/>
        <v>0</v>
      </c>
      <c r="P973" s="72">
        <f t="shared" si="1671"/>
        <v>0</v>
      </c>
      <c r="Q973" s="72">
        <f t="shared" si="1672"/>
        <v>0</v>
      </c>
      <c r="R973" s="72">
        <f t="shared" si="1673"/>
        <v>0</v>
      </c>
    </row>
    <row r="974" spans="1:18" x14ac:dyDescent="0.25">
      <c r="A974" s="26"/>
      <c r="B974" s="104" t="s">
        <v>512</v>
      </c>
      <c r="C974" s="15">
        <v>8</v>
      </c>
      <c r="D974" s="16">
        <v>200</v>
      </c>
      <c r="E974" s="15">
        <v>6</v>
      </c>
      <c r="F974" s="11">
        <v>1</v>
      </c>
      <c r="G974" s="11">
        <f>+ROUND(3.55/(D974/1000)+1,0)</f>
        <v>19</v>
      </c>
      <c r="H974" s="95">
        <v>0.1</v>
      </c>
      <c r="I974" s="95">
        <f>0.6+0.175</f>
        <v>0.77499999999999991</v>
      </c>
      <c r="J974" s="100"/>
      <c r="K974" s="22"/>
      <c r="L974" s="72">
        <f>SUM(H974:J974)+K974</f>
        <v>0.87499999999999989</v>
      </c>
      <c r="M974" s="72">
        <f t="shared" si="1668"/>
        <v>99.75</v>
      </c>
      <c r="N974" s="72">
        <f t="shared" si="1669"/>
        <v>0</v>
      </c>
      <c r="O974" s="72">
        <f t="shared" si="1670"/>
        <v>0</v>
      </c>
      <c r="P974" s="72">
        <f t="shared" si="1671"/>
        <v>0</v>
      </c>
      <c r="Q974" s="72">
        <f t="shared" si="1672"/>
        <v>0</v>
      </c>
      <c r="R974" s="72">
        <f t="shared" si="1673"/>
        <v>0</v>
      </c>
    </row>
    <row r="975" spans="1:18" x14ac:dyDescent="0.25">
      <c r="A975" s="26"/>
      <c r="B975" s="104" t="s">
        <v>512</v>
      </c>
      <c r="C975" s="15">
        <v>8</v>
      </c>
      <c r="D975" s="16">
        <v>200</v>
      </c>
      <c r="E975" s="15">
        <v>6</v>
      </c>
      <c r="F975" s="11">
        <v>1</v>
      </c>
      <c r="G975" s="11">
        <f>+ROUND(3.265/(D975/1000)+1,0)</f>
        <v>17</v>
      </c>
      <c r="H975" s="95">
        <v>0.1</v>
      </c>
      <c r="I975" s="95">
        <f>0.6+0.175</f>
        <v>0.77499999999999991</v>
      </c>
      <c r="J975" s="100"/>
      <c r="K975" s="22"/>
      <c r="L975" s="72">
        <f t="shared" ref="L975" si="1675">SUM(H975:J975)+K975</f>
        <v>0.87499999999999989</v>
      </c>
      <c r="M975" s="72">
        <f t="shared" si="1668"/>
        <v>89.25</v>
      </c>
      <c r="N975" s="72">
        <f t="shared" si="1669"/>
        <v>0</v>
      </c>
      <c r="O975" s="72">
        <f t="shared" si="1670"/>
        <v>0</v>
      </c>
      <c r="P975" s="72">
        <f t="shared" si="1671"/>
        <v>0</v>
      </c>
      <c r="Q975" s="72">
        <f t="shared" si="1672"/>
        <v>0</v>
      </c>
      <c r="R975" s="72">
        <f t="shared" si="1673"/>
        <v>0</v>
      </c>
    </row>
    <row r="976" spans="1:18" x14ac:dyDescent="0.25">
      <c r="A976" s="26"/>
      <c r="B976" s="104" t="s">
        <v>512</v>
      </c>
      <c r="C976" s="15">
        <v>8</v>
      </c>
      <c r="D976" s="16">
        <v>200</v>
      </c>
      <c r="E976" s="15">
        <v>6</v>
      </c>
      <c r="F976" s="11">
        <v>1</v>
      </c>
      <c r="G976" s="11">
        <f>+ROUND(2.245/(D976/1000)+1,0)</f>
        <v>12</v>
      </c>
      <c r="H976" s="95">
        <v>0.1</v>
      </c>
      <c r="I976" s="95">
        <f>0.6+0.175</f>
        <v>0.77499999999999991</v>
      </c>
      <c r="J976" s="100"/>
      <c r="K976" s="22"/>
      <c r="L976" s="72">
        <f t="shared" ref="L976:L984" si="1676">SUM(H976:J976)+K976</f>
        <v>0.87499999999999989</v>
      </c>
      <c r="M976" s="72">
        <f t="shared" si="1668"/>
        <v>63</v>
      </c>
      <c r="N976" s="72">
        <f t="shared" si="1669"/>
        <v>0</v>
      </c>
      <c r="O976" s="72">
        <f t="shared" si="1670"/>
        <v>0</v>
      </c>
      <c r="P976" s="72">
        <f t="shared" si="1671"/>
        <v>0</v>
      </c>
      <c r="Q976" s="72">
        <f t="shared" si="1672"/>
        <v>0</v>
      </c>
      <c r="R976" s="72">
        <f t="shared" si="1673"/>
        <v>0</v>
      </c>
    </row>
    <row r="977" spans="1:18" x14ac:dyDescent="0.25">
      <c r="A977" s="26"/>
      <c r="B977" s="104" t="s">
        <v>513</v>
      </c>
      <c r="C977" s="15">
        <v>8</v>
      </c>
      <c r="D977" s="16">
        <v>175</v>
      </c>
      <c r="E977" s="15">
        <v>6</v>
      </c>
      <c r="F977" s="11">
        <v>1</v>
      </c>
      <c r="G977" s="11">
        <v>3</v>
      </c>
      <c r="H977" s="95"/>
      <c r="I977" s="95">
        <f>0.1+1.2</f>
        <v>1.3</v>
      </c>
      <c r="J977" s="100"/>
      <c r="K977" s="22"/>
      <c r="L977" s="72">
        <f t="shared" si="1676"/>
        <v>1.3</v>
      </c>
      <c r="M977" s="72">
        <f t="shared" si="1668"/>
        <v>23.4</v>
      </c>
      <c r="N977" s="72">
        <f t="shared" si="1669"/>
        <v>0</v>
      </c>
      <c r="O977" s="72">
        <f t="shared" si="1670"/>
        <v>0</v>
      </c>
      <c r="P977" s="72">
        <f t="shared" si="1671"/>
        <v>0</v>
      </c>
      <c r="Q977" s="72">
        <f t="shared" si="1672"/>
        <v>0</v>
      </c>
      <c r="R977" s="72">
        <f t="shared" si="1673"/>
        <v>0</v>
      </c>
    </row>
    <row r="978" spans="1:18" x14ac:dyDescent="0.25">
      <c r="A978" s="26"/>
      <c r="B978" s="104" t="s">
        <v>513</v>
      </c>
      <c r="C978" s="15">
        <v>8</v>
      </c>
      <c r="D978" s="16">
        <v>175</v>
      </c>
      <c r="E978" s="15">
        <v>6</v>
      </c>
      <c r="F978" s="11">
        <v>1</v>
      </c>
      <c r="G978" s="11">
        <v>3</v>
      </c>
      <c r="H978" s="95"/>
      <c r="I978" s="95">
        <v>0.65</v>
      </c>
      <c r="J978" s="100"/>
      <c r="K978" s="22"/>
      <c r="L978" s="72">
        <f t="shared" si="1676"/>
        <v>0.65</v>
      </c>
      <c r="M978" s="72">
        <f t="shared" si="1668"/>
        <v>11.7</v>
      </c>
      <c r="N978" s="72">
        <f t="shared" si="1669"/>
        <v>0</v>
      </c>
      <c r="O978" s="72">
        <f t="shared" si="1670"/>
        <v>0</v>
      </c>
      <c r="P978" s="72">
        <f t="shared" si="1671"/>
        <v>0</v>
      </c>
      <c r="Q978" s="72">
        <f t="shared" si="1672"/>
        <v>0</v>
      </c>
      <c r="R978" s="72">
        <f t="shared" si="1673"/>
        <v>0</v>
      </c>
    </row>
    <row r="979" spans="1:18" x14ac:dyDescent="0.25">
      <c r="A979" s="26"/>
      <c r="B979" s="104" t="s">
        <v>512</v>
      </c>
      <c r="C979" s="15">
        <v>8</v>
      </c>
      <c r="D979" s="16">
        <v>200</v>
      </c>
      <c r="E979" s="15">
        <v>6</v>
      </c>
      <c r="F979" s="11">
        <v>1</v>
      </c>
      <c r="G979" s="11">
        <f>+ROUND(3.265/(D979/1000)+1,0)/2</f>
        <v>8.5</v>
      </c>
      <c r="H979" s="95"/>
      <c r="I979" s="95">
        <f>0.1+1.1</f>
        <v>1.2000000000000002</v>
      </c>
      <c r="J979" s="100"/>
      <c r="K979" s="22"/>
      <c r="L979" s="72">
        <f t="shared" si="1676"/>
        <v>1.2000000000000002</v>
      </c>
      <c r="M979" s="72">
        <f t="shared" si="1668"/>
        <v>61.2</v>
      </c>
      <c r="N979" s="72">
        <f t="shared" si="1669"/>
        <v>0</v>
      </c>
      <c r="O979" s="72">
        <f t="shared" si="1670"/>
        <v>0</v>
      </c>
      <c r="P979" s="72">
        <f t="shared" si="1671"/>
        <v>0</v>
      </c>
      <c r="Q979" s="72">
        <f t="shared" si="1672"/>
        <v>0</v>
      </c>
      <c r="R979" s="72">
        <f t="shared" si="1673"/>
        <v>0</v>
      </c>
    </row>
    <row r="980" spans="1:18" x14ac:dyDescent="0.25">
      <c r="A980" s="26"/>
      <c r="B980" s="104" t="s">
        <v>512</v>
      </c>
      <c r="C980" s="15">
        <v>8</v>
      </c>
      <c r="D980" s="16">
        <v>200</v>
      </c>
      <c r="E980" s="15">
        <v>6</v>
      </c>
      <c r="F980" s="11">
        <v>1</v>
      </c>
      <c r="G980" s="11">
        <v>8</v>
      </c>
      <c r="H980" s="95"/>
      <c r="I980" s="95">
        <f>0.1+0.55</f>
        <v>0.65</v>
      </c>
      <c r="J980" s="100"/>
      <c r="K980" s="22"/>
      <c r="L980" s="72">
        <f t="shared" si="1676"/>
        <v>0.65</v>
      </c>
      <c r="M980" s="72">
        <f t="shared" si="1668"/>
        <v>31.2</v>
      </c>
      <c r="N980" s="72">
        <f t="shared" si="1669"/>
        <v>0</v>
      </c>
      <c r="O980" s="72">
        <f t="shared" si="1670"/>
        <v>0</v>
      </c>
      <c r="P980" s="72">
        <f t="shared" si="1671"/>
        <v>0</v>
      </c>
      <c r="Q980" s="72">
        <f t="shared" si="1672"/>
        <v>0</v>
      </c>
      <c r="R980" s="72">
        <f t="shared" si="1673"/>
        <v>0</v>
      </c>
    </row>
    <row r="981" spans="1:18" x14ac:dyDescent="0.25">
      <c r="A981" s="26"/>
      <c r="B981" s="104" t="s">
        <v>759</v>
      </c>
      <c r="C981" s="15">
        <v>8</v>
      </c>
      <c r="D981" s="16">
        <v>200</v>
      </c>
      <c r="E981" s="15">
        <v>6</v>
      </c>
      <c r="F981" s="11">
        <v>1</v>
      </c>
      <c r="G981" s="11">
        <f>+ROUND(0.6/(D981/1000)+1,0)</f>
        <v>4</v>
      </c>
      <c r="H981" s="95">
        <v>0.2</v>
      </c>
      <c r="I981" s="95">
        <v>3.2650000000000001</v>
      </c>
      <c r="J981" s="100"/>
      <c r="K981" s="22"/>
      <c r="L981" s="72">
        <f t="shared" si="1676"/>
        <v>3.4650000000000003</v>
      </c>
      <c r="M981" s="72">
        <f t="shared" si="1668"/>
        <v>83.16</v>
      </c>
      <c r="N981" s="72">
        <f t="shared" si="1669"/>
        <v>0</v>
      </c>
      <c r="O981" s="72">
        <f t="shared" si="1670"/>
        <v>0</v>
      </c>
      <c r="P981" s="72">
        <f t="shared" si="1671"/>
        <v>0</v>
      </c>
      <c r="Q981" s="72">
        <f t="shared" si="1672"/>
        <v>0</v>
      </c>
      <c r="R981" s="72">
        <f t="shared" si="1673"/>
        <v>0</v>
      </c>
    </row>
    <row r="982" spans="1:18" x14ac:dyDescent="0.25">
      <c r="A982" s="26"/>
      <c r="B982" s="104" t="s">
        <v>759</v>
      </c>
      <c r="C982" s="15">
        <v>8</v>
      </c>
      <c r="D982" s="16">
        <v>200</v>
      </c>
      <c r="E982" s="15">
        <v>6</v>
      </c>
      <c r="F982" s="11">
        <v>1</v>
      </c>
      <c r="G982" s="11">
        <f>+ROUND(1.1/(D982/1000)+1,0)</f>
        <v>7</v>
      </c>
      <c r="H982" s="95">
        <v>0.2</v>
      </c>
      <c r="I982" s="95">
        <v>3.2650000000000001</v>
      </c>
      <c r="J982" s="100"/>
      <c r="K982" s="22"/>
      <c r="L982" s="72">
        <f t="shared" si="1676"/>
        <v>3.4650000000000003</v>
      </c>
      <c r="M982" s="72">
        <f t="shared" si="1668"/>
        <v>145.53</v>
      </c>
      <c r="N982" s="72">
        <f t="shared" si="1669"/>
        <v>0</v>
      </c>
      <c r="O982" s="72">
        <f t="shared" si="1670"/>
        <v>0</v>
      </c>
      <c r="P982" s="72">
        <f t="shared" si="1671"/>
        <v>0</v>
      </c>
      <c r="Q982" s="72">
        <f t="shared" si="1672"/>
        <v>0</v>
      </c>
      <c r="R982" s="72">
        <f t="shared" si="1673"/>
        <v>0</v>
      </c>
    </row>
    <row r="983" spans="1:18" x14ac:dyDescent="0.25">
      <c r="A983" s="26"/>
      <c r="B983" s="104" t="s">
        <v>759</v>
      </c>
      <c r="C983" s="15">
        <v>8</v>
      </c>
      <c r="D983" s="16">
        <v>200</v>
      </c>
      <c r="E983" s="15">
        <v>6</v>
      </c>
      <c r="F983" s="11">
        <v>1</v>
      </c>
      <c r="G983" s="11">
        <f>+ROUND(0.6/(D983/1000)+1,0)</f>
        <v>4</v>
      </c>
      <c r="H983" s="95">
        <v>0.2</v>
      </c>
      <c r="I983" s="95">
        <v>3.55</v>
      </c>
      <c r="J983" s="100"/>
      <c r="K983" s="22"/>
      <c r="L983" s="72">
        <f t="shared" si="1676"/>
        <v>3.75</v>
      </c>
      <c r="M983" s="72">
        <f t="shared" si="1668"/>
        <v>90</v>
      </c>
      <c r="N983" s="72">
        <f t="shared" si="1669"/>
        <v>0</v>
      </c>
      <c r="O983" s="72">
        <f t="shared" si="1670"/>
        <v>0</v>
      </c>
      <c r="P983" s="72">
        <f t="shared" si="1671"/>
        <v>0</v>
      </c>
      <c r="Q983" s="72">
        <f t="shared" si="1672"/>
        <v>0</v>
      </c>
      <c r="R983" s="72">
        <f t="shared" si="1673"/>
        <v>0</v>
      </c>
    </row>
    <row r="984" spans="1:18" x14ac:dyDescent="0.25">
      <c r="A984" s="26"/>
      <c r="B984" s="104" t="s">
        <v>759</v>
      </c>
      <c r="C984" s="15">
        <v>8</v>
      </c>
      <c r="D984" s="16">
        <v>200</v>
      </c>
      <c r="E984" s="15">
        <v>6</v>
      </c>
      <c r="F984" s="11">
        <v>1</v>
      </c>
      <c r="G984" s="11">
        <f>+ROUND(1.2/(D984/1000)+1,0)</f>
        <v>7</v>
      </c>
      <c r="H984" s="95">
        <v>0.2</v>
      </c>
      <c r="I984" s="95">
        <v>3.55</v>
      </c>
      <c r="J984" s="100"/>
      <c r="K984" s="22"/>
      <c r="L984" s="72">
        <f t="shared" si="1676"/>
        <v>3.75</v>
      </c>
      <c r="M984" s="72">
        <f t="shared" si="1668"/>
        <v>157.5</v>
      </c>
      <c r="N984" s="72">
        <f t="shared" si="1669"/>
        <v>0</v>
      </c>
      <c r="O984" s="72">
        <f t="shared" si="1670"/>
        <v>0</v>
      </c>
      <c r="P984" s="72">
        <f t="shared" si="1671"/>
        <v>0</v>
      </c>
      <c r="Q984" s="72">
        <f t="shared" si="1672"/>
        <v>0</v>
      </c>
      <c r="R984" s="72">
        <f t="shared" si="1673"/>
        <v>0</v>
      </c>
    </row>
    <row r="985" spans="1:18" x14ac:dyDescent="0.25">
      <c r="A985" s="26"/>
      <c r="B985" s="25"/>
      <c r="C985" s="15"/>
      <c r="D985" s="16"/>
      <c r="E985" s="15"/>
      <c r="F985" s="11"/>
      <c r="G985" s="11"/>
      <c r="H985" s="95"/>
      <c r="I985" s="95"/>
      <c r="J985" s="100"/>
      <c r="K985" s="22"/>
      <c r="L985" s="72"/>
      <c r="M985" s="72"/>
      <c r="N985" s="72"/>
      <c r="O985" s="72"/>
      <c r="P985" s="72"/>
      <c r="Q985" s="72"/>
      <c r="R985" s="72"/>
    </row>
    <row r="986" spans="1:18" x14ac:dyDescent="0.25">
      <c r="A986" s="26"/>
      <c r="B986" s="45" t="s">
        <v>803</v>
      </c>
      <c r="C986" s="15"/>
      <c r="D986" s="16"/>
      <c r="E986" s="15"/>
      <c r="F986" s="11"/>
      <c r="G986" s="11"/>
      <c r="H986" s="95"/>
      <c r="I986" s="95"/>
      <c r="J986" s="100"/>
      <c r="K986" s="22"/>
      <c r="L986" s="72"/>
      <c r="M986" s="72">
        <f t="shared" si="1668"/>
        <v>0</v>
      </c>
      <c r="N986" s="72">
        <f t="shared" si="1669"/>
        <v>0</v>
      </c>
      <c r="O986" s="72">
        <f t="shared" si="1670"/>
        <v>0</v>
      </c>
      <c r="P986" s="72">
        <f t="shared" si="1671"/>
        <v>0</v>
      </c>
      <c r="Q986" s="72">
        <f t="shared" si="1672"/>
        <v>0</v>
      </c>
      <c r="R986" s="72">
        <f t="shared" si="1673"/>
        <v>0</v>
      </c>
    </row>
    <row r="987" spans="1:18" x14ac:dyDescent="0.25">
      <c r="A987" s="26"/>
      <c r="B987" s="104" t="s">
        <v>779</v>
      </c>
      <c r="C987" s="15">
        <v>8</v>
      </c>
      <c r="D987" s="16">
        <v>200</v>
      </c>
      <c r="E987" s="15">
        <v>6</v>
      </c>
      <c r="F987" s="11">
        <v>2</v>
      </c>
      <c r="G987" s="11">
        <f>+ROUND(2.275/(D987/1000)+1,0)</f>
        <v>12</v>
      </c>
      <c r="H987" s="95"/>
      <c r="I987" s="95">
        <f>0.175+1.425+0.175</f>
        <v>1.7750000000000001</v>
      </c>
      <c r="J987" s="100"/>
      <c r="K987" s="47"/>
      <c r="L987" s="72">
        <f>SUM(H987:J987)+K987</f>
        <v>1.7750000000000001</v>
      </c>
      <c r="M987" s="72">
        <f t="shared" si="1668"/>
        <v>255.6</v>
      </c>
      <c r="N987" s="72">
        <f t="shared" si="1669"/>
        <v>0</v>
      </c>
      <c r="O987" s="72">
        <f t="shared" si="1670"/>
        <v>0</v>
      </c>
      <c r="P987" s="72">
        <f t="shared" si="1671"/>
        <v>0</v>
      </c>
      <c r="Q987" s="72">
        <f t="shared" si="1672"/>
        <v>0</v>
      </c>
      <c r="R987" s="72">
        <f t="shared" si="1673"/>
        <v>0</v>
      </c>
    </row>
    <row r="988" spans="1:18" x14ac:dyDescent="0.25">
      <c r="A988" s="26"/>
      <c r="B988" s="104" t="s">
        <v>521</v>
      </c>
      <c r="C988" s="15">
        <v>8</v>
      </c>
      <c r="D988" s="16">
        <v>200</v>
      </c>
      <c r="E988" s="15">
        <v>6</v>
      </c>
      <c r="F988" s="11">
        <v>2</v>
      </c>
      <c r="G988" s="11">
        <f>+ROUND(1.425/(D988/1000)+1,0)</f>
        <v>8</v>
      </c>
      <c r="H988" s="95"/>
      <c r="I988" s="95">
        <v>3.1949999999999998</v>
      </c>
      <c r="J988" s="100"/>
      <c r="K988" s="47"/>
      <c r="L988" s="72">
        <f>SUM(H988:J988)+K988</f>
        <v>3.1949999999999998</v>
      </c>
      <c r="M988" s="72">
        <f t="shared" ref="M988" si="1677">+ROUND(IF(C988=8,PRODUCT(E988,F988,G988,L988),0),2)</f>
        <v>306.72000000000003</v>
      </c>
      <c r="N988" s="72">
        <f t="shared" ref="N988" si="1678">+ROUND(IF(C988=10,PRODUCT(E988,F988,G988,L988),0),2)</f>
        <v>0</v>
      </c>
      <c r="O988" s="72">
        <f t="shared" ref="O988" si="1679">+ROUND(IF(C988=12,PRODUCT(E988,F988,G988,L988),0),2)</f>
        <v>0</v>
      </c>
      <c r="P988" s="72">
        <f t="shared" ref="P988" si="1680">+ROUND(IF(C988=16,PRODUCT(E988,F988,G988,L988),0),2)</f>
        <v>0</v>
      </c>
      <c r="Q988" s="72">
        <f t="shared" ref="Q988" si="1681">+ROUND(IF(C988=20,PRODUCT(E988,F988,G988,L988),0),2)</f>
        <v>0</v>
      </c>
      <c r="R988" s="72">
        <f t="shared" ref="R988" si="1682">+ROUND(IF(C988=25,PRODUCT(E988,F988,G988,L988),0),2)</f>
        <v>0</v>
      </c>
    </row>
    <row r="989" spans="1:18" x14ac:dyDescent="0.25">
      <c r="A989" s="26"/>
      <c r="B989" s="104" t="s">
        <v>512</v>
      </c>
      <c r="C989" s="15">
        <v>8</v>
      </c>
      <c r="D989" s="16">
        <v>200</v>
      </c>
      <c r="E989" s="15">
        <v>6</v>
      </c>
      <c r="F989" s="11">
        <v>2</v>
      </c>
      <c r="G989" s="11">
        <v>12</v>
      </c>
      <c r="H989" s="95">
        <v>0.1</v>
      </c>
      <c r="I989" s="95">
        <f>0.6+0.15</f>
        <v>0.75</v>
      </c>
      <c r="J989" s="100"/>
      <c r="K989" s="22"/>
      <c r="L989" s="72">
        <f>SUM(H989:J989)+K989</f>
        <v>0.85</v>
      </c>
      <c r="M989" s="72">
        <f t="shared" si="1668"/>
        <v>122.4</v>
      </c>
      <c r="N989" s="72">
        <f t="shared" si="1669"/>
        <v>0</v>
      </c>
      <c r="O989" s="72">
        <f t="shared" si="1670"/>
        <v>0</v>
      </c>
      <c r="P989" s="72">
        <f t="shared" si="1671"/>
        <v>0</v>
      </c>
      <c r="Q989" s="72">
        <f t="shared" si="1672"/>
        <v>0</v>
      </c>
      <c r="R989" s="72">
        <f t="shared" si="1673"/>
        <v>0</v>
      </c>
    </row>
    <row r="990" spans="1:18" x14ac:dyDescent="0.25">
      <c r="A990" s="26"/>
      <c r="B990" s="104" t="s">
        <v>512</v>
      </c>
      <c r="C990" s="15">
        <v>8</v>
      </c>
      <c r="D990" s="16">
        <v>200</v>
      </c>
      <c r="E990" s="15">
        <v>6</v>
      </c>
      <c r="F990" s="11">
        <v>2</v>
      </c>
      <c r="G990" s="11">
        <f>+ROUND(2.275/(D990/1000)+1,0)</f>
        <v>12</v>
      </c>
      <c r="H990" s="95">
        <v>0.1</v>
      </c>
      <c r="I990" s="95">
        <f>0.45+0.175</f>
        <v>0.625</v>
      </c>
      <c r="J990" s="100"/>
      <c r="K990" s="22"/>
      <c r="L990" s="72">
        <f t="shared" ref="L990" si="1683">SUM(H990:J990)+K990</f>
        <v>0.72499999999999998</v>
      </c>
      <c r="M990" s="72">
        <f t="shared" si="1668"/>
        <v>104.4</v>
      </c>
      <c r="N990" s="72">
        <f t="shared" si="1669"/>
        <v>0</v>
      </c>
      <c r="O990" s="72">
        <f t="shared" si="1670"/>
        <v>0</v>
      </c>
      <c r="P990" s="72">
        <f t="shared" si="1671"/>
        <v>0</v>
      </c>
      <c r="Q990" s="72">
        <f t="shared" si="1672"/>
        <v>0</v>
      </c>
      <c r="R990" s="72">
        <f t="shared" si="1673"/>
        <v>0</v>
      </c>
    </row>
    <row r="991" spans="1:18" x14ac:dyDescent="0.25">
      <c r="A991" s="26"/>
      <c r="B991" s="104" t="s">
        <v>512</v>
      </c>
      <c r="C991" s="15">
        <v>8</v>
      </c>
      <c r="D991" s="16">
        <v>200</v>
      </c>
      <c r="E991" s="15">
        <v>6</v>
      </c>
      <c r="F991" s="11">
        <v>2</v>
      </c>
      <c r="G991" s="11">
        <f>+ROUND(2.275/(D991/1000)+1,0)</f>
        <v>12</v>
      </c>
      <c r="H991" s="95">
        <v>0.1</v>
      </c>
      <c r="I991" s="95">
        <f>0.45+0.175</f>
        <v>0.625</v>
      </c>
      <c r="J991" s="100"/>
      <c r="K991" s="22"/>
      <c r="L991" s="72">
        <f t="shared" ref="L991:L998" si="1684">SUM(H991:J991)+K991</f>
        <v>0.72499999999999998</v>
      </c>
      <c r="M991" s="72">
        <f t="shared" si="1668"/>
        <v>104.4</v>
      </c>
      <c r="N991" s="72">
        <f t="shared" si="1669"/>
        <v>0</v>
      </c>
      <c r="O991" s="72">
        <f t="shared" si="1670"/>
        <v>0</v>
      </c>
      <c r="P991" s="72">
        <f t="shared" si="1671"/>
        <v>0</v>
      </c>
      <c r="Q991" s="72">
        <f t="shared" si="1672"/>
        <v>0</v>
      </c>
      <c r="R991" s="72">
        <f t="shared" si="1673"/>
        <v>0</v>
      </c>
    </row>
    <row r="992" spans="1:18" x14ac:dyDescent="0.25">
      <c r="A992" s="26"/>
      <c r="B992" s="104" t="s">
        <v>513</v>
      </c>
      <c r="C992" s="15">
        <v>8</v>
      </c>
      <c r="D992" s="16">
        <v>175</v>
      </c>
      <c r="E992" s="15">
        <v>6</v>
      </c>
      <c r="F992" s="11">
        <v>2</v>
      </c>
      <c r="G992" s="11">
        <f>+ROUND(1.135/(D992/1000)+1,0)</f>
        <v>7</v>
      </c>
      <c r="H992" s="95"/>
      <c r="I992" s="95">
        <f>0.1+0.55</f>
        <v>0.65</v>
      </c>
      <c r="J992" s="100"/>
      <c r="K992" s="22"/>
      <c r="L992" s="72">
        <f t="shared" si="1684"/>
        <v>0.65</v>
      </c>
      <c r="M992" s="72">
        <f t="shared" si="1668"/>
        <v>54.6</v>
      </c>
      <c r="N992" s="72">
        <f t="shared" si="1669"/>
        <v>0</v>
      </c>
      <c r="O992" s="72">
        <f t="shared" si="1670"/>
        <v>0</v>
      </c>
      <c r="P992" s="72">
        <f t="shared" si="1671"/>
        <v>0</v>
      </c>
      <c r="Q992" s="72">
        <f t="shared" si="1672"/>
        <v>0</v>
      </c>
      <c r="R992" s="72">
        <f t="shared" si="1673"/>
        <v>0</v>
      </c>
    </row>
    <row r="993" spans="1:18" x14ac:dyDescent="0.25">
      <c r="A993" s="26"/>
      <c r="B993" s="104" t="s">
        <v>512</v>
      </c>
      <c r="C993" s="15">
        <v>8</v>
      </c>
      <c r="D993" s="16">
        <v>200</v>
      </c>
      <c r="E993" s="15">
        <v>6</v>
      </c>
      <c r="F993" s="11">
        <v>2</v>
      </c>
      <c r="G993" s="11">
        <f>+ROUND(1.135/(D993/1000)+1,0)</f>
        <v>7</v>
      </c>
      <c r="H993" s="95"/>
      <c r="I993" s="95">
        <f>0.1+0.55</f>
        <v>0.65</v>
      </c>
      <c r="J993" s="100"/>
      <c r="K993" s="22"/>
      <c r="L993" s="72">
        <f t="shared" si="1684"/>
        <v>0.65</v>
      </c>
      <c r="M993" s="72">
        <f t="shared" si="1668"/>
        <v>54.6</v>
      </c>
      <c r="N993" s="72">
        <f t="shared" si="1669"/>
        <v>0</v>
      </c>
      <c r="O993" s="72">
        <f t="shared" si="1670"/>
        <v>0</v>
      </c>
      <c r="P993" s="72">
        <f t="shared" si="1671"/>
        <v>0</v>
      </c>
      <c r="Q993" s="72">
        <f t="shared" si="1672"/>
        <v>0</v>
      </c>
      <c r="R993" s="72">
        <f t="shared" si="1673"/>
        <v>0</v>
      </c>
    </row>
    <row r="994" spans="1:18" x14ac:dyDescent="0.25">
      <c r="A994" s="26"/>
      <c r="B994" s="104" t="s">
        <v>512</v>
      </c>
      <c r="C994" s="15">
        <v>8</v>
      </c>
      <c r="D994" s="16">
        <v>200</v>
      </c>
      <c r="E994" s="15">
        <v>6</v>
      </c>
      <c r="F994" s="11">
        <v>2</v>
      </c>
      <c r="G994" s="11">
        <v>8</v>
      </c>
      <c r="H994" s="95"/>
      <c r="I994" s="95">
        <f>0.1+0.6</f>
        <v>0.7</v>
      </c>
      <c r="J994" s="100"/>
      <c r="K994" s="22"/>
      <c r="L994" s="72">
        <f t="shared" si="1684"/>
        <v>0.7</v>
      </c>
      <c r="M994" s="72">
        <f t="shared" si="1668"/>
        <v>67.2</v>
      </c>
      <c r="N994" s="72">
        <f t="shared" si="1669"/>
        <v>0</v>
      </c>
      <c r="O994" s="72">
        <f t="shared" si="1670"/>
        <v>0</v>
      </c>
      <c r="P994" s="72">
        <f t="shared" si="1671"/>
        <v>0</v>
      </c>
      <c r="Q994" s="72">
        <f t="shared" si="1672"/>
        <v>0</v>
      </c>
      <c r="R994" s="72">
        <f t="shared" si="1673"/>
        <v>0</v>
      </c>
    </row>
    <row r="995" spans="1:18" x14ac:dyDescent="0.25">
      <c r="A995" s="26"/>
      <c r="B995" s="104" t="s">
        <v>759</v>
      </c>
      <c r="C995" s="15">
        <v>8</v>
      </c>
      <c r="D995" s="16">
        <v>200</v>
      </c>
      <c r="E995" s="15">
        <v>6</v>
      </c>
      <c r="F995" s="11">
        <v>2</v>
      </c>
      <c r="G995" s="11">
        <f>+ROUND(0.6/(D995/1000)+1,0)</f>
        <v>4</v>
      </c>
      <c r="H995" s="95">
        <v>0.2</v>
      </c>
      <c r="I995" s="95">
        <v>1.57</v>
      </c>
      <c r="J995" s="100"/>
      <c r="K995" s="22"/>
      <c r="L995" s="72">
        <f t="shared" si="1684"/>
        <v>1.77</v>
      </c>
      <c r="M995" s="72">
        <f t="shared" si="1668"/>
        <v>84.96</v>
      </c>
      <c r="N995" s="72">
        <f t="shared" si="1669"/>
        <v>0</v>
      </c>
      <c r="O995" s="72">
        <f t="shared" si="1670"/>
        <v>0</v>
      </c>
      <c r="P995" s="72">
        <f t="shared" si="1671"/>
        <v>0</v>
      </c>
      <c r="Q995" s="72">
        <f t="shared" si="1672"/>
        <v>0</v>
      </c>
      <c r="R995" s="72">
        <f t="shared" si="1673"/>
        <v>0</v>
      </c>
    </row>
    <row r="996" spans="1:18" x14ac:dyDescent="0.25">
      <c r="A996" s="26"/>
      <c r="B996" s="104" t="s">
        <v>759</v>
      </c>
      <c r="C996" s="15">
        <v>8</v>
      </c>
      <c r="D996" s="16">
        <v>200</v>
      </c>
      <c r="E996" s="15">
        <v>6</v>
      </c>
      <c r="F996" s="11">
        <v>2</v>
      </c>
      <c r="G996" s="11">
        <f>+ROUND(0.6/(D996/1000)+1,0)</f>
        <v>4</v>
      </c>
      <c r="H996" s="95">
        <v>0.2</v>
      </c>
      <c r="I996" s="95">
        <v>1.57</v>
      </c>
      <c r="J996" s="100"/>
      <c r="K996" s="22"/>
      <c r="L996" s="72">
        <f t="shared" si="1684"/>
        <v>1.77</v>
      </c>
      <c r="M996" s="72">
        <f t="shared" si="1668"/>
        <v>84.96</v>
      </c>
      <c r="N996" s="72">
        <f t="shared" si="1669"/>
        <v>0</v>
      </c>
      <c r="O996" s="72">
        <f t="shared" si="1670"/>
        <v>0</v>
      </c>
      <c r="P996" s="72">
        <f t="shared" si="1671"/>
        <v>0</v>
      </c>
      <c r="Q996" s="72">
        <f t="shared" si="1672"/>
        <v>0</v>
      </c>
      <c r="R996" s="72">
        <f t="shared" si="1673"/>
        <v>0</v>
      </c>
    </row>
    <row r="997" spans="1:18" x14ac:dyDescent="0.25">
      <c r="A997" s="26"/>
      <c r="B997" s="104" t="s">
        <v>759</v>
      </c>
      <c r="C997" s="15">
        <v>8</v>
      </c>
      <c r="D997" s="16">
        <v>200</v>
      </c>
      <c r="E997" s="15">
        <v>6</v>
      </c>
      <c r="F997" s="11">
        <v>2</v>
      </c>
      <c r="G997" s="11">
        <f>+ROUND(0.55/(D997/1000)+1,0)</f>
        <v>4</v>
      </c>
      <c r="H997" s="95">
        <v>0.2</v>
      </c>
      <c r="I997" s="95">
        <v>3.5750000000000002</v>
      </c>
      <c r="J997" s="100"/>
      <c r="K997" s="22"/>
      <c r="L997" s="72">
        <f t="shared" si="1684"/>
        <v>3.7750000000000004</v>
      </c>
      <c r="M997" s="72">
        <f t="shared" si="1668"/>
        <v>181.2</v>
      </c>
      <c r="N997" s="72">
        <f t="shared" si="1669"/>
        <v>0</v>
      </c>
      <c r="O997" s="72">
        <f t="shared" si="1670"/>
        <v>0</v>
      </c>
      <c r="P997" s="72">
        <f t="shared" si="1671"/>
        <v>0</v>
      </c>
      <c r="Q997" s="72">
        <f t="shared" si="1672"/>
        <v>0</v>
      </c>
      <c r="R997" s="72">
        <f t="shared" si="1673"/>
        <v>0</v>
      </c>
    </row>
    <row r="998" spans="1:18" x14ac:dyDescent="0.25">
      <c r="A998" s="26"/>
      <c r="B998" s="104" t="s">
        <v>759</v>
      </c>
      <c r="C998" s="15">
        <v>8</v>
      </c>
      <c r="D998" s="16">
        <v>200</v>
      </c>
      <c r="E998" s="15">
        <v>6</v>
      </c>
      <c r="F998" s="11">
        <v>2</v>
      </c>
      <c r="G998" s="11">
        <f>+ROUND(0.55/(D998/1000)+1,0)</f>
        <v>4</v>
      </c>
      <c r="H998" s="95">
        <v>0.2</v>
      </c>
      <c r="I998" s="95">
        <v>3.5750000000000002</v>
      </c>
      <c r="J998" s="100"/>
      <c r="K998" s="22"/>
      <c r="L998" s="72">
        <f t="shared" si="1684"/>
        <v>3.7750000000000004</v>
      </c>
      <c r="M998" s="72">
        <f t="shared" si="1668"/>
        <v>181.2</v>
      </c>
      <c r="N998" s="72">
        <f t="shared" si="1669"/>
        <v>0</v>
      </c>
      <c r="O998" s="72">
        <f t="shared" si="1670"/>
        <v>0</v>
      </c>
      <c r="P998" s="72">
        <f t="shared" si="1671"/>
        <v>0</v>
      </c>
      <c r="Q998" s="72">
        <f t="shared" si="1672"/>
        <v>0</v>
      </c>
      <c r="R998" s="72">
        <f t="shared" si="1673"/>
        <v>0</v>
      </c>
    </row>
    <row r="999" spans="1:18" x14ac:dyDescent="0.25">
      <c r="A999" s="26"/>
      <c r="B999" s="25"/>
      <c r="C999" s="15"/>
      <c r="D999" s="16"/>
      <c r="E999" s="15"/>
      <c r="F999" s="11"/>
      <c r="G999" s="11"/>
      <c r="H999" s="95"/>
      <c r="I999" s="95"/>
      <c r="J999" s="100"/>
      <c r="K999" s="22"/>
      <c r="L999" s="72"/>
      <c r="M999" s="72"/>
      <c r="N999" s="72"/>
      <c r="O999" s="72"/>
      <c r="P999" s="72"/>
      <c r="Q999" s="72"/>
      <c r="R999" s="72"/>
    </row>
    <row r="1000" spans="1:18" x14ac:dyDescent="0.25">
      <c r="A1000" s="26"/>
      <c r="B1000" s="45" t="s">
        <v>805</v>
      </c>
      <c r="C1000" s="15"/>
      <c r="D1000" s="16"/>
      <c r="E1000" s="15"/>
      <c r="F1000" s="11"/>
      <c r="G1000" s="11"/>
      <c r="H1000" s="95"/>
      <c r="I1000" s="95"/>
      <c r="J1000" s="100"/>
      <c r="K1000" s="22"/>
      <c r="L1000" s="72"/>
      <c r="M1000" s="72">
        <f t="shared" ref="M1000:M1011" si="1685">+ROUND(IF(C1000=8,PRODUCT(E1000,F1000,G1000,L1000),0),2)</f>
        <v>0</v>
      </c>
      <c r="N1000" s="72">
        <f t="shared" ref="N1000:N1011" si="1686">+ROUND(IF(C1000=10,PRODUCT(E1000,F1000,G1000,L1000),0),2)</f>
        <v>0</v>
      </c>
      <c r="O1000" s="72">
        <f t="shared" ref="O1000:O1011" si="1687">+ROUND(IF(C1000=12,PRODUCT(E1000,F1000,G1000,L1000),0),2)</f>
        <v>0</v>
      </c>
      <c r="P1000" s="72">
        <f t="shared" ref="P1000:P1011" si="1688">+ROUND(IF(C1000=16,PRODUCT(E1000,F1000,G1000,L1000),0),2)</f>
        <v>0</v>
      </c>
      <c r="Q1000" s="72">
        <f t="shared" ref="Q1000:Q1011" si="1689">+ROUND(IF(C1000=20,PRODUCT(E1000,F1000,G1000,L1000),0),2)</f>
        <v>0</v>
      </c>
      <c r="R1000" s="72">
        <f t="shared" ref="R1000:R1011" si="1690">+ROUND(IF(C1000=25,PRODUCT(E1000,F1000,G1000,L1000),0),2)</f>
        <v>0</v>
      </c>
    </row>
    <row r="1001" spans="1:18" x14ac:dyDescent="0.25">
      <c r="A1001" s="26"/>
      <c r="B1001" s="104" t="s">
        <v>806</v>
      </c>
      <c r="C1001" s="15">
        <v>8</v>
      </c>
      <c r="D1001" s="16">
        <v>100</v>
      </c>
      <c r="E1001" s="15">
        <v>6</v>
      </c>
      <c r="F1001" s="11">
        <v>1</v>
      </c>
      <c r="G1001" s="11">
        <v>15</v>
      </c>
      <c r="H1001" s="95"/>
      <c r="I1001" s="95">
        <f>0.175+3.315+0.175</f>
        <v>3.6649999999999996</v>
      </c>
      <c r="J1001" s="100"/>
      <c r="K1001" s="22"/>
      <c r="L1001" s="72">
        <f t="shared" ref="L1001" si="1691">SUM(H1001:J1001)+K1001</f>
        <v>3.6649999999999996</v>
      </c>
      <c r="M1001" s="72">
        <f t="shared" ref="M1001" si="1692">+ROUND(IF(C1001=8,PRODUCT(E1001,F1001,G1001,L1001),0),2)</f>
        <v>329.85</v>
      </c>
      <c r="N1001" s="72">
        <f t="shared" ref="N1001" si="1693">+ROUND(IF(C1001=10,PRODUCT(E1001,F1001,G1001,L1001),0),2)</f>
        <v>0</v>
      </c>
      <c r="O1001" s="72">
        <f t="shared" ref="O1001" si="1694">+ROUND(IF(C1001=12,PRODUCT(E1001,F1001,G1001,L1001),0),2)</f>
        <v>0</v>
      </c>
      <c r="P1001" s="72">
        <f t="shared" ref="P1001" si="1695">+ROUND(IF(C1001=16,PRODUCT(E1001,F1001,G1001,L1001),0),2)</f>
        <v>0</v>
      </c>
      <c r="Q1001" s="72">
        <f t="shared" ref="Q1001" si="1696">+ROUND(IF(C1001=20,PRODUCT(E1001,F1001,G1001,L1001),0),2)</f>
        <v>0</v>
      </c>
      <c r="R1001" s="72">
        <f t="shared" ref="R1001" si="1697">+ROUND(IF(C1001=25,PRODUCT(E1001,F1001,G1001,L1001),0),2)</f>
        <v>0</v>
      </c>
    </row>
    <row r="1002" spans="1:18" x14ac:dyDescent="0.25">
      <c r="A1002" s="26"/>
      <c r="B1002" s="104" t="s">
        <v>806</v>
      </c>
      <c r="C1002" s="15">
        <v>8</v>
      </c>
      <c r="D1002" s="16">
        <v>100</v>
      </c>
      <c r="E1002" s="15">
        <v>6</v>
      </c>
      <c r="F1002" s="11">
        <v>1</v>
      </c>
      <c r="G1002" s="11">
        <f>+ROUND(3.075/(D1002/1000)+1,0)/2</f>
        <v>16</v>
      </c>
      <c r="H1002" s="95"/>
      <c r="I1002" s="95">
        <f>3.315-0.5-0.35</f>
        <v>2.4649999999999999</v>
      </c>
      <c r="J1002" s="100"/>
      <c r="K1002" s="22"/>
      <c r="L1002" s="72">
        <f t="shared" ref="L1002" si="1698">SUM(H1002:J1002)+K1002</f>
        <v>2.4649999999999999</v>
      </c>
      <c r="M1002" s="72">
        <f t="shared" ref="M1002" si="1699">+ROUND(IF(C1002=8,PRODUCT(E1002,F1002,G1002,L1002),0),2)</f>
        <v>236.64</v>
      </c>
      <c r="N1002" s="72">
        <f t="shared" ref="N1002" si="1700">+ROUND(IF(C1002=10,PRODUCT(E1002,F1002,G1002,L1002),0),2)</f>
        <v>0</v>
      </c>
      <c r="O1002" s="72">
        <f t="shared" ref="O1002" si="1701">+ROUND(IF(C1002=12,PRODUCT(E1002,F1002,G1002,L1002),0),2)</f>
        <v>0</v>
      </c>
      <c r="P1002" s="72">
        <f t="shared" ref="P1002" si="1702">+ROUND(IF(C1002=16,PRODUCT(E1002,F1002,G1002,L1002),0),2)</f>
        <v>0</v>
      </c>
      <c r="Q1002" s="72">
        <f t="shared" ref="Q1002" si="1703">+ROUND(IF(C1002=20,PRODUCT(E1002,F1002,G1002,L1002),0),2)</f>
        <v>0</v>
      </c>
      <c r="R1002" s="72">
        <f t="shared" ref="R1002" si="1704">+ROUND(IF(C1002=25,PRODUCT(E1002,F1002,G1002,L1002),0),2)</f>
        <v>0</v>
      </c>
    </row>
    <row r="1003" spans="1:18" x14ac:dyDescent="0.25">
      <c r="A1003" s="26"/>
      <c r="B1003" s="104" t="s">
        <v>806</v>
      </c>
      <c r="C1003" s="15">
        <v>8</v>
      </c>
      <c r="D1003" s="16">
        <v>100</v>
      </c>
      <c r="E1003" s="15">
        <v>6</v>
      </c>
      <c r="F1003" s="11">
        <v>1</v>
      </c>
      <c r="G1003" s="11">
        <f>+ROUND(3.17/(D1003/1000)+1,0)/2</f>
        <v>16.5</v>
      </c>
      <c r="H1003" s="95"/>
      <c r="I1003" s="95">
        <f>0.175+5.125+0.175</f>
        <v>5.4749999999999996</v>
      </c>
      <c r="J1003" s="100"/>
      <c r="K1003" s="22"/>
      <c r="L1003" s="72">
        <f t="shared" ref="L1003" si="1705">SUM(H1003:J1003)+K1003</f>
        <v>5.4749999999999996</v>
      </c>
      <c r="M1003" s="72">
        <f t="shared" ref="M1003" si="1706">+ROUND(IF(C1003=8,PRODUCT(E1003,F1003,G1003,L1003),0),2)</f>
        <v>542.03</v>
      </c>
      <c r="N1003" s="72">
        <f t="shared" ref="N1003" si="1707">+ROUND(IF(C1003=10,PRODUCT(E1003,F1003,G1003,L1003),0),2)</f>
        <v>0</v>
      </c>
      <c r="O1003" s="72">
        <f t="shared" ref="O1003" si="1708">+ROUND(IF(C1003=12,PRODUCT(E1003,F1003,G1003,L1003),0),2)</f>
        <v>0</v>
      </c>
      <c r="P1003" s="72">
        <f t="shared" ref="P1003" si="1709">+ROUND(IF(C1003=16,PRODUCT(E1003,F1003,G1003,L1003),0),2)</f>
        <v>0</v>
      </c>
      <c r="Q1003" s="72">
        <f t="shared" ref="Q1003" si="1710">+ROUND(IF(C1003=20,PRODUCT(E1003,F1003,G1003,L1003),0),2)</f>
        <v>0</v>
      </c>
      <c r="R1003" s="72">
        <f t="shared" ref="R1003" si="1711">+ROUND(IF(C1003=25,PRODUCT(E1003,F1003,G1003,L1003),0),2)</f>
        <v>0</v>
      </c>
    </row>
    <row r="1004" spans="1:18" x14ac:dyDescent="0.25">
      <c r="A1004" s="26"/>
      <c r="B1004" s="104" t="s">
        <v>806</v>
      </c>
      <c r="C1004" s="15">
        <v>8</v>
      </c>
      <c r="D1004" s="16">
        <v>100</v>
      </c>
      <c r="E1004" s="15">
        <v>6</v>
      </c>
      <c r="F1004" s="11">
        <v>1</v>
      </c>
      <c r="G1004" s="11">
        <f>+ROUND(3.17/(D1004/1000)+1,0)/2</f>
        <v>16.5</v>
      </c>
      <c r="H1004" s="95"/>
      <c r="I1004" s="95">
        <f>5.125-0.5-0.8</f>
        <v>3.8250000000000002</v>
      </c>
      <c r="J1004" s="100"/>
      <c r="K1004" s="22"/>
      <c r="L1004" s="72">
        <f t="shared" ref="L1004" si="1712">SUM(H1004:J1004)+K1004</f>
        <v>3.8250000000000002</v>
      </c>
      <c r="M1004" s="72">
        <f t="shared" ref="M1004" si="1713">+ROUND(IF(C1004=8,PRODUCT(E1004,F1004,G1004,L1004),0),2)</f>
        <v>378.68</v>
      </c>
      <c r="N1004" s="72">
        <f t="shared" ref="N1004" si="1714">+ROUND(IF(C1004=10,PRODUCT(E1004,F1004,G1004,L1004),0),2)</f>
        <v>0</v>
      </c>
      <c r="O1004" s="72">
        <f t="shared" ref="O1004" si="1715">+ROUND(IF(C1004=12,PRODUCT(E1004,F1004,G1004,L1004),0),2)</f>
        <v>0</v>
      </c>
      <c r="P1004" s="72">
        <f t="shared" ref="P1004" si="1716">+ROUND(IF(C1004=16,PRODUCT(E1004,F1004,G1004,L1004),0),2)</f>
        <v>0</v>
      </c>
      <c r="Q1004" s="72">
        <f t="shared" ref="Q1004" si="1717">+ROUND(IF(C1004=20,PRODUCT(E1004,F1004,G1004,L1004),0),2)</f>
        <v>0</v>
      </c>
      <c r="R1004" s="72">
        <f t="shared" ref="R1004" si="1718">+ROUND(IF(C1004=25,PRODUCT(E1004,F1004,G1004,L1004),0),2)</f>
        <v>0</v>
      </c>
    </row>
    <row r="1005" spans="1:18" x14ac:dyDescent="0.25">
      <c r="A1005" s="26"/>
      <c r="B1005" s="104" t="s">
        <v>518</v>
      </c>
      <c r="C1005" s="15">
        <v>8</v>
      </c>
      <c r="D1005" s="16">
        <v>150</v>
      </c>
      <c r="E1005" s="15">
        <v>6</v>
      </c>
      <c r="F1005" s="11">
        <v>1</v>
      </c>
      <c r="G1005" s="11">
        <v>17</v>
      </c>
      <c r="H1005" s="95"/>
      <c r="I1005" s="95">
        <v>7.11</v>
      </c>
      <c r="J1005" s="100"/>
      <c r="K1005" s="47"/>
      <c r="L1005" s="72">
        <f>SUM(H1005:J1005)+K1005</f>
        <v>7.11</v>
      </c>
      <c r="M1005" s="72">
        <f t="shared" si="1685"/>
        <v>725.22</v>
      </c>
      <c r="N1005" s="72">
        <f t="shared" si="1686"/>
        <v>0</v>
      </c>
      <c r="O1005" s="72">
        <f t="shared" si="1687"/>
        <v>0</v>
      </c>
      <c r="P1005" s="72">
        <f t="shared" si="1688"/>
        <v>0</v>
      </c>
      <c r="Q1005" s="72">
        <f t="shared" si="1689"/>
        <v>0</v>
      </c>
      <c r="R1005" s="72">
        <f t="shared" si="1690"/>
        <v>0</v>
      </c>
    </row>
    <row r="1006" spans="1:18" x14ac:dyDescent="0.25">
      <c r="A1006" s="26"/>
      <c r="B1006" s="104" t="s">
        <v>518</v>
      </c>
      <c r="C1006" s="15">
        <v>8</v>
      </c>
      <c r="D1006" s="16">
        <v>150</v>
      </c>
      <c r="E1006" s="15">
        <v>6</v>
      </c>
      <c r="F1006" s="11">
        <v>1</v>
      </c>
      <c r="G1006" s="11">
        <v>17</v>
      </c>
      <c r="H1006" s="95"/>
      <c r="I1006" s="95">
        <v>4.8600000000000003</v>
      </c>
      <c r="J1006" s="100"/>
      <c r="K1006" s="47"/>
      <c r="L1006" s="72">
        <f>SUM(H1006:J1006)+K1006</f>
        <v>4.8600000000000003</v>
      </c>
      <c r="M1006" s="72">
        <f t="shared" ref="M1006:M1007" si="1719">+ROUND(IF(C1006=8,PRODUCT(E1006,F1006,G1006,L1006),0),2)</f>
        <v>495.72</v>
      </c>
      <c r="N1006" s="72">
        <f t="shared" ref="N1006:N1007" si="1720">+ROUND(IF(C1006=10,PRODUCT(E1006,F1006,G1006,L1006),0),2)</f>
        <v>0</v>
      </c>
      <c r="O1006" s="72">
        <f t="shared" ref="O1006:O1007" si="1721">+ROUND(IF(C1006=12,PRODUCT(E1006,F1006,G1006,L1006),0),2)</f>
        <v>0</v>
      </c>
      <c r="P1006" s="72">
        <f t="shared" ref="P1006:P1007" si="1722">+ROUND(IF(C1006=16,PRODUCT(E1006,F1006,G1006,L1006),0),2)</f>
        <v>0</v>
      </c>
      <c r="Q1006" s="72">
        <f t="shared" ref="Q1006:Q1007" si="1723">+ROUND(IF(C1006=20,PRODUCT(E1006,F1006,G1006,L1006),0),2)</f>
        <v>0</v>
      </c>
      <c r="R1006" s="72">
        <f t="shared" ref="R1006:R1007" si="1724">+ROUND(IF(C1006=25,PRODUCT(E1006,F1006,G1006,L1006),0),2)</f>
        <v>0</v>
      </c>
    </row>
    <row r="1007" spans="1:18" x14ac:dyDescent="0.25">
      <c r="A1007" s="26"/>
      <c r="B1007" s="104" t="s">
        <v>518</v>
      </c>
      <c r="C1007" s="15">
        <v>8</v>
      </c>
      <c r="D1007" s="16">
        <v>150</v>
      </c>
      <c r="E1007" s="15">
        <v>6</v>
      </c>
      <c r="F1007" s="11">
        <v>1</v>
      </c>
      <c r="G1007" s="11">
        <v>9</v>
      </c>
      <c r="H1007" s="95"/>
      <c r="I1007" s="95">
        <f>0.175+3.17+0.175</f>
        <v>3.5199999999999996</v>
      </c>
      <c r="J1007" s="100"/>
      <c r="K1007" s="47"/>
      <c r="L1007" s="72">
        <f>SUM(H1007:J1007)+K1007</f>
        <v>3.5199999999999996</v>
      </c>
      <c r="M1007" s="72">
        <f t="shared" si="1719"/>
        <v>190.08</v>
      </c>
      <c r="N1007" s="72">
        <f t="shared" si="1720"/>
        <v>0</v>
      </c>
      <c r="O1007" s="72">
        <f t="shared" si="1721"/>
        <v>0</v>
      </c>
      <c r="P1007" s="72">
        <f t="shared" si="1722"/>
        <v>0</v>
      </c>
      <c r="Q1007" s="72">
        <f t="shared" si="1723"/>
        <v>0</v>
      </c>
      <c r="R1007" s="72">
        <f t="shared" si="1724"/>
        <v>0</v>
      </c>
    </row>
    <row r="1008" spans="1:18" x14ac:dyDescent="0.25">
      <c r="A1008" s="26"/>
      <c r="B1008" s="104" t="s">
        <v>518</v>
      </c>
      <c r="C1008" s="15">
        <v>8</v>
      </c>
      <c r="D1008" s="16">
        <v>150</v>
      </c>
      <c r="E1008" s="15">
        <v>6</v>
      </c>
      <c r="F1008" s="11">
        <v>1</v>
      </c>
      <c r="G1008" s="11">
        <v>8</v>
      </c>
      <c r="H1008" s="95"/>
      <c r="I1008" s="95">
        <f>3.17-0.6-0.95</f>
        <v>1.6199999999999999</v>
      </c>
      <c r="J1008" s="100"/>
      <c r="K1008" s="47"/>
      <c r="L1008" s="72">
        <f>SUM(H1008:J1008)+K1008</f>
        <v>1.6199999999999999</v>
      </c>
      <c r="M1008" s="72">
        <f t="shared" ref="M1008" si="1725">+ROUND(IF(C1008=8,PRODUCT(E1008,F1008,G1008,L1008),0),2)</f>
        <v>77.760000000000005</v>
      </c>
      <c r="N1008" s="72">
        <f t="shared" ref="N1008" si="1726">+ROUND(IF(C1008=10,PRODUCT(E1008,F1008,G1008,L1008),0),2)</f>
        <v>0</v>
      </c>
      <c r="O1008" s="72">
        <f t="shared" ref="O1008" si="1727">+ROUND(IF(C1008=12,PRODUCT(E1008,F1008,G1008,L1008),0),2)</f>
        <v>0</v>
      </c>
      <c r="P1008" s="72">
        <f t="shared" ref="P1008" si="1728">+ROUND(IF(C1008=16,PRODUCT(E1008,F1008,G1008,L1008),0),2)</f>
        <v>0</v>
      </c>
      <c r="Q1008" s="72">
        <f t="shared" ref="Q1008" si="1729">+ROUND(IF(C1008=20,PRODUCT(E1008,F1008,G1008,L1008),0),2)</f>
        <v>0</v>
      </c>
      <c r="R1008" s="72">
        <f t="shared" ref="R1008" si="1730">+ROUND(IF(C1008=25,PRODUCT(E1008,F1008,G1008,L1008),0),2)</f>
        <v>0</v>
      </c>
    </row>
    <row r="1009" spans="1:18" x14ac:dyDescent="0.25">
      <c r="A1009" s="26"/>
      <c r="B1009" s="104" t="s">
        <v>515</v>
      </c>
      <c r="C1009" s="15">
        <v>8</v>
      </c>
      <c r="D1009" s="16">
        <v>150</v>
      </c>
      <c r="E1009" s="15">
        <v>6</v>
      </c>
      <c r="F1009" s="11">
        <v>1</v>
      </c>
      <c r="G1009" s="11">
        <f>+ROUND(3.315/(D1009/1000)+1,0)</f>
        <v>23</v>
      </c>
      <c r="H1009" s="95">
        <v>0.1</v>
      </c>
      <c r="I1009" s="95">
        <f>1+0.175</f>
        <v>1.175</v>
      </c>
      <c r="J1009" s="100"/>
      <c r="K1009" s="22"/>
      <c r="L1009" s="72">
        <f>SUM(H1009:J1009)+K1009</f>
        <v>1.2750000000000001</v>
      </c>
      <c r="M1009" s="72">
        <f t="shared" si="1685"/>
        <v>175.95</v>
      </c>
      <c r="N1009" s="72">
        <f t="shared" si="1686"/>
        <v>0</v>
      </c>
      <c r="O1009" s="72">
        <f t="shared" si="1687"/>
        <v>0</v>
      </c>
      <c r="P1009" s="72">
        <f t="shared" si="1688"/>
        <v>0</v>
      </c>
      <c r="Q1009" s="72">
        <f t="shared" si="1689"/>
        <v>0</v>
      </c>
      <c r="R1009" s="72">
        <f t="shared" si="1690"/>
        <v>0</v>
      </c>
    </row>
    <row r="1010" spans="1:18" x14ac:dyDescent="0.25">
      <c r="A1010" s="26"/>
      <c r="B1010" s="104" t="s">
        <v>519</v>
      </c>
      <c r="C1010" s="15">
        <v>8</v>
      </c>
      <c r="D1010" s="16">
        <v>125</v>
      </c>
      <c r="E1010" s="15">
        <v>6</v>
      </c>
      <c r="F1010" s="11">
        <v>1</v>
      </c>
      <c r="G1010" s="11">
        <f>+ROUND(3.12/(D1010/1000)+1,0)</f>
        <v>26</v>
      </c>
      <c r="H1010" s="95">
        <v>0.1</v>
      </c>
      <c r="I1010" s="95">
        <f>0.55+0.15</f>
        <v>0.70000000000000007</v>
      </c>
      <c r="J1010" s="100"/>
      <c r="K1010" s="22"/>
      <c r="L1010" s="72">
        <f t="shared" ref="L1010" si="1731">SUM(H1010:J1010)+K1010</f>
        <v>0.8</v>
      </c>
      <c r="M1010" s="72">
        <f t="shared" si="1685"/>
        <v>124.8</v>
      </c>
      <c r="N1010" s="72">
        <f t="shared" si="1686"/>
        <v>0</v>
      </c>
      <c r="O1010" s="72">
        <f t="shared" si="1687"/>
        <v>0</v>
      </c>
      <c r="P1010" s="72">
        <f t="shared" si="1688"/>
        <v>0</v>
      </c>
      <c r="Q1010" s="72">
        <f t="shared" si="1689"/>
        <v>0</v>
      </c>
      <c r="R1010" s="72">
        <f t="shared" si="1690"/>
        <v>0</v>
      </c>
    </row>
    <row r="1011" spans="1:18" x14ac:dyDescent="0.25">
      <c r="A1011" s="26"/>
      <c r="B1011" s="104" t="s">
        <v>514</v>
      </c>
      <c r="C1011" s="15">
        <v>8</v>
      </c>
      <c r="D1011" s="16">
        <v>100</v>
      </c>
      <c r="E1011" s="15">
        <v>6</v>
      </c>
      <c r="F1011" s="11">
        <v>1</v>
      </c>
      <c r="G1011" s="11">
        <f>+ROUND(3.12/(D1011/1000)+1,0)/2</f>
        <v>16</v>
      </c>
      <c r="H1011" s="95"/>
      <c r="I1011" s="95">
        <f>0.1+1.6</f>
        <v>1.7000000000000002</v>
      </c>
      <c r="J1011" s="100"/>
      <c r="K1011" s="22"/>
      <c r="L1011" s="72">
        <f>SUM(H1011:J1011)+K1011</f>
        <v>1.7000000000000002</v>
      </c>
      <c r="M1011" s="72">
        <f t="shared" si="1685"/>
        <v>163.19999999999999</v>
      </c>
      <c r="N1011" s="72">
        <f t="shared" si="1686"/>
        <v>0</v>
      </c>
      <c r="O1011" s="72">
        <f t="shared" si="1687"/>
        <v>0</v>
      </c>
      <c r="P1011" s="72">
        <f t="shared" si="1688"/>
        <v>0</v>
      </c>
      <c r="Q1011" s="72">
        <f t="shared" si="1689"/>
        <v>0</v>
      </c>
      <c r="R1011" s="72">
        <f t="shared" si="1690"/>
        <v>0</v>
      </c>
    </row>
    <row r="1012" spans="1:18" x14ac:dyDescent="0.25">
      <c r="A1012" s="26"/>
      <c r="B1012" s="104" t="s">
        <v>514</v>
      </c>
      <c r="C1012" s="15">
        <v>8</v>
      </c>
      <c r="D1012" s="16">
        <v>100</v>
      </c>
      <c r="E1012" s="15">
        <v>6</v>
      </c>
      <c r="F1012" s="11">
        <v>1</v>
      </c>
      <c r="G1012" s="11">
        <f>+ROUND(3.12/(D1012/1000)+1,0)/2</f>
        <v>16</v>
      </c>
      <c r="H1012" s="95"/>
      <c r="I1012" s="95">
        <f>0.1+0.8</f>
        <v>0.9</v>
      </c>
      <c r="J1012" s="100"/>
      <c r="K1012" s="22"/>
      <c r="L1012" s="72">
        <f>SUM(H1012:J1012)+K1012</f>
        <v>0.9</v>
      </c>
      <c r="M1012" s="72">
        <f t="shared" ref="M1012:M1014" si="1732">+ROUND(IF(C1012=8,PRODUCT(E1012,F1012,G1012,L1012),0),2)</f>
        <v>86.4</v>
      </c>
      <c r="N1012" s="72">
        <f t="shared" ref="N1012:N1014" si="1733">+ROUND(IF(C1012=10,PRODUCT(E1012,F1012,G1012,L1012),0),2)</f>
        <v>0</v>
      </c>
      <c r="O1012" s="72">
        <f t="shared" ref="O1012:O1014" si="1734">+ROUND(IF(C1012=12,PRODUCT(E1012,F1012,G1012,L1012),0),2)</f>
        <v>0</v>
      </c>
      <c r="P1012" s="72">
        <f t="shared" ref="P1012:P1014" si="1735">+ROUND(IF(C1012=16,PRODUCT(E1012,F1012,G1012,L1012),0),2)</f>
        <v>0</v>
      </c>
      <c r="Q1012" s="72">
        <f t="shared" ref="Q1012:Q1014" si="1736">+ROUND(IF(C1012=20,PRODUCT(E1012,F1012,G1012,L1012),0),2)</f>
        <v>0</v>
      </c>
      <c r="R1012" s="72">
        <f t="shared" ref="R1012:R1014" si="1737">+ROUND(IF(C1012=25,PRODUCT(E1012,F1012,G1012,L1012),0),2)</f>
        <v>0</v>
      </c>
    </row>
    <row r="1013" spans="1:18" x14ac:dyDescent="0.25">
      <c r="A1013" s="26"/>
      <c r="B1013" s="104" t="s">
        <v>515</v>
      </c>
      <c r="C1013" s="15">
        <v>8</v>
      </c>
      <c r="D1013" s="16">
        <v>150</v>
      </c>
      <c r="E1013" s="15">
        <v>6</v>
      </c>
      <c r="F1013" s="11">
        <v>1</v>
      </c>
      <c r="G1013" s="11">
        <v>12</v>
      </c>
      <c r="H1013" s="95"/>
      <c r="I1013" s="95">
        <f>0.1+2</f>
        <v>2.1</v>
      </c>
      <c r="J1013" s="100"/>
      <c r="K1013" s="22"/>
      <c r="L1013" s="72">
        <f t="shared" ref="L1013:L1014" si="1738">SUM(H1013:J1013)+K1013</f>
        <v>2.1</v>
      </c>
      <c r="M1013" s="72">
        <f t="shared" si="1732"/>
        <v>151.19999999999999</v>
      </c>
      <c r="N1013" s="72">
        <f t="shared" si="1733"/>
        <v>0</v>
      </c>
      <c r="O1013" s="72">
        <f t="shared" si="1734"/>
        <v>0</v>
      </c>
      <c r="P1013" s="72">
        <f t="shared" si="1735"/>
        <v>0</v>
      </c>
      <c r="Q1013" s="72">
        <f t="shared" si="1736"/>
        <v>0</v>
      </c>
      <c r="R1013" s="72">
        <f t="shared" si="1737"/>
        <v>0</v>
      </c>
    </row>
    <row r="1014" spans="1:18" x14ac:dyDescent="0.25">
      <c r="A1014" s="26"/>
      <c r="B1014" s="104" t="s">
        <v>515</v>
      </c>
      <c r="C1014" s="15">
        <v>8</v>
      </c>
      <c r="D1014" s="16">
        <v>150</v>
      </c>
      <c r="E1014" s="15">
        <v>6</v>
      </c>
      <c r="F1014" s="11">
        <v>1</v>
      </c>
      <c r="G1014" s="11">
        <v>11</v>
      </c>
      <c r="H1014" s="95"/>
      <c r="I1014" s="95">
        <f>0.1+1</f>
        <v>1.1000000000000001</v>
      </c>
      <c r="J1014" s="100"/>
      <c r="K1014" s="22"/>
      <c r="L1014" s="72">
        <f t="shared" si="1738"/>
        <v>1.1000000000000001</v>
      </c>
      <c r="M1014" s="72">
        <f t="shared" si="1732"/>
        <v>72.599999999999994</v>
      </c>
      <c r="N1014" s="72">
        <f t="shared" si="1733"/>
        <v>0</v>
      </c>
      <c r="O1014" s="72">
        <f t="shared" si="1734"/>
        <v>0</v>
      </c>
      <c r="P1014" s="72">
        <f t="shared" si="1735"/>
        <v>0</v>
      </c>
      <c r="Q1014" s="72">
        <f t="shared" si="1736"/>
        <v>0</v>
      </c>
      <c r="R1014" s="72">
        <f t="shared" si="1737"/>
        <v>0</v>
      </c>
    </row>
    <row r="1015" spans="1:18" x14ac:dyDescent="0.25">
      <c r="A1015" s="26"/>
      <c r="B1015" s="104" t="s">
        <v>515</v>
      </c>
      <c r="C1015" s="15">
        <v>8</v>
      </c>
      <c r="D1015" s="16">
        <v>150</v>
      </c>
      <c r="E1015" s="15">
        <v>6</v>
      </c>
      <c r="F1015" s="11">
        <v>1</v>
      </c>
      <c r="G1015" s="11">
        <v>12</v>
      </c>
      <c r="H1015" s="95"/>
      <c r="I1015" s="95">
        <f>0.1+1</f>
        <v>1.1000000000000001</v>
      </c>
      <c r="J1015" s="100"/>
      <c r="K1015" s="22"/>
      <c r="L1015" s="72">
        <f t="shared" ref="L1015:L1016" si="1739">SUM(H1015:J1015)+K1015</f>
        <v>1.1000000000000001</v>
      </c>
      <c r="M1015" s="72">
        <f t="shared" ref="M1015:M1033" si="1740">+ROUND(IF(C1015=8,PRODUCT(E1015,F1015,G1015,L1015),0),2)</f>
        <v>79.2</v>
      </c>
      <c r="N1015" s="72">
        <f t="shared" ref="N1015:N1033" si="1741">+ROUND(IF(C1015=10,PRODUCT(E1015,F1015,G1015,L1015),0),2)</f>
        <v>0</v>
      </c>
      <c r="O1015" s="72">
        <f t="shared" ref="O1015:O1033" si="1742">+ROUND(IF(C1015=12,PRODUCT(E1015,F1015,G1015,L1015),0),2)</f>
        <v>0</v>
      </c>
      <c r="P1015" s="72">
        <f t="shared" ref="P1015:P1033" si="1743">+ROUND(IF(C1015=16,PRODUCT(E1015,F1015,G1015,L1015),0),2)</f>
        <v>0</v>
      </c>
      <c r="Q1015" s="72">
        <f t="shared" ref="Q1015:Q1033" si="1744">+ROUND(IF(C1015=20,PRODUCT(E1015,F1015,G1015,L1015),0),2)</f>
        <v>0</v>
      </c>
      <c r="R1015" s="72">
        <f t="shared" ref="R1015:R1033" si="1745">+ROUND(IF(C1015=25,PRODUCT(E1015,F1015,G1015,L1015),0),2)</f>
        <v>0</v>
      </c>
    </row>
    <row r="1016" spans="1:18" x14ac:dyDescent="0.25">
      <c r="A1016" s="26"/>
      <c r="B1016" s="104" t="s">
        <v>515</v>
      </c>
      <c r="C1016" s="15">
        <v>8</v>
      </c>
      <c r="D1016" s="16">
        <v>150</v>
      </c>
      <c r="E1016" s="15">
        <v>6</v>
      </c>
      <c r="F1016" s="11">
        <v>1</v>
      </c>
      <c r="G1016" s="11">
        <v>12</v>
      </c>
      <c r="H1016" s="95"/>
      <c r="I1016" s="95">
        <f>0.1+0.5</f>
        <v>0.6</v>
      </c>
      <c r="J1016" s="100"/>
      <c r="K1016" s="22"/>
      <c r="L1016" s="72">
        <f t="shared" si="1739"/>
        <v>0.6</v>
      </c>
      <c r="M1016" s="72">
        <f t="shared" si="1740"/>
        <v>43.2</v>
      </c>
      <c r="N1016" s="72">
        <f t="shared" si="1741"/>
        <v>0</v>
      </c>
      <c r="O1016" s="72">
        <f t="shared" si="1742"/>
        <v>0</v>
      </c>
      <c r="P1016" s="72">
        <f t="shared" si="1743"/>
        <v>0</v>
      </c>
      <c r="Q1016" s="72">
        <f t="shared" si="1744"/>
        <v>0</v>
      </c>
      <c r="R1016" s="72">
        <f t="shared" si="1745"/>
        <v>0</v>
      </c>
    </row>
    <row r="1017" spans="1:18" x14ac:dyDescent="0.25">
      <c r="A1017" s="26"/>
      <c r="B1017" s="104" t="s">
        <v>519</v>
      </c>
      <c r="C1017" s="15">
        <v>8</v>
      </c>
      <c r="D1017" s="16">
        <v>125</v>
      </c>
      <c r="E1017" s="15">
        <v>6</v>
      </c>
      <c r="F1017" s="11">
        <v>1</v>
      </c>
      <c r="G1017" s="11">
        <f>+ROUND(1.85/(D1017/1000)+1,0)</f>
        <v>16</v>
      </c>
      <c r="H1017" s="95">
        <v>0.1</v>
      </c>
      <c r="I1017" s="95">
        <v>0.97499999999999998</v>
      </c>
      <c r="J1017" s="100"/>
      <c r="K1017" s="22"/>
      <c r="L1017" s="72">
        <f t="shared" ref="L1017:L1018" si="1746">SUM(H1017:J1017)+K1017</f>
        <v>1.075</v>
      </c>
      <c r="M1017" s="72">
        <f t="shared" ref="M1017:M1018" si="1747">+ROUND(IF(C1017=8,PRODUCT(E1017,F1017,G1017,L1017),0),2)</f>
        <v>103.2</v>
      </c>
      <c r="N1017" s="72">
        <f t="shared" ref="N1017:N1018" si="1748">+ROUND(IF(C1017=10,PRODUCT(E1017,F1017,G1017,L1017),0),2)</f>
        <v>0</v>
      </c>
      <c r="O1017" s="72">
        <f t="shared" ref="O1017:O1018" si="1749">+ROUND(IF(C1017=12,PRODUCT(E1017,F1017,G1017,L1017),0),2)</f>
        <v>0</v>
      </c>
      <c r="P1017" s="72">
        <f t="shared" ref="P1017:P1018" si="1750">+ROUND(IF(C1017=16,PRODUCT(E1017,F1017,G1017,L1017),0),2)</f>
        <v>0</v>
      </c>
      <c r="Q1017" s="72">
        <f t="shared" ref="Q1017:Q1018" si="1751">+ROUND(IF(C1017=20,PRODUCT(E1017,F1017,G1017,L1017),0),2)</f>
        <v>0</v>
      </c>
      <c r="R1017" s="72">
        <f t="shared" ref="R1017:R1018" si="1752">+ROUND(IF(C1017=25,PRODUCT(E1017,F1017,G1017,L1017),0),2)</f>
        <v>0</v>
      </c>
    </row>
    <row r="1018" spans="1:18" x14ac:dyDescent="0.25">
      <c r="A1018" s="26"/>
      <c r="B1018" s="104" t="s">
        <v>514</v>
      </c>
      <c r="C1018" s="15">
        <v>8</v>
      </c>
      <c r="D1018" s="16">
        <v>100</v>
      </c>
      <c r="E1018" s="15">
        <v>6</v>
      </c>
      <c r="F1018" s="11">
        <v>1</v>
      </c>
      <c r="G1018" s="11">
        <v>6</v>
      </c>
      <c r="H1018" s="95"/>
      <c r="I1018" s="95">
        <f>0.1+1.6</f>
        <v>1.7000000000000002</v>
      </c>
      <c r="J1018" s="100"/>
      <c r="K1018" s="22"/>
      <c r="L1018" s="72">
        <f t="shared" si="1746"/>
        <v>1.7000000000000002</v>
      </c>
      <c r="M1018" s="72">
        <f t="shared" si="1747"/>
        <v>61.2</v>
      </c>
      <c r="N1018" s="72">
        <f t="shared" si="1748"/>
        <v>0</v>
      </c>
      <c r="O1018" s="72">
        <f t="shared" si="1749"/>
        <v>0</v>
      </c>
      <c r="P1018" s="72">
        <f t="shared" si="1750"/>
        <v>0</v>
      </c>
      <c r="Q1018" s="72">
        <f t="shared" si="1751"/>
        <v>0</v>
      </c>
      <c r="R1018" s="72">
        <f t="shared" si="1752"/>
        <v>0</v>
      </c>
    </row>
    <row r="1019" spans="1:18" x14ac:dyDescent="0.25">
      <c r="A1019" s="26"/>
      <c r="B1019" s="104" t="s">
        <v>514</v>
      </c>
      <c r="C1019" s="15">
        <v>8</v>
      </c>
      <c r="D1019" s="16">
        <v>100</v>
      </c>
      <c r="E1019" s="15">
        <v>6</v>
      </c>
      <c r="F1019" s="11">
        <v>1</v>
      </c>
      <c r="G1019" s="11">
        <f>+ROUND(1.15/(D1019/1000)+1,0)/2</f>
        <v>6.5</v>
      </c>
      <c r="H1019" s="95"/>
      <c r="I1019" s="95">
        <f>0.1+0.8</f>
        <v>0.9</v>
      </c>
      <c r="J1019" s="100"/>
      <c r="K1019" s="22"/>
      <c r="L1019" s="72">
        <f t="shared" ref="L1019:L1020" si="1753">SUM(H1019:J1019)+K1019</f>
        <v>0.9</v>
      </c>
      <c r="M1019" s="72">
        <f t="shared" ref="M1019:M1020" si="1754">+ROUND(IF(C1019=8,PRODUCT(E1019,F1019,G1019,L1019),0),2)</f>
        <v>35.1</v>
      </c>
      <c r="N1019" s="72">
        <f t="shared" ref="N1019:N1020" si="1755">+ROUND(IF(C1019=10,PRODUCT(E1019,F1019,G1019,L1019),0),2)</f>
        <v>0</v>
      </c>
      <c r="O1019" s="72">
        <f t="shared" ref="O1019:O1020" si="1756">+ROUND(IF(C1019=12,PRODUCT(E1019,F1019,G1019,L1019),0),2)</f>
        <v>0</v>
      </c>
      <c r="P1019" s="72">
        <f t="shared" ref="P1019:P1020" si="1757">+ROUND(IF(C1019=16,PRODUCT(E1019,F1019,G1019,L1019),0),2)</f>
        <v>0</v>
      </c>
      <c r="Q1019" s="72">
        <f t="shared" ref="Q1019:Q1020" si="1758">+ROUND(IF(C1019=20,PRODUCT(E1019,F1019,G1019,L1019),0),2)</f>
        <v>0</v>
      </c>
      <c r="R1019" s="72">
        <f t="shared" ref="R1019:R1020" si="1759">+ROUND(IF(C1019=25,PRODUCT(E1019,F1019,G1019,L1019),0),2)</f>
        <v>0</v>
      </c>
    </row>
    <row r="1020" spans="1:18" x14ac:dyDescent="0.25">
      <c r="A1020" s="26"/>
      <c r="B1020" s="104" t="s">
        <v>514</v>
      </c>
      <c r="C1020" s="15">
        <v>8</v>
      </c>
      <c r="D1020" s="16">
        <v>100</v>
      </c>
      <c r="E1020" s="15">
        <v>6</v>
      </c>
      <c r="F1020" s="11">
        <v>1</v>
      </c>
      <c r="G1020" s="11">
        <f>+ROUND(3.075/(D1020/1000)+1,0)/2</f>
        <v>16</v>
      </c>
      <c r="H1020" s="95"/>
      <c r="I1020" s="95">
        <f>0.1+1.1</f>
        <v>1.2000000000000002</v>
      </c>
      <c r="J1020" s="100"/>
      <c r="K1020" s="22"/>
      <c r="L1020" s="72">
        <f t="shared" si="1753"/>
        <v>1.2000000000000002</v>
      </c>
      <c r="M1020" s="72">
        <f t="shared" si="1754"/>
        <v>115.2</v>
      </c>
      <c r="N1020" s="72">
        <f t="shared" si="1755"/>
        <v>0</v>
      </c>
      <c r="O1020" s="72">
        <f t="shared" si="1756"/>
        <v>0</v>
      </c>
      <c r="P1020" s="72">
        <f t="shared" si="1757"/>
        <v>0</v>
      </c>
      <c r="Q1020" s="72">
        <f t="shared" si="1758"/>
        <v>0</v>
      </c>
      <c r="R1020" s="72">
        <f t="shared" si="1759"/>
        <v>0</v>
      </c>
    </row>
    <row r="1021" spans="1:18" x14ac:dyDescent="0.25">
      <c r="A1021" s="26"/>
      <c r="B1021" s="104" t="s">
        <v>514</v>
      </c>
      <c r="C1021" s="15">
        <v>8</v>
      </c>
      <c r="D1021" s="16">
        <v>100</v>
      </c>
      <c r="E1021" s="15">
        <v>6</v>
      </c>
      <c r="F1021" s="11">
        <v>1</v>
      </c>
      <c r="G1021" s="11">
        <f>+ROUND(3.075/(D1021/1000)+1,0)/2</f>
        <v>16</v>
      </c>
      <c r="H1021" s="95"/>
      <c r="I1021" s="95">
        <f>0.1+0.55</f>
        <v>0.65</v>
      </c>
      <c r="J1021" s="100"/>
      <c r="K1021" s="22"/>
      <c r="L1021" s="72">
        <f t="shared" ref="L1021" si="1760">SUM(H1021:J1021)+K1021</f>
        <v>0.65</v>
      </c>
      <c r="M1021" s="72">
        <f t="shared" ref="M1021:M1025" si="1761">+ROUND(IF(C1021=8,PRODUCT(E1021,F1021,G1021,L1021),0),2)</f>
        <v>62.4</v>
      </c>
      <c r="N1021" s="72">
        <f t="shared" ref="N1021:N1025" si="1762">+ROUND(IF(C1021=10,PRODUCT(E1021,F1021,G1021,L1021),0),2)</f>
        <v>0</v>
      </c>
      <c r="O1021" s="72">
        <f t="shared" ref="O1021:O1025" si="1763">+ROUND(IF(C1021=12,PRODUCT(E1021,F1021,G1021,L1021),0),2)</f>
        <v>0</v>
      </c>
      <c r="P1021" s="72">
        <f t="shared" ref="P1021:P1025" si="1764">+ROUND(IF(C1021=16,PRODUCT(E1021,F1021,G1021,L1021),0),2)</f>
        <v>0</v>
      </c>
      <c r="Q1021" s="72">
        <f t="shared" ref="Q1021:Q1025" si="1765">+ROUND(IF(C1021=20,PRODUCT(E1021,F1021,G1021,L1021),0),2)</f>
        <v>0</v>
      </c>
      <c r="R1021" s="72">
        <f t="shared" ref="R1021:R1025" si="1766">+ROUND(IF(C1021=25,PRODUCT(E1021,F1021,G1021,L1021),0),2)</f>
        <v>0</v>
      </c>
    </row>
    <row r="1022" spans="1:18" x14ac:dyDescent="0.25">
      <c r="A1022" s="26"/>
      <c r="B1022" s="104" t="s">
        <v>759</v>
      </c>
      <c r="C1022" s="15">
        <v>8</v>
      </c>
      <c r="D1022" s="16">
        <v>200</v>
      </c>
      <c r="E1022" s="15">
        <v>6</v>
      </c>
      <c r="F1022" s="11">
        <v>1</v>
      </c>
      <c r="G1022" s="11">
        <f>+ROUND(1/(D1022/1000)+1,0)</f>
        <v>6</v>
      </c>
      <c r="H1022" s="95">
        <v>0.2</v>
      </c>
      <c r="I1022" s="95">
        <v>3.2149999999999999</v>
      </c>
      <c r="J1022" s="100"/>
      <c r="K1022" s="22"/>
      <c r="L1022" s="72">
        <f t="shared" ref="L1022:L1025" si="1767">SUM(H1022:J1022)+K1022</f>
        <v>3.415</v>
      </c>
      <c r="M1022" s="72">
        <f t="shared" si="1761"/>
        <v>122.94</v>
      </c>
      <c r="N1022" s="72">
        <f t="shared" si="1762"/>
        <v>0</v>
      </c>
      <c r="O1022" s="72">
        <f t="shared" si="1763"/>
        <v>0</v>
      </c>
      <c r="P1022" s="72">
        <f t="shared" si="1764"/>
        <v>0</v>
      </c>
      <c r="Q1022" s="72">
        <f t="shared" si="1765"/>
        <v>0</v>
      </c>
      <c r="R1022" s="72">
        <f t="shared" si="1766"/>
        <v>0</v>
      </c>
    </row>
    <row r="1023" spans="1:18" x14ac:dyDescent="0.25">
      <c r="A1023" s="26"/>
      <c r="B1023" s="104" t="s">
        <v>759</v>
      </c>
      <c r="C1023" s="15">
        <v>8</v>
      </c>
      <c r="D1023" s="16">
        <v>200</v>
      </c>
      <c r="E1023" s="15">
        <v>6</v>
      </c>
      <c r="F1023" s="11">
        <v>1</v>
      </c>
      <c r="G1023" s="11">
        <f>+ROUND(1.6/(D1023/1000)+1,0)</f>
        <v>9</v>
      </c>
      <c r="H1023" s="95">
        <v>0.2</v>
      </c>
      <c r="I1023" s="95">
        <v>6.2450000000000001</v>
      </c>
      <c r="J1023" s="100"/>
      <c r="K1023" s="22"/>
      <c r="L1023" s="72">
        <f t="shared" si="1767"/>
        <v>6.4450000000000003</v>
      </c>
      <c r="M1023" s="72">
        <f t="shared" si="1761"/>
        <v>348.03</v>
      </c>
      <c r="N1023" s="72">
        <f t="shared" si="1762"/>
        <v>0</v>
      </c>
      <c r="O1023" s="72">
        <f t="shared" si="1763"/>
        <v>0</v>
      </c>
      <c r="P1023" s="72">
        <f t="shared" si="1764"/>
        <v>0</v>
      </c>
      <c r="Q1023" s="72">
        <f t="shared" si="1765"/>
        <v>0</v>
      </c>
      <c r="R1023" s="72">
        <f t="shared" si="1766"/>
        <v>0</v>
      </c>
    </row>
    <row r="1024" spans="1:18" x14ac:dyDescent="0.25">
      <c r="A1024" s="26"/>
      <c r="B1024" s="104" t="s">
        <v>759</v>
      </c>
      <c r="C1024" s="15">
        <v>8</v>
      </c>
      <c r="D1024" s="16">
        <v>200</v>
      </c>
      <c r="E1024" s="15">
        <v>6</v>
      </c>
      <c r="F1024" s="11">
        <v>1</v>
      </c>
      <c r="G1024" s="11">
        <f>+ROUND(2/(D1024/1000)+1,0)</f>
        <v>11</v>
      </c>
      <c r="H1024" s="95">
        <v>0.2</v>
      </c>
      <c r="I1024" s="95">
        <v>5.125</v>
      </c>
      <c r="J1024" s="100"/>
      <c r="K1024" s="22"/>
      <c r="L1024" s="72">
        <f t="shared" si="1767"/>
        <v>5.3250000000000002</v>
      </c>
      <c r="M1024" s="72">
        <f t="shared" si="1761"/>
        <v>351.45</v>
      </c>
      <c r="N1024" s="72">
        <f t="shared" si="1762"/>
        <v>0</v>
      </c>
      <c r="O1024" s="72">
        <f t="shared" si="1763"/>
        <v>0</v>
      </c>
      <c r="P1024" s="72">
        <f t="shared" si="1764"/>
        <v>0</v>
      </c>
      <c r="Q1024" s="72">
        <f t="shared" si="1765"/>
        <v>0</v>
      </c>
      <c r="R1024" s="72">
        <f t="shared" si="1766"/>
        <v>0</v>
      </c>
    </row>
    <row r="1025" spans="1:18" x14ac:dyDescent="0.25">
      <c r="A1025" s="26"/>
      <c r="B1025" s="104" t="s">
        <v>759</v>
      </c>
      <c r="C1025" s="15">
        <v>8</v>
      </c>
      <c r="D1025" s="16">
        <v>200</v>
      </c>
      <c r="E1025" s="15">
        <v>6</v>
      </c>
      <c r="F1025" s="11">
        <v>1</v>
      </c>
      <c r="G1025" s="11">
        <f>+ROUND(1.6/(D1025/1000)+1,0)</f>
        <v>9</v>
      </c>
      <c r="H1025" s="95">
        <v>0.2</v>
      </c>
      <c r="I1025" s="95">
        <v>3.17</v>
      </c>
      <c r="J1025" s="100"/>
      <c r="K1025" s="22"/>
      <c r="L1025" s="72">
        <f t="shared" si="1767"/>
        <v>3.37</v>
      </c>
      <c r="M1025" s="72">
        <f t="shared" si="1761"/>
        <v>181.98</v>
      </c>
      <c r="N1025" s="72">
        <f t="shared" si="1762"/>
        <v>0</v>
      </c>
      <c r="O1025" s="72">
        <f t="shared" si="1763"/>
        <v>0</v>
      </c>
      <c r="P1025" s="72">
        <f t="shared" si="1764"/>
        <v>0</v>
      </c>
      <c r="Q1025" s="72">
        <f t="shared" si="1765"/>
        <v>0</v>
      </c>
      <c r="R1025" s="72">
        <f t="shared" si="1766"/>
        <v>0</v>
      </c>
    </row>
    <row r="1026" spans="1:18" x14ac:dyDescent="0.25">
      <c r="A1026" s="26"/>
      <c r="B1026" s="104" t="s">
        <v>759</v>
      </c>
      <c r="C1026" s="15">
        <v>8</v>
      </c>
      <c r="D1026" s="16">
        <v>200</v>
      </c>
      <c r="E1026" s="15">
        <v>6</v>
      </c>
      <c r="F1026" s="11">
        <v>1</v>
      </c>
      <c r="G1026" s="11">
        <f>+ROUND(1.1/(D1026/1000)+1,0)</f>
        <v>7</v>
      </c>
      <c r="H1026" s="95">
        <v>0.2</v>
      </c>
      <c r="I1026" s="95">
        <v>3.0750000000000002</v>
      </c>
      <c r="J1026" s="100"/>
      <c r="K1026" s="22"/>
      <c r="L1026" s="72">
        <f t="shared" ref="L1026" si="1768">SUM(H1026:J1026)+K1026</f>
        <v>3.2750000000000004</v>
      </c>
      <c r="M1026" s="72">
        <f t="shared" ref="M1026" si="1769">+ROUND(IF(C1026=8,PRODUCT(E1026,F1026,G1026,L1026),0),2)</f>
        <v>137.55000000000001</v>
      </c>
      <c r="N1026" s="72">
        <f t="shared" ref="N1026" si="1770">+ROUND(IF(C1026=10,PRODUCT(E1026,F1026,G1026,L1026),0),2)</f>
        <v>0</v>
      </c>
      <c r="O1026" s="72">
        <f t="shared" ref="O1026" si="1771">+ROUND(IF(C1026=12,PRODUCT(E1026,F1026,G1026,L1026),0),2)</f>
        <v>0</v>
      </c>
      <c r="P1026" s="72">
        <f t="shared" ref="P1026" si="1772">+ROUND(IF(C1026=16,PRODUCT(E1026,F1026,G1026,L1026),0),2)</f>
        <v>0</v>
      </c>
      <c r="Q1026" s="72">
        <f t="shared" ref="Q1026" si="1773">+ROUND(IF(C1026=20,PRODUCT(E1026,F1026,G1026,L1026),0),2)</f>
        <v>0</v>
      </c>
      <c r="R1026" s="72">
        <f t="shared" ref="R1026" si="1774">+ROUND(IF(C1026=25,PRODUCT(E1026,F1026,G1026,L1026),0),2)</f>
        <v>0</v>
      </c>
    </row>
    <row r="1027" spans="1:18" x14ac:dyDescent="0.25">
      <c r="A1027" s="26"/>
      <c r="B1027" s="25"/>
      <c r="C1027" s="15"/>
      <c r="D1027" s="16"/>
      <c r="E1027" s="15"/>
      <c r="F1027" s="11"/>
      <c r="G1027" s="11"/>
      <c r="H1027" s="95"/>
      <c r="I1027" s="95"/>
      <c r="J1027" s="100"/>
      <c r="K1027" s="22"/>
      <c r="L1027" s="72"/>
      <c r="M1027" s="72"/>
      <c r="N1027" s="72"/>
      <c r="O1027" s="72"/>
      <c r="P1027" s="72"/>
      <c r="Q1027" s="72"/>
      <c r="R1027" s="72"/>
    </row>
    <row r="1028" spans="1:18" x14ac:dyDescent="0.25">
      <c r="A1028" s="26"/>
      <c r="B1028" s="45" t="s">
        <v>804</v>
      </c>
      <c r="C1028" s="15"/>
      <c r="D1028" s="16"/>
      <c r="E1028" s="15"/>
      <c r="F1028" s="11"/>
      <c r="G1028" s="11"/>
      <c r="H1028" s="95"/>
      <c r="I1028" s="95"/>
      <c r="J1028" s="100"/>
      <c r="K1028" s="22"/>
      <c r="L1028" s="72"/>
      <c r="M1028" s="72">
        <f t="shared" si="1740"/>
        <v>0</v>
      </c>
      <c r="N1028" s="72">
        <f t="shared" si="1741"/>
        <v>0</v>
      </c>
      <c r="O1028" s="72">
        <f t="shared" si="1742"/>
        <v>0</v>
      </c>
      <c r="P1028" s="72">
        <f t="shared" si="1743"/>
        <v>0</v>
      </c>
      <c r="Q1028" s="72">
        <f t="shared" si="1744"/>
        <v>0</v>
      </c>
      <c r="R1028" s="72">
        <f t="shared" si="1745"/>
        <v>0</v>
      </c>
    </row>
    <row r="1029" spans="1:18" x14ac:dyDescent="0.25">
      <c r="A1029" s="26"/>
      <c r="B1029" s="104" t="s">
        <v>799</v>
      </c>
      <c r="C1029" s="15">
        <v>8</v>
      </c>
      <c r="D1029" s="16">
        <v>200</v>
      </c>
      <c r="E1029" s="15">
        <v>6</v>
      </c>
      <c r="F1029" s="11">
        <v>1</v>
      </c>
      <c r="G1029" s="11">
        <v>18</v>
      </c>
      <c r="H1029" s="95"/>
      <c r="I1029" s="95">
        <f>0.175+2.345+0.175</f>
        <v>2.6949999999999998</v>
      </c>
      <c r="J1029" s="100"/>
      <c r="K1029" s="47"/>
      <c r="L1029" s="72">
        <f>SUM(H1029:J1029)+K1029</f>
        <v>2.6949999999999998</v>
      </c>
      <c r="M1029" s="72">
        <f t="shared" si="1740"/>
        <v>291.06</v>
      </c>
      <c r="N1029" s="72">
        <f t="shared" si="1741"/>
        <v>0</v>
      </c>
      <c r="O1029" s="72">
        <f t="shared" si="1742"/>
        <v>0</v>
      </c>
      <c r="P1029" s="72">
        <f t="shared" si="1743"/>
        <v>0</v>
      </c>
      <c r="Q1029" s="72">
        <f t="shared" si="1744"/>
        <v>0</v>
      </c>
      <c r="R1029" s="72">
        <f t="shared" si="1745"/>
        <v>0</v>
      </c>
    </row>
    <row r="1030" spans="1:18" x14ac:dyDescent="0.25">
      <c r="A1030" s="26"/>
      <c r="B1030" s="104" t="s">
        <v>521</v>
      </c>
      <c r="C1030" s="15">
        <v>8</v>
      </c>
      <c r="D1030" s="16">
        <v>200</v>
      </c>
      <c r="E1030" s="15">
        <v>6</v>
      </c>
      <c r="F1030" s="11">
        <v>1</v>
      </c>
      <c r="G1030" s="11">
        <v>12</v>
      </c>
      <c r="H1030" s="95"/>
      <c r="I1030" s="95">
        <v>4.3</v>
      </c>
      <c r="J1030" s="100"/>
      <c r="K1030" s="47"/>
      <c r="L1030" s="72">
        <f>SUM(H1030:J1030)+K1030</f>
        <v>4.3</v>
      </c>
      <c r="M1030" s="72">
        <f t="shared" ref="M1030" si="1775">+ROUND(IF(C1030=8,PRODUCT(E1030,F1030,G1030,L1030),0),2)</f>
        <v>309.60000000000002</v>
      </c>
      <c r="N1030" s="72">
        <f t="shared" ref="N1030" si="1776">+ROUND(IF(C1030=10,PRODUCT(E1030,F1030,G1030,L1030),0),2)</f>
        <v>0</v>
      </c>
      <c r="O1030" s="72">
        <f t="shared" ref="O1030" si="1777">+ROUND(IF(C1030=12,PRODUCT(E1030,F1030,G1030,L1030),0),2)</f>
        <v>0</v>
      </c>
      <c r="P1030" s="72">
        <f t="shared" ref="P1030" si="1778">+ROUND(IF(C1030=16,PRODUCT(E1030,F1030,G1030,L1030),0),2)</f>
        <v>0</v>
      </c>
      <c r="Q1030" s="72">
        <f t="shared" ref="Q1030" si="1779">+ROUND(IF(C1030=20,PRODUCT(E1030,F1030,G1030,L1030),0),2)</f>
        <v>0</v>
      </c>
      <c r="R1030" s="72">
        <f t="shared" ref="R1030" si="1780">+ROUND(IF(C1030=25,PRODUCT(E1030,F1030,G1030,L1030),0),2)</f>
        <v>0</v>
      </c>
    </row>
    <row r="1031" spans="1:18" x14ac:dyDescent="0.25">
      <c r="A1031" s="26"/>
      <c r="B1031" s="104" t="s">
        <v>512</v>
      </c>
      <c r="C1031" s="15">
        <v>8</v>
      </c>
      <c r="D1031" s="16">
        <v>200</v>
      </c>
      <c r="E1031" s="15">
        <v>6</v>
      </c>
      <c r="F1031" s="11">
        <v>1</v>
      </c>
      <c r="G1031" s="11">
        <v>12</v>
      </c>
      <c r="H1031" s="95">
        <v>0.1</v>
      </c>
      <c r="I1031" s="95">
        <v>0.72499999999999998</v>
      </c>
      <c r="J1031" s="100"/>
      <c r="K1031" s="22"/>
      <c r="L1031" s="72">
        <f>SUM(H1031:J1031)+K1031</f>
        <v>0.82499999999999996</v>
      </c>
      <c r="M1031" s="72">
        <f t="shared" si="1740"/>
        <v>59.4</v>
      </c>
      <c r="N1031" s="72">
        <f t="shared" si="1741"/>
        <v>0</v>
      </c>
      <c r="O1031" s="72">
        <f t="shared" si="1742"/>
        <v>0</v>
      </c>
      <c r="P1031" s="72">
        <f t="shared" si="1743"/>
        <v>0</v>
      </c>
      <c r="Q1031" s="72">
        <f t="shared" si="1744"/>
        <v>0</v>
      </c>
      <c r="R1031" s="72">
        <f t="shared" si="1745"/>
        <v>0</v>
      </c>
    </row>
    <row r="1032" spans="1:18" x14ac:dyDescent="0.25">
      <c r="A1032" s="26"/>
      <c r="B1032" s="104" t="s">
        <v>512</v>
      </c>
      <c r="C1032" s="15">
        <v>8</v>
      </c>
      <c r="D1032" s="16">
        <v>200</v>
      </c>
      <c r="E1032" s="15">
        <v>6</v>
      </c>
      <c r="F1032" s="11">
        <v>1</v>
      </c>
      <c r="G1032" s="11">
        <f>+ROUND(3.435/(D1032/1000)+1,0)/2</f>
        <v>9</v>
      </c>
      <c r="H1032" s="95"/>
      <c r="I1032" s="95">
        <f>0.1+0.8</f>
        <v>0.9</v>
      </c>
      <c r="J1032" s="100"/>
      <c r="K1032" s="22"/>
      <c r="L1032" s="72">
        <f t="shared" ref="L1032" si="1781">SUM(H1032:J1032)+K1032</f>
        <v>0.9</v>
      </c>
      <c r="M1032" s="72">
        <f t="shared" si="1740"/>
        <v>48.6</v>
      </c>
      <c r="N1032" s="72">
        <f t="shared" si="1741"/>
        <v>0</v>
      </c>
      <c r="O1032" s="72">
        <f t="shared" si="1742"/>
        <v>0</v>
      </c>
      <c r="P1032" s="72">
        <f t="shared" si="1743"/>
        <v>0</v>
      </c>
      <c r="Q1032" s="72">
        <f t="shared" si="1744"/>
        <v>0</v>
      </c>
      <c r="R1032" s="72">
        <f t="shared" si="1745"/>
        <v>0</v>
      </c>
    </row>
    <row r="1033" spans="1:18" x14ac:dyDescent="0.25">
      <c r="A1033" s="26"/>
      <c r="B1033" s="104" t="s">
        <v>512</v>
      </c>
      <c r="C1033" s="15">
        <v>8</v>
      </c>
      <c r="D1033" s="16">
        <v>200</v>
      </c>
      <c r="E1033" s="15">
        <v>6</v>
      </c>
      <c r="F1033" s="11">
        <v>1</v>
      </c>
      <c r="G1033" s="11">
        <v>8</v>
      </c>
      <c r="H1033" s="95"/>
      <c r="I1033" s="95">
        <f>0.1+0.4</f>
        <v>0.5</v>
      </c>
      <c r="J1033" s="100"/>
      <c r="K1033" s="22"/>
      <c r="L1033" s="72">
        <f t="shared" ref="L1033" si="1782">SUM(H1033:J1033)+K1033</f>
        <v>0.5</v>
      </c>
      <c r="M1033" s="72">
        <f t="shared" si="1740"/>
        <v>24</v>
      </c>
      <c r="N1033" s="72">
        <f t="shared" si="1741"/>
        <v>0</v>
      </c>
      <c r="O1033" s="72">
        <f t="shared" si="1742"/>
        <v>0</v>
      </c>
      <c r="P1033" s="72">
        <f t="shared" si="1743"/>
        <v>0</v>
      </c>
      <c r="Q1033" s="72">
        <f t="shared" si="1744"/>
        <v>0</v>
      </c>
      <c r="R1033" s="72">
        <f t="shared" si="1745"/>
        <v>0</v>
      </c>
    </row>
    <row r="1034" spans="1:18" x14ac:dyDescent="0.25">
      <c r="A1034" s="26"/>
      <c r="B1034" s="104" t="s">
        <v>512</v>
      </c>
      <c r="C1034" s="15">
        <v>8</v>
      </c>
      <c r="D1034" s="16">
        <v>200</v>
      </c>
      <c r="E1034" s="15">
        <v>6</v>
      </c>
      <c r="F1034" s="11">
        <v>1</v>
      </c>
      <c r="G1034" s="11">
        <v>6</v>
      </c>
      <c r="H1034" s="95"/>
      <c r="I1034" s="95">
        <f>0.1+1.1</f>
        <v>1.2000000000000002</v>
      </c>
      <c r="J1034" s="100"/>
      <c r="K1034" s="22"/>
      <c r="L1034" s="72">
        <f t="shared" ref="L1034:L1035" si="1783">SUM(H1034:J1034)+K1034</f>
        <v>1.2000000000000002</v>
      </c>
      <c r="M1034" s="72">
        <f t="shared" ref="M1034:M1035" si="1784">+ROUND(IF(C1034=8,PRODUCT(E1034,F1034,G1034,L1034),0),2)</f>
        <v>43.2</v>
      </c>
      <c r="N1034" s="72">
        <f t="shared" ref="N1034:N1035" si="1785">+ROUND(IF(C1034=10,PRODUCT(E1034,F1034,G1034,L1034),0),2)</f>
        <v>0</v>
      </c>
      <c r="O1034" s="72">
        <f t="shared" ref="O1034:O1035" si="1786">+ROUND(IF(C1034=12,PRODUCT(E1034,F1034,G1034,L1034),0),2)</f>
        <v>0</v>
      </c>
      <c r="P1034" s="72">
        <f t="shared" ref="P1034:P1035" si="1787">+ROUND(IF(C1034=16,PRODUCT(E1034,F1034,G1034,L1034),0),2)</f>
        <v>0</v>
      </c>
      <c r="Q1034" s="72">
        <f t="shared" ref="Q1034:Q1035" si="1788">+ROUND(IF(C1034=20,PRODUCT(E1034,F1034,G1034,L1034),0),2)</f>
        <v>0</v>
      </c>
      <c r="R1034" s="72">
        <f t="shared" ref="R1034:R1035" si="1789">+ROUND(IF(C1034=25,PRODUCT(E1034,F1034,G1034,L1034),0),2)</f>
        <v>0</v>
      </c>
    </row>
    <row r="1035" spans="1:18" x14ac:dyDescent="0.25">
      <c r="A1035" s="26"/>
      <c r="B1035" s="104" t="s">
        <v>512</v>
      </c>
      <c r="C1035" s="15">
        <v>8</v>
      </c>
      <c r="D1035" s="16">
        <v>200</v>
      </c>
      <c r="E1035" s="15">
        <v>6</v>
      </c>
      <c r="F1035" s="11">
        <v>1</v>
      </c>
      <c r="G1035" s="11">
        <v>6</v>
      </c>
      <c r="H1035" s="95"/>
      <c r="I1035" s="95">
        <f>0.1+0.55</f>
        <v>0.65</v>
      </c>
      <c r="J1035" s="100"/>
      <c r="K1035" s="22"/>
      <c r="L1035" s="72">
        <f t="shared" si="1783"/>
        <v>0.65</v>
      </c>
      <c r="M1035" s="72">
        <f t="shared" si="1784"/>
        <v>23.4</v>
      </c>
      <c r="N1035" s="72">
        <f t="shared" si="1785"/>
        <v>0</v>
      </c>
      <c r="O1035" s="72">
        <f t="shared" si="1786"/>
        <v>0</v>
      </c>
      <c r="P1035" s="72">
        <f t="shared" si="1787"/>
        <v>0</v>
      </c>
      <c r="Q1035" s="72">
        <f t="shared" si="1788"/>
        <v>0</v>
      </c>
      <c r="R1035" s="72">
        <f t="shared" si="1789"/>
        <v>0</v>
      </c>
    </row>
    <row r="1036" spans="1:18" x14ac:dyDescent="0.25">
      <c r="A1036" s="26"/>
      <c r="B1036" s="104" t="s">
        <v>515</v>
      </c>
      <c r="C1036" s="15">
        <v>8</v>
      </c>
      <c r="D1036" s="16">
        <v>150</v>
      </c>
      <c r="E1036" s="15">
        <v>6</v>
      </c>
      <c r="F1036" s="11">
        <v>1</v>
      </c>
      <c r="G1036" s="11">
        <f>+ROUND(3.435/(D1036/1000)+1,0)/2</f>
        <v>12</v>
      </c>
      <c r="H1036" s="95"/>
      <c r="I1036" s="95">
        <f>0.1+0.8</f>
        <v>0.9</v>
      </c>
      <c r="J1036" s="100"/>
      <c r="K1036" s="22"/>
      <c r="L1036" s="72">
        <f t="shared" ref="L1036:L1037" si="1790">SUM(H1036:J1036)+K1036</f>
        <v>0.9</v>
      </c>
      <c r="M1036" s="72">
        <f t="shared" ref="M1036:M1037" si="1791">+ROUND(IF(C1036=8,PRODUCT(E1036,F1036,G1036,L1036),0),2)</f>
        <v>64.8</v>
      </c>
      <c r="N1036" s="72">
        <f t="shared" ref="N1036:N1037" si="1792">+ROUND(IF(C1036=10,PRODUCT(E1036,F1036,G1036,L1036),0),2)</f>
        <v>0</v>
      </c>
      <c r="O1036" s="72">
        <f t="shared" ref="O1036:O1037" si="1793">+ROUND(IF(C1036=12,PRODUCT(E1036,F1036,G1036,L1036),0),2)</f>
        <v>0</v>
      </c>
      <c r="P1036" s="72">
        <f t="shared" ref="P1036:P1037" si="1794">+ROUND(IF(C1036=16,PRODUCT(E1036,F1036,G1036,L1036),0),2)</f>
        <v>0</v>
      </c>
      <c r="Q1036" s="72">
        <f t="shared" ref="Q1036:Q1037" si="1795">+ROUND(IF(C1036=20,PRODUCT(E1036,F1036,G1036,L1036),0),2)</f>
        <v>0</v>
      </c>
      <c r="R1036" s="72">
        <f t="shared" ref="R1036:R1037" si="1796">+ROUND(IF(C1036=25,PRODUCT(E1036,F1036,G1036,L1036),0),2)</f>
        <v>0</v>
      </c>
    </row>
    <row r="1037" spans="1:18" x14ac:dyDescent="0.25">
      <c r="A1037" s="26"/>
      <c r="B1037" s="104" t="s">
        <v>515</v>
      </c>
      <c r="C1037" s="15">
        <v>8</v>
      </c>
      <c r="D1037" s="16">
        <v>150</v>
      </c>
      <c r="E1037" s="15">
        <v>6</v>
      </c>
      <c r="F1037" s="11">
        <v>1</v>
      </c>
      <c r="G1037" s="11">
        <f>+ROUND(3.435/(D1037/1000)+1,0)/2</f>
        <v>12</v>
      </c>
      <c r="H1037" s="95"/>
      <c r="I1037" s="95">
        <f>0.1+0.4</f>
        <v>0.5</v>
      </c>
      <c r="J1037" s="100"/>
      <c r="K1037" s="22"/>
      <c r="L1037" s="72">
        <f t="shared" si="1790"/>
        <v>0.5</v>
      </c>
      <c r="M1037" s="72">
        <f t="shared" si="1791"/>
        <v>36</v>
      </c>
      <c r="N1037" s="72">
        <f t="shared" si="1792"/>
        <v>0</v>
      </c>
      <c r="O1037" s="72">
        <f t="shared" si="1793"/>
        <v>0</v>
      </c>
      <c r="P1037" s="72">
        <f t="shared" si="1794"/>
        <v>0</v>
      </c>
      <c r="Q1037" s="72">
        <f t="shared" si="1795"/>
        <v>0</v>
      </c>
      <c r="R1037" s="72">
        <f t="shared" si="1796"/>
        <v>0</v>
      </c>
    </row>
    <row r="1038" spans="1:18" x14ac:dyDescent="0.25">
      <c r="A1038" s="26"/>
      <c r="B1038" s="25"/>
      <c r="C1038" s="15"/>
      <c r="D1038" s="16"/>
      <c r="E1038" s="15"/>
      <c r="F1038" s="11"/>
      <c r="G1038" s="11"/>
      <c r="H1038" s="95"/>
      <c r="I1038" s="95"/>
      <c r="J1038" s="100"/>
      <c r="K1038" s="47"/>
      <c r="L1038" s="72"/>
      <c r="M1038" s="72"/>
      <c r="N1038" s="72"/>
      <c r="O1038" s="72"/>
      <c r="P1038" s="72"/>
      <c r="Q1038" s="72"/>
      <c r="R1038" s="72"/>
    </row>
    <row r="1039" spans="1:18" x14ac:dyDescent="0.25">
      <c r="A1039" s="26"/>
      <c r="B1039" s="45" t="s">
        <v>807</v>
      </c>
      <c r="C1039" s="15"/>
      <c r="D1039" s="16"/>
      <c r="E1039" s="15"/>
      <c r="F1039" s="11"/>
      <c r="G1039" s="11"/>
      <c r="H1039" s="95"/>
      <c r="I1039" s="95"/>
      <c r="J1039" s="100"/>
      <c r="K1039" s="22"/>
      <c r="L1039" s="72">
        <f t="shared" ref="L1039:L1040" si="1797">SUM(H1039:J1039)+K1039</f>
        <v>0</v>
      </c>
      <c r="M1039" s="72">
        <f t="shared" ref="M1039:M1044" si="1798">+ROUND(IF(C1039=8,PRODUCT(E1039,F1039,G1039,L1039),0),2)</f>
        <v>0</v>
      </c>
      <c r="N1039" s="72">
        <f t="shared" ref="N1039:N1044" si="1799">+ROUND(IF(C1039=10,PRODUCT(E1039,F1039,G1039,L1039),0),2)</f>
        <v>0</v>
      </c>
      <c r="O1039" s="72">
        <f t="shared" ref="O1039:O1044" si="1800">+ROUND(IF(C1039=12,PRODUCT(E1039,F1039,G1039,L1039),0),2)</f>
        <v>0</v>
      </c>
      <c r="P1039" s="72">
        <f t="shared" ref="P1039:P1044" si="1801">+ROUND(IF(C1039=16,PRODUCT(E1039,F1039,G1039,L1039),0),2)</f>
        <v>0</v>
      </c>
      <c r="Q1039" s="72">
        <f t="shared" ref="Q1039:Q1044" si="1802">+ROUND(IF(C1039=20,PRODUCT(E1039,F1039,G1039,L1039),0),2)</f>
        <v>0</v>
      </c>
      <c r="R1039" s="72">
        <f t="shared" ref="R1039:R1044" si="1803">+ROUND(IF(C1039=25,PRODUCT(E1039,F1039,G1039,L1039),0),2)</f>
        <v>0</v>
      </c>
    </row>
    <row r="1040" spans="1:18" x14ac:dyDescent="0.25">
      <c r="A1040" s="26"/>
      <c r="B1040" s="104" t="s">
        <v>771</v>
      </c>
      <c r="C1040" s="15">
        <v>10</v>
      </c>
      <c r="D1040" s="16">
        <v>150</v>
      </c>
      <c r="E1040" s="15">
        <v>6</v>
      </c>
      <c r="F1040" s="11">
        <v>1</v>
      </c>
      <c r="G1040" s="11">
        <f>+ROUND(5.845/(D1040/1000)+1,0)</f>
        <v>40</v>
      </c>
      <c r="H1040" s="95">
        <v>0.25</v>
      </c>
      <c r="I1040" s="95">
        <v>2.1749999999999998</v>
      </c>
      <c r="J1040" s="100">
        <v>0.4</v>
      </c>
      <c r="K1040" s="22"/>
      <c r="L1040" s="72">
        <f t="shared" si="1797"/>
        <v>2.8249999999999997</v>
      </c>
      <c r="M1040" s="72">
        <f t="shared" si="1798"/>
        <v>0</v>
      </c>
      <c r="N1040" s="72">
        <f t="shared" si="1799"/>
        <v>678</v>
      </c>
      <c r="O1040" s="72">
        <f t="shared" si="1800"/>
        <v>0</v>
      </c>
      <c r="P1040" s="72">
        <f t="shared" si="1801"/>
        <v>0</v>
      </c>
      <c r="Q1040" s="72">
        <f t="shared" si="1802"/>
        <v>0</v>
      </c>
      <c r="R1040" s="72">
        <f t="shared" si="1803"/>
        <v>0</v>
      </c>
    </row>
    <row r="1041" spans="1:18" x14ac:dyDescent="0.25">
      <c r="A1041" s="26"/>
      <c r="B1041" s="104" t="s">
        <v>521</v>
      </c>
      <c r="C1041" s="15">
        <v>8</v>
      </c>
      <c r="D1041" s="16">
        <v>200</v>
      </c>
      <c r="E1041" s="15">
        <v>6</v>
      </c>
      <c r="F1041" s="11">
        <v>1</v>
      </c>
      <c r="G1041" s="11">
        <f>+ROUND(2/(D1041/1000)+1,0)</f>
        <v>11</v>
      </c>
      <c r="H1041" s="95">
        <v>0.1</v>
      </c>
      <c r="I1041" s="95">
        <f>5.845-0.05</f>
        <v>5.7949999999999999</v>
      </c>
      <c r="J1041" s="100">
        <v>0.1</v>
      </c>
      <c r="K1041" s="22"/>
      <c r="L1041" s="72">
        <f t="shared" ref="L1041" si="1804">SUM(H1041:J1041)+K1041</f>
        <v>5.9949999999999992</v>
      </c>
      <c r="M1041" s="72">
        <f t="shared" si="1798"/>
        <v>395.67</v>
      </c>
      <c r="N1041" s="72">
        <f t="shared" si="1799"/>
        <v>0</v>
      </c>
      <c r="O1041" s="72">
        <f t="shared" si="1800"/>
        <v>0</v>
      </c>
      <c r="P1041" s="72">
        <f t="shared" si="1801"/>
        <v>0</v>
      </c>
      <c r="Q1041" s="72">
        <f t="shared" si="1802"/>
        <v>0</v>
      </c>
      <c r="R1041" s="72">
        <f t="shared" si="1803"/>
        <v>0</v>
      </c>
    </row>
    <row r="1042" spans="1:18" x14ac:dyDescent="0.25">
      <c r="A1042" s="26"/>
      <c r="B1042" s="104" t="s">
        <v>773</v>
      </c>
      <c r="C1042" s="15">
        <v>12</v>
      </c>
      <c r="D1042" s="16">
        <v>100</v>
      </c>
      <c r="E1042" s="15">
        <v>6</v>
      </c>
      <c r="F1042" s="11">
        <v>1</v>
      </c>
      <c r="G1042" s="11">
        <v>31</v>
      </c>
      <c r="H1042" s="95"/>
      <c r="I1042" s="95">
        <f>2+2.5-0.025</f>
        <v>4.4749999999999996</v>
      </c>
      <c r="J1042" s="100">
        <v>0.1</v>
      </c>
      <c r="K1042" s="22"/>
      <c r="L1042" s="72">
        <f t="shared" ref="L1042:L1044" si="1805">SUM(H1042:J1042)+K1042</f>
        <v>4.5749999999999993</v>
      </c>
      <c r="M1042" s="72">
        <f t="shared" si="1798"/>
        <v>0</v>
      </c>
      <c r="N1042" s="72">
        <f t="shared" si="1799"/>
        <v>0</v>
      </c>
      <c r="O1042" s="72">
        <f t="shared" si="1800"/>
        <v>850.95</v>
      </c>
      <c r="P1042" s="72">
        <f t="shared" si="1801"/>
        <v>0</v>
      </c>
      <c r="Q1042" s="72">
        <f t="shared" si="1802"/>
        <v>0</v>
      </c>
      <c r="R1042" s="72">
        <f t="shared" si="1803"/>
        <v>0</v>
      </c>
    </row>
    <row r="1043" spans="1:18" x14ac:dyDescent="0.25">
      <c r="A1043" s="26"/>
      <c r="B1043" s="104" t="s">
        <v>773</v>
      </c>
      <c r="C1043" s="15">
        <v>10</v>
      </c>
      <c r="D1043" s="16">
        <v>100</v>
      </c>
      <c r="E1043" s="15">
        <v>6</v>
      </c>
      <c r="F1043" s="11">
        <v>1</v>
      </c>
      <c r="G1043" s="11">
        <v>29</v>
      </c>
      <c r="H1043" s="95"/>
      <c r="I1043" s="95">
        <f>1.35+0.2+2</f>
        <v>3.55</v>
      </c>
      <c r="J1043" s="100"/>
      <c r="K1043" s="22"/>
      <c r="L1043" s="72">
        <f t="shared" si="1805"/>
        <v>3.55</v>
      </c>
      <c r="M1043" s="72">
        <f t="shared" si="1798"/>
        <v>0</v>
      </c>
      <c r="N1043" s="72">
        <f t="shared" si="1799"/>
        <v>617.70000000000005</v>
      </c>
      <c r="O1043" s="72">
        <f t="shared" si="1800"/>
        <v>0</v>
      </c>
      <c r="P1043" s="72">
        <f t="shared" si="1801"/>
        <v>0</v>
      </c>
      <c r="Q1043" s="72">
        <f t="shared" si="1802"/>
        <v>0</v>
      </c>
      <c r="R1043" s="72">
        <f t="shared" si="1803"/>
        <v>0</v>
      </c>
    </row>
    <row r="1044" spans="1:18" x14ac:dyDescent="0.25">
      <c r="A1044" s="26"/>
      <c r="B1044" s="104" t="s">
        <v>774</v>
      </c>
      <c r="C1044" s="15">
        <v>8</v>
      </c>
      <c r="D1044" s="16">
        <v>200</v>
      </c>
      <c r="E1044" s="15">
        <v>6</v>
      </c>
      <c r="F1044" s="11">
        <v>2</v>
      </c>
      <c r="G1044" s="11">
        <f>+ROUND(2/(D1044/1000)+1,0)</f>
        <v>11</v>
      </c>
      <c r="H1044" s="95">
        <v>0.1</v>
      </c>
      <c r="I1044" s="95">
        <f>5.845-0.05</f>
        <v>5.7949999999999999</v>
      </c>
      <c r="J1044" s="100">
        <v>0.1</v>
      </c>
      <c r="K1044" s="22"/>
      <c r="L1044" s="72">
        <f t="shared" si="1805"/>
        <v>5.9949999999999992</v>
      </c>
      <c r="M1044" s="72">
        <f t="shared" si="1798"/>
        <v>791.34</v>
      </c>
      <c r="N1044" s="72">
        <f t="shared" si="1799"/>
        <v>0</v>
      </c>
      <c r="O1044" s="72">
        <f t="shared" si="1800"/>
        <v>0</v>
      </c>
      <c r="P1044" s="72">
        <f t="shared" si="1801"/>
        <v>0</v>
      </c>
      <c r="Q1044" s="72">
        <f t="shared" si="1802"/>
        <v>0</v>
      </c>
      <c r="R1044" s="72">
        <f t="shared" si="1803"/>
        <v>0</v>
      </c>
    </row>
    <row r="1045" spans="1:18" x14ac:dyDescent="0.25">
      <c r="A1045" s="26"/>
      <c r="B1045" s="25"/>
      <c r="C1045" s="15"/>
      <c r="D1045" s="16"/>
      <c r="E1045" s="15"/>
      <c r="F1045" s="11"/>
      <c r="G1045" s="11"/>
      <c r="H1045" s="95"/>
      <c r="I1045" s="95"/>
      <c r="J1045" s="100"/>
      <c r="K1045" s="22"/>
      <c r="L1045" s="72"/>
      <c r="M1045" s="72"/>
      <c r="N1045" s="72"/>
      <c r="O1045" s="72"/>
      <c r="P1045" s="72"/>
      <c r="Q1045" s="72"/>
      <c r="R1045" s="72"/>
    </row>
    <row r="1046" spans="1:18" x14ac:dyDescent="0.25">
      <c r="A1046" s="26"/>
      <c r="B1046" s="45" t="s">
        <v>808</v>
      </c>
      <c r="C1046" s="15"/>
      <c r="D1046" s="16"/>
      <c r="E1046" s="15"/>
      <c r="F1046" s="11"/>
      <c r="G1046" s="11"/>
      <c r="H1046" s="95"/>
      <c r="I1046" s="95"/>
      <c r="J1046" s="100"/>
      <c r="K1046" s="22"/>
      <c r="L1046" s="72">
        <f t="shared" ref="L1046" si="1806">SUM(H1046:J1046)+K1046</f>
        <v>0</v>
      </c>
      <c r="M1046" s="72">
        <f t="shared" ref="M1046:M1051" si="1807">+ROUND(IF(C1046=8,PRODUCT(E1046,F1046,G1046,L1046),0),2)</f>
        <v>0</v>
      </c>
      <c r="N1046" s="72">
        <f t="shared" ref="N1046:N1051" si="1808">+ROUND(IF(C1046=10,PRODUCT(E1046,F1046,G1046,L1046),0),2)</f>
        <v>0</v>
      </c>
      <c r="O1046" s="72">
        <f t="shared" ref="O1046:O1051" si="1809">+ROUND(IF(C1046=12,PRODUCT(E1046,F1046,G1046,L1046),0),2)</f>
        <v>0</v>
      </c>
      <c r="P1046" s="72">
        <f t="shared" ref="P1046:P1051" si="1810">+ROUND(IF(C1046=16,PRODUCT(E1046,F1046,G1046,L1046),0),2)</f>
        <v>0</v>
      </c>
      <c r="Q1046" s="72">
        <f t="shared" ref="Q1046:Q1051" si="1811">+ROUND(IF(C1046=20,PRODUCT(E1046,F1046,G1046,L1046),0),2)</f>
        <v>0</v>
      </c>
      <c r="R1046" s="72">
        <f t="shared" ref="R1046:R1051" si="1812">+ROUND(IF(C1046=25,PRODUCT(E1046,F1046,G1046,L1046),0),2)</f>
        <v>0</v>
      </c>
    </row>
    <row r="1047" spans="1:18" x14ac:dyDescent="0.25">
      <c r="A1047" s="26"/>
      <c r="B1047" s="104" t="s">
        <v>771</v>
      </c>
      <c r="C1047" s="15">
        <v>10</v>
      </c>
      <c r="D1047" s="16">
        <v>150</v>
      </c>
      <c r="E1047" s="15">
        <v>6</v>
      </c>
      <c r="F1047" s="11">
        <v>1</v>
      </c>
      <c r="G1047" s="11">
        <f>+ROUND(3.63/(D1047/1000)+1,0)</f>
        <v>25</v>
      </c>
      <c r="H1047" s="95">
        <v>0.25</v>
      </c>
      <c r="I1047" s="95">
        <f>2-0.025</f>
        <v>1.9750000000000001</v>
      </c>
      <c r="J1047" s="100">
        <v>0.4</v>
      </c>
      <c r="K1047" s="22"/>
      <c r="L1047" s="72">
        <f t="shared" ref="L1047:L1051" si="1813">SUM(H1047:J1047)+K1047</f>
        <v>2.625</v>
      </c>
      <c r="M1047" s="72">
        <f t="shared" si="1807"/>
        <v>0</v>
      </c>
      <c r="N1047" s="72">
        <f t="shared" si="1808"/>
        <v>393.75</v>
      </c>
      <c r="O1047" s="72">
        <f t="shared" si="1809"/>
        <v>0</v>
      </c>
      <c r="P1047" s="72">
        <f t="shared" si="1810"/>
        <v>0</v>
      </c>
      <c r="Q1047" s="72">
        <f t="shared" si="1811"/>
        <v>0</v>
      </c>
      <c r="R1047" s="72">
        <f t="shared" si="1812"/>
        <v>0</v>
      </c>
    </row>
    <row r="1048" spans="1:18" x14ac:dyDescent="0.25">
      <c r="A1048" s="26"/>
      <c r="B1048" s="104" t="s">
        <v>521</v>
      </c>
      <c r="C1048" s="15">
        <v>8</v>
      </c>
      <c r="D1048" s="16">
        <v>200</v>
      </c>
      <c r="E1048" s="15">
        <v>6</v>
      </c>
      <c r="F1048" s="11">
        <v>1</v>
      </c>
      <c r="G1048" s="11">
        <f>+ROUND(2/(D1048/1000)+1,0)</f>
        <v>11</v>
      </c>
      <c r="H1048" s="95"/>
      <c r="I1048" s="95">
        <f>3.63-0.05</f>
        <v>3.58</v>
      </c>
      <c r="J1048" s="100">
        <v>0.1</v>
      </c>
      <c r="K1048" s="22"/>
      <c r="L1048" s="72">
        <f t="shared" si="1813"/>
        <v>3.68</v>
      </c>
      <c r="M1048" s="72">
        <f t="shared" si="1807"/>
        <v>242.88</v>
      </c>
      <c r="N1048" s="72">
        <f t="shared" si="1808"/>
        <v>0</v>
      </c>
      <c r="O1048" s="72">
        <f t="shared" si="1809"/>
        <v>0</v>
      </c>
      <c r="P1048" s="72">
        <f t="shared" si="1810"/>
        <v>0</v>
      </c>
      <c r="Q1048" s="72">
        <f t="shared" si="1811"/>
        <v>0</v>
      </c>
      <c r="R1048" s="72">
        <f t="shared" si="1812"/>
        <v>0</v>
      </c>
    </row>
    <row r="1049" spans="1:18" x14ac:dyDescent="0.25">
      <c r="A1049" s="26"/>
      <c r="B1049" s="104" t="s">
        <v>773</v>
      </c>
      <c r="C1049" s="15">
        <v>12</v>
      </c>
      <c r="D1049" s="16">
        <v>100</v>
      </c>
      <c r="E1049" s="15">
        <v>6</v>
      </c>
      <c r="F1049" s="11">
        <v>1</v>
      </c>
      <c r="G1049" s="11">
        <f>+ROUND(3.63/(D1049/1000)+1,0)/2</f>
        <v>18.5</v>
      </c>
      <c r="H1049" s="95"/>
      <c r="I1049" s="95">
        <f>2+2.5-0.025</f>
        <v>4.4749999999999996</v>
      </c>
      <c r="J1049" s="100"/>
      <c r="K1049" s="22"/>
      <c r="L1049" s="72">
        <f t="shared" si="1813"/>
        <v>4.4749999999999996</v>
      </c>
      <c r="M1049" s="72">
        <f t="shared" si="1807"/>
        <v>0</v>
      </c>
      <c r="N1049" s="72">
        <f t="shared" si="1808"/>
        <v>0</v>
      </c>
      <c r="O1049" s="72">
        <f t="shared" si="1809"/>
        <v>496.73</v>
      </c>
      <c r="P1049" s="72">
        <f t="shared" si="1810"/>
        <v>0</v>
      </c>
      <c r="Q1049" s="72">
        <f t="shared" si="1811"/>
        <v>0</v>
      </c>
      <c r="R1049" s="72">
        <f t="shared" si="1812"/>
        <v>0</v>
      </c>
    </row>
    <row r="1050" spans="1:18" x14ac:dyDescent="0.25">
      <c r="A1050" s="26"/>
      <c r="B1050" s="104" t="s">
        <v>773</v>
      </c>
      <c r="C1050" s="15">
        <v>10</v>
      </c>
      <c r="D1050" s="16">
        <v>100</v>
      </c>
      <c r="E1050" s="15">
        <v>6</v>
      </c>
      <c r="F1050" s="11">
        <v>1</v>
      </c>
      <c r="G1050" s="11">
        <f>+ROUND(3.63/(D1050/1000)+1,0)/2</f>
        <v>18.5</v>
      </c>
      <c r="H1050" s="95"/>
      <c r="I1050" s="95">
        <f>1.35+0.2+2</f>
        <v>3.55</v>
      </c>
      <c r="J1050" s="100"/>
      <c r="K1050" s="22"/>
      <c r="L1050" s="72">
        <f t="shared" si="1813"/>
        <v>3.55</v>
      </c>
      <c r="M1050" s="72">
        <f t="shared" si="1807"/>
        <v>0</v>
      </c>
      <c r="N1050" s="72">
        <f t="shared" si="1808"/>
        <v>394.05</v>
      </c>
      <c r="O1050" s="72">
        <f t="shared" si="1809"/>
        <v>0</v>
      </c>
      <c r="P1050" s="72">
        <f t="shared" si="1810"/>
        <v>0</v>
      </c>
      <c r="Q1050" s="72">
        <f t="shared" si="1811"/>
        <v>0</v>
      </c>
      <c r="R1050" s="72">
        <f t="shared" si="1812"/>
        <v>0</v>
      </c>
    </row>
    <row r="1051" spans="1:18" x14ac:dyDescent="0.25">
      <c r="A1051" s="26"/>
      <c r="B1051" s="104" t="s">
        <v>774</v>
      </c>
      <c r="C1051" s="15">
        <v>8</v>
      </c>
      <c r="D1051" s="16">
        <v>200</v>
      </c>
      <c r="E1051" s="15">
        <v>6</v>
      </c>
      <c r="F1051" s="11">
        <v>2</v>
      </c>
      <c r="G1051" s="11">
        <f>+ROUND(2/(D1051/1000)+1,0)</f>
        <v>11</v>
      </c>
      <c r="H1051" s="95">
        <v>0.1</v>
      </c>
      <c r="I1051" s="95">
        <f>3.63-0.05</f>
        <v>3.58</v>
      </c>
      <c r="J1051" s="100">
        <v>0.1</v>
      </c>
      <c r="K1051" s="22"/>
      <c r="L1051" s="72">
        <f t="shared" si="1813"/>
        <v>3.7800000000000002</v>
      </c>
      <c r="M1051" s="72">
        <f t="shared" si="1807"/>
        <v>498.96</v>
      </c>
      <c r="N1051" s="72">
        <f t="shared" si="1808"/>
        <v>0</v>
      </c>
      <c r="O1051" s="72">
        <f t="shared" si="1809"/>
        <v>0</v>
      </c>
      <c r="P1051" s="72">
        <f t="shared" si="1810"/>
        <v>0</v>
      </c>
      <c r="Q1051" s="72">
        <f t="shared" si="1811"/>
        <v>0</v>
      </c>
      <c r="R1051" s="72">
        <f t="shared" si="1812"/>
        <v>0</v>
      </c>
    </row>
    <row r="1052" spans="1:18" x14ac:dyDescent="0.25">
      <c r="A1052" s="26"/>
      <c r="B1052" s="25"/>
      <c r="C1052" s="15"/>
      <c r="D1052" s="16"/>
      <c r="E1052" s="15"/>
      <c r="F1052" s="11"/>
      <c r="G1052" s="11"/>
      <c r="H1052" s="95"/>
      <c r="I1052" s="95"/>
      <c r="J1052" s="100"/>
      <c r="K1052" s="22"/>
      <c r="L1052" s="72"/>
      <c r="M1052" s="72"/>
      <c r="N1052" s="72"/>
      <c r="O1052" s="72"/>
      <c r="P1052" s="72"/>
      <c r="Q1052" s="72"/>
      <c r="R1052" s="72"/>
    </row>
    <row r="1053" spans="1:18" x14ac:dyDescent="0.25">
      <c r="A1053" s="26"/>
      <c r="B1053" s="45" t="s">
        <v>809</v>
      </c>
      <c r="C1053" s="15"/>
      <c r="D1053" s="16"/>
      <c r="E1053" s="15"/>
      <c r="F1053" s="11"/>
      <c r="G1053" s="11"/>
      <c r="H1053" s="95"/>
      <c r="I1053" s="95"/>
      <c r="J1053" s="100"/>
      <c r="K1053" s="22"/>
      <c r="L1053" s="72">
        <f t="shared" ref="L1053:L1058" si="1814">SUM(H1053:J1053)+K1053</f>
        <v>0</v>
      </c>
      <c r="M1053" s="72">
        <f t="shared" ref="M1053:M1058" si="1815">+ROUND(IF(C1053=8,PRODUCT(E1053,F1053,G1053,L1053),0),2)</f>
        <v>0</v>
      </c>
      <c r="N1053" s="72">
        <f t="shared" ref="N1053:N1058" si="1816">+ROUND(IF(C1053=10,PRODUCT(E1053,F1053,G1053,L1053),0),2)</f>
        <v>0</v>
      </c>
      <c r="O1053" s="72">
        <f t="shared" ref="O1053:O1058" si="1817">+ROUND(IF(C1053=12,PRODUCT(E1053,F1053,G1053,L1053),0),2)</f>
        <v>0</v>
      </c>
      <c r="P1053" s="72">
        <f t="shared" ref="P1053:P1058" si="1818">+ROUND(IF(C1053=16,PRODUCT(E1053,F1053,G1053,L1053),0),2)</f>
        <v>0</v>
      </c>
      <c r="Q1053" s="72">
        <f t="shared" ref="Q1053:Q1058" si="1819">+ROUND(IF(C1053=20,PRODUCT(E1053,F1053,G1053,L1053),0),2)</f>
        <v>0</v>
      </c>
      <c r="R1053" s="72">
        <f t="shared" ref="R1053:R1058" si="1820">+ROUND(IF(C1053=25,PRODUCT(E1053,F1053,G1053,L1053),0),2)</f>
        <v>0</v>
      </c>
    </row>
    <row r="1054" spans="1:18" x14ac:dyDescent="0.25">
      <c r="A1054" s="26"/>
      <c r="B1054" s="104" t="s">
        <v>771</v>
      </c>
      <c r="C1054" s="15">
        <v>10</v>
      </c>
      <c r="D1054" s="16">
        <v>150</v>
      </c>
      <c r="E1054" s="15">
        <v>6</v>
      </c>
      <c r="F1054" s="11">
        <v>1</v>
      </c>
      <c r="G1054" s="11">
        <f>+ROUND(1.65/(D1054/1000)+1,0)</f>
        <v>12</v>
      </c>
      <c r="H1054" s="95">
        <v>0.25</v>
      </c>
      <c r="I1054" s="95">
        <f>2-0.025</f>
        <v>1.9750000000000001</v>
      </c>
      <c r="J1054" s="100">
        <v>0.4</v>
      </c>
      <c r="K1054" s="22"/>
      <c r="L1054" s="72">
        <f t="shared" si="1814"/>
        <v>2.625</v>
      </c>
      <c r="M1054" s="72">
        <f t="shared" si="1815"/>
        <v>0</v>
      </c>
      <c r="N1054" s="72">
        <f t="shared" si="1816"/>
        <v>189</v>
      </c>
      <c r="O1054" s="72">
        <f t="shared" si="1817"/>
        <v>0</v>
      </c>
      <c r="P1054" s="72">
        <f t="shared" si="1818"/>
        <v>0</v>
      </c>
      <c r="Q1054" s="72">
        <f t="shared" si="1819"/>
        <v>0</v>
      </c>
      <c r="R1054" s="72">
        <f t="shared" si="1820"/>
        <v>0</v>
      </c>
    </row>
    <row r="1055" spans="1:18" x14ac:dyDescent="0.25">
      <c r="A1055" s="26"/>
      <c r="B1055" s="104" t="s">
        <v>521</v>
      </c>
      <c r="C1055" s="15">
        <v>8</v>
      </c>
      <c r="D1055" s="16">
        <v>200</v>
      </c>
      <c r="E1055" s="15">
        <v>6</v>
      </c>
      <c r="F1055" s="11">
        <v>1</v>
      </c>
      <c r="G1055" s="11">
        <f>+ROUND(2/(D1055/1000)+1,0)</f>
        <v>11</v>
      </c>
      <c r="H1055" s="95"/>
      <c r="I1055" s="95">
        <f>1.65-0.05</f>
        <v>1.5999999999999999</v>
      </c>
      <c r="J1055" s="100">
        <v>0.1</v>
      </c>
      <c r="K1055" s="22"/>
      <c r="L1055" s="72">
        <f t="shared" si="1814"/>
        <v>1.7</v>
      </c>
      <c r="M1055" s="72">
        <f t="shared" si="1815"/>
        <v>112.2</v>
      </c>
      <c r="N1055" s="72">
        <f t="shared" si="1816"/>
        <v>0</v>
      </c>
      <c r="O1055" s="72">
        <f t="shared" si="1817"/>
        <v>0</v>
      </c>
      <c r="P1055" s="72">
        <f t="shared" si="1818"/>
        <v>0</v>
      </c>
      <c r="Q1055" s="72">
        <f t="shared" si="1819"/>
        <v>0</v>
      </c>
      <c r="R1055" s="72">
        <f t="shared" si="1820"/>
        <v>0</v>
      </c>
    </row>
    <row r="1056" spans="1:18" x14ac:dyDescent="0.25">
      <c r="A1056" s="26"/>
      <c r="B1056" s="104" t="s">
        <v>773</v>
      </c>
      <c r="C1056" s="15">
        <v>12</v>
      </c>
      <c r="D1056" s="16">
        <v>100</v>
      </c>
      <c r="E1056" s="15">
        <v>6</v>
      </c>
      <c r="F1056" s="11">
        <v>1</v>
      </c>
      <c r="G1056" s="11">
        <f>+ROUND(1.65/(D1056/1000)+1,0)/2</f>
        <v>9</v>
      </c>
      <c r="H1056" s="95"/>
      <c r="I1056" s="95">
        <f>2+2.5-0.025</f>
        <v>4.4749999999999996</v>
      </c>
      <c r="J1056" s="100"/>
      <c r="K1056" s="22"/>
      <c r="L1056" s="72">
        <f t="shared" si="1814"/>
        <v>4.4749999999999996</v>
      </c>
      <c r="M1056" s="72">
        <f t="shared" si="1815"/>
        <v>0</v>
      </c>
      <c r="N1056" s="72">
        <f t="shared" si="1816"/>
        <v>0</v>
      </c>
      <c r="O1056" s="72">
        <f t="shared" si="1817"/>
        <v>241.65</v>
      </c>
      <c r="P1056" s="72">
        <f t="shared" si="1818"/>
        <v>0</v>
      </c>
      <c r="Q1056" s="72">
        <f t="shared" si="1819"/>
        <v>0</v>
      </c>
      <c r="R1056" s="72">
        <f t="shared" si="1820"/>
        <v>0</v>
      </c>
    </row>
    <row r="1057" spans="1:18" x14ac:dyDescent="0.25">
      <c r="A1057" s="26"/>
      <c r="B1057" s="104" t="s">
        <v>773</v>
      </c>
      <c r="C1057" s="15">
        <v>10</v>
      </c>
      <c r="D1057" s="16">
        <v>100</v>
      </c>
      <c r="E1057" s="15">
        <v>6</v>
      </c>
      <c r="F1057" s="11">
        <v>1</v>
      </c>
      <c r="G1057" s="11">
        <f>+ROUND(1.65/(D1057/1000)+1,0)/2</f>
        <v>9</v>
      </c>
      <c r="H1057" s="95"/>
      <c r="I1057" s="95">
        <f>1.35+0.2+2</f>
        <v>3.55</v>
      </c>
      <c r="J1057" s="100"/>
      <c r="K1057" s="22"/>
      <c r="L1057" s="72">
        <f t="shared" si="1814"/>
        <v>3.55</v>
      </c>
      <c r="M1057" s="72">
        <f t="shared" si="1815"/>
        <v>0</v>
      </c>
      <c r="N1057" s="72">
        <f t="shared" si="1816"/>
        <v>191.7</v>
      </c>
      <c r="O1057" s="72">
        <f t="shared" si="1817"/>
        <v>0</v>
      </c>
      <c r="P1057" s="72">
        <f t="shared" si="1818"/>
        <v>0</v>
      </c>
      <c r="Q1057" s="72">
        <f t="shared" si="1819"/>
        <v>0</v>
      </c>
      <c r="R1057" s="72">
        <f t="shared" si="1820"/>
        <v>0</v>
      </c>
    </row>
    <row r="1058" spans="1:18" x14ac:dyDescent="0.25">
      <c r="A1058" s="26"/>
      <c r="B1058" s="104" t="s">
        <v>774</v>
      </c>
      <c r="C1058" s="15">
        <v>8</v>
      </c>
      <c r="D1058" s="16">
        <v>200</v>
      </c>
      <c r="E1058" s="15">
        <v>6</v>
      </c>
      <c r="F1058" s="11">
        <v>2</v>
      </c>
      <c r="G1058" s="11">
        <f>+ROUND(2/(D1058/1000)+1,0)</f>
        <v>11</v>
      </c>
      <c r="H1058" s="95"/>
      <c r="I1058" s="95">
        <f>1.65-0.05</f>
        <v>1.5999999999999999</v>
      </c>
      <c r="J1058" s="100"/>
      <c r="K1058" s="22"/>
      <c r="L1058" s="72">
        <f t="shared" si="1814"/>
        <v>1.5999999999999999</v>
      </c>
      <c r="M1058" s="72">
        <f t="shared" si="1815"/>
        <v>211.2</v>
      </c>
      <c r="N1058" s="72">
        <f t="shared" si="1816"/>
        <v>0</v>
      </c>
      <c r="O1058" s="72">
        <f t="shared" si="1817"/>
        <v>0</v>
      </c>
      <c r="P1058" s="72">
        <f t="shared" si="1818"/>
        <v>0</v>
      </c>
      <c r="Q1058" s="72">
        <f t="shared" si="1819"/>
        <v>0</v>
      </c>
      <c r="R1058" s="72">
        <f t="shared" si="1820"/>
        <v>0</v>
      </c>
    </row>
    <row r="1059" spans="1:18" x14ac:dyDescent="0.25">
      <c r="A1059" s="26"/>
      <c r="B1059" s="25"/>
      <c r="C1059" s="15"/>
      <c r="D1059" s="16"/>
      <c r="E1059" s="15"/>
      <c r="F1059" s="11"/>
      <c r="G1059" s="11"/>
      <c r="H1059" s="95"/>
      <c r="I1059" s="95"/>
      <c r="J1059" s="100"/>
      <c r="K1059" s="22"/>
      <c r="L1059" s="72"/>
      <c r="M1059" s="72"/>
      <c r="N1059" s="72"/>
      <c r="O1059" s="72"/>
      <c r="P1059" s="72"/>
      <c r="Q1059" s="72"/>
      <c r="R1059" s="72"/>
    </row>
    <row r="1060" spans="1:18" x14ac:dyDescent="0.25">
      <c r="A1060" s="26"/>
      <c r="B1060" s="45" t="s">
        <v>520</v>
      </c>
      <c r="C1060" s="15"/>
      <c r="D1060" s="16"/>
      <c r="E1060" s="15"/>
      <c r="F1060" s="11"/>
      <c r="G1060" s="11"/>
      <c r="H1060" s="95"/>
      <c r="I1060" s="95"/>
      <c r="J1060" s="100"/>
      <c r="K1060" s="22"/>
      <c r="L1060" s="72">
        <f t="shared" si="6"/>
        <v>0</v>
      </c>
      <c r="M1060" s="72">
        <f t="shared" si="0"/>
        <v>0</v>
      </c>
      <c r="N1060" s="72">
        <f t="shared" si="1"/>
        <v>0</v>
      </c>
      <c r="O1060" s="72">
        <f t="shared" si="2"/>
        <v>0</v>
      </c>
      <c r="P1060" s="72">
        <f t="shared" si="3"/>
        <v>0</v>
      </c>
      <c r="Q1060" s="72">
        <f t="shared" si="4"/>
        <v>0</v>
      </c>
      <c r="R1060" s="72">
        <f t="shared" si="5"/>
        <v>0</v>
      </c>
    </row>
    <row r="1061" spans="1:18" x14ac:dyDescent="0.25">
      <c r="A1061" s="26"/>
      <c r="B1061" s="104" t="s">
        <v>516</v>
      </c>
      <c r="C1061" s="15">
        <v>8</v>
      </c>
      <c r="D1061" s="16">
        <v>200</v>
      </c>
      <c r="E1061" s="15">
        <v>2</v>
      </c>
      <c r="F1061" s="11">
        <v>1</v>
      </c>
      <c r="G1061" s="11">
        <f>+ROUND(3.14/(D1061/1000)+1,0)</f>
        <v>17</v>
      </c>
      <c r="H1061" s="95"/>
      <c r="I1061" s="95">
        <f>0.175+2.455+0.175</f>
        <v>2.8049999999999997</v>
      </c>
      <c r="J1061" s="100"/>
      <c r="K1061" s="22"/>
      <c r="L1061" s="72">
        <f t="shared" ref="L1061:L1075" si="1821">SUM(H1061:J1061)+K1061</f>
        <v>2.8049999999999997</v>
      </c>
      <c r="M1061" s="72">
        <f t="shared" si="0"/>
        <v>95.37</v>
      </c>
      <c r="N1061" s="72">
        <f t="shared" si="1"/>
        <v>0</v>
      </c>
      <c r="O1061" s="72">
        <f t="shared" si="2"/>
        <v>0</v>
      </c>
      <c r="P1061" s="72">
        <f t="shared" si="3"/>
        <v>0</v>
      </c>
      <c r="Q1061" s="72">
        <f t="shared" si="4"/>
        <v>0</v>
      </c>
      <c r="R1061" s="72">
        <f t="shared" si="5"/>
        <v>0</v>
      </c>
    </row>
    <row r="1062" spans="1:18" x14ac:dyDescent="0.25">
      <c r="A1062" s="26"/>
      <c r="B1062" s="104" t="s">
        <v>516</v>
      </c>
      <c r="C1062" s="15">
        <v>8</v>
      </c>
      <c r="D1062" s="16">
        <v>200</v>
      </c>
      <c r="E1062" s="15">
        <v>2</v>
      </c>
      <c r="F1062" s="11">
        <v>1</v>
      </c>
      <c r="G1062" s="11">
        <f>+ROUND(1.95/(D1062/1000)+1,0)</f>
        <v>11</v>
      </c>
      <c r="H1062" s="95"/>
      <c r="I1062" s="95">
        <f>0.175+1.5+0.175</f>
        <v>1.85</v>
      </c>
      <c r="J1062" s="100"/>
      <c r="K1062" s="22"/>
      <c r="L1062" s="72">
        <f t="shared" si="1821"/>
        <v>1.85</v>
      </c>
      <c r="M1062" s="72">
        <f t="shared" ref="M1062:M1063" si="1822">+ROUND(IF(C1062=8,PRODUCT(E1062,F1062,G1062,L1062),0),2)</f>
        <v>40.700000000000003</v>
      </c>
      <c r="N1062" s="72">
        <f t="shared" si="1"/>
        <v>0</v>
      </c>
      <c r="O1062" s="72">
        <f t="shared" si="2"/>
        <v>0</v>
      </c>
      <c r="P1062" s="72">
        <f t="shared" si="3"/>
        <v>0</v>
      </c>
      <c r="Q1062" s="72">
        <f t="shared" si="4"/>
        <v>0</v>
      </c>
      <c r="R1062" s="72">
        <f t="shared" si="5"/>
        <v>0</v>
      </c>
    </row>
    <row r="1063" spans="1:18" x14ac:dyDescent="0.25">
      <c r="A1063" s="26"/>
      <c r="B1063" s="104" t="s">
        <v>521</v>
      </c>
      <c r="C1063" s="15">
        <v>8</v>
      </c>
      <c r="D1063" s="16">
        <v>200</v>
      </c>
      <c r="E1063" s="15">
        <v>2</v>
      </c>
      <c r="F1063" s="11">
        <v>1</v>
      </c>
      <c r="G1063" s="11">
        <f>+ROUND(1.5/(D1063/1000)+2,0)</f>
        <v>10</v>
      </c>
      <c r="H1063" s="95"/>
      <c r="I1063" s="95">
        <f>0.175+5.09+0.175</f>
        <v>5.4399999999999995</v>
      </c>
      <c r="J1063" s="100"/>
      <c r="K1063" s="22"/>
      <c r="L1063" s="72">
        <f t="shared" si="1821"/>
        <v>5.4399999999999995</v>
      </c>
      <c r="M1063" s="72">
        <f t="shared" si="1822"/>
        <v>108.8</v>
      </c>
      <c r="N1063" s="72">
        <f t="shared" si="1"/>
        <v>0</v>
      </c>
      <c r="O1063" s="72">
        <f t="shared" si="2"/>
        <v>0</v>
      </c>
      <c r="P1063" s="72">
        <f t="shared" si="3"/>
        <v>0</v>
      </c>
      <c r="Q1063" s="72">
        <f t="shared" si="4"/>
        <v>0</v>
      </c>
      <c r="R1063" s="72">
        <f t="shared" si="5"/>
        <v>0</v>
      </c>
    </row>
    <row r="1064" spans="1:18" x14ac:dyDescent="0.25">
      <c r="A1064" s="26"/>
      <c r="B1064" s="104" t="s">
        <v>521</v>
      </c>
      <c r="C1064" s="15">
        <v>8</v>
      </c>
      <c r="D1064" s="16">
        <v>200</v>
      </c>
      <c r="E1064" s="15">
        <v>2</v>
      </c>
      <c r="F1064" s="11">
        <v>1</v>
      </c>
      <c r="G1064" s="11">
        <f>+ROUND(0.955/(D1064/1000)+2,0)</f>
        <v>7</v>
      </c>
      <c r="H1064" s="95"/>
      <c r="I1064" s="95">
        <f>0.175+3.14+0.175</f>
        <v>3.4899999999999998</v>
      </c>
      <c r="J1064" s="100"/>
      <c r="K1064" s="22"/>
      <c r="L1064" s="72">
        <f t="shared" si="1821"/>
        <v>3.4899999999999998</v>
      </c>
      <c r="M1064" s="72">
        <f t="shared" ref="M1064:M1080" si="1823">+ROUND(IF(C1064=8,PRODUCT(E1064,F1064,G1064,L1064),0),2)</f>
        <v>48.86</v>
      </c>
      <c r="N1064" s="72">
        <f t="shared" si="1"/>
        <v>0</v>
      </c>
      <c r="O1064" s="72">
        <f t="shared" si="2"/>
        <v>0</v>
      </c>
      <c r="P1064" s="72">
        <f t="shared" si="3"/>
        <v>0</v>
      </c>
      <c r="Q1064" s="72">
        <f t="shared" si="4"/>
        <v>0</v>
      </c>
      <c r="R1064" s="72">
        <f t="shared" si="5"/>
        <v>0</v>
      </c>
    </row>
    <row r="1065" spans="1:18" x14ac:dyDescent="0.25">
      <c r="A1065" s="26"/>
      <c r="B1065" s="104" t="s">
        <v>512</v>
      </c>
      <c r="C1065" s="15">
        <v>8</v>
      </c>
      <c r="D1065" s="16">
        <v>200</v>
      </c>
      <c r="E1065" s="15">
        <v>2</v>
      </c>
      <c r="F1065" s="11">
        <v>1</v>
      </c>
      <c r="G1065" s="11">
        <f>+ROUND(5.09/(D1065/1000)+1,0)</f>
        <v>26</v>
      </c>
      <c r="H1065" s="95">
        <v>0.1</v>
      </c>
      <c r="I1065" s="95">
        <f>0.5+0.175</f>
        <v>0.67500000000000004</v>
      </c>
      <c r="J1065" s="100"/>
      <c r="K1065" s="22"/>
      <c r="L1065" s="72">
        <f t="shared" si="1821"/>
        <v>0.77500000000000002</v>
      </c>
      <c r="M1065" s="72">
        <f t="shared" si="1823"/>
        <v>40.299999999999997</v>
      </c>
      <c r="N1065" s="72">
        <f t="shared" si="1"/>
        <v>0</v>
      </c>
      <c r="O1065" s="72">
        <f t="shared" si="2"/>
        <v>0</v>
      </c>
      <c r="P1065" s="72">
        <f t="shared" si="3"/>
        <v>0</v>
      </c>
      <c r="Q1065" s="72">
        <f t="shared" si="4"/>
        <v>0</v>
      </c>
      <c r="R1065" s="72">
        <f t="shared" si="5"/>
        <v>0</v>
      </c>
    </row>
    <row r="1066" spans="1:18" x14ac:dyDescent="0.25">
      <c r="A1066" s="26"/>
      <c r="B1066" s="104" t="s">
        <v>759</v>
      </c>
      <c r="C1066" s="15">
        <v>8</v>
      </c>
      <c r="D1066" s="16">
        <v>200</v>
      </c>
      <c r="E1066" s="15">
        <v>2</v>
      </c>
      <c r="F1066" s="11">
        <v>1</v>
      </c>
      <c r="G1066" s="11">
        <f>+ROUND(0.5/(D1066/1000)+1,0)</f>
        <v>4</v>
      </c>
      <c r="H1066" s="95">
        <v>0.2</v>
      </c>
      <c r="I1066" s="95">
        <v>5.09</v>
      </c>
      <c r="J1066" s="100"/>
      <c r="K1066" s="22"/>
      <c r="L1066" s="72">
        <f t="shared" si="1821"/>
        <v>5.29</v>
      </c>
      <c r="M1066" s="72">
        <f t="shared" ref="M1066" si="1824">+ROUND(IF(C1066=8,PRODUCT(E1066,F1066,G1066,L1066),0),2)</f>
        <v>42.32</v>
      </c>
      <c r="N1066" s="72">
        <f t="shared" ref="N1066" si="1825">+ROUND(IF(C1066=10,PRODUCT(E1066,F1066,G1066,L1066),0),2)</f>
        <v>0</v>
      </c>
      <c r="O1066" s="72">
        <f t="shared" ref="O1066" si="1826">+ROUND(IF(C1066=12,PRODUCT(E1066,F1066,G1066,L1066),0),2)</f>
        <v>0</v>
      </c>
      <c r="P1066" s="72">
        <f t="shared" ref="P1066" si="1827">+ROUND(IF(C1066=16,PRODUCT(E1066,F1066,G1066,L1066),0),2)</f>
        <v>0</v>
      </c>
      <c r="Q1066" s="72">
        <f t="shared" ref="Q1066" si="1828">+ROUND(IF(C1066=20,PRODUCT(E1066,F1066,G1066,L1066),0),2)</f>
        <v>0</v>
      </c>
      <c r="R1066" s="72">
        <f t="shared" ref="R1066" si="1829">+ROUND(IF(C1066=25,PRODUCT(E1066,F1066,G1066,L1066),0),2)</f>
        <v>0</v>
      </c>
    </row>
    <row r="1067" spans="1:18" x14ac:dyDescent="0.25">
      <c r="A1067" s="26"/>
      <c r="B1067" s="104" t="s">
        <v>515</v>
      </c>
      <c r="C1067" s="15">
        <v>8</v>
      </c>
      <c r="D1067" s="16">
        <v>150</v>
      </c>
      <c r="E1067" s="15">
        <v>2</v>
      </c>
      <c r="F1067" s="11">
        <v>1</v>
      </c>
      <c r="G1067" s="11">
        <f>+ROUND(2.455/(D1067/1000)+1,0)/2</f>
        <v>8.5</v>
      </c>
      <c r="H1067" s="95"/>
      <c r="I1067" s="95">
        <f>0.1+1.6</f>
        <v>1.7000000000000002</v>
      </c>
      <c r="J1067" s="100"/>
      <c r="K1067" s="22"/>
      <c r="L1067" s="72">
        <f t="shared" si="1821"/>
        <v>1.7000000000000002</v>
      </c>
      <c r="M1067" s="72">
        <f t="shared" ref="M1067" si="1830">+ROUND(IF(C1067=8,PRODUCT(E1067,F1067,G1067,L1067),0),2)</f>
        <v>28.9</v>
      </c>
      <c r="N1067" s="72">
        <f t="shared" ref="N1067" si="1831">+ROUND(IF(C1067=10,PRODUCT(E1067,F1067,G1067,L1067),0),2)</f>
        <v>0</v>
      </c>
      <c r="O1067" s="72">
        <f t="shared" ref="O1067" si="1832">+ROUND(IF(C1067=12,PRODUCT(E1067,F1067,G1067,L1067),0),2)</f>
        <v>0</v>
      </c>
      <c r="P1067" s="72">
        <f t="shared" ref="P1067" si="1833">+ROUND(IF(C1067=16,PRODUCT(E1067,F1067,G1067,L1067),0),2)</f>
        <v>0</v>
      </c>
      <c r="Q1067" s="72">
        <f t="shared" ref="Q1067" si="1834">+ROUND(IF(C1067=20,PRODUCT(E1067,F1067,G1067,L1067),0),2)</f>
        <v>0</v>
      </c>
      <c r="R1067" s="72">
        <f t="shared" ref="R1067" si="1835">+ROUND(IF(C1067=25,PRODUCT(E1067,F1067,G1067,L1067),0),2)</f>
        <v>0</v>
      </c>
    </row>
    <row r="1068" spans="1:18" x14ac:dyDescent="0.25">
      <c r="A1068" s="26"/>
      <c r="B1068" s="104" t="s">
        <v>515</v>
      </c>
      <c r="C1068" s="15">
        <v>8</v>
      </c>
      <c r="D1068" s="16">
        <v>150</v>
      </c>
      <c r="E1068" s="15">
        <v>2</v>
      </c>
      <c r="F1068" s="11">
        <v>1</v>
      </c>
      <c r="G1068" s="11">
        <f>+ROUND(2.455/(D1068/1000)+1,0)/2</f>
        <v>8.5</v>
      </c>
      <c r="H1068" s="95"/>
      <c r="I1068" s="95">
        <f>0.1+0.8</f>
        <v>0.9</v>
      </c>
      <c r="J1068" s="100"/>
      <c r="K1068" s="22"/>
      <c r="L1068" s="72">
        <f t="shared" si="1821"/>
        <v>0.9</v>
      </c>
      <c r="M1068" s="72">
        <f t="shared" ref="M1068" si="1836">+ROUND(IF(C1068=8,PRODUCT(E1068,F1068,G1068,L1068),0),2)</f>
        <v>15.3</v>
      </c>
      <c r="N1068" s="72">
        <f t="shared" ref="N1068" si="1837">+ROUND(IF(C1068=10,PRODUCT(E1068,F1068,G1068,L1068),0),2)</f>
        <v>0</v>
      </c>
      <c r="O1068" s="72">
        <f t="shared" ref="O1068" si="1838">+ROUND(IF(C1068=12,PRODUCT(E1068,F1068,G1068,L1068),0),2)</f>
        <v>0</v>
      </c>
      <c r="P1068" s="72">
        <f t="shared" ref="P1068" si="1839">+ROUND(IF(C1068=16,PRODUCT(E1068,F1068,G1068,L1068),0),2)</f>
        <v>0</v>
      </c>
      <c r="Q1068" s="72">
        <f t="shared" ref="Q1068" si="1840">+ROUND(IF(C1068=20,PRODUCT(E1068,F1068,G1068,L1068),0),2)</f>
        <v>0</v>
      </c>
      <c r="R1068" s="72">
        <f t="shared" ref="R1068" si="1841">+ROUND(IF(C1068=25,PRODUCT(E1068,F1068,G1068,L1068),0),2)</f>
        <v>0</v>
      </c>
    </row>
    <row r="1069" spans="1:18" x14ac:dyDescent="0.25">
      <c r="A1069" s="26"/>
      <c r="B1069" s="104" t="s">
        <v>759</v>
      </c>
      <c r="C1069" s="15">
        <v>8</v>
      </c>
      <c r="D1069" s="16">
        <v>200</v>
      </c>
      <c r="E1069" s="15">
        <v>2</v>
      </c>
      <c r="F1069" s="11">
        <v>1</v>
      </c>
      <c r="G1069" s="11">
        <f>+ROUND(1.6/(D1069/1000)+1,0)/2</f>
        <v>4.5</v>
      </c>
      <c r="H1069" s="95">
        <v>0.2</v>
      </c>
      <c r="I1069" s="95">
        <v>2.4550000000000001</v>
      </c>
      <c r="J1069" s="100"/>
      <c r="K1069" s="22"/>
      <c r="L1069" s="72">
        <f t="shared" si="1821"/>
        <v>2.6550000000000002</v>
      </c>
      <c r="M1069" s="72">
        <f t="shared" ref="M1069:M1070" si="1842">+ROUND(IF(C1069=8,PRODUCT(E1069,F1069,G1069,L1069),0),2)</f>
        <v>23.9</v>
      </c>
      <c r="N1069" s="72">
        <f t="shared" ref="N1069:N1070" si="1843">+ROUND(IF(C1069=10,PRODUCT(E1069,F1069,G1069,L1069),0),2)</f>
        <v>0</v>
      </c>
      <c r="O1069" s="72">
        <f t="shared" ref="O1069:O1070" si="1844">+ROUND(IF(C1069=12,PRODUCT(E1069,F1069,G1069,L1069),0),2)</f>
        <v>0</v>
      </c>
      <c r="P1069" s="72">
        <f t="shared" ref="P1069:P1070" si="1845">+ROUND(IF(C1069=16,PRODUCT(E1069,F1069,G1069,L1069),0),2)</f>
        <v>0</v>
      </c>
      <c r="Q1069" s="72">
        <f t="shared" ref="Q1069:Q1070" si="1846">+ROUND(IF(C1069=20,PRODUCT(E1069,F1069,G1069,L1069),0),2)</f>
        <v>0</v>
      </c>
      <c r="R1069" s="72">
        <f t="shared" ref="R1069:R1070" si="1847">+ROUND(IF(C1069=25,PRODUCT(E1069,F1069,G1069,L1069),0),2)</f>
        <v>0</v>
      </c>
    </row>
    <row r="1070" spans="1:18" x14ac:dyDescent="0.25">
      <c r="A1070" s="26"/>
      <c r="B1070" s="104" t="s">
        <v>513</v>
      </c>
      <c r="C1070" s="15">
        <v>8</v>
      </c>
      <c r="D1070" s="16">
        <v>175</v>
      </c>
      <c r="E1070" s="15">
        <v>2</v>
      </c>
      <c r="F1070" s="11">
        <v>1</v>
      </c>
      <c r="G1070" s="11">
        <f>+ROUND(3.14/(D1070/1000)+1,0)</f>
        <v>19</v>
      </c>
      <c r="H1070" s="95"/>
      <c r="I1070" s="95">
        <f>0.8+0.1</f>
        <v>0.9</v>
      </c>
      <c r="J1070" s="100"/>
      <c r="K1070" s="22"/>
      <c r="L1070" s="72">
        <f t="shared" si="1821"/>
        <v>0.9</v>
      </c>
      <c r="M1070" s="72">
        <f t="shared" si="1842"/>
        <v>34.200000000000003</v>
      </c>
      <c r="N1070" s="72">
        <f t="shared" si="1843"/>
        <v>0</v>
      </c>
      <c r="O1070" s="72">
        <f t="shared" si="1844"/>
        <v>0</v>
      </c>
      <c r="P1070" s="72">
        <f t="shared" si="1845"/>
        <v>0</v>
      </c>
      <c r="Q1070" s="72">
        <f t="shared" si="1846"/>
        <v>0</v>
      </c>
      <c r="R1070" s="72">
        <f t="shared" si="1847"/>
        <v>0</v>
      </c>
    </row>
    <row r="1071" spans="1:18" x14ac:dyDescent="0.25">
      <c r="A1071" s="26"/>
      <c r="B1071" s="104" t="s">
        <v>759</v>
      </c>
      <c r="C1071" s="15">
        <v>8</v>
      </c>
      <c r="D1071" s="16">
        <v>200</v>
      </c>
      <c r="E1071" s="15">
        <v>2</v>
      </c>
      <c r="F1071" s="11">
        <v>1</v>
      </c>
      <c r="G1071" s="11">
        <f>+ROUND(0.8/(D1071/1000)+1,0)</f>
        <v>5</v>
      </c>
      <c r="H1071" s="95">
        <v>0.2</v>
      </c>
      <c r="I1071" s="95">
        <v>3.14</v>
      </c>
      <c r="J1071" s="100"/>
      <c r="K1071" s="22"/>
      <c r="L1071" s="72">
        <f t="shared" si="1821"/>
        <v>3.3400000000000003</v>
      </c>
      <c r="M1071" s="72">
        <f t="shared" ref="M1071:M1072" si="1848">+ROUND(IF(C1071=8,PRODUCT(E1071,F1071,G1071,L1071),0),2)</f>
        <v>33.4</v>
      </c>
      <c r="N1071" s="72">
        <f t="shared" ref="N1071:N1072" si="1849">+ROUND(IF(C1071=10,PRODUCT(E1071,F1071,G1071,L1071),0),2)</f>
        <v>0</v>
      </c>
      <c r="O1071" s="72">
        <f t="shared" ref="O1071:O1072" si="1850">+ROUND(IF(C1071=12,PRODUCT(E1071,F1071,G1071,L1071),0),2)</f>
        <v>0</v>
      </c>
      <c r="P1071" s="72">
        <f t="shared" ref="P1071:P1072" si="1851">+ROUND(IF(C1071=16,PRODUCT(E1071,F1071,G1071,L1071),0),2)</f>
        <v>0</v>
      </c>
      <c r="Q1071" s="72">
        <f t="shared" ref="Q1071:Q1072" si="1852">+ROUND(IF(C1071=20,PRODUCT(E1071,F1071,G1071,L1071),0),2)</f>
        <v>0</v>
      </c>
      <c r="R1071" s="72">
        <f t="shared" ref="R1071:R1072" si="1853">+ROUND(IF(C1071=25,PRODUCT(E1071,F1071,G1071,L1071),0),2)</f>
        <v>0</v>
      </c>
    </row>
    <row r="1072" spans="1:18" x14ac:dyDescent="0.25">
      <c r="A1072" s="26"/>
      <c r="B1072" s="104" t="s">
        <v>515</v>
      </c>
      <c r="C1072" s="15">
        <v>8</v>
      </c>
      <c r="D1072" s="16">
        <v>150</v>
      </c>
      <c r="E1072" s="15">
        <v>2</v>
      </c>
      <c r="F1072" s="11">
        <v>1</v>
      </c>
      <c r="G1072" s="11">
        <f>+ROUND(1.95/(D1072/1000)+1,0)</f>
        <v>14</v>
      </c>
      <c r="H1072" s="95"/>
      <c r="I1072" s="95">
        <f>0.5+0.1</f>
        <v>0.6</v>
      </c>
      <c r="J1072" s="100"/>
      <c r="K1072" s="22"/>
      <c r="L1072" s="72">
        <f t="shared" si="1821"/>
        <v>0.6</v>
      </c>
      <c r="M1072" s="72">
        <f t="shared" si="1848"/>
        <v>16.8</v>
      </c>
      <c r="N1072" s="72">
        <f t="shared" si="1849"/>
        <v>0</v>
      </c>
      <c r="O1072" s="72">
        <f t="shared" si="1850"/>
        <v>0</v>
      </c>
      <c r="P1072" s="72">
        <f t="shared" si="1851"/>
        <v>0</v>
      </c>
      <c r="Q1072" s="72">
        <f t="shared" si="1852"/>
        <v>0</v>
      </c>
      <c r="R1072" s="72">
        <f t="shared" si="1853"/>
        <v>0</v>
      </c>
    </row>
    <row r="1073" spans="1:18" x14ac:dyDescent="0.25">
      <c r="A1073" s="26"/>
      <c r="B1073" s="104" t="s">
        <v>759</v>
      </c>
      <c r="C1073" s="15">
        <v>8</v>
      </c>
      <c r="D1073" s="16">
        <v>200</v>
      </c>
      <c r="E1073" s="15">
        <v>2</v>
      </c>
      <c r="F1073" s="11">
        <v>1</v>
      </c>
      <c r="G1073" s="11">
        <f>+ROUND(0.5/(D1073/1000)+1,0)</f>
        <v>4</v>
      </c>
      <c r="H1073" s="95">
        <v>0.2</v>
      </c>
      <c r="I1073" s="95">
        <v>1.95</v>
      </c>
      <c r="J1073" s="100"/>
      <c r="K1073" s="22"/>
      <c r="L1073" s="72">
        <f t="shared" si="1821"/>
        <v>2.15</v>
      </c>
      <c r="M1073" s="72">
        <f t="shared" ref="M1073:M1074" si="1854">+ROUND(IF(C1073=8,PRODUCT(E1073,F1073,G1073,L1073),0),2)</f>
        <v>17.2</v>
      </c>
      <c r="N1073" s="72">
        <f t="shared" ref="N1073:N1074" si="1855">+ROUND(IF(C1073=10,PRODUCT(E1073,F1073,G1073,L1073),0),2)</f>
        <v>0</v>
      </c>
      <c r="O1073" s="72">
        <f t="shared" ref="O1073:O1074" si="1856">+ROUND(IF(C1073=12,PRODUCT(E1073,F1073,G1073,L1073),0),2)</f>
        <v>0</v>
      </c>
      <c r="P1073" s="72">
        <f t="shared" ref="P1073:P1074" si="1857">+ROUND(IF(C1073=16,PRODUCT(E1073,F1073,G1073,L1073),0),2)</f>
        <v>0</v>
      </c>
      <c r="Q1073" s="72">
        <f t="shared" ref="Q1073:Q1074" si="1858">+ROUND(IF(C1073=20,PRODUCT(E1073,F1073,G1073,L1073),0),2)</f>
        <v>0</v>
      </c>
      <c r="R1073" s="72">
        <f t="shared" ref="R1073:R1074" si="1859">+ROUND(IF(C1073=25,PRODUCT(E1073,F1073,G1073,L1073),0),2)</f>
        <v>0</v>
      </c>
    </row>
    <row r="1074" spans="1:18" x14ac:dyDescent="0.25">
      <c r="A1074" s="26"/>
      <c r="B1074" s="104" t="s">
        <v>512</v>
      </c>
      <c r="C1074" s="15">
        <v>8</v>
      </c>
      <c r="D1074" s="16">
        <v>200</v>
      </c>
      <c r="E1074" s="15">
        <v>2</v>
      </c>
      <c r="F1074" s="11">
        <v>1</v>
      </c>
      <c r="G1074" s="11">
        <f>+ROUND(1.5/(D1074/1000)+1,0)</f>
        <v>9</v>
      </c>
      <c r="H1074" s="95"/>
      <c r="I1074" s="95">
        <f>0.1+1.6</f>
        <v>1.7000000000000002</v>
      </c>
      <c r="J1074" s="100"/>
      <c r="K1074" s="22"/>
      <c r="L1074" s="72">
        <f t="shared" si="1821"/>
        <v>1.7000000000000002</v>
      </c>
      <c r="M1074" s="72">
        <f t="shared" si="1854"/>
        <v>30.6</v>
      </c>
      <c r="N1074" s="72">
        <f t="shared" si="1855"/>
        <v>0</v>
      </c>
      <c r="O1074" s="72">
        <f t="shared" si="1856"/>
        <v>0</v>
      </c>
      <c r="P1074" s="72">
        <f t="shared" si="1857"/>
        <v>0</v>
      </c>
      <c r="Q1074" s="72">
        <f t="shared" si="1858"/>
        <v>0</v>
      </c>
      <c r="R1074" s="72">
        <f t="shared" si="1859"/>
        <v>0</v>
      </c>
    </row>
    <row r="1075" spans="1:18" x14ac:dyDescent="0.25">
      <c r="A1075" s="26"/>
      <c r="B1075" s="104" t="s">
        <v>759</v>
      </c>
      <c r="C1075" s="15">
        <v>8</v>
      </c>
      <c r="D1075" s="16">
        <v>200</v>
      </c>
      <c r="E1075" s="15">
        <v>2</v>
      </c>
      <c r="F1075" s="11">
        <v>1</v>
      </c>
      <c r="G1075" s="11">
        <f>+ROUND(1.6/(D1075/1000)+1,0)</f>
        <v>9</v>
      </c>
      <c r="H1075" s="95">
        <v>0.2</v>
      </c>
      <c r="I1075" s="95">
        <v>1.95</v>
      </c>
      <c r="J1075" s="100"/>
      <c r="K1075" s="22"/>
      <c r="L1075" s="72">
        <f t="shared" si="1821"/>
        <v>2.15</v>
      </c>
      <c r="M1075" s="72">
        <f t="shared" ref="M1075" si="1860">+ROUND(IF(C1075=8,PRODUCT(E1075,F1075,G1075,L1075),0),2)</f>
        <v>38.700000000000003</v>
      </c>
      <c r="N1075" s="72">
        <f t="shared" ref="N1075" si="1861">+ROUND(IF(C1075=10,PRODUCT(E1075,F1075,G1075,L1075),0),2)</f>
        <v>0</v>
      </c>
      <c r="O1075" s="72">
        <f t="shared" ref="O1075" si="1862">+ROUND(IF(C1075=12,PRODUCT(E1075,F1075,G1075,L1075),0),2)</f>
        <v>0</v>
      </c>
      <c r="P1075" s="72">
        <f t="shared" ref="P1075" si="1863">+ROUND(IF(C1075=16,PRODUCT(E1075,F1075,G1075,L1075),0),2)</f>
        <v>0</v>
      </c>
      <c r="Q1075" s="72">
        <f t="shared" ref="Q1075" si="1864">+ROUND(IF(C1075=20,PRODUCT(E1075,F1075,G1075,L1075),0),2)</f>
        <v>0</v>
      </c>
      <c r="R1075" s="72">
        <f t="shared" ref="R1075" si="1865">+ROUND(IF(C1075=25,PRODUCT(E1075,F1075,G1075,L1075),0),2)</f>
        <v>0</v>
      </c>
    </row>
    <row r="1076" spans="1:18" x14ac:dyDescent="0.25">
      <c r="A1076" s="26"/>
      <c r="B1076" s="25"/>
      <c r="C1076" s="15"/>
      <c r="D1076" s="16"/>
      <c r="E1076" s="15"/>
      <c r="F1076" s="11"/>
      <c r="G1076" s="11"/>
      <c r="H1076" s="95"/>
      <c r="I1076" s="95"/>
      <c r="J1076" s="100"/>
      <c r="K1076" s="22"/>
      <c r="L1076" s="72"/>
      <c r="M1076" s="72"/>
      <c r="N1076" s="72"/>
      <c r="O1076" s="72"/>
      <c r="P1076" s="72"/>
      <c r="Q1076" s="72"/>
      <c r="R1076" s="72"/>
    </row>
    <row r="1077" spans="1:18" x14ac:dyDescent="0.25">
      <c r="A1077" s="26"/>
      <c r="B1077" s="25"/>
      <c r="C1077" s="15"/>
      <c r="D1077" s="16"/>
      <c r="E1077" s="15"/>
      <c r="F1077" s="11"/>
      <c r="G1077" s="11"/>
      <c r="H1077" s="95"/>
      <c r="I1077" s="95"/>
      <c r="J1077" s="100"/>
      <c r="K1077" s="22"/>
      <c r="L1077" s="72"/>
      <c r="M1077" s="72"/>
      <c r="N1077" s="72"/>
      <c r="O1077" s="72"/>
      <c r="P1077" s="72"/>
      <c r="Q1077" s="72"/>
      <c r="R1077" s="72"/>
    </row>
    <row r="1078" spans="1:18" x14ac:dyDescent="0.25">
      <c r="A1078" s="26"/>
      <c r="B1078" s="45" t="s">
        <v>810</v>
      </c>
      <c r="C1078" s="15"/>
      <c r="D1078" s="16"/>
      <c r="E1078" s="15"/>
      <c r="F1078" s="11"/>
      <c r="G1078" s="11"/>
      <c r="H1078" s="95"/>
      <c r="I1078" s="95"/>
      <c r="J1078" s="100"/>
      <c r="K1078" s="22"/>
      <c r="L1078" s="72">
        <f t="shared" ref="L1078" si="1866">SUM(H1078:J1078)+K1078</f>
        <v>0</v>
      </c>
      <c r="M1078" s="72">
        <f t="shared" si="1823"/>
        <v>0</v>
      </c>
      <c r="N1078" s="72">
        <f t="shared" ref="N1078:N1081" si="1867">+ROUND(IF(C1078=10,PRODUCT(E1078,F1078,G1078,L1078),0),2)</f>
        <v>0</v>
      </c>
      <c r="O1078" s="72">
        <f t="shared" ref="O1078:O1081" si="1868">+ROUND(IF(C1078=12,PRODUCT(E1078,F1078,G1078,L1078),0),2)</f>
        <v>0</v>
      </c>
      <c r="P1078" s="72">
        <f t="shared" ref="P1078:P1081" si="1869">+ROUND(IF(C1078=16,PRODUCT(E1078,F1078,G1078,L1078),0),2)</f>
        <v>0</v>
      </c>
      <c r="Q1078" s="72">
        <f t="shared" ref="Q1078:Q1081" si="1870">+ROUND(IF(C1078=20,PRODUCT(E1078,F1078,G1078,L1078),0),2)</f>
        <v>0</v>
      </c>
      <c r="R1078" s="72">
        <f t="shared" ref="R1078:R1081" si="1871">+ROUND(IF(C1078=25,PRODUCT(E1078,F1078,G1078,L1078),0),2)</f>
        <v>0</v>
      </c>
    </row>
    <row r="1079" spans="1:18" x14ac:dyDescent="0.25">
      <c r="A1079" s="26"/>
      <c r="B1079" s="104" t="s">
        <v>516</v>
      </c>
      <c r="C1079" s="15">
        <v>8</v>
      </c>
      <c r="D1079" s="16">
        <v>200</v>
      </c>
      <c r="E1079" s="15">
        <v>2</v>
      </c>
      <c r="F1079" s="11">
        <v>1</v>
      </c>
      <c r="G1079" s="11">
        <f>+ROUND(3.95/(D1079/1000)+1,0)</f>
        <v>21</v>
      </c>
      <c r="H1079" s="95"/>
      <c r="I1079" s="95">
        <f>0.175+1.61+0.175</f>
        <v>1.9600000000000002</v>
      </c>
      <c r="J1079" s="100"/>
      <c r="K1079" s="22"/>
      <c r="L1079" s="72">
        <f t="shared" ref="L1079:L1089" si="1872">SUM(H1079:J1079)+K1079</f>
        <v>1.9600000000000002</v>
      </c>
      <c r="M1079" s="72">
        <f t="shared" si="1823"/>
        <v>82.32</v>
      </c>
      <c r="N1079" s="72">
        <f t="shared" si="1867"/>
        <v>0</v>
      </c>
      <c r="O1079" s="72">
        <f t="shared" si="1868"/>
        <v>0</v>
      </c>
      <c r="P1079" s="72">
        <f t="shared" si="1869"/>
        <v>0</v>
      </c>
      <c r="Q1079" s="72">
        <f t="shared" si="1870"/>
        <v>0</v>
      </c>
      <c r="R1079" s="72">
        <f t="shared" si="1871"/>
        <v>0</v>
      </c>
    </row>
    <row r="1080" spans="1:18" x14ac:dyDescent="0.25">
      <c r="A1080" s="26"/>
      <c r="B1080" s="104" t="s">
        <v>521</v>
      </c>
      <c r="C1080" s="15">
        <v>8</v>
      </c>
      <c r="D1080" s="16">
        <v>200</v>
      </c>
      <c r="E1080" s="15">
        <v>2</v>
      </c>
      <c r="F1080" s="11">
        <v>1</v>
      </c>
      <c r="G1080" s="11">
        <f>+ROUND(1.61/(D1080/1000)+1,0)</f>
        <v>9</v>
      </c>
      <c r="H1080" s="95"/>
      <c r="I1080" s="95">
        <f>0.175+3.95+0.175</f>
        <v>4.3</v>
      </c>
      <c r="J1080" s="100"/>
      <c r="K1080" s="22"/>
      <c r="L1080" s="72">
        <f t="shared" si="1872"/>
        <v>4.3</v>
      </c>
      <c r="M1080" s="72">
        <f t="shared" si="1823"/>
        <v>77.400000000000006</v>
      </c>
      <c r="N1080" s="72">
        <f t="shared" si="1867"/>
        <v>0</v>
      </c>
      <c r="O1080" s="72">
        <f t="shared" si="1868"/>
        <v>0</v>
      </c>
      <c r="P1080" s="72">
        <f t="shared" si="1869"/>
        <v>0</v>
      </c>
      <c r="Q1080" s="72">
        <f t="shared" si="1870"/>
        <v>0</v>
      </c>
      <c r="R1080" s="72">
        <f t="shared" si="1871"/>
        <v>0</v>
      </c>
    </row>
    <row r="1081" spans="1:18" x14ac:dyDescent="0.25">
      <c r="A1081" s="26"/>
      <c r="B1081" s="104" t="s">
        <v>512</v>
      </c>
      <c r="C1081" s="15">
        <v>8</v>
      </c>
      <c r="D1081" s="16">
        <v>200</v>
      </c>
      <c r="E1081" s="15">
        <v>2</v>
      </c>
      <c r="F1081" s="11">
        <v>1</v>
      </c>
      <c r="G1081" s="11">
        <f>+ROUND(2.45/(D1081/1000)+1,0)</f>
        <v>13</v>
      </c>
      <c r="H1081" s="95">
        <v>0.1</v>
      </c>
      <c r="I1081" s="95">
        <f>0.175+0.55</f>
        <v>0.72500000000000009</v>
      </c>
      <c r="J1081" s="100"/>
      <c r="K1081" s="22"/>
      <c r="L1081" s="72">
        <f t="shared" si="1872"/>
        <v>0.82500000000000007</v>
      </c>
      <c r="M1081" s="72">
        <f t="shared" ref="M1081" si="1873">+ROUND(IF(C1081=8,PRODUCT(E1081,F1081,G1081,L1081),0),2)</f>
        <v>21.45</v>
      </c>
      <c r="N1081" s="72">
        <f t="shared" si="1867"/>
        <v>0</v>
      </c>
      <c r="O1081" s="72">
        <f t="shared" si="1868"/>
        <v>0</v>
      </c>
      <c r="P1081" s="72">
        <f t="shared" si="1869"/>
        <v>0</v>
      </c>
      <c r="Q1081" s="72">
        <f t="shared" si="1870"/>
        <v>0</v>
      </c>
      <c r="R1081" s="72">
        <f t="shared" si="1871"/>
        <v>0</v>
      </c>
    </row>
    <row r="1082" spans="1:18" x14ac:dyDescent="0.25">
      <c r="A1082" s="26"/>
      <c r="B1082" s="104" t="s">
        <v>512</v>
      </c>
      <c r="C1082" s="15">
        <v>8</v>
      </c>
      <c r="D1082" s="16">
        <v>200</v>
      </c>
      <c r="E1082" s="15">
        <v>2</v>
      </c>
      <c r="F1082" s="11">
        <v>1</v>
      </c>
      <c r="G1082" s="11">
        <f>+ROUND(1.5/(D1082/1000)+1,0)</f>
        <v>9</v>
      </c>
      <c r="H1082" s="95"/>
      <c r="I1082" s="95">
        <f>0.1+0.55</f>
        <v>0.65</v>
      </c>
      <c r="J1082" s="100"/>
      <c r="K1082" s="22"/>
      <c r="L1082" s="72">
        <f t="shared" si="1872"/>
        <v>0.65</v>
      </c>
      <c r="M1082" s="72">
        <f t="shared" ref="M1082:M1094" si="1874">+ROUND(IF(C1082=8,PRODUCT(E1082,F1082,G1082,L1082),0),2)</f>
        <v>11.7</v>
      </c>
      <c r="N1082" s="72">
        <f t="shared" ref="N1082:N1094" si="1875">+ROUND(IF(C1082=10,PRODUCT(E1082,F1082,G1082,L1082),0),2)</f>
        <v>0</v>
      </c>
      <c r="O1082" s="72">
        <f t="shared" ref="O1082:O1094" si="1876">+ROUND(IF(C1082=12,PRODUCT(E1082,F1082,G1082,L1082),0),2)</f>
        <v>0</v>
      </c>
      <c r="P1082" s="72">
        <f t="shared" ref="P1082:P1094" si="1877">+ROUND(IF(C1082=16,PRODUCT(E1082,F1082,G1082,L1082),0),2)</f>
        <v>0</v>
      </c>
      <c r="Q1082" s="72">
        <f t="shared" ref="Q1082:Q1094" si="1878">+ROUND(IF(C1082=20,PRODUCT(E1082,F1082,G1082,L1082),0),2)</f>
        <v>0</v>
      </c>
      <c r="R1082" s="72">
        <f t="shared" ref="R1082:R1094" si="1879">+ROUND(IF(C1082=25,PRODUCT(E1082,F1082,G1082,L1082),0),2)</f>
        <v>0</v>
      </c>
    </row>
    <row r="1083" spans="1:18" x14ac:dyDescent="0.25">
      <c r="A1083" s="26"/>
      <c r="B1083" s="104" t="s">
        <v>759</v>
      </c>
      <c r="C1083" s="15">
        <v>8</v>
      </c>
      <c r="D1083" s="16">
        <v>200</v>
      </c>
      <c r="E1083" s="15">
        <v>2</v>
      </c>
      <c r="F1083" s="11">
        <v>1</v>
      </c>
      <c r="G1083" s="11">
        <f>+ROUND(0.55/(D1083/1000)+1,0)</f>
        <v>4</v>
      </c>
      <c r="H1083" s="95">
        <v>0.2</v>
      </c>
      <c r="I1083" s="95">
        <f>2.45+1.5</f>
        <v>3.95</v>
      </c>
      <c r="J1083" s="100"/>
      <c r="K1083" s="22"/>
      <c r="L1083" s="72">
        <f t="shared" si="1872"/>
        <v>4.1500000000000004</v>
      </c>
      <c r="M1083" s="72">
        <f t="shared" si="1874"/>
        <v>33.200000000000003</v>
      </c>
      <c r="N1083" s="72">
        <f t="shared" si="1875"/>
        <v>0</v>
      </c>
      <c r="O1083" s="72">
        <f t="shared" si="1876"/>
        <v>0</v>
      </c>
      <c r="P1083" s="72">
        <f t="shared" si="1877"/>
        <v>0</v>
      </c>
      <c r="Q1083" s="72">
        <f t="shared" si="1878"/>
        <v>0</v>
      </c>
      <c r="R1083" s="72">
        <f t="shared" si="1879"/>
        <v>0</v>
      </c>
    </row>
    <row r="1084" spans="1:18" x14ac:dyDescent="0.25">
      <c r="A1084" s="26"/>
      <c r="B1084" s="104" t="s">
        <v>512</v>
      </c>
      <c r="C1084" s="15">
        <v>8</v>
      </c>
      <c r="D1084" s="16">
        <v>200</v>
      </c>
      <c r="E1084" s="15">
        <v>2</v>
      </c>
      <c r="F1084" s="11">
        <v>1</v>
      </c>
      <c r="G1084" s="11">
        <f>+ROUND(1.61/(D1084/1000)+1,0)/2</f>
        <v>4.5</v>
      </c>
      <c r="H1084" s="95"/>
      <c r="I1084" s="95">
        <f>0.1+1.2</f>
        <v>1.3</v>
      </c>
      <c r="J1084" s="100"/>
      <c r="K1084" s="22"/>
      <c r="L1084" s="72">
        <f t="shared" si="1872"/>
        <v>1.3</v>
      </c>
      <c r="M1084" s="72">
        <f t="shared" si="1874"/>
        <v>11.7</v>
      </c>
      <c r="N1084" s="72">
        <f t="shared" si="1875"/>
        <v>0</v>
      </c>
      <c r="O1084" s="72">
        <f t="shared" si="1876"/>
        <v>0</v>
      </c>
      <c r="P1084" s="72">
        <f t="shared" si="1877"/>
        <v>0</v>
      </c>
      <c r="Q1084" s="72">
        <f t="shared" si="1878"/>
        <v>0</v>
      </c>
      <c r="R1084" s="72">
        <f t="shared" si="1879"/>
        <v>0</v>
      </c>
    </row>
    <row r="1085" spans="1:18" x14ac:dyDescent="0.25">
      <c r="A1085" s="26"/>
      <c r="B1085" s="104" t="s">
        <v>512</v>
      </c>
      <c r="C1085" s="15">
        <v>8</v>
      </c>
      <c r="D1085" s="16">
        <v>200</v>
      </c>
      <c r="E1085" s="15">
        <v>2</v>
      </c>
      <c r="F1085" s="11">
        <v>1</v>
      </c>
      <c r="G1085" s="11">
        <f>+ROUND(1.61/(D1085/1000)+1,0)/2</f>
        <v>4.5</v>
      </c>
      <c r="H1085" s="95"/>
      <c r="I1085" s="95">
        <f>0.1+0.6</f>
        <v>0.7</v>
      </c>
      <c r="J1085" s="100"/>
      <c r="K1085" s="22"/>
      <c r="L1085" s="72">
        <f t="shared" si="1872"/>
        <v>0.7</v>
      </c>
      <c r="M1085" s="72">
        <f t="shared" ref="M1085:M1087" si="1880">+ROUND(IF(C1085=8,PRODUCT(E1085,F1085,G1085,L1085),0),2)</f>
        <v>6.3</v>
      </c>
      <c r="N1085" s="72">
        <f t="shared" ref="N1085:N1087" si="1881">+ROUND(IF(C1085=10,PRODUCT(E1085,F1085,G1085,L1085),0),2)</f>
        <v>0</v>
      </c>
      <c r="O1085" s="72">
        <f t="shared" ref="O1085:O1087" si="1882">+ROUND(IF(C1085=12,PRODUCT(E1085,F1085,G1085,L1085),0),2)</f>
        <v>0</v>
      </c>
      <c r="P1085" s="72">
        <f t="shared" ref="P1085:P1087" si="1883">+ROUND(IF(C1085=16,PRODUCT(E1085,F1085,G1085,L1085),0),2)</f>
        <v>0</v>
      </c>
      <c r="Q1085" s="72">
        <f t="shared" ref="Q1085:Q1087" si="1884">+ROUND(IF(C1085=20,PRODUCT(E1085,F1085,G1085,L1085),0),2)</f>
        <v>0</v>
      </c>
      <c r="R1085" s="72">
        <f t="shared" ref="R1085:R1087" si="1885">+ROUND(IF(C1085=25,PRODUCT(E1085,F1085,G1085,L1085),0),2)</f>
        <v>0</v>
      </c>
    </row>
    <row r="1086" spans="1:18" x14ac:dyDescent="0.25">
      <c r="A1086" s="26"/>
      <c r="B1086" s="104" t="s">
        <v>759</v>
      </c>
      <c r="C1086" s="15">
        <v>8</v>
      </c>
      <c r="D1086" s="16">
        <v>200</v>
      </c>
      <c r="E1086" s="15">
        <v>2</v>
      </c>
      <c r="F1086" s="11">
        <v>1</v>
      </c>
      <c r="G1086" s="11">
        <f>+ROUND(1.2/(D1086/1000)+1,0)</f>
        <v>7</v>
      </c>
      <c r="H1086" s="95">
        <v>0.2</v>
      </c>
      <c r="I1086" s="95">
        <v>1.61</v>
      </c>
      <c r="J1086" s="100"/>
      <c r="K1086" s="22"/>
      <c r="L1086" s="72">
        <f t="shared" si="1872"/>
        <v>1.81</v>
      </c>
      <c r="M1086" s="72">
        <f t="shared" si="1880"/>
        <v>25.34</v>
      </c>
      <c r="N1086" s="72">
        <f t="shared" si="1881"/>
        <v>0</v>
      </c>
      <c r="O1086" s="72">
        <f t="shared" si="1882"/>
        <v>0</v>
      </c>
      <c r="P1086" s="72">
        <f t="shared" si="1883"/>
        <v>0</v>
      </c>
      <c r="Q1086" s="72">
        <f t="shared" si="1884"/>
        <v>0</v>
      </c>
      <c r="R1086" s="72">
        <f t="shared" si="1885"/>
        <v>0</v>
      </c>
    </row>
    <row r="1087" spans="1:18" x14ac:dyDescent="0.25">
      <c r="A1087" s="26"/>
      <c r="B1087" s="104" t="s">
        <v>515</v>
      </c>
      <c r="C1087" s="15">
        <v>8</v>
      </c>
      <c r="D1087" s="16">
        <v>200</v>
      </c>
      <c r="E1087" s="15">
        <v>2</v>
      </c>
      <c r="F1087" s="11">
        <v>1</v>
      </c>
      <c r="G1087" s="11">
        <f>+ROUND(1.61/(D1087/1000)+1,0)/2</f>
        <v>4.5</v>
      </c>
      <c r="H1087" s="95"/>
      <c r="I1087" s="95">
        <f>0.1+1.2</f>
        <v>1.3</v>
      </c>
      <c r="J1087" s="100"/>
      <c r="K1087" s="22"/>
      <c r="L1087" s="72">
        <f t="shared" si="1872"/>
        <v>1.3</v>
      </c>
      <c r="M1087" s="72">
        <f t="shared" si="1880"/>
        <v>11.7</v>
      </c>
      <c r="N1087" s="72">
        <f t="shared" si="1881"/>
        <v>0</v>
      </c>
      <c r="O1087" s="72">
        <f t="shared" si="1882"/>
        <v>0</v>
      </c>
      <c r="P1087" s="72">
        <f t="shared" si="1883"/>
        <v>0</v>
      </c>
      <c r="Q1087" s="72">
        <f t="shared" si="1884"/>
        <v>0</v>
      </c>
      <c r="R1087" s="72">
        <f t="shared" si="1885"/>
        <v>0</v>
      </c>
    </row>
    <row r="1088" spans="1:18" x14ac:dyDescent="0.25">
      <c r="A1088" s="26"/>
      <c r="B1088" s="104" t="s">
        <v>515</v>
      </c>
      <c r="C1088" s="15">
        <v>8</v>
      </c>
      <c r="D1088" s="16">
        <v>150</v>
      </c>
      <c r="E1088" s="15">
        <v>2</v>
      </c>
      <c r="F1088" s="11">
        <v>1</v>
      </c>
      <c r="G1088" s="11">
        <f>+ROUND(1.61/(D1088/1000)+1,0)/2</f>
        <v>6</v>
      </c>
      <c r="H1088" s="95"/>
      <c r="I1088" s="95">
        <f>0.1+0.6</f>
        <v>0.7</v>
      </c>
      <c r="J1088" s="100"/>
      <c r="K1088" s="22"/>
      <c r="L1088" s="72">
        <f t="shared" si="1872"/>
        <v>0.7</v>
      </c>
      <c r="M1088" s="72">
        <f t="shared" ref="M1088:M1089" si="1886">+ROUND(IF(C1088=8,PRODUCT(E1088,F1088,G1088,L1088),0),2)</f>
        <v>8.4</v>
      </c>
      <c r="N1088" s="72">
        <f t="shared" ref="N1088:N1089" si="1887">+ROUND(IF(C1088=10,PRODUCT(E1088,F1088,G1088,L1088),0),2)</f>
        <v>0</v>
      </c>
      <c r="O1088" s="72">
        <f t="shared" ref="O1088:O1089" si="1888">+ROUND(IF(C1088=12,PRODUCT(E1088,F1088,G1088,L1088),0),2)</f>
        <v>0</v>
      </c>
      <c r="P1088" s="72">
        <f t="shared" ref="P1088:P1089" si="1889">+ROUND(IF(C1088=16,PRODUCT(E1088,F1088,G1088,L1088),0),2)</f>
        <v>0</v>
      </c>
      <c r="Q1088" s="72">
        <f t="shared" ref="Q1088:Q1089" si="1890">+ROUND(IF(C1088=20,PRODUCT(E1088,F1088,G1088,L1088),0),2)</f>
        <v>0</v>
      </c>
      <c r="R1088" s="72">
        <f t="shared" ref="R1088:R1089" si="1891">+ROUND(IF(C1088=25,PRODUCT(E1088,F1088,G1088,L1088),0),2)</f>
        <v>0</v>
      </c>
    </row>
    <row r="1089" spans="1:18" x14ac:dyDescent="0.25">
      <c r="A1089" s="26"/>
      <c r="B1089" s="104" t="s">
        <v>759</v>
      </c>
      <c r="C1089" s="15">
        <v>8</v>
      </c>
      <c r="D1089" s="16">
        <v>150</v>
      </c>
      <c r="E1089" s="15">
        <v>2</v>
      </c>
      <c r="F1089" s="11">
        <v>1</v>
      </c>
      <c r="G1089" s="11">
        <f>+ROUND(1.2/(D1089/1000)+1,0)</f>
        <v>9</v>
      </c>
      <c r="H1089" s="95">
        <v>0.2</v>
      </c>
      <c r="I1089" s="95">
        <v>1.61</v>
      </c>
      <c r="J1089" s="100"/>
      <c r="K1089" s="22"/>
      <c r="L1089" s="72">
        <f t="shared" si="1872"/>
        <v>1.81</v>
      </c>
      <c r="M1089" s="72">
        <f t="shared" si="1886"/>
        <v>32.58</v>
      </c>
      <c r="N1089" s="72">
        <f t="shared" si="1887"/>
        <v>0</v>
      </c>
      <c r="O1089" s="72">
        <f t="shared" si="1888"/>
        <v>0</v>
      </c>
      <c r="P1089" s="72">
        <f t="shared" si="1889"/>
        <v>0</v>
      </c>
      <c r="Q1089" s="72">
        <f t="shared" si="1890"/>
        <v>0</v>
      </c>
      <c r="R1089" s="72">
        <f t="shared" si="1891"/>
        <v>0</v>
      </c>
    </row>
    <row r="1090" spans="1:18" x14ac:dyDescent="0.25">
      <c r="A1090" s="26"/>
      <c r="B1090" s="25"/>
      <c r="C1090" s="15"/>
      <c r="D1090" s="16"/>
      <c r="E1090" s="15"/>
      <c r="F1090" s="11"/>
      <c r="G1090" s="11"/>
      <c r="H1090" s="95"/>
      <c r="I1090" s="95"/>
      <c r="J1090" s="100"/>
      <c r="K1090" s="22"/>
      <c r="L1090" s="72"/>
      <c r="M1090" s="72"/>
      <c r="N1090" s="72"/>
      <c r="O1090" s="72"/>
      <c r="P1090" s="72"/>
      <c r="Q1090" s="72"/>
      <c r="R1090" s="72"/>
    </row>
    <row r="1091" spans="1:18" x14ac:dyDescent="0.25">
      <c r="A1091" s="26"/>
      <c r="B1091" s="45" t="s">
        <v>811</v>
      </c>
      <c r="C1091" s="15"/>
      <c r="D1091" s="16"/>
      <c r="E1091" s="15"/>
      <c r="F1091" s="11"/>
      <c r="G1091" s="11"/>
      <c r="H1091" s="95"/>
      <c r="I1091" s="95"/>
      <c r="J1091" s="100"/>
      <c r="K1091" s="22"/>
      <c r="L1091" s="72">
        <f t="shared" ref="L1091" si="1892">SUM(H1091:J1091)+K1091</f>
        <v>0</v>
      </c>
      <c r="M1091" s="72">
        <f t="shared" si="1874"/>
        <v>0</v>
      </c>
      <c r="N1091" s="72">
        <f t="shared" si="1875"/>
        <v>0</v>
      </c>
      <c r="O1091" s="72">
        <f t="shared" si="1876"/>
        <v>0</v>
      </c>
      <c r="P1091" s="72">
        <f t="shared" si="1877"/>
        <v>0</v>
      </c>
      <c r="Q1091" s="72">
        <f t="shared" si="1878"/>
        <v>0</v>
      </c>
      <c r="R1091" s="72">
        <f t="shared" si="1879"/>
        <v>0</v>
      </c>
    </row>
    <row r="1092" spans="1:18" x14ac:dyDescent="0.25">
      <c r="A1092" s="26"/>
      <c r="B1092" s="104" t="s">
        <v>516</v>
      </c>
      <c r="C1092" s="15">
        <v>8</v>
      </c>
      <c r="D1092" s="16">
        <v>200</v>
      </c>
      <c r="E1092" s="15">
        <v>2</v>
      </c>
      <c r="F1092" s="11">
        <v>1</v>
      </c>
      <c r="G1092" s="11">
        <f>+ROUND(5.665/(D1092/1000)+1,0)</f>
        <v>29</v>
      </c>
      <c r="H1092" s="95"/>
      <c r="I1092" s="95">
        <f>0.175+2.44+0.175</f>
        <v>2.7899999999999996</v>
      </c>
      <c r="J1092" s="100"/>
      <c r="K1092" s="22"/>
      <c r="L1092" s="72">
        <f t="shared" ref="L1092:L1099" si="1893">SUM(H1092:J1092)+K1092</f>
        <v>2.7899999999999996</v>
      </c>
      <c r="M1092" s="72">
        <f t="shared" si="1874"/>
        <v>161.82</v>
      </c>
      <c r="N1092" s="72">
        <f t="shared" si="1875"/>
        <v>0</v>
      </c>
      <c r="O1092" s="72">
        <f t="shared" si="1876"/>
        <v>0</v>
      </c>
      <c r="P1092" s="72">
        <f t="shared" si="1877"/>
        <v>0</v>
      </c>
      <c r="Q1092" s="72">
        <f t="shared" si="1878"/>
        <v>0</v>
      </c>
      <c r="R1092" s="72">
        <f t="shared" si="1879"/>
        <v>0</v>
      </c>
    </row>
    <row r="1093" spans="1:18" x14ac:dyDescent="0.25">
      <c r="A1093" s="26"/>
      <c r="B1093" s="104" t="s">
        <v>521</v>
      </c>
      <c r="C1093" s="15">
        <v>8</v>
      </c>
      <c r="D1093" s="16">
        <v>200</v>
      </c>
      <c r="E1093" s="15">
        <v>2</v>
      </c>
      <c r="F1093" s="11">
        <v>1</v>
      </c>
      <c r="G1093" s="11">
        <f>+ROUND(2.44/(D1093/1000)+1,0)</f>
        <v>13</v>
      </c>
      <c r="H1093" s="95"/>
      <c r="I1093" s="95">
        <f>0.175+5.665+0.175</f>
        <v>6.0149999999999997</v>
      </c>
      <c r="J1093" s="100"/>
      <c r="K1093" s="22"/>
      <c r="L1093" s="72">
        <f t="shared" si="1893"/>
        <v>6.0149999999999997</v>
      </c>
      <c r="M1093" s="72">
        <f t="shared" si="1874"/>
        <v>156.38999999999999</v>
      </c>
      <c r="N1093" s="72">
        <f t="shared" si="1875"/>
        <v>0</v>
      </c>
      <c r="O1093" s="72">
        <f t="shared" si="1876"/>
        <v>0</v>
      </c>
      <c r="P1093" s="72">
        <f t="shared" si="1877"/>
        <v>0</v>
      </c>
      <c r="Q1093" s="72">
        <f t="shared" si="1878"/>
        <v>0</v>
      </c>
      <c r="R1093" s="72">
        <f t="shared" si="1879"/>
        <v>0</v>
      </c>
    </row>
    <row r="1094" spans="1:18" x14ac:dyDescent="0.25">
      <c r="A1094" s="26"/>
      <c r="B1094" s="104" t="s">
        <v>512</v>
      </c>
      <c r="C1094" s="15">
        <v>8</v>
      </c>
      <c r="D1094" s="16">
        <v>200</v>
      </c>
      <c r="E1094" s="15">
        <v>2</v>
      </c>
      <c r="F1094" s="11">
        <v>1</v>
      </c>
      <c r="G1094" s="11">
        <f>+ROUND(5.665/(D1094/1000)+1,0)</f>
        <v>29</v>
      </c>
      <c r="H1094" s="95">
        <v>0.1</v>
      </c>
      <c r="I1094" s="95">
        <f>0.45+0.175</f>
        <v>0.625</v>
      </c>
      <c r="J1094" s="100"/>
      <c r="K1094" s="22"/>
      <c r="L1094" s="72">
        <f t="shared" si="1893"/>
        <v>0.72499999999999998</v>
      </c>
      <c r="M1094" s="72">
        <f t="shared" si="1874"/>
        <v>42.05</v>
      </c>
      <c r="N1094" s="72">
        <f t="shared" si="1875"/>
        <v>0</v>
      </c>
      <c r="O1094" s="72">
        <f t="shared" si="1876"/>
        <v>0</v>
      </c>
      <c r="P1094" s="72">
        <f t="shared" si="1877"/>
        <v>0</v>
      </c>
      <c r="Q1094" s="72">
        <f t="shared" si="1878"/>
        <v>0</v>
      </c>
      <c r="R1094" s="72">
        <f t="shared" si="1879"/>
        <v>0</v>
      </c>
    </row>
    <row r="1095" spans="1:18" x14ac:dyDescent="0.25">
      <c r="A1095" s="26"/>
      <c r="B1095" s="104" t="s">
        <v>759</v>
      </c>
      <c r="C1095" s="15">
        <v>8</v>
      </c>
      <c r="D1095" s="16">
        <v>200</v>
      </c>
      <c r="E1095" s="15">
        <v>2</v>
      </c>
      <c r="F1095" s="11">
        <v>1</v>
      </c>
      <c r="G1095" s="11">
        <f>+ROUND(0.45/(D1095/1000)+1,0)</f>
        <v>3</v>
      </c>
      <c r="H1095" s="95">
        <v>0.2</v>
      </c>
      <c r="I1095" s="95">
        <v>5.665</v>
      </c>
      <c r="J1095" s="100"/>
      <c r="K1095" s="22"/>
      <c r="L1095" s="72">
        <f t="shared" ref="L1095" si="1894">SUM(H1095:J1095)+K1095</f>
        <v>5.8650000000000002</v>
      </c>
      <c r="M1095" s="72">
        <f t="shared" ref="M1095" si="1895">+ROUND(IF(C1095=8,PRODUCT(E1095,F1095,G1095,L1095),0),2)</f>
        <v>35.19</v>
      </c>
      <c r="N1095" s="72">
        <f t="shared" ref="N1095" si="1896">+ROUND(IF(C1095=10,PRODUCT(E1095,F1095,G1095,L1095),0),2)</f>
        <v>0</v>
      </c>
      <c r="O1095" s="72">
        <f t="shared" ref="O1095" si="1897">+ROUND(IF(C1095=12,PRODUCT(E1095,F1095,G1095,L1095),0),2)</f>
        <v>0</v>
      </c>
      <c r="P1095" s="72">
        <f t="shared" ref="P1095" si="1898">+ROUND(IF(C1095=16,PRODUCT(E1095,F1095,G1095,L1095),0),2)</f>
        <v>0</v>
      </c>
      <c r="Q1095" s="72">
        <f t="shared" ref="Q1095" si="1899">+ROUND(IF(C1095=20,PRODUCT(E1095,F1095,G1095,L1095),0),2)</f>
        <v>0</v>
      </c>
      <c r="R1095" s="72">
        <f t="shared" ref="R1095" si="1900">+ROUND(IF(C1095=25,PRODUCT(E1095,F1095,G1095,L1095),0),2)</f>
        <v>0</v>
      </c>
    </row>
    <row r="1096" spans="1:18" x14ac:dyDescent="0.25">
      <c r="A1096" s="26"/>
      <c r="B1096" s="104" t="s">
        <v>514</v>
      </c>
      <c r="C1096" s="15">
        <v>8</v>
      </c>
      <c r="D1096" s="16">
        <v>100</v>
      </c>
      <c r="E1096" s="15">
        <v>2</v>
      </c>
      <c r="F1096" s="11">
        <v>1</v>
      </c>
      <c r="G1096" s="11">
        <f>+ROUND(2.44/(D1096/1000)+1,0)/2</f>
        <v>12.5</v>
      </c>
      <c r="H1096" s="95"/>
      <c r="I1096" s="95">
        <f>0.1+1.8</f>
        <v>1.9000000000000001</v>
      </c>
      <c r="J1096" s="100"/>
      <c r="K1096" s="22"/>
      <c r="L1096" s="72">
        <f t="shared" si="1893"/>
        <v>1.9000000000000001</v>
      </c>
      <c r="M1096" s="72">
        <f t="shared" ref="M1096" si="1901">+ROUND(IF(C1096=8,PRODUCT(E1096,F1096,G1096,L1096),0),2)</f>
        <v>47.5</v>
      </c>
      <c r="N1096" s="72">
        <f t="shared" ref="N1096" si="1902">+ROUND(IF(C1096=10,PRODUCT(E1096,F1096,G1096,L1096),0),2)</f>
        <v>0</v>
      </c>
      <c r="O1096" s="72">
        <f t="shared" ref="O1096" si="1903">+ROUND(IF(C1096=12,PRODUCT(E1096,F1096,G1096,L1096),0),2)</f>
        <v>0</v>
      </c>
      <c r="P1096" s="72">
        <f t="shared" ref="P1096" si="1904">+ROUND(IF(C1096=16,PRODUCT(E1096,F1096,G1096,L1096),0),2)</f>
        <v>0</v>
      </c>
      <c r="Q1096" s="72">
        <f t="shared" ref="Q1096" si="1905">+ROUND(IF(C1096=20,PRODUCT(E1096,F1096,G1096,L1096),0),2)</f>
        <v>0</v>
      </c>
      <c r="R1096" s="72">
        <f t="shared" ref="R1096" si="1906">+ROUND(IF(C1096=25,PRODUCT(E1096,F1096,G1096,L1096),0),2)</f>
        <v>0</v>
      </c>
    </row>
    <row r="1097" spans="1:18" x14ac:dyDescent="0.25">
      <c r="A1097" s="26"/>
      <c r="B1097" s="104" t="s">
        <v>514</v>
      </c>
      <c r="C1097" s="15">
        <v>8</v>
      </c>
      <c r="D1097" s="16">
        <v>100</v>
      </c>
      <c r="E1097" s="15">
        <v>2</v>
      </c>
      <c r="F1097" s="11">
        <v>1</v>
      </c>
      <c r="G1097" s="11">
        <f>+ROUND(2.44/(D1097/1000)+1,0)/2</f>
        <v>12.5</v>
      </c>
      <c r="H1097" s="95"/>
      <c r="I1097" s="95">
        <f>0.1+0.9</f>
        <v>1</v>
      </c>
      <c r="J1097" s="100"/>
      <c r="K1097" s="22"/>
      <c r="L1097" s="72">
        <f t="shared" si="1893"/>
        <v>1</v>
      </c>
      <c r="M1097" s="72">
        <f t="shared" ref="M1097:M1098" si="1907">+ROUND(IF(C1097=8,PRODUCT(E1097,F1097,G1097,L1097),0),2)</f>
        <v>25</v>
      </c>
      <c r="N1097" s="72">
        <f t="shared" ref="N1097:N1098" si="1908">+ROUND(IF(C1097=10,PRODUCT(E1097,F1097,G1097,L1097),0),2)</f>
        <v>0</v>
      </c>
      <c r="O1097" s="72">
        <f t="shared" ref="O1097:O1098" si="1909">+ROUND(IF(C1097=12,PRODUCT(E1097,F1097,G1097,L1097),0),2)</f>
        <v>0</v>
      </c>
      <c r="P1097" s="72">
        <f t="shared" ref="P1097:P1098" si="1910">+ROUND(IF(C1097=16,PRODUCT(E1097,F1097,G1097,L1097),0),2)</f>
        <v>0</v>
      </c>
      <c r="Q1097" s="72">
        <f t="shared" ref="Q1097:Q1098" si="1911">+ROUND(IF(C1097=20,PRODUCT(E1097,F1097,G1097,L1097),0),2)</f>
        <v>0</v>
      </c>
      <c r="R1097" s="72">
        <f t="shared" ref="R1097:R1098" si="1912">+ROUND(IF(C1097=25,PRODUCT(E1097,F1097,G1097,L1097),0),2)</f>
        <v>0</v>
      </c>
    </row>
    <row r="1098" spans="1:18" x14ac:dyDescent="0.25">
      <c r="A1098" s="26"/>
      <c r="B1098" s="104" t="s">
        <v>759</v>
      </c>
      <c r="C1098" s="15">
        <v>8</v>
      </c>
      <c r="D1098" s="16">
        <v>200</v>
      </c>
      <c r="E1098" s="15">
        <v>2</v>
      </c>
      <c r="F1098" s="11">
        <v>1</v>
      </c>
      <c r="G1098" s="11">
        <f>+ROUND(1.8/(D1098/1000)+1,0)</f>
        <v>10</v>
      </c>
      <c r="H1098" s="95">
        <v>0.2</v>
      </c>
      <c r="I1098" s="95">
        <v>2.44</v>
      </c>
      <c r="J1098" s="100"/>
      <c r="K1098" s="22"/>
      <c r="L1098" s="72">
        <f t="shared" si="1893"/>
        <v>2.64</v>
      </c>
      <c r="M1098" s="72">
        <f t="shared" si="1907"/>
        <v>52.8</v>
      </c>
      <c r="N1098" s="72">
        <f t="shared" si="1908"/>
        <v>0</v>
      </c>
      <c r="O1098" s="72">
        <f t="shared" si="1909"/>
        <v>0</v>
      </c>
      <c r="P1098" s="72">
        <f t="shared" si="1910"/>
        <v>0</v>
      </c>
      <c r="Q1098" s="72">
        <f t="shared" si="1911"/>
        <v>0</v>
      </c>
      <c r="R1098" s="72">
        <f t="shared" si="1912"/>
        <v>0</v>
      </c>
    </row>
    <row r="1099" spans="1:18" x14ac:dyDescent="0.25">
      <c r="A1099" s="26"/>
      <c r="B1099" s="104" t="s">
        <v>512</v>
      </c>
      <c r="C1099" s="15">
        <v>8</v>
      </c>
      <c r="D1099" s="16">
        <v>200</v>
      </c>
      <c r="E1099" s="15">
        <v>2</v>
      </c>
      <c r="F1099" s="11">
        <v>1</v>
      </c>
      <c r="G1099" s="11">
        <f>+ROUND(4.235/(D1099/1000)+1,0)</f>
        <v>22</v>
      </c>
      <c r="H1099" s="95">
        <v>0.1</v>
      </c>
      <c r="I1099" s="95">
        <f>0.45+0.175</f>
        <v>0.625</v>
      </c>
      <c r="J1099" s="100"/>
      <c r="K1099" s="22"/>
      <c r="L1099" s="72">
        <f t="shared" si="1893"/>
        <v>0.72499999999999998</v>
      </c>
      <c r="M1099" s="72">
        <f t="shared" ref="M1099:M1114" si="1913">+ROUND(IF(C1099=8,PRODUCT(E1099,F1099,G1099,L1099),0),2)</f>
        <v>31.9</v>
      </c>
      <c r="N1099" s="72">
        <f t="shared" ref="N1099:N1114" si="1914">+ROUND(IF(C1099=10,PRODUCT(E1099,F1099,G1099,L1099),0),2)</f>
        <v>0</v>
      </c>
      <c r="O1099" s="72">
        <f t="shared" ref="O1099:O1114" si="1915">+ROUND(IF(C1099=12,PRODUCT(E1099,F1099,G1099,L1099),0),2)</f>
        <v>0</v>
      </c>
      <c r="P1099" s="72">
        <f t="shared" ref="P1099:P1114" si="1916">+ROUND(IF(C1099=16,PRODUCT(E1099,F1099,G1099,L1099),0),2)</f>
        <v>0</v>
      </c>
      <c r="Q1099" s="72">
        <f t="shared" ref="Q1099:Q1114" si="1917">+ROUND(IF(C1099=20,PRODUCT(E1099,F1099,G1099,L1099),0),2)</f>
        <v>0</v>
      </c>
      <c r="R1099" s="72">
        <f t="shared" ref="R1099:R1114" si="1918">+ROUND(IF(C1099=25,PRODUCT(E1099,F1099,G1099,L1099),0),2)</f>
        <v>0</v>
      </c>
    </row>
    <row r="1100" spans="1:18" x14ac:dyDescent="0.25">
      <c r="A1100" s="26"/>
      <c r="B1100" s="104" t="s">
        <v>512</v>
      </c>
      <c r="C1100" s="15">
        <v>8</v>
      </c>
      <c r="D1100" s="16">
        <v>200</v>
      </c>
      <c r="E1100" s="15">
        <v>2</v>
      </c>
      <c r="F1100" s="11">
        <v>1</v>
      </c>
      <c r="G1100" s="11">
        <f>+ROUND(1.4/(D1100/1000)+1,0)/2</f>
        <v>4</v>
      </c>
      <c r="H1100" s="95"/>
      <c r="I1100" s="95">
        <f>0.1+0.8</f>
        <v>0.9</v>
      </c>
      <c r="J1100" s="100"/>
      <c r="K1100" s="22"/>
      <c r="L1100" s="72">
        <f t="shared" ref="L1100" si="1919">SUM(H1100:J1100)+K1100</f>
        <v>0.9</v>
      </c>
      <c r="M1100" s="72">
        <f t="shared" ref="M1100" si="1920">+ROUND(IF(C1100=8,PRODUCT(E1100,F1100,G1100,L1100),0),2)</f>
        <v>7.2</v>
      </c>
      <c r="N1100" s="72">
        <f t="shared" ref="N1100" si="1921">+ROUND(IF(C1100=10,PRODUCT(E1100,F1100,G1100,L1100),0),2)</f>
        <v>0</v>
      </c>
      <c r="O1100" s="72">
        <f t="shared" ref="O1100" si="1922">+ROUND(IF(C1100=12,PRODUCT(E1100,F1100,G1100,L1100),0),2)</f>
        <v>0</v>
      </c>
      <c r="P1100" s="72">
        <f t="shared" ref="P1100" si="1923">+ROUND(IF(C1100=16,PRODUCT(E1100,F1100,G1100,L1100),0),2)</f>
        <v>0</v>
      </c>
      <c r="Q1100" s="72">
        <f t="shared" ref="Q1100" si="1924">+ROUND(IF(C1100=20,PRODUCT(E1100,F1100,G1100,L1100),0),2)</f>
        <v>0</v>
      </c>
      <c r="R1100" s="72">
        <f t="shared" ref="R1100" si="1925">+ROUND(IF(C1100=25,PRODUCT(E1100,F1100,G1100,L1100),0),2)</f>
        <v>0</v>
      </c>
    </row>
    <row r="1101" spans="1:18" x14ac:dyDescent="0.25">
      <c r="A1101" s="26"/>
      <c r="B1101" s="104" t="s">
        <v>512</v>
      </c>
      <c r="C1101" s="15">
        <v>8</v>
      </c>
      <c r="D1101" s="16">
        <v>200</v>
      </c>
      <c r="E1101" s="15">
        <v>2</v>
      </c>
      <c r="F1101" s="11">
        <v>1</v>
      </c>
      <c r="G1101" s="11">
        <f>+ROUND(1.4/(D1101/1000)+1,0)/2</f>
        <v>4</v>
      </c>
      <c r="H1101" s="95"/>
      <c r="I1101" s="95">
        <f>0.1+0.4</f>
        <v>0.5</v>
      </c>
      <c r="J1101" s="100"/>
      <c r="K1101" s="22"/>
      <c r="L1101" s="72">
        <f t="shared" ref="L1101:L1103" si="1926">SUM(H1101:J1101)+K1101</f>
        <v>0.5</v>
      </c>
      <c r="M1101" s="72">
        <f t="shared" ref="M1101:M1103" si="1927">+ROUND(IF(C1101=8,PRODUCT(E1101,F1101,G1101,L1101),0),2)</f>
        <v>4</v>
      </c>
      <c r="N1101" s="72">
        <f t="shared" ref="N1101:N1103" si="1928">+ROUND(IF(C1101=10,PRODUCT(E1101,F1101,G1101,L1101),0),2)</f>
        <v>0</v>
      </c>
      <c r="O1101" s="72">
        <f t="shared" ref="O1101:O1103" si="1929">+ROUND(IF(C1101=12,PRODUCT(E1101,F1101,G1101,L1101),0),2)</f>
        <v>0</v>
      </c>
      <c r="P1101" s="72">
        <f t="shared" ref="P1101:P1103" si="1930">+ROUND(IF(C1101=16,PRODUCT(E1101,F1101,G1101,L1101),0),2)</f>
        <v>0</v>
      </c>
      <c r="Q1101" s="72">
        <f t="shared" ref="Q1101:Q1103" si="1931">+ROUND(IF(C1101=20,PRODUCT(E1101,F1101,G1101,L1101),0),2)</f>
        <v>0</v>
      </c>
      <c r="R1101" s="72">
        <f t="shared" ref="R1101:R1103" si="1932">+ROUND(IF(C1101=25,PRODUCT(E1101,F1101,G1101,L1101),0),2)</f>
        <v>0</v>
      </c>
    </row>
    <row r="1102" spans="1:18" x14ac:dyDescent="0.25">
      <c r="A1102" s="26"/>
      <c r="B1102" s="104" t="s">
        <v>759</v>
      </c>
      <c r="C1102" s="15">
        <v>8</v>
      </c>
      <c r="D1102" s="16">
        <v>200</v>
      </c>
      <c r="E1102" s="15">
        <v>2</v>
      </c>
      <c r="F1102" s="11">
        <v>1</v>
      </c>
      <c r="G1102" s="11">
        <f>+ROUND(0.8/(D1102/1000)+1,0)</f>
        <v>5</v>
      </c>
      <c r="H1102" s="95">
        <v>0.2</v>
      </c>
      <c r="I1102" s="95">
        <v>1.4</v>
      </c>
      <c r="J1102" s="100"/>
      <c r="K1102" s="22"/>
      <c r="L1102" s="72">
        <f t="shared" si="1926"/>
        <v>1.5999999999999999</v>
      </c>
      <c r="M1102" s="72">
        <f t="shared" si="1927"/>
        <v>16</v>
      </c>
      <c r="N1102" s="72">
        <f t="shared" si="1928"/>
        <v>0</v>
      </c>
      <c r="O1102" s="72">
        <f t="shared" si="1929"/>
        <v>0</v>
      </c>
      <c r="P1102" s="72">
        <f t="shared" si="1930"/>
        <v>0</v>
      </c>
      <c r="Q1102" s="72">
        <f t="shared" si="1931"/>
        <v>0</v>
      </c>
      <c r="R1102" s="72">
        <f t="shared" si="1932"/>
        <v>0</v>
      </c>
    </row>
    <row r="1103" spans="1:18" x14ac:dyDescent="0.25">
      <c r="A1103" s="26"/>
      <c r="B1103" s="104" t="s">
        <v>512</v>
      </c>
      <c r="C1103" s="15">
        <v>8</v>
      </c>
      <c r="D1103" s="16">
        <v>200</v>
      </c>
      <c r="E1103" s="15">
        <v>2</v>
      </c>
      <c r="F1103" s="11">
        <v>1</v>
      </c>
      <c r="G1103" s="11">
        <f>+ROUND(2.44/(D1103/1000)+1,0)/2</f>
        <v>6.5</v>
      </c>
      <c r="H1103" s="95"/>
      <c r="I1103" s="95">
        <f>0.1+1.8</f>
        <v>1.9000000000000001</v>
      </c>
      <c r="J1103" s="100"/>
      <c r="K1103" s="22"/>
      <c r="L1103" s="72">
        <f t="shared" si="1926"/>
        <v>1.9000000000000001</v>
      </c>
      <c r="M1103" s="72">
        <f t="shared" si="1927"/>
        <v>24.7</v>
      </c>
      <c r="N1103" s="72">
        <f t="shared" si="1928"/>
        <v>0</v>
      </c>
      <c r="O1103" s="72">
        <f t="shared" si="1929"/>
        <v>0</v>
      </c>
      <c r="P1103" s="72">
        <f t="shared" si="1930"/>
        <v>0</v>
      </c>
      <c r="Q1103" s="72">
        <f t="shared" si="1931"/>
        <v>0</v>
      </c>
      <c r="R1103" s="72">
        <f t="shared" si="1932"/>
        <v>0</v>
      </c>
    </row>
    <row r="1104" spans="1:18" x14ac:dyDescent="0.25">
      <c r="A1104" s="26"/>
      <c r="B1104" s="104" t="s">
        <v>512</v>
      </c>
      <c r="C1104" s="15">
        <v>8</v>
      </c>
      <c r="D1104" s="16">
        <v>200</v>
      </c>
      <c r="E1104" s="15">
        <v>2</v>
      </c>
      <c r="F1104" s="11">
        <v>1</v>
      </c>
      <c r="G1104" s="11">
        <f>+ROUND(2.44/(D1104/1000)+1,0)/2</f>
        <v>6.5</v>
      </c>
      <c r="H1104" s="95"/>
      <c r="I1104" s="95">
        <f>0.1+0.9</f>
        <v>1</v>
      </c>
      <c r="J1104" s="100"/>
      <c r="K1104" s="22"/>
      <c r="L1104" s="72">
        <f t="shared" ref="L1104:L1105" si="1933">SUM(H1104:J1104)+K1104</f>
        <v>1</v>
      </c>
      <c r="M1104" s="72">
        <f t="shared" ref="M1104:M1105" si="1934">+ROUND(IF(C1104=8,PRODUCT(E1104,F1104,G1104,L1104),0),2)</f>
        <v>13</v>
      </c>
      <c r="N1104" s="72">
        <f t="shared" ref="N1104:N1105" si="1935">+ROUND(IF(C1104=10,PRODUCT(E1104,F1104,G1104,L1104),0),2)</f>
        <v>0</v>
      </c>
      <c r="O1104" s="72">
        <f t="shared" ref="O1104:O1105" si="1936">+ROUND(IF(C1104=12,PRODUCT(E1104,F1104,G1104,L1104),0),2)</f>
        <v>0</v>
      </c>
      <c r="P1104" s="72">
        <f t="shared" ref="P1104:P1105" si="1937">+ROUND(IF(C1104=16,PRODUCT(E1104,F1104,G1104,L1104),0),2)</f>
        <v>0</v>
      </c>
      <c r="Q1104" s="72">
        <f t="shared" ref="Q1104:Q1105" si="1938">+ROUND(IF(C1104=20,PRODUCT(E1104,F1104,G1104,L1104),0),2)</f>
        <v>0</v>
      </c>
      <c r="R1104" s="72">
        <f t="shared" ref="R1104:R1105" si="1939">+ROUND(IF(C1104=25,PRODUCT(E1104,F1104,G1104,L1104),0),2)</f>
        <v>0</v>
      </c>
    </row>
    <row r="1105" spans="1:18" x14ac:dyDescent="0.25">
      <c r="A1105" s="26"/>
      <c r="B1105" s="104" t="s">
        <v>759</v>
      </c>
      <c r="C1105" s="15">
        <v>8</v>
      </c>
      <c r="D1105" s="16">
        <v>200</v>
      </c>
      <c r="E1105" s="15">
        <v>2</v>
      </c>
      <c r="F1105" s="11">
        <v>1</v>
      </c>
      <c r="G1105" s="11">
        <f>+ROUND(1.8/(D1105/1000)+1,0)</f>
        <v>10</v>
      </c>
      <c r="H1105" s="95">
        <v>0.2</v>
      </c>
      <c r="I1105" s="95">
        <v>2.44</v>
      </c>
      <c r="J1105" s="100"/>
      <c r="K1105" s="22"/>
      <c r="L1105" s="72">
        <f t="shared" si="1933"/>
        <v>2.64</v>
      </c>
      <c r="M1105" s="72">
        <f t="shared" si="1934"/>
        <v>52.8</v>
      </c>
      <c r="N1105" s="72">
        <f t="shared" si="1935"/>
        <v>0</v>
      </c>
      <c r="O1105" s="72">
        <f t="shared" si="1936"/>
        <v>0</v>
      </c>
      <c r="P1105" s="72">
        <f t="shared" si="1937"/>
        <v>0</v>
      </c>
      <c r="Q1105" s="72">
        <f t="shared" si="1938"/>
        <v>0</v>
      </c>
      <c r="R1105" s="72">
        <f t="shared" si="1939"/>
        <v>0</v>
      </c>
    </row>
    <row r="1106" spans="1:18" x14ac:dyDescent="0.25">
      <c r="A1106" s="26"/>
      <c r="B1106" s="25"/>
      <c r="C1106" s="15"/>
      <c r="D1106" s="16"/>
      <c r="E1106" s="15"/>
      <c r="F1106" s="11"/>
      <c r="G1106" s="11"/>
      <c r="H1106" s="95"/>
      <c r="I1106" s="95"/>
      <c r="J1106" s="100"/>
      <c r="K1106" s="22"/>
      <c r="L1106" s="72"/>
      <c r="M1106" s="72"/>
      <c r="N1106" s="72"/>
      <c r="O1106" s="72"/>
      <c r="P1106" s="72"/>
      <c r="Q1106" s="72"/>
      <c r="R1106" s="72"/>
    </row>
    <row r="1107" spans="1:18" x14ac:dyDescent="0.25">
      <c r="A1107" s="26"/>
      <c r="B1107" s="45" t="s">
        <v>812</v>
      </c>
      <c r="C1107" s="15"/>
      <c r="D1107" s="16"/>
      <c r="E1107" s="15"/>
      <c r="F1107" s="11"/>
      <c r="G1107" s="11"/>
      <c r="H1107" s="95"/>
      <c r="I1107" s="95"/>
      <c r="J1107" s="100"/>
      <c r="K1107" s="22"/>
      <c r="L1107" s="72">
        <f t="shared" ref="L1107" si="1940">SUM(H1107:J1107)+K1107</f>
        <v>0</v>
      </c>
      <c r="M1107" s="72">
        <f t="shared" si="1913"/>
        <v>0</v>
      </c>
      <c r="N1107" s="72">
        <f t="shared" si="1914"/>
        <v>0</v>
      </c>
      <c r="O1107" s="72">
        <f t="shared" si="1915"/>
        <v>0</v>
      </c>
      <c r="P1107" s="72">
        <f t="shared" si="1916"/>
        <v>0</v>
      </c>
      <c r="Q1107" s="72">
        <f t="shared" si="1917"/>
        <v>0</v>
      </c>
      <c r="R1107" s="72">
        <f t="shared" si="1918"/>
        <v>0</v>
      </c>
    </row>
    <row r="1108" spans="1:18" x14ac:dyDescent="0.25">
      <c r="A1108" s="26"/>
      <c r="B1108" s="104" t="s">
        <v>516</v>
      </c>
      <c r="C1108" s="15">
        <v>8</v>
      </c>
      <c r="D1108" s="16">
        <v>200</v>
      </c>
      <c r="E1108" s="15">
        <v>2</v>
      </c>
      <c r="F1108" s="11">
        <v>1</v>
      </c>
      <c r="G1108" s="11">
        <f>+ROUND(4.79/(D1108/1000)+1,0)</f>
        <v>25</v>
      </c>
      <c r="H1108" s="95"/>
      <c r="I1108" s="95">
        <f>0.175+3.19+0.175</f>
        <v>3.5399999999999996</v>
      </c>
      <c r="J1108" s="100"/>
      <c r="K1108" s="22"/>
      <c r="L1108" s="72">
        <f>SUM(H1108:J1108)+K1108</f>
        <v>3.5399999999999996</v>
      </c>
      <c r="M1108" s="72">
        <f t="shared" si="1913"/>
        <v>177</v>
      </c>
      <c r="N1108" s="72">
        <f t="shared" si="1914"/>
        <v>0</v>
      </c>
      <c r="O1108" s="72">
        <f t="shared" si="1915"/>
        <v>0</v>
      </c>
      <c r="P1108" s="72">
        <f t="shared" si="1916"/>
        <v>0</v>
      </c>
      <c r="Q1108" s="72">
        <f t="shared" si="1917"/>
        <v>0</v>
      </c>
      <c r="R1108" s="72">
        <f t="shared" si="1918"/>
        <v>0</v>
      </c>
    </row>
    <row r="1109" spans="1:18" x14ac:dyDescent="0.25">
      <c r="A1109" s="26"/>
      <c r="B1109" s="104" t="s">
        <v>521</v>
      </c>
      <c r="C1109" s="15">
        <v>8</v>
      </c>
      <c r="D1109" s="16">
        <v>200</v>
      </c>
      <c r="E1109" s="15">
        <v>2</v>
      </c>
      <c r="F1109" s="11">
        <v>1</v>
      </c>
      <c r="G1109" s="11">
        <f>+ROUND(3.19/(D1109/1000)+1,0)</f>
        <v>17</v>
      </c>
      <c r="H1109" s="95"/>
      <c r="I1109" s="95">
        <f>0.175+4.79+0.175</f>
        <v>5.14</v>
      </c>
      <c r="J1109" s="100"/>
      <c r="K1109" s="22"/>
      <c r="L1109" s="72">
        <f>SUM(H1109:J1109)+K1109</f>
        <v>5.14</v>
      </c>
      <c r="M1109" s="72">
        <f t="shared" si="1913"/>
        <v>174.76</v>
      </c>
      <c r="N1109" s="72">
        <f t="shared" si="1914"/>
        <v>0</v>
      </c>
      <c r="O1109" s="72">
        <f t="shared" si="1915"/>
        <v>0</v>
      </c>
      <c r="P1109" s="72">
        <f t="shared" si="1916"/>
        <v>0</v>
      </c>
      <c r="Q1109" s="72">
        <f t="shared" si="1917"/>
        <v>0</v>
      </c>
      <c r="R1109" s="72">
        <f t="shared" si="1918"/>
        <v>0</v>
      </c>
    </row>
    <row r="1110" spans="1:18" x14ac:dyDescent="0.25">
      <c r="A1110" s="26"/>
      <c r="B1110" s="104" t="s">
        <v>512</v>
      </c>
      <c r="C1110" s="15">
        <v>8</v>
      </c>
      <c r="D1110" s="16">
        <v>200</v>
      </c>
      <c r="E1110" s="15">
        <v>2</v>
      </c>
      <c r="F1110" s="11">
        <v>1</v>
      </c>
      <c r="G1110" s="11">
        <f>+ROUND(5.445/(D1110/1000)+1,0)</f>
        <v>28</v>
      </c>
      <c r="H1110" s="95">
        <v>0.1</v>
      </c>
      <c r="I1110" s="95">
        <f>0.55+0.15</f>
        <v>0.70000000000000007</v>
      </c>
      <c r="J1110" s="100"/>
      <c r="K1110" s="22"/>
      <c r="L1110" s="72">
        <f>SUM(H1110:J1110)+K1110</f>
        <v>0.8</v>
      </c>
      <c r="M1110" s="72">
        <f t="shared" si="1913"/>
        <v>44.8</v>
      </c>
      <c r="N1110" s="72">
        <f t="shared" si="1914"/>
        <v>0</v>
      </c>
      <c r="O1110" s="72">
        <f t="shared" si="1915"/>
        <v>0</v>
      </c>
      <c r="P1110" s="72">
        <f t="shared" si="1916"/>
        <v>0</v>
      </c>
      <c r="Q1110" s="72">
        <f t="shared" si="1917"/>
        <v>0</v>
      </c>
      <c r="R1110" s="72">
        <f t="shared" si="1918"/>
        <v>0</v>
      </c>
    </row>
    <row r="1111" spans="1:18" x14ac:dyDescent="0.25">
      <c r="A1111" s="26"/>
      <c r="B1111" s="104" t="s">
        <v>759</v>
      </c>
      <c r="C1111" s="15">
        <v>8</v>
      </c>
      <c r="D1111" s="16">
        <v>200</v>
      </c>
      <c r="E1111" s="15">
        <v>2</v>
      </c>
      <c r="F1111" s="11">
        <v>1</v>
      </c>
      <c r="G1111" s="11">
        <f>+ROUND(0.45/(D1111/1000)+1,0)</f>
        <v>3</v>
      </c>
      <c r="H1111" s="95">
        <v>0.2</v>
      </c>
      <c r="I1111" s="95">
        <v>5.4450000000000003</v>
      </c>
      <c r="J1111" s="100"/>
      <c r="K1111" s="22"/>
      <c r="L1111" s="72">
        <f t="shared" ref="L1111:L1114" si="1941">SUM(H1111:J1111)+K1111</f>
        <v>5.6450000000000005</v>
      </c>
      <c r="M1111" s="72">
        <f t="shared" si="1913"/>
        <v>33.869999999999997</v>
      </c>
      <c r="N1111" s="72">
        <f t="shared" si="1914"/>
        <v>0</v>
      </c>
      <c r="O1111" s="72">
        <f t="shared" si="1915"/>
        <v>0</v>
      </c>
      <c r="P1111" s="72">
        <f t="shared" si="1916"/>
        <v>0</v>
      </c>
      <c r="Q1111" s="72">
        <f t="shared" si="1917"/>
        <v>0</v>
      </c>
      <c r="R1111" s="72">
        <f t="shared" si="1918"/>
        <v>0</v>
      </c>
    </row>
    <row r="1112" spans="1:18" x14ac:dyDescent="0.25">
      <c r="A1112" s="26"/>
      <c r="B1112" s="104" t="s">
        <v>512</v>
      </c>
      <c r="C1112" s="15">
        <v>8</v>
      </c>
      <c r="D1112" s="16">
        <v>200</v>
      </c>
      <c r="E1112" s="15">
        <v>2</v>
      </c>
      <c r="F1112" s="11">
        <v>1</v>
      </c>
      <c r="G1112" s="11">
        <f>+ROUND(1.4/(D1112/1000)+1,0)/2</f>
        <v>4</v>
      </c>
      <c r="H1112" s="95"/>
      <c r="I1112" s="95">
        <f>0.1+1.5</f>
        <v>1.6</v>
      </c>
      <c r="J1112" s="100"/>
      <c r="K1112" s="22"/>
      <c r="L1112" s="72">
        <f t="shared" si="1941"/>
        <v>1.6</v>
      </c>
      <c r="M1112" s="72">
        <f t="shared" si="1913"/>
        <v>12.8</v>
      </c>
      <c r="N1112" s="72">
        <f t="shared" si="1914"/>
        <v>0</v>
      </c>
      <c r="O1112" s="72">
        <f t="shared" si="1915"/>
        <v>0</v>
      </c>
      <c r="P1112" s="72">
        <f t="shared" si="1916"/>
        <v>0</v>
      </c>
      <c r="Q1112" s="72">
        <f t="shared" si="1917"/>
        <v>0</v>
      </c>
      <c r="R1112" s="72">
        <f t="shared" si="1918"/>
        <v>0</v>
      </c>
    </row>
    <row r="1113" spans="1:18" x14ac:dyDescent="0.25">
      <c r="A1113" s="26"/>
      <c r="B1113" s="104" t="s">
        <v>512</v>
      </c>
      <c r="C1113" s="15">
        <v>8</v>
      </c>
      <c r="D1113" s="16">
        <v>200</v>
      </c>
      <c r="E1113" s="15">
        <v>2</v>
      </c>
      <c r="F1113" s="11">
        <v>1</v>
      </c>
      <c r="G1113" s="11">
        <f>+ROUND(1.4/(D1113/1000)+1,0)/2</f>
        <v>4</v>
      </c>
      <c r="H1113" s="95"/>
      <c r="I1113" s="95">
        <f>0.1+0.75</f>
        <v>0.85</v>
      </c>
      <c r="J1113" s="100"/>
      <c r="K1113" s="22"/>
      <c r="L1113" s="72">
        <f t="shared" si="1941"/>
        <v>0.85</v>
      </c>
      <c r="M1113" s="72">
        <f t="shared" si="1913"/>
        <v>6.8</v>
      </c>
      <c r="N1113" s="72">
        <f t="shared" si="1914"/>
        <v>0</v>
      </c>
      <c r="O1113" s="72">
        <f t="shared" si="1915"/>
        <v>0</v>
      </c>
      <c r="P1113" s="72">
        <f t="shared" si="1916"/>
        <v>0</v>
      </c>
      <c r="Q1113" s="72">
        <f t="shared" si="1917"/>
        <v>0</v>
      </c>
      <c r="R1113" s="72">
        <f t="shared" si="1918"/>
        <v>0</v>
      </c>
    </row>
    <row r="1114" spans="1:18" x14ac:dyDescent="0.25">
      <c r="A1114" s="26"/>
      <c r="B1114" s="104" t="s">
        <v>759</v>
      </c>
      <c r="C1114" s="15">
        <v>8</v>
      </c>
      <c r="D1114" s="16">
        <v>200</v>
      </c>
      <c r="E1114" s="15">
        <v>2</v>
      </c>
      <c r="F1114" s="11">
        <v>1</v>
      </c>
      <c r="G1114" s="11">
        <f>+ROUND(1.5/(D1114/1000)+1,0)</f>
        <v>9</v>
      </c>
      <c r="H1114" s="95">
        <v>0.2</v>
      </c>
      <c r="I1114" s="95">
        <v>1.4</v>
      </c>
      <c r="J1114" s="100"/>
      <c r="K1114" s="22"/>
      <c r="L1114" s="72">
        <f t="shared" si="1941"/>
        <v>1.5999999999999999</v>
      </c>
      <c r="M1114" s="72">
        <f t="shared" si="1913"/>
        <v>28.8</v>
      </c>
      <c r="N1114" s="72">
        <f t="shared" si="1914"/>
        <v>0</v>
      </c>
      <c r="O1114" s="72">
        <f t="shared" si="1915"/>
        <v>0</v>
      </c>
      <c r="P1114" s="72">
        <f t="shared" si="1916"/>
        <v>0</v>
      </c>
      <c r="Q1114" s="72">
        <f t="shared" si="1917"/>
        <v>0</v>
      </c>
      <c r="R1114" s="72">
        <f t="shared" si="1918"/>
        <v>0</v>
      </c>
    </row>
    <row r="1115" spans="1:18" x14ac:dyDescent="0.25">
      <c r="A1115" s="26"/>
      <c r="B1115" s="104" t="s">
        <v>515</v>
      </c>
      <c r="C1115" s="15">
        <v>8</v>
      </c>
      <c r="D1115" s="16">
        <v>150</v>
      </c>
      <c r="E1115" s="15">
        <v>2</v>
      </c>
      <c r="F1115" s="11">
        <v>1</v>
      </c>
      <c r="G1115" s="11">
        <f>+ROUND(1.79/(D1115/1000)+1,0)/2</f>
        <v>6.5</v>
      </c>
      <c r="H1115" s="95"/>
      <c r="I1115" s="95">
        <f>0.1+1.5</f>
        <v>1.6</v>
      </c>
      <c r="J1115" s="100"/>
      <c r="K1115" s="22"/>
      <c r="L1115" s="72">
        <f t="shared" ref="L1115:L1117" si="1942">SUM(H1115:J1115)+K1115</f>
        <v>1.6</v>
      </c>
      <c r="M1115" s="72">
        <f t="shared" ref="M1115:M1117" si="1943">+ROUND(IF(C1115=8,PRODUCT(E1115,F1115,G1115,L1115),0),2)</f>
        <v>20.8</v>
      </c>
      <c r="N1115" s="72">
        <f t="shared" ref="N1115:N1117" si="1944">+ROUND(IF(C1115=10,PRODUCT(E1115,F1115,G1115,L1115),0),2)</f>
        <v>0</v>
      </c>
      <c r="O1115" s="72">
        <f t="shared" ref="O1115:O1117" si="1945">+ROUND(IF(C1115=12,PRODUCT(E1115,F1115,G1115,L1115),0),2)</f>
        <v>0</v>
      </c>
      <c r="P1115" s="72">
        <f t="shared" ref="P1115:P1117" si="1946">+ROUND(IF(C1115=16,PRODUCT(E1115,F1115,G1115,L1115),0),2)</f>
        <v>0</v>
      </c>
      <c r="Q1115" s="72">
        <f t="shared" ref="Q1115:Q1117" si="1947">+ROUND(IF(C1115=20,PRODUCT(E1115,F1115,G1115,L1115),0),2)</f>
        <v>0</v>
      </c>
      <c r="R1115" s="72">
        <f t="shared" ref="R1115:R1117" si="1948">+ROUND(IF(C1115=25,PRODUCT(E1115,F1115,G1115,L1115),0),2)</f>
        <v>0</v>
      </c>
    </row>
    <row r="1116" spans="1:18" x14ac:dyDescent="0.25">
      <c r="A1116" s="26"/>
      <c r="B1116" s="104" t="s">
        <v>515</v>
      </c>
      <c r="C1116" s="15">
        <v>8</v>
      </c>
      <c r="D1116" s="16">
        <v>150</v>
      </c>
      <c r="E1116" s="15">
        <v>2</v>
      </c>
      <c r="F1116" s="11">
        <v>1</v>
      </c>
      <c r="G1116" s="11">
        <f>+ROUND(1.79/(D1116/1000)+1,0)/2</f>
        <v>6.5</v>
      </c>
      <c r="H1116" s="95"/>
      <c r="I1116" s="95">
        <f>0.1+0.75</f>
        <v>0.85</v>
      </c>
      <c r="J1116" s="100"/>
      <c r="K1116" s="22"/>
      <c r="L1116" s="72">
        <f t="shared" si="1942"/>
        <v>0.85</v>
      </c>
      <c r="M1116" s="72">
        <f t="shared" si="1943"/>
        <v>11.05</v>
      </c>
      <c r="N1116" s="72">
        <f t="shared" si="1944"/>
        <v>0</v>
      </c>
      <c r="O1116" s="72">
        <f t="shared" si="1945"/>
        <v>0</v>
      </c>
      <c r="P1116" s="72">
        <f t="shared" si="1946"/>
        <v>0</v>
      </c>
      <c r="Q1116" s="72">
        <f t="shared" si="1947"/>
        <v>0</v>
      </c>
      <c r="R1116" s="72">
        <f t="shared" si="1948"/>
        <v>0</v>
      </c>
    </row>
    <row r="1117" spans="1:18" x14ac:dyDescent="0.25">
      <c r="A1117" s="26"/>
      <c r="B1117" s="104" t="s">
        <v>759</v>
      </c>
      <c r="C1117" s="15">
        <v>8</v>
      </c>
      <c r="D1117" s="16">
        <v>200</v>
      </c>
      <c r="E1117" s="15">
        <v>2</v>
      </c>
      <c r="F1117" s="11">
        <v>1</v>
      </c>
      <c r="G1117" s="11">
        <f>+ROUND(1.5/(D1117/1000)+1,0)</f>
        <v>9</v>
      </c>
      <c r="H1117" s="95">
        <v>0.2</v>
      </c>
      <c r="I1117" s="95">
        <v>1.4</v>
      </c>
      <c r="J1117" s="100"/>
      <c r="K1117" s="22"/>
      <c r="L1117" s="72">
        <f t="shared" si="1942"/>
        <v>1.5999999999999999</v>
      </c>
      <c r="M1117" s="72">
        <f t="shared" si="1943"/>
        <v>28.8</v>
      </c>
      <c r="N1117" s="72">
        <f t="shared" si="1944"/>
        <v>0</v>
      </c>
      <c r="O1117" s="72">
        <f t="shared" si="1945"/>
        <v>0</v>
      </c>
      <c r="P1117" s="72">
        <f t="shared" si="1946"/>
        <v>0</v>
      </c>
      <c r="Q1117" s="72">
        <f t="shared" si="1947"/>
        <v>0</v>
      </c>
      <c r="R1117" s="72">
        <f t="shared" si="1948"/>
        <v>0</v>
      </c>
    </row>
    <row r="1118" spans="1:18" x14ac:dyDescent="0.25">
      <c r="A1118" s="26"/>
      <c r="B1118" s="25"/>
      <c r="C1118" s="15"/>
      <c r="D1118" s="16"/>
      <c r="E1118" s="15"/>
      <c r="F1118" s="11"/>
      <c r="G1118" s="11"/>
      <c r="H1118" s="95"/>
      <c r="I1118" s="95"/>
      <c r="J1118" s="100"/>
      <c r="K1118" s="22"/>
      <c r="L1118" s="72"/>
      <c r="M1118" s="72"/>
      <c r="N1118" s="72"/>
      <c r="O1118" s="72"/>
      <c r="P1118" s="72"/>
      <c r="Q1118" s="72"/>
      <c r="R1118" s="72"/>
    </row>
    <row r="1119" spans="1:18" x14ac:dyDescent="0.25">
      <c r="A1119" s="26"/>
      <c r="B1119" s="45" t="s">
        <v>822</v>
      </c>
      <c r="C1119" s="15"/>
      <c r="D1119" s="16"/>
      <c r="E1119" s="15"/>
      <c r="F1119" s="11"/>
      <c r="G1119" s="11"/>
      <c r="H1119" s="95"/>
      <c r="I1119" s="95"/>
      <c r="J1119" s="100"/>
      <c r="K1119" s="22"/>
      <c r="L1119" s="72">
        <f t="shared" ref="L1119" si="1949">SUM(H1119:J1119)+K1119</f>
        <v>0</v>
      </c>
      <c r="M1119" s="72">
        <f t="shared" ref="M1119:M1121" si="1950">+ROUND(IF(C1119=8,PRODUCT(E1119,F1119,G1119,L1119),0),2)</f>
        <v>0</v>
      </c>
      <c r="N1119" s="72">
        <f t="shared" ref="N1119:N1121" si="1951">+ROUND(IF(C1119=10,PRODUCT(E1119,F1119,G1119,L1119),0),2)</f>
        <v>0</v>
      </c>
      <c r="O1119" s="72">
        <f t="shared" ref="O1119:O1121" si="1952">+ROUND(IF(C1119=12,PRODUCT(E1119,F1119,G1119,L1119),0),2)</f>
        <v>0</v>
      </c>
      <c r="P1119" s="72">
        <f t="shared" ref="P1119:P1121" si="1953">+ROUND(IF(C1119=16,PRODUCT(E1119,F1119,G1119,L1119),0),2)</f>
        <v>0</v>
      </c>
      <c r="Q1119" s="72">
        <f t="shared" ref="Q1119:Q1121" si="1954">+ROUND(IF(C1119=20,PRODUCT(E1119,F1119,G1119,L1119),0),2)</f>
        <v>0</v>
      </c>
      <c r="R1119" s="72">
        <f t="shared" ref="R1119:R1121" si="1955">+ROUND(IF(C1119=25,PRODUCT(E1119,F1119,G1119,L1119),0),2)</f>
        <v>0</v>
      </c>
    </row>
    <row r="1120" spans="1:18" x14ac:dyDescent="0.25">
      <c r="A1120" s="26"/>
      <c r="B1120" s="104" t="s">
        <v>516</v>
      </c>
      <c r="C1120" s="15">
        <v>8</v>
      </c>
      <c r="D1120" s="16">
        <v>200</v>
      </c>
      <c r="E1120" s="15">
        <v>8</v>
      </c>
      <c r="F1120" s="11">
        <v>1</v>
      </c>
      <c r="G1120" s="11">
        <f>+ROUND(0.5/(D1120/1000)+1,0)</f>
        <v>4</v>
      </c>
      <c r="H1120" s="95">
        <v>0.2</v>
      </c>
      <c r="I1120" s="95">
        <v>1.1499999999999999</v>
      </c>
      <c r="J1120" s="100"/>
      <c r="K1120" s="22"/>
      <c r="L1120" s="72">
        <f>SUM(H1120:J1120)+K1120</f>
        <v>1.3499999999999999</v>
      </c>
      <c r="M1120" s="72">
        <f t="shared" si="1950"/>
        <v>43.2</v>
      </c>
      <c r="N1120" s="72">
        <f t="shared" si="1951"/>
        <v>0</v>
      </c>
      <c r="O1120" s="72">
        <f t="shared" si="1952"/>
        <v>0</v>
      </c>
      <c r="P1120" s="72">
        <f t="shared" si="1953"/>
        <v>0</v>
      </c>
      <c r="Q1120" s="72">
        <f t="shared" si="1954"/>
        <v>0</v>
      </c>
      <c r="R1120" s="72">
        <f t="shared" si="1955"/>
        <v>0</v>
      </c>
    </row>
    <row r="1121" spans="1:18" x14ac:dyDescent="0.25">
      <c r="A1121" s="26"/>
      <c r="B1121" s="104" t="s">
        <v>521</v>
      </c>
      <c r="C1121" s="15">
        <v>8</v>
      </c>
      <c r="D1121" s="16">
        <v>200</v>
      </c>
      <c r="E1121" s="15">
        <v>8</v>
      </c>
      <c r="F1121" s="11">
        <v>1</v>
      </c>
      <c r="G1121" s="11">
        <f>+ROUND(1.15/(D1121/1000)+1,0)</f>
        <v>7</v>
      </c>
      <c r="H1121" s="95">
        <v>0.2</v>
      </c>
      <c r="I1121" s="95">
        <v>0.5</v>
      </c>
      <c r="J1121" s="100"/>
      <c r="K1121" s="22"/>
      <c r="L1121" s="72">
        <f>SUM(H1121:J1121)+K1121</f>
        <v>0.7</v>
      </c>
      <c r="M1121" s="72">
        <f t="shared" si="1950"/>
        <v>39.200000000000003</v>
      </c>
      <c r="N1121" s="72">
        <f t="shared" si="1951"/>
        <v>0</v>
      </c>
      <c r="O1121" s="72">
        <f t="shared" si="1952"/>
        <v>0</v>
      </c>
      <c r="P1121" s="72">
        <f t="shared" si="1953"/>
        <v>0</v>
      </c>
      <c r="Q1121" s="72">
        <f t="shared" si="1954"/>
        <v>0</v>
      </c>
      <c r="R1121" s="72">
        <f t="shared" si="1955"/>
        <v>0</v>
      </c>
    </row>
    <row r="1122" spans="1:18" x14ac:dyDescent="0.25">
      <c r="A1122" s="26"/>
      <c r="B1122" s="25"/>
      <c r="C1122" s="15"/>
      <c r="D1122" s="16"/>
      <c r="E1122" s="15"/>
      <c r="F1122" s="11"/>
      <c r="G1122" s="11"/>
      <c r="H1122" s="95"/>
      <c r="I1122" s="95"/>
      <c r="J1122" s="100"/>
      <c r="K1122" s="22"/>
      <c r="L1122" s="72">
        <f t="shared" si="6"/>
        <v>0</v>
      </c>
      <c r="M1122" s="72">
        <f t="shared" si="0"/>
        <v>0</v>
      </c>
      <c r="N1122" s="72">
        <f t="shared" si="1"/>
        <v>0</v>
      </c>
      <c r="O1122" s="72">
        <f t="shared" si="2"/>
        <v>0</v>
      </c>
      <c r="P1122" s="72">
        <f t="shared" si="3"/>
        <v>0</v>
      </c>
      <c r="Q1122" s="72">
        <f t="shared" si="4"/>
        <v>0</v>
      </c>
      <c r="R1122" s="72">
        <f t="shared" si="5"/>
        <v>0</v>
      </c>
    </row>
    <row r="1123" spans="1:18" x14ac:dyDescent="0.25">
      <c r="A1123" s="26"/>
      <c r="B1123" s="48" t="s">
        <v>825</v>
      </c>
      <c r="C1123" s="15"/>
      <c r="D1123" s="16"/>
      <c r="E1123" s="15"/>
      <c r="F1123" s="11"/>
      <c r="G1123" s="11"/>
      <c r="H1123" s="95"/>
      <c r="I1123" s="95"/>
      <c r="J1123" s="100"/>
      <c r="K1123" s="22"/>
      <c r="L1123" s="72"/>
      <c r="M1123" s="72"/>
      <c r="N1123" s="72"/>
      <c r="O1123" s="72"/>
      <c r="P1123" s="72"/>
      <c r="Q1123" s="72"/>
      <c r="R1123" s="72"/>
    </row>
    <row r="1124" spans="1:18" x14ac:dyDescent="0.25">
      <c r="A1124" s="26" t="s">
        <v>498</v>
      </c>
      <c r="B1124" s="106" t="s">
        <v>522</v>
      </c>
      <c r="C1124" s="15"/>
      <c r="D1124" s="16"/>
      <c r="E1124" s="15"/>
      <c r="F1124" s="11"/>
      <c r="G1124" s="11"/>
      <c r="H1124" s="95"/>
      <c r="I1124" s="95"/>
      <c r="J1124" s="100"/>
      <c r="K1124" s="22"/>
      <c r="L1124" s="72">
        <f t="shared" ref="L1124" si="1956">SUM(H1124:J1124)+K1124</f>
        <v>0</v>
      </c>
      <c r="M1124" s="72">
        <f t="shared" ref="M1124:M1127" si="1957">+ROUND(IF(C1124=8,PRODUCT(E1124,F1124,G1124,L1124),0),2)</f>
        <v>0</v>
      </c>
      <c r="N1124" s="72">
        <f t="shared" ref="N1124:N1127" si="1958">+ROUND(IF(C1124=10,PRODUCT(E1124,F1124,G1124,L1124),0),2)</f>
        <v>0</v>
      </c>
      <c r="O1124" s="72">
        <f t="shared" ref="O1124:O1127" si="1959">+ROUND(IF(C1124=12,PRODUCT(E1124,F1124,G1124,L1124),0),2)</f>
        <v>0</v>
      </c>
      <c r="P1124" s="72">
        <f t="shared" ref="P1124:P1127" si="1960">+ROUND(IF(C1124=16,PRODUCT(E1124,F1124,G1124,L1124),0),2)</f>
        <v>0</v>
      </c>
      <c r="Q1124" s="72">
        <f t="shared" ref="Q1124:Q1127" si="1961">+ROUND(IF(C1124=20,PRODUCT(E1124,F1124,G1124,L1124),0),2)</f>
        <v>0</v>
      </c>
      <c r="R1124" s="72">
        <f t="shared" ref="R1124:R1127" si="1962">+ROUND(IF(C1124=25,PRODUCT(E1124,F1124,G1124,L1124),0),2)</f>
        <v>0</v>
      </c>
    </row>
    <row r="1125" spans="1:18" x14ac:dyDescent="0.25">
      <c r="A1125" s="26"/>
      <c r="B1125" s="104" t="s">
        <v>385</v>
      </c>
      <c r="C1125" s="15">
        <v>20</v>
      </c>
      <c r="D1125" s="16"/>
      <c r="E1125" s="15">
        <v>2</v>
      </c>
      <c r="F1125" s="11">
        <v>1</v>
      </c>
      <c r="G1125" s="11">
        <v>2</v>
      </c>
      <c r="H1125" s="95">
        <v>0.3</v>
      </c>
      <c r="I1125" s="95">
        <f>4.18-0.06</f>
        <v>4.12</v>
      </c>
      <c r="J1125" s="100">
        <v>0.3</v>
      </c>
      <c r="K1125" s="22"/>
      <c r="L1125" s="72">
        <f>SUM(H1125:J1125)+K1125</f>
        <v>4.72</v>
      </c>
      <c r="M1125" s="72">
        <f t="shared" si="1957"/>
        <v>0</v>
      </c>
      <c r="N1125" s="72">
        <f t="shared" si="1958"/>
        <v>0</v>
      </c>
      <c r="O1125" s="72">
        <f t="shared" si="1959"/>
        <v>0</v>
      </c>
      <c r="P1125" s="72">
        <f t="shared" si="1960"/>
        <v>0</v>
      </c>
      <c r="Q1125" s="72">
        <f t="shared" si="1961"/>
        <v>18.88</v>
      </c>
      <c r="R1125" s="72">
        <f t="shared" si="1962"/>
        <v>0</v>
      </c>
    </row>
    <row r="1126" spans="1:18" x14ac:dyDescent="0.25">
      <c r="A1126" s="26"/>
      <c r="B1126" s="104" t="s">
        <v>432</v>
      </c>
      <c r="C1126" s="15">
        <v>20</v>
      </c>
      <c r="D1126" s="16"/>
      <c r="E1126" s="15">
        <v>2</v>
      </c>
      <c r="F1126" s="11">
        <v>1</v>
      </c>
      <c r="G1126" s="11">
        <v>2</v>
      </c>
      <c r="H1126" s="95">
        <v>0.3</v>
      </c>
      <c r="I1126" s="95">
        <f>4.18-0.06</f>
        <v>4.12</v>
      </c>
      <c r="J1126" s="100">
        <v>0.3</v>
      </c>
      <c r="K1126" s="22"/>
      <c r="L1126" s="72">
        <f t="shared" ref="L1126" si="1963">SUM(H1126:J1126)+K1126</f>
        <v>4.72</v>
      </c>
      <c r="M1126" s="72">
        <f t="shared" si="1957"/>
        <v>0</v>
      </c>
      <c r="N1126" s="72">
        <f t="shared" si="1958"/>
        <v>0</v>
      </c>
      <c r="O1126" s="72">
        <f t="shared" si="1959"/>
        <v>0</v>
      </c>
      <c r="P1126" s="72">
        <f t="shared" si="1960"/>
        <v>0</v>
      </c>
      <c r="Q1126" s="72">
        <f t="shared" si="1961"/>
        <v>18.88</v>
      </c>
      <c r="R1126" s="72">
        <f t="shared" si="1962"/>
        <v>0</v>
      </c>
    </row>
    <row r="1127" spans="1:18" x14ac:dyDescent="0.25">
      <c r="A1127" s="26"/>
      <c r="B1127" s="104" t="s">
        <v>434</v>
      </c>
      <c r="C1127" s="15">
        <v>10</v>
      </c>
      <c r="D1127" s="16">
        <v>100</v>
      </c>
      <c r="E1127" s="15">
        <v>2</v>
      </c>
      <c r="F1127" s="11">
        <v>1</v>
      </c>
      <c r="G1127" s="11">
        <f>+ROUND(3.2/0.1+1,0)</f>
        <v>33</v>
      </c>
      <c r="H1127" s="95"/>
      <c r="I1127" s="95">
        <f>2*(0.18+0.4)+16*C1127/1000</f>
        <v>1.32</v>
      </c>
      <c r="J1127" s="100"/>
      <c r="K1127" s="47"/>
      <c r="L1127" s="72">
        <f>SUM(H1127:J1127)+K1127</f>
        <v>1.32</v>
      </c>
      <c r="M1127" s="72">
        <f t="shared" si="1957"/>
        <v>0</v>
      </c>
      <c r="N1127" s="72">
        <f t="shared" si="1958"/>
        <v>87.12</v>
      </c>
      <c r="O1127" s="72">
        <f t="shared" si="1959"/>
        <v>0</v>
      </c>
      <c r="P1127" s="72">
        <f t="shared" si="1960"/>
        <v>0</v>
      </c>
      <c r="Q1127" s="72">
        <f t="shared" si="1961"/>
        <v>0</v>
      </c>
      <c r="R1127" s="72">
        <f t="shared" si="1962"/>
        <v>0</v>
      </c>
    </row>
    <row r="1128" spans="1:18" x14ac:dyDescent="0.25">
      <c r="A1128" s="26"/>
      <c r="B1128" s="106"/>
      <c r="C1128" s="15"/>
      <c r="D1128" s="16"/>
      <c r="E1128" s="15"/>
      <c r="F1128" s="11"/>
      <c r="G1128" s="11"/>
      <c r="H1128" s="95"/>
      <c r="I1128" s="95"/>
      <c r="J1128" s="100"/>
      <c r="K1128" s="22"/>
      <c r="L1128" s="72"/>
      <c r="M1128" s="72"/>
      <c r="N1128" s="72"/>
      <c r="O1128" s="72"/>
      <c r="P1128" s="72"/>
      <c r="Q1128" s="72"/>
      <c r="R1128" s="72"/>
    </row>
    <row r="1129" spans="1:18" x14ac:dyDescent="0.25">
      <c r="A1129" s="26"/>
      <c r="B1129" s="106"/>
      <c r="C1129" s="15"/>
      <c r="D1129" s="16"/>
      <c r="E1129" s="15"/>
      <c r="F1129" s="11"/>
      <c r="G1129" s="11"/>
      <c r="H1129" s="95"/>
      <c r="I1129" s="95"/>
      <c r="J1129" s="100"/>
      <c r="K1129" s="22"/>
      <c r="L1129" s="72"/>
      <c r="M1129" s="72"/>
      <c r="N1129" s="72"/>
      <c r="O1129" s="72"/>
      <c r="P1129" s="72"/>
      <c r="Q1129" s="72"/>
      <c r="R1129" s="72"/>
    </row>
    <row r="1130" spans="1:18" x14ac:dyDescent="0.25">
      <c r="A1130" s="26"/>
      <c r="B1130" s="104" t="s">
        <v>523</v>
      </c>
      <c r="C1130" s="15">
        <v>12</v>
      </c>
      <c r="D1130" s="16">
        <v>150</v>
      </c>
      <c r="E1130" s="15">
        <v>2</v>
      </c>
      <c r="F1130" s="11">
        <v>2</v>
      </c>
      <c r="G1130" s="11">
        <f>+ROUND(1.5/(D1130/1000)+1,0)</f>
        <v>11</v>
      </c>
      <c r="H1130" s="95">
        <v>0.1</v>
      </c>
      <c r="I1130" s="95">
        <v>4.5999999999999996</v>
      </c>
      <c r="J1130" s="100">
        <v>0.1</v>
      </c>
      <c r="K1130" s="22"/>
      <c r="L1130" s="72">
        <f t="shared" ref="L1130:L1146" si="1964">SUM(H1130:J1130)+K1130</f>
        <v>4.7999999999999989</v>
      </c>
      <c r="M1130" s="72">
        <f t="shared" ref="M1130:M1151" si="1965">+ROUND(IF(C1130=8,PRODUCT(E1130,F1130,G1130,L1130),0),2)</f>
        <v>0</v>
      </c>
      <c r="N1130" s="72">
        <f t="shared" ref="N1130:N1151" si="1966">+ROUND(IF(C1130=10,PRODUCT(E1130,F1130,G1130,L1130),0),2)</f>
        <v>0</v>
      </c>
      <c r="O1130" s="72">
        <f t="shared" ref="O1130:O1151" si="1967">+ROUND(IF(C1130=12,PRODUCT(E1130,F1130,G1130,L1130),0),2)</f>
        <v>211.2</v>
      </c>
      <c r="P1130" s="72">
        <f t="shared" ref="P1130:P1151" si="1968">+ROUND(IF(C1130=16,PRODUCT(E1130,F1130,G1130,L1130),0),2)</f>
        <v>0</v>
      </c>
      <c r="Q1130" s="72">
        <f t="shared" ref="Q1130:Q1151" si="1969">+ROUND(IF(C1130=20,PRODUCT(E1130,F1130,G1130,L1130),0),2)</f>
        <v>0</v>
      </c>
      <c r="R1130" s="72">
        <f t="shared" ref="R1130:R1151" si="1970">+ROUND(IF(C1130=25,PRODUCT(E1130,F1130,G1130,L1130),0),2)</f>
        <v>0</v>
      </c>
    </row>
    <row r="1131" spans="1:18" x14ac:dyDescent="0.25">
      <c r="A1131" s="26"/>
      <c r="B1131" s="104" t="s">
        <v>523</v>
      </c>
      <c r="C1131" s="15">
        <v>10</v>
      </c>
      <c r="D1131" s="16">
        <v>150</v>
      </c>
      <c r="E1131" s="15">
        <v>2</v>
      </c>
      <c r="F1131" s="11">
        <v>2</v>
      </c>
      <c r="G1131" s="11">
        <v>8</v>
      </c>
      <c r="H1131" s="95">
        <v>0.1</v>
      </c>
      <c r="I1131" s="95">
        <v>4.0999999999999996</v>
      </c>
      <c r="J1131" s="100"/>
      <c r="K1131" s="22"/>
      <c r="L1131" s="72">
        <f t="shared" ref="L1131" si="1971">SUM(H1131:J1131)+K1131</f>
        <v>4.1999999999999993</v>
      </c>
      <c r="M1131" s="72">
        <f t="shared" ref="M1131" si="1972">+ROUND(IF(C1131=8,PRODUCT(E1131,F1131,G1131,L1131),0),2)</f>
        <v>0</v>
      </c>
      <c r="N1131" s="72">
        <f t="shared" ref="N1131" si="1973">+ROUND(IF(C1131=10,PRODUCT(E1131,F1131,G1131,L1131),0),2)</f>
        <v>134.4</v>
      </c>
      <c r="O1131" s="72">
        <f t="shared" ref="O1131" si="1974">+ROUND(IF(C1131=12,PRODUCT(E1131,F1131,G1131,L1131),0),2)</f>
        <v>0</v>
      </c>
      <c r="P1131" s="72">
        <f t="shared" ref="P1131" si="1975">+ROUND(IF(C1131=16,PRODUCT(E1131,F1131,G1131,L1131),0),2)</f>
        <v>0</v>
      </c>
      <c r="Q1131" s="72">
        <f t="shared" ref="Q1131" si="1976">+ROUND(IF(C1131=20,PRODUCT(E1131,F1131,G1131,L1131),0),2)</f>
        <v>0</v>
      </c>
      <c r="R1131" s="72">
        <f t="shared" ref="R1131" si="1977">+ROUND(IF(C1131=25,PRODUCT(E1131,F1131,G1131,L1131),0),2)</f>
        <v>0</v>
      </c>
    </row>
    <row r="1132" spans="1:18" x14ac:dyDescent="0.25">
      <c r="A1132" s="26"/>
      <c r="B1132" s="104" t="s">
        <v>524</v>
      </c>
      <c r="C1132" s="15">
        <v>12</v>
      </c>
      <c r="D1132" s="16">
        <v>150</v>
      </c>
      <c r="E1132" s="15">
        <v>2</v>
      </c>
      <c r="F1132" s="11">
        <v>2</v>
      </c>
      <c r="G1132" s="11">
        <f>+ROUND(1.5/(D1132/1000)+1,0)</f>
        <v>11</v>
      </c>
      <c r="H1132" s="95">
        <v>0.1</v>
      </c>
      <c r="I1132" s="95">
        <v>1.52</v>
      </c>
      <c r="J1132" s="100">
        <v>0.1</v>
      </c>
      <c r="K1132" s="22"/>
      <c r="L1132" s="72">
        <f t="shared" si="1964"/>
        <v>1.7200000000000002</v>
      </c>
      <c r="M1132" s="72">
        <f t="shared" si="1965"/>
        <v>0</v>
      </c>
      <c r="N1132" s="72">
        <f t="shared" si="1966"/>
        <v>0</v>
      </c>
      <c r="O1132" s="72">
        <f t="shared" si="1967"/>
        <v>75.680000000000007</v>
      </c>
      <c r="P1132" s="72">
        <f t="shared" si="1968"/>
        <v>0</v>
      </c>
      <c r="Q1132" s="72">
        <f t="shared" si="1969"/>
        <v>0</v>
      </c>
      <c r="R1132" s="72">
        <f t="shared" si="1970"/>
        <v>0</v>
      </c>
    </row>
    <row r="1133" spans="1:18" x14ac:dyDescent="0.25">
      <c r="A1133" s="26"/>
      <c r="B1133" s="104" t="s">
        <v>524</v>
      </c>
      <c r="C1133" s="15">
        <v>12</v>
      </c>
      <c r="D1133" s="16">
        <v>150</v>
      </c>
      <c r="E1133" s="15">
        <v>2</v>
      </c>
      <c r="F1133" s="11">
        <v>2</v>
      </c>
      <c r="G1133" s="11">
        <f>+ROUND(1.5/(D1133/1000)+1,0)</f>
        <v>11</v>
      </c>
      <c r="H1133" s="95"/>
      <c r="I1133" s="95">
        <v>1.4</v>
      </c>
      <c r="J1133" s="100">
        <v>0.45</v>
      </c>
      <c r="K1133" s="22"/>
      <c r="L1133" s="72">
        <f t="shared" ref="L1133" si="1978">SUM(H1133:J1133)+K1133</f>
        <v>1.8499999999999999</v>
      </c>
      <c r="M1133" s="72">
        <f t="shared" ref="M1133" si="1979">+ROUND(IF(C1133=8,PRODUCT(E1133,F1133,G1133,L1133),0),2)</f>
        <v>0</v>
      </c>
      <c r="N1133" s="72">
        <f t="shared" ref="N1133" si="1980">+ROUND(IF(C1133=10,PRODUCT(E1133,F1133,G1133,L1133),0),2)</f>
        <v>0</v>
      </c>
      <c r="O1133" s="72">
        <f t="shared" ref="O1133" si="1981">+ROUND(IF(C1133=12,PRODUCT(E1133,F1133,G1133,L1133),0),2)</f>
        <v>81.400000000000006</v>
      </c>
      <c r="P1133" s="72">
        <f t="shared" si="1968"/>
        <v>0</v>
      </c>
      <c r="Q1133" s="72">
        <f t="shared" si="1969"/>
        <v>0</v>
      </c>
      <c r="R1133" s="72">
        <f t="shared" si="1970"/>
        <v>0</v>
      </c>
    </row>
    <row r="1134" spans="1:18" x14ac:dyDescent="0.25">
      <c r="A1134" s="26"/>
      <c r="B1134" s="104" t="s">
        <v>524</v>
      </c>
      <c r="C1134" s="15">
        <v>10</v>
      </c>
      <c r="D1134" s="16">
        <v>200</v>
      </c>
      <c r="E1134" s="15">
        <v>2</v>
      </c>
      <c r="F1134" s="11">
        <v>2</v>
      </c>
      <c r="G1134" s="11">
        <v>11</v>
      </c>
      <c r="H1134" s="95"/>
      <c r="I1134" s="95">
        <v>2.25</v>
      </c>
      <c r="J1134" s="100">
        <v>0.2</v>
      </c>
      <c r="K1134" s="22"/>
      <c r="L1134" s="72">
        <f t="shared" si="1964"/>
        <v>2.4500000000000002</v>
      </c>
      <c r="M1134" s="72">
        <f t="shared" si="1965"/>
        <v>0</v>
      </c>
      <c r="N1134" s="72">
        <f t="shared" si="1966"/>
        <v>107.8</v>
      </c>
      <c r="O1134" s="72">
        <f t="shared" si="1967"/>
        <v>0</v>
      </c>
      <c r="P1134" s="72">
        <f t="shared" si="1968"/>
        <v>0</v>
      </c>
      <c r="Q1134" s="72">
        <f t="shared" si="1969"/>
        <v>0</v>
      </c>
      <c r="R1134" s="72">
        <f t="shared" si="1970"/>
        <v>0</v>
      </c>
    </row>
    <row r="1135" spans="1:18" x14ac:dyDescent="0.25">
      <c r="A1135" s="26"/>
      <c r="B1135" s="104" t="s">
        <v>524</v>
      </c>
      <c r="C1135" s="15">
        <v>12</v>
      </c>
      <c r="D1135" s="16">
        <v>200</v>
      </c>
      <c r="E1135" s="15">
        <v>2</v>
      </c>
      <c r="F1135" s="11">
        <v>2</v>
      </c>
      <c r="G1135" s="11">
        <v>11</v>
      </c>
      <c r="H1135" s="95"/>
      <c r="I1135" s="95">
        <v>2.1</v>
      </c>
      <c r="J1135" s="100">
        <v>0.1</v>
      </c>
      <c r="K1135" s="22"/>
      <c r="L1135" s="72">
        <f t="shared" ref="L1135" si="1982">SUM(H1135:J1135)+K1135</f>
        <v>2.2000000000000002</v>
      </c>
      <c r="M1135" s="72">
        <f t="shared" ref="M1135" si="1983">+ROUND(IF(C1135=8,PRODUCT(E1135,F1135,G1135,L1135),0),2)</f>
        <v>0</v>
      </c>
      <c r="N1135" s="72">
        <f t="shared" si="1966"/>
        <v>0</v>
      </c>
      <c r="O1135" s="72">
        <f t="shared" si="1967"/>
        <v>96.8</v>
      </c>
      <c r="P1135" s="72">
        <f t="shared" si="1968"/>
        <v>0</v>
      </c>
      <c r="Q1135" s="72">
        <f t="shared" si="1969"/>
        <v>0</v>
      </c>
      <c r="R1135" s="72">
        <f t="shared" si="1970"/>
        <v>0</v>
      </c>
    </row>
    <row r="1136" spans="1:18" x14ac:dyDescent="0.25">
      <c r="A1136" s="26"/>
      <c r="B1136" s="104" t="s">
        <v>759</v>
      </c>
      <c r="C1136" s="15">
        <v>8</v>
      </c>
      <c r="D1136" s="16">
        <v>200</v>
      </c>
      <c r="E1136" s="15">
        <v>2</v>
      </c>
      <c r="F1136" s="11">
        <v>2</v>
      </c>
      <c r="G1136" s="11">
        <v>4</v>
      </c>
      <c r="H1136" s="95"/>
      <c r="I1136" s="95">
        <v>1.5</v>
      </c>
      <c r="J1136" s="100"/>
      <c r="K1136" s="22"/>
      <c r="L1136" s="72">
        <f t="shared" ref="L1136" si="1984">SUM(H1136:J1136)+K1136</f>
        <v>1.5</v>
      </c>
      <c r="M1136" s="72">
        <f t="shared" ref="M1136" si="1985">+ROUND(IF(C1136=8,PRODUCT(E1136,F1136,G1136,L1136),0),2)</f>
        <v>24</v>
      </c>
      <c r="N1136" s="72">
        <f t="shared" ref="N1136" si="1986">+ROUND(IF(C1136=10,PRODUCT(E1136,F1136,G1136,L1136),0),2)</f>
        <v>0</v>
      </c>
      <c r="O1136" s="72">
        <f t="shared" ref="O1136" si="1987">+ROUND(IF(C1136=12,PRODUCT(E1136,F1136,G1136,L1136),0),2)</f>
        <v>0</v>
      </c>
      <c r="P1136" s="72">
        <f t="shared" ref="P1136" si="1988">+ROUND(IF(C1136=16,PRODUCT(E1136,F1136,G1136,L1136),0),2)</f>
        <v>0</v>
      </c>
      <c r="Q1136" s="72">
        <f t="shared" si="1969"/>
        <v>0</v>
      </c>
      <c r="R1136" s="72">
        <f t="shared" si="1970"/>
        <v>0</v>
      </c>
    </row>
    <row r="1137" spans="1:18" x14ac:dyDescent="0.25">
      <c r="A1137" s="26"/>
      <c r="B1137" s="104" t="s">
        <v>759</v>
      </c>
      <c r="C1137" s="15">
        <v>8</v>
      </c>
      <c r="D1137" s="16">
        <v>200</v>
      </c>
      <c r="E1137" s="15">
        <v>2</v>
      </c>
      <c r="F1137" s="11">
        <v>2</v>
      </c>
      <c r="G1137" s="11">
        <v>13</v>
      </c>
      <c r="H1137" s="95"/>
      <c r="I1137" s="95">
        <v>1.7</v>
      </c>
      <c r="J1137" s="100"/>
      <c r="K1137" s="22"/>
      <c r="L1137" s="72">
        <f t="shared" ref="L1137" si="1989">SUM(H1137:J1137)+K1137</f>
        <v>1.7</v>
      </c>
      <c r="M1137" s="72">
        <f t="shared" ref="M1137" si="1990">+ROUND(IF(C1137=8,PRODUCT(E1137,F1137,G1137,L1137),0),2)</f>
        <v>88.4</v>
      </c>
      <c r="N1137" s="72">
        <f t="shared" ref="N1137" si="1991">+ROUND(IF(C1137=10,PRODUCT(E1137,F1137,G1137,L1137),0),2)</f>
        <v>0</v>
      </c>
      <c r="O1137" s="72">
        <f t="shared" ref="O1137" si="1992">+ROUND(IF(C1137=12,PRODUCT(E1137,F1137,G1137,L1137),0),2)</f>
        <v>0</v>
      </c>
      <c r="P1137" s="72">
        <f t="shared" ref="P1137" si="1993">+ROUND(IF(C1137=16,PRODUCT(E1137,F1137,G1137,L1137),0),2)</f>
        <v>0</v>
      </c>
      <c r="Q1137" s="72">
        <f t="shared" ref="Q1137" si="1994">+ROUND(IF(C1137=20,PRODUCT(E1137,F1137,G1137,L1137),0),2)</f>
        <v>0</v>
      </c>
      <c r="R1137" s="72">
        <f t="shared" ref="R1137" si="1995">+ROUND(IF(C1137=25,PRODUCT(E1137,F1137,G1137,L1137),0),2)</f>
        <v>0</v>
      </c>
    </row>
    <row r="1138" spans="1:18" x14ac:dyDescent="0.25">
      <c r="A1138" s="26"/>
      <c r="B1138" s="104" t="s">
        <v>823</v>
      </c>
      <c r="C1138" s="15"/>
      <c r="D1138" s="16"/>
      <c r="E1138" s="15"/>
      <c r="F1138" s="11"/>
      <c r="G1138" s="11"/>
      <c r="H1138" s="95"/>
      <c r="I1138" s="95"/>
      <c r="J1138" s="100"/>
      <c r="K1138" s="22"/>
      <c r="L1138" s="72"/>
      <c r="M1138" s="72">
        <f t="shared" ref="M1138:M1142" si="1996">+ROUND(IF(C1138=8,PRODUCT(E1138,F1138,G1138,L1138),0),2)</f>
        <v>0</v>
      </c>
      <c r="N1138" s="72">
        <f t="shared" ref="N1138:N1142" si="1997">+ROUND(IF(C1138=10,PRODUCT(E1138,F1138,G1138,L1138),0),2)</f>
        <v>0</v>
      </c>
      <c r="O1138" s="72">
        <f t="shared" ref="O1138:O1142" si="1998">+ROUND(IF(C1138=12,PRODUCT(E1138,F1138,G1138,L1138),0),2)</f>
        <v>0</v>
      </c>
      <c r="P1138" s="72">
        <f t="shared" ref="P1138:P1142" si="1999">+ROUND(IF(C1138=16,PRODUCT(E1138,F1138,G1138,L1138),0),2)</f>
        <v>0</v>
      </c>
      <c r="Q1138" s="72">
        <f t="shared" ref="Q1138:Q1142" si="2000">+ROUND(IF(C1138=20,PRODUCT(E1138,F1138,G1138,L1138),0),2)</f>
        <v>0</v>
      </c>
      <c r="R1138" s="72">
        <f t="shared" ref="R1138:R1142" si="2001">+ROUND(IF(C1138=25,PRODUCT(E1138,F1138,G1138,L1138),0),2)</f>
        <v>0</v>
      </c>
    </row>
    <row r="1139" spans="1:18" x14ac:dyDescent="0.25">
      <c r="A1139" s="26"/>
      <c r="B1139" s="104" t="s">
        <v>523</v>
      </c>
      <c r="C1139" s="15">
        <v>12</v>
      </c>
      <c r="D1139" s="16">
        <v>150</v>
      </c>
      <c r="E1139" s="15">
        <v>2</v>
      </c>
      <c r="F1139" s="11">
        <v>2</v>
      </c>
      <c r="G1139" s="11">
        <v>11</v>
      </c>
      <c r="H1139" s="95"/>
      <c r="I1139" s="95">
        <v>4.5999999999999996</v>
      </c>
      <c r="J1139" s="100"/>
      <c r="K1139" s="22"/>
      <c r="L1139" s="72">
        <f t="shared" ref="L1139:L1142" si="2002">SUM(H1139:J1139)+K1139</f>
        <v>4.5999999999999996</v>
      </c>
      <c r="M1139" s="72">
        <f t="shared" si="1996"/>
        <v>0</v>
      </c>
      <c r="N1139" s="72">
        <f t="shared" si="1997"/>
        <v>0</v>
      </c>
      <c r="O1139" s="72">
        <f t="shared" si="1998"/>
        <v>202.4</v>
      </c>
      <c r="P1139" s="72">
        <f t="shared" si="1999"/>
        <v>0</v>
      </c>
      <c r="Q1139" s="72">
        <f t="shared" si="2000"/>
        <v>0</v>
      </c>
      <c r="R1139" s="72">
        <f t="shared" si="2001"/>
        <v>0</v>
      </c>
    </row>
    <row r="1140" spans="1:18" x14ac:dyDescent="0.25">
      <c r="A1140" s="26"/>
      <c r="B1140" s="104" t="s">
        <v>523</v>
      </c>
      <c r="C1140" s="15">
        <v>10</v>
      </c>
      <c r="D1140" s="16">
        <v>200</v>
      </c>
      <c r="E1140" s="15">
        <v>2</v>
      </c>
      <c r="F1140" s="11">
        <v>2</v>
      </c>
      <c r="G1140" s="11">
        <v>8</v>
      </c>
      <c r="H1140" s="95"/>
      <c r="I1140" s="95">
        <v>2.63</v>
      </c>
      <c r="J1140" s="100"/>
      <c r="K1140" s="22"/>
      <c r="L1140" s="72">
        <f t="shared" si="2002"/>
        <v>2.63</v>
      </c>
      <c r="M1140" s="72">
        <f t="shared" si="1996"/>
        <v>0</v>
      </c>
      <c r="N1140" s="72">
        <f t="shared" si="1997"/>
        <v>84.16</v>
      </c>
      <c r="O1140" s="72">
        <f t="shared" si="1998"/>
        <v>0</v>
      </c>
      <c r="P1140" s="72">
        <f t="shared" si="1999"/>
        <v>0</v>
      </c>
      <c r="Q1140" s="72">
        <f t="shared" si="2000"/>
        <v>0</v>
      </c>
      <c r="R1140" s="72">
        <f t="shared" si="2001"/>
        <v>0</v>
      </c>
    </row>
    <row r="1141" spans="1:18" x14ac:dyDescent="0.25">
      <c r="A1141" s="26"/>
      <c r="B1141" s="104" t="s">
        <v>800</v>
      </c>
      <c r="C1141" s="15">
        <v>10</v>
      </c>
      <c r="D1141" s="16">
        <v>200</v>
      </c>
      <c r="E1141" s="15">
        <v>2</v>
      </c>
      <c r="F1141" s="11">
        <v>2</v>
      </c>
      <c r="G1141" s="11">
        <v>8</v>
      </c>
      <c r="H1141" s="95"/>
      <c r="I1141" s="95">
        <v>1.5</v>
      </c>
      <c r="J1141" s="100"/>
      <c r="K1141" s="22"/>
      <c r="L1141" s="72">
        <f t="shared" si="2002"/>
        <v>1.5</v>
      </c>
      <c r="M1141" s="72">
        <f t="shared" si="1996"/>
        <v>0</v>
      </c>
      <c r="N1141" s="72">
        <f t="shared" si="1997"/>
        <v>48</v>
      </c>
      <c r="O1141" s="72">
        <f t="shared" si="1998"/>
        <v>0</v>
      </c>
      <c r="P1141" s="72">
        <f t="shared" si="1999"/>
        <v>0</v>
      </c>
      <c r="Q1141" s="72">
        <f t="shared" si="2000"/>
        <v>0</v>
      </c>
      <c r="R1141" s="72">
        <f t="shared" si="2001"/>
        <v>0</v>
      </c>
    </row>
    <row r="1142" spans="1:18" x14ac:dyDescent="0.25">
      <c r="A1142" s="26"/>
      <c r="B1142" s="104" t="s">
        <v>824</v>
      </c>
      <c r="C1142" s="15">
        <v>12</v>
      </c>
      <c r="D1142" s="16">
        <v>200</v>
      </c>
      <c r="E1142" s="15">
        <v>2</v>
      </c>
      <c r="F1142" s="11">
        <v>2</v>
      </c>
      <c r="G1142" s="11">
        <v>11</v>
      </c>
      <c r="H1142" s="95"/>
      <c r="I1142" s="95">
        <v>1.4</v>
      </c>
      <c r="J1142" s="100"/>
      <c r="K1142" s="22"/>
      <c r="L1142" s="72">
        <f t="shared" si="2002"/>
        <v>1.4</v>
      </c>
      <c r="M1142" s="72">
        <f t="shared" si="1996"/>
        <v>0</v>
      </c>
      <c r="N1142" s="72">
        <f t="shared" si="1997"/>
        <v>0</v>
      </c>
      <c r="O1142" s="72">
        <f t="shared" si="1998"/>
        <v>61.6</v>
      </c>
      <c r="P1142" s="72">
        <f t="shared" si="1999"/>
        <v>0</v>
      </c>
      <c r="Q1142" s="72">
        <f t="shared" si="2000"/>
        <v>0</v>
      </c>
      <c r="R1142" s="72">
        <f t="shared" si="2001"/>
        <v>0</v>
      </c>
    </row>
    <row r="1143" spans="1:18" x14ac:dyDescent="0.25">
      <c r="A1143" s="26"/>
      <c r="B1143" s="104"/>
      <c r="C1143" s="15"/>
      <c r="D1143" s="16"/>
      <c r="E1143" s="15"/>
      <c r="F1143" s="11"/>
      <c r="G1143" s="11"/>
      <c r="H1143" s="95"/>
      <c r="I1143" s="95"/>
      <c r="J1143" s="100"/>
      <c r="K1143" s="22"/>
      <c r="L1143" s="72"/>
      <c r="M1143" s="72"/>
      <c r="N1143" s="72"/>
      <c r="O1143" s="72"/>
      <c r="P1143" s="72"/>
      <c r="Q1143" s="72"/>
      <c r="R1143" s="72"/>
    </row>
    <row r="1144" spans="1:18" x14ac:dyDescent="0.25">
      <c r="A1144" s="26"/>
      <c r="B1144" s="104"/>
      <c r="C1144" s="15"/>
      <c r="D1144" s="16"/>
      <c r="E1144" s="15"/>
      <c r="F1144" s="11"/>
      <c r="G1144" s="11"/>
      <c r="H1144" s="95"/>
      <c r="I1144" s="95"/>
      <c r="J1144" s="100"/>
      <c r="K1144" s="22"/>
      <c r="L1144" s="72"/>
      <c r="M1144" s="72"/>
      <c r="N1144" s="72"/>
      <c r="O1144" s="72"/>
      <c r="P1144" s="72"/>
      <c r="Q1144" s="72"/>
      <c r="R1144" s="72"/>
    </row>
    <row r="1145" spans="1:18" x14ac:dyDescent="0.25">
      <c r="A1145" s="26"/>
      <c r="B1145" s="48" t="s">
        <v>525</v>
      </c>
      <c r="C1145" s="15"/>
      <c r="D1145" s="16"/>
      <c r="E1145" s="15"/>
      <c r="F1145" s="11"/>
      <c r="G1145" s="11"/>
      <c r="H1145" s="12"/>
      <c r="I1145" s="12"/>
      <c r="J1145" s="47"/>
      <c r="K1145" s="22"/>
      <c r="L1145" s="72">
        <f t="shared" si="1964"/>
        <v>0</v>
      </c>
      <c r="M1145" s="72">
        <f>SUM($M$1124:$M$1136)</f>
        <v>24</v>
      </c>
      <c r="N1145" s="72">
        <f>SUM($N$1124:$N$1136)</f>
        <v>329.32</v>
      </c>
      <c r="O1145" s="72">
        <f>SUM($O$1124:$O$1136)</f>
        <v>465.08</v>
      </c>
      <c r="P1145" s="72">
        <f>SUM($P$1124:$P$1136)</f>
        <v>0</v>
      </c>
      <c r="Q1145" s="72">
        <f>SUM($Q$1124:$Q$1136)</f>
        <v>37.76</v>
      </c>
      <c r="R1145" s="72">
        <f>SUM($R$1124:$R$1136)</f>
        <v>0</v>
      </c>
    </row>
    <row r="1146" spans="1:18" x14ac:dyDescent="0.25">
      <c r="A1146" s="26"/>
      <c r="B1146" s="45"/>
      <c r="C1146" s="15"/>
      <c r="D1146" s="16"/>
      <c r="E1146" s="15"/>
      <c r="F1146" s="11"/>
      <c r="G1146" s="11"/>
      <c r="H1146" s="12"/>
      <c r="I1146" s="12"/>
      <c r="J1146" s="47"/>
      <c r="K1146" s="22"/>
      <c r="L1146" s="72">
        <f t="shared" si="1964"/>
        <v>0</v>
      </c>
      <c r="M1146" s="72">
        <f t="shared" si="1965"/>
        <v>0</v>
      </c>
      <c r="N1146" s="72">
        <f t="shared" si="1966"/>
        <v>0</v>
      </c>
      <c r="O1146" s="72">
        <f t="shared" si="1967"/>
        <v>0</v>
      </c>
      <c r="P1146" s="72">
        <f t="shared" si="1968"/>
        <v>0</v>
      </c>
      <c r="Q1146" s="72">
        <f t="shared" si="1969"/>
        <v>0</v>
      </c>
      <c r="R1146" s="72">
        <f t="shared" si="1970"/>
        <v>0</v>
      </c>
    </row>
    <row r="1147" spans="1:18" x14ac:dyDescent="0.25">
      <c r="A1147" s="26"/>
      <c r="B1147" s="104" t="s">
        <v>813</v>
      </c>
      <c r="C1147" s="15">
        <v>10</v>
      </c>
      <c r="D1147" s="16"/>
      <c r="E1147" s="15"/>
      <c r="F1147" s="11"/>
      <c r="G1147" s="11">
        <v>196</v>
      </c>
      <c r="H1147" s="95">
        <v>0.3</v>
      </c>
      <c r="I1147" s="95">
        <v>0.6</v>
      </c>
      <c r="J1147" s="100">
        <v>0.3</v>
      </c>
      <c r="K1147" s="22"/>
      <c r="L1147" s="72">
        <f t="shared" ref="L1147" si="2003">SUM(H1147:J1147)+K1147</f>
        <v>1.2</v>
      </c>
      <c r="M1147" s="72">
        <f t="shared" ref="M1147:M1150" si="2004">+ROUND(IF(C1147=8,PRODUCT(E1147,F1147,G1147,L1147),0),2)</f>
        <v>0</v>
      </c>
      <c r="N1147" s="72">
        <f t="shared" ref="N1147:N1150" si="2005">+ROUND(IF(C1147=10,PRODUCT(E1147,F1147,G1147,L1147),0),2)</f>
        <v>235.2</v>
      </c>
      <c r="O1147" s="72">
        <f t="shared" ref="O1147:O1150" si="2006">+ROUND(IF(C1147=12,PRODUCT(E1147,F1147,G1147,L1147),0),2)</f>
        <v>0</v>
      </c>
      <c r="P1147" s="72">
        <f t="shared" ref="P1147:P1150" si="2007">+ROUND(IF(C1147=16,PRODUCT(E1147,F1147,G1147,L1147),0),2)</f>
        <v>0</v>
      </c>
      <c r="Q1147" s="72">
        <f t="shared" ref="Q1147:Q1150" si="2008">+ROUND(IF(C1147=20,PRODUCT(E1147,F1147,G1147,L1147),0),2)</f>
        <v>0</v>
      </c>
      <c r="R1147" s="72">
        <f t="shared" ref="R1147:R1150" si="2009">+ROUND(IF(C1147=25,PRODUCT(E1147,F1147,G1147,L1147),0),2)</f>
        <v>0</v>
      </c>
    </row>
    <row r="1148" spans="1:18" x14ac:dyDescent="0.25">
      <c r="A1148" s="26"/>
      <c r="B1148" s="104" t="s">
        <v>814</v>
      </c>
      <c r="C1148" s="15">
        <v>10</v>
      </c>
      <c r="D1148" s="16"/>
      <c r="E1148" s="15"/>
      <c r="F1148" s="11"/>
      <c r="G1148" s="11">
        <v>194</v>
      </c>
      <c r="H1148" s="95">
        <v>0.31</v>
      </c>
      <c r="I1148" s="95">
        <v>0.6</v>
      </c>
      <c r="J1148" s="100">
        <v>0.31</v>
      </c>
      <c r="K1148" s="22"/>
      <c r="L1148" s="72">
        <f t="shared" ref="L1148:L1151" si="2010">SUM(H1148:J1148)+K1148</f>
        <v>1.22</v>
      </c>
      <c r="M1148" s="72">
        <f t="shared" si="2004"/>
        <v>0</v>
      </c>
      <c r="N1148" s="72">
        <f t="shared" si="2005"/>
        <v>236.68</v>
      </c>
      <c r="O1148" s="72">
        <f t="shared" si="2006"/>
        <v>0</v>
      </c>
      <c r="P1148" s="72">
        <f t="shared" si="2007"/>
        <v>0</v>
      </c>
      <c r="Q1148" s="72">
        <f t="shared" si="2008"/>
        <v>0</v>
      </c>
      <c r="R1148" s="72">
        <f t="shared" si="2009"/>
        <v>0</v>
      </c>
    </row>
    <row r="1149" spans="1:18" x14ac:dyDescent="0.25">
      <c r="A1149" s="26"/>
      <c r="B1149" s="104" t="s">
        <v>815</v>
      </c>
      <c r="C1149" s="15">
        <v>10</v>
      </c>
      <c r="D1149" s="16"/>
      <c r="E1149" s="15"/>
      <c r="F1149" s="11"/>
      <c r="G1149" s="11">
        <v>122</v>
      </c>
      <c r="H1149" s="95">
        <v>0.32500000000000001</v>
      </c>
      <c r="I1149" s="95">
        <v>0.6</v>
      </c>
      <c r="J1149" s="100">
        <v>0.32500000000000001</v>
      </c>
      <c r="K1149" s="22"/>
      <c r="L1149" s="72">
        <f t="shared" si="2010"/>
        <v>1.25</v>
      </c>
      <c r="M1149" s="72">
        <f t="shared" si="2004"/>
        <v>0</v>
      </c>
      <c r="N1149" s="72">
        <f t="shared" si="2005"/>
        <v>152.5</v>
      </c>
      <c r="O1149" s="72">
        <f t="shared" si="2006"/>
        <v>0</v>
      </c>
      <c r="P1149" s="72">
        <f t="shared" si="2007"/>
        <v>0</v>
      </c>
      <c r="Q1149" s="72">
        <f t="shared" si="2008"/>
        <v>0</v>
      </c>
      <c r="R1149" s="72">
        <f t="shared" si="2009"/>
        <v>0</v>
      </c>
    </row>
    <row r="1150" spans="1:18" x14ac:dyDescent="0.25">
      <c r="A1150" s="26"/>
      <c r="B1150" s="104" t="s">
        <v>816</v>
      </c>
      <c r="C1150" s="15">
        <v>10</v>
      </c>
      <c r="D1150" s="16"/>
      <c r="E1150" s="15"/>
      <c r="F1150" s="11"/>
      <c r="G1150" s="11">
        <v>30</v>
      </c>
      <c r="H1150" s="95">
        <v>0.35</v>
      </c>
      <c r="I1150" s="95">
        <v>0.6</v>
      </c>
      <c r="J1150" s="100">
        <v>0.35</v>
      </c>
      <c r="K1150" s="22"/>
      <c r="L1150" s="72">
        <f t="shared" si="2010"/>
        <v>1.2999999999999998</v>
      </c>
      <c r="M1150" s="72">
        <f t="shared" si="2004"/>
        <v>0</v>
      </c>
      <c r="N1150" s="72">
        <f t="shared" si="2005"/>
        <v>39</v>
      </c>
      <c r="O1150" s="72">
        <f t="shared" si="2006"/>
        <v>0</v>
      </c>
      <c r="P1150" s="72">
        <f t="shared" si="2007"/>
        <v>0</v>
      </c>
      <c r="Q1150" s="72">
        <f t="shared" si="2008"/>
        <v>0</v>
      </c>
      <c r="R1150" s="72">
        <f t="shared" si="2009"/>
        <v>0</v>
      </c>
    </row>
    <row r="1151" spans="1:18" x14ac:dyDescent="0.25">
      <c r="A1151" s="26"/>
      <c r="B1151" s="104" t="s">
        <v>817</v>
      </c>
      <c r="C1151" s="15">
        <v>10</v>
      </c>
      <c r="D1151" s="16"/>
      <c r="E1151" s="15"/>
      <c r="F1151" s="11"/>
      <c r="G1151" s="11">
        <v>172</v>
      </c>
      <c r="H1151" s="95">
        <v>0.375</v>
      </c>
      <c r="I1151" s="95">
        <v>0.6</v>
      </c>
      <c r="J1151" s="100">
        <v>0.375</v>
      </c>
      <c r="K1151" s="22"/>
      <c r="L1151" s="72">
        <f t="shared" si="2010"/>
        <v>1.35</v>
      </c>
      <c r="M1151" s="72">
        <f t="shared" si="1965"/>
        <v>0</v>
      </c>
      <c r="N1151" s="72">
        <f t="shared" si="1966"/>
        <v>232.2</v>
      </c>
      <c r="O1151" s="72">
        <f t="shared" si="1967"/>
        <v>0</v>
      </c>
      <c r="P1151" s="72">
        <f t="shared" si="1968"/>
        <v>0</v>
      </c>
      <c r="Q1151" s="72">
        <f t="shared" si="1969"/>
        <v>0</v>
      </c>
      <c r="R1151" s="72">
        <f t="shared" si="1970"/>
        <v>0</v>
      </c>
    </row>
    <row r="1152" spans="1:18" x14ac:dyDescent="0.25">
      <c r="A1152" s="26"/>
      <c r="B1152" s="45"/>
      <c r="C1152" s="15"/>
      <c r="D1152" s="16"/>
      <c r="E1152" s="15"/>
      <c r="F1152" s="11"/>
      <c r="G1152" s="11"/>
      <c r="H1152" s="95"/>
      <c r="I1152" s="95"/>
      <c r="J1152" s="100"/>
      <c r="K1152" s="22"/>
      <c r="L1152" s="72"/>
      <c r="M1152" s="72"/>
      <c r="N1152" s="72"/>
      <c r="O1152" s="72"/>
      <c r="P1152" s="72"/>
      <c r="Q1152" s="72"/>
      <c r="R1152" s="72"/>
    </row>
    <row r="1153" spans="1:19" x14ac:dyDescent="0.25">
      <c r="A1153" s="26"/>
      <c r="B1153" s="45"/>
      <c r="C1153" s="15"/>
      <c r="D1153" s="16"/>
      <c r="E1153" s="15"/>
      <c r="F1153" s="11"/>
      <c r="G1153" s="11"/>
      <c r="H1153" s="95"/>
      <c r="I1153" s="95"/>
      <c r="J1153" s="100"/>
      <c r="K1153" s="22"/>
      <c r="L1153" s="72"/>
      <c r="M1153" s="72"/>
      <c r="N1153" s="72"/>
      <c r="O1153" s="72"/>
      <c r="P1153" s="72"/>
      <c r="Q1153" s="72"/>
      <c r="R1153" s="72"/>
    </row>
    <row r="1154" spans="1:19" x14ac:dyDescent="0.25">
      <c r="A1154" s="26"/>
      <c r="B1154" s="25"/>
      <c r="C1154" s="15"/>
      <c r="D1154" s="16"/>
      <c r="E1154" s="15"/>
      <c r="F1154" s="11"/>
      <c r="G1154" s="11"/>
      <c r="H1154" s="12"/>
      <c r="I1154" s="12"/>
      <c r="J1154" s="47"/>
      <c r="K1154" s="22"/>
      <c r="L1154" s="72">
        <f t="shared" ref="L1154" si="2011">SUM(H1154:J1154)+K1154</f>
        <v>0</v>
      </c>
      <c r="M1154" s="72">
        <f t="shared" ref="M1154" si="2012">+ROUND(IF(C1154=8,PRODUCT(E1154,F1154,G1154,L1154),0),2)</f>
        <v>0</v>
      </c>
      <c r="N1154" s="72">
        <f t="shared" ref="N1154" si="2013">+ROUND(IF(C1154=10,PRODUCT(E1154,F1154,G1154,L1154),0),2)</f>
        <v>0</v>
      </c>
      <c r="O1154" s="72">
        <f t="shared" ref="O1154" si="2014">+ROUND(IF(C1154=12,PRODUCT(E1154,F1154,G1154,L1154),0),2)</f>
        <v>0</v>
      </c>
      <c r="P1154" s="72">
        <f t="shared" ref="P1154" si="2015">+ROUND(IF(C1154=16,PRODUCT(E1154,F1154,G1154,L1154),0),2)</f>
        <v>0</v>
      </c>
      <c r="Q1154" s="72">
        <f t="shared" ref="Q1154" si="2016">+ROUND(IF(C1154=20,PRODUCT(E1154,F1154,G1154,L1154),0),2)</f>
        <v>0</v>
      </c>
      <c r="R1154" s="72">
        <f t="shared" ref="R1154" si="2017">+ROUND(IF(C1154=25,PRODUCT(E1154,F1154,G1154,L1154),0),2)</f>
        <v>0</v>
      </c>
    </row>
    <row r="1155" spans="1:19" x14ac:dyDescent="0.25">
      <c r="A1155" s="26"/>
      <c r="B1155" s="48" t="s">
        <v>748</v>
      </c>
      <c r="C1155" s="33"/>
      <c r="D1155" s="34"/>
      <c r="E1155" s="33"/>
      <c r="F1155" s="35"/>
      <c r="G1155" s="35"/>
      <c r="H1155" s="36"/>
      <c r="I1155" s="36"/>
      <c r="J1155" s="98"/>
      <c r="K1155" s="49"/>
      <c r="L1155" s="36"/>
      <c r="M1155" s="37">
        <f t="shared" ref="M1155:R1155" si="2018">SUM(M494:M1154)</f>
        <v>33027.990000000013</v>
      </c>
      <c r="N1155" s="37">
        <f t="shared" si="2018"/>
        <v>6736.7599999999993</v>
      </c>
      <c r="O1155" s="37">
        <f t="shared" si="2018"/>
        <v>4405.84</v>
      </c>
      <c r="P1155" s="37">
        <f t="shared" si="2018"/>
        <v>0</v>
      </c>
      <c r="Q1155" s="37">
        <f t="shared" si="2018"/>
        <v>75.52</v>
      </c>
      <c r="R1155" s="37">
        <f t="shared" si="2018"/>
        <v>0</v>
      </c>
      <c r="S1155" s="50"/>
    </row>
    <row r="1156" spans="1:19" x14ac:dyDescent="0.25">
      <c r="A1156" s="26"/>
      <c r="B1156" s="25" t="s">
        <v>746</v>
      </c>
      <c r="C1156" s="15"/>
      <c r="D1156" s="16"/>
      <c r="E1156" s="15"/>
      <c r="F1156" s="11"/>
      <c r="G1156" s="11"/>
      <c r="H1156" s="12"/>
      <c r="I1156" s="12"/>
      <c r="J1156" s="47"/>
      <c r="K1156" s="22"/>
      <c r="L1156" s="12"/>
      <c r="M1156" s="95">
        <v>0.39500000000000002</v>
      </c>
      <c r="N1156" s="12">
        <v>0.61699999999999999</v>
      </c>
      <c r="O1156" s="12">
        <v>0.88800000000000001</v>
      </c>
      <c r="P1156" s="12">
        <v>1.58</v>
      </c>
      <c r="Q1156" s="12">
        <v>2.4700000000000002</v>
      </c>
      <c r="R1156" s="12">
        <v>3.85</v>
      </c>
    </row>
    <row r="1157" spans="1:19" x14ac:dyDescent="0.25">
      <c r="A1157" s="22"/>
      <c r="B1157" s="22" t="s">
        <v>747</v>
      </c>
      <c r="C1157" s="29"/>
      <c r="D1157" s="39"/>
      <c r="E1157" s="29"/>
      <c r="F1157" s="29"/>
      <c r="G1157" s="29"/>
      <c r="H1157" s="22"/>
      <c r="I1157" s="22"/>
      <c r="J1157" s="47"/>
      <c r="K1157" s="22"/>
      <c r="L1157" s="22"/>
      <c r="M1157" s="22">
        <f>M1155*M1156</f>
        <v>13046.056050000005</v>
      </c>
      <c r="N1157" s="22">
        <f t="shared" ref="N1157:R1157" si="2019">N1155*N1156</f>
        <v>4156.5809199999994</v>
      </c>
      <c r="O1157" s="22">
        <f t="shared" si="2019"/>
        <v>3912.3859200000002</v>
      </c>
      <c r="P1157" s="22">
        <f t="shared" si="2019"/>
        <v>0</v>
      </c>
      <c r="Q1157" s="22">
        <f t="shared" si="2019"/>
        <v>186.53440000000001</v>
      </c>
      <c r="R1157" s="22">
        <f t="shared" si="2019"/>
        <v>0</v>
      </c>
      <c r="S1157" s="50">
        <f>SUM(M1157:R1157)</f>
        <v>21301.557290000004</v>
      </c>
    </row>
    <row r="1159" spans="1:19" x14ac:dyDescent="0.25">
      <c r="S1159" s="27">
        <f>S490+S1157</f>
        <v>34202.021570000004</v>
      </c>
    </row>
    <row r="1163" spans="1:19" x14ac:dyDescent="0.25">
      <c r="C1163" s="3"/>
      <c r="D1163" s="3"/>
      <c r="E1163" s="3"/>
      <c r="F1163" s="3"/>
      <c r="G1163" s="3"/>
      <c r="J1163" s="3"/>
      <c r="M1163" s="3">
        <f t="shared" ref="M1163:R1163" si="2020">M490+M1157</f>
        <v>17369.575950000006</v>
      </c>
      <c r="N1163" s="3">
        <f t="shared" si="2020"/>
        <v>4313.8665599999995</v>
      </c>
      <c r="O1163" s="3">
        <f t="shared" si="2020"/>
        <v>4881.0429600000007</v>
      </c>
      <c r="P1163" s="3">
        <f t="shared" si="2020"/>
        <v>6953.2639999999974</v>
      </c>
      <c r="Q1163" s="3">
        <f t="shared" si="2020"/>
        <v>475.17860000000002</v>
      </c>
      <c r="R1163" s="3">
        <f t="shared" si="2020"/>
        <v>209.09350000000001</v>
      </c>
      <c r="S1163" s="3">
        <f>SUM(M1163:R1163)</f>
        <v>34202.021570000004</v>
      </c>
    </row>
    <row r="1166" spans="1:19" x14ac:dyDescent="0.25">
      <c r="C1166" s="3"/>
      <c r="D1166" s="3"/>
      <c r="E1166" s="3"/>
      <c r="F1166" s="3"/>
      <c r="G1166" s="3"/>
      <c r="J1166" s="3"/>
      <c r="K1166" s="3" t="s">
        <v>749</v>
      </c>
      <c r="M1166" s="3">
        <v>2106.5883250000006</v>
      </c>
      <c r="N1166" s="3">
        <v>103.96450000000002</v>
      </c>
      <c r="O1166" s="3">
        <v>396.3010799999999</v>
      </c>
      <c r="P1166" s="3">
        <v>3437.2742000000021</v>
      </c>
      <c r="Q1166" s="3">
        <v>613.16515000000004</v>
      </c>
      <c r="R1166" s="3">
        <v>184.72300000000001</v>
      </c>
    </row>
    <row r="1167" spans="1:19" x14ac:dyDescent="0.25">
      <c r="C1167" s="3"/>
      <c r="D1167" s="3"/>
      <c r="E1167" s="3"/>
      <c r="F1167" s="3"/>
      <c r="G1167" s="3"/>
      <c r="J1167" s="3"/>
      <c r="K1167" s="3" t="s">
        <v>750</v>
      </c>
      <c r="M1167" s="3">
        <f>(M1157*3)/4</f>
        <v>9784.5420375000031</v>
      </c>
      <c r="N1167" s="3">
        <f t="shared" ref="N1167:R1167" si="2021">(N1157*3)/4</f>
        <v>3117.4356899999993</v>
      </c>
      <c r="O1167" s="3">
        <f t="shared" si="2021"/>
        <v>2934.28944</v>
      </c>
      <c r="P1167" s="3">
        <f t="shared" si="2021"/>
        <v>0</v>
      </c>
      <c r="Q1167" s="3">
        <f t="shared" si="2021"/>
        <v>139.9008</v>
      </c>
      <c r="R1167" s="3">
        <f t="shared" si="2021"/>
        <v>0</v>
      </c>
    </row>
    <row r="1168" spans="1:19" x14ac:dyDescent="0.25">
      <c r="C1168" s="3"/>
      <c r="D1168" s="3"/>
      <c r="E1168" s="3"/>
      <c r="F1168" s="3"/>
      <c r="G1168" s="3"/>
      <c r="J1168" s="3"/>
      <c r="M1168" s="3">
        <f>M1166+M1167</f>
        <v>11891.130362500004</v>
      </c>
      <c r="N1168" s="3">
        <f t="shared" ref="N1168:R1168" si="2022">N1166+N1167</f>
        <v>3221.4001899999994</v>
      </c>
      <c r="O1168" s="3">
        <f t="shared" si="2022"/>
        <v>3330.5905199999997</v>
      </c>
      <c r="P1168" s="3">
        <f t="shared" si="2022"/>
        <v>3437.2742000000021</v>
      </c>
      <c r="Q1168" s="3">
        <f t="shared" si="2022"/>
        <v>753.06595000000004</v>
      </c>
      <c r="R1168" s="3">
        <f t="shared" si="2022"/>
        <v>184.72300000000001</v>
      </c>
    </row>
  </sheetData>
  <mergeCells count="11">
    <mergeCell ref="F2:F3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2:R2"/>
  </mergeCells>
  <conditionalFormatting sqref="M1156:R1156 M621:R621 O1061:R1061 N1062:R1062 N1064:R1064 M1128:R1129 M1154:R1154 M5:R101 M103:R133 M142:R182 M185:R214 M217:R280 M283:R286 M288:R339 M341:R363 M369:R374 M410:R414 M533:R534 M562:R564 M569:R577 M602:R604 O622:R623 M655:R657 M662:R669 M690:R690 M688:R688 M694:R694 M729:R729 M751:R753 M756:R756 M807:R807 M763:R763 M940:R940 M999:R999 M1026:R1026 M1122:R1123 M1060:R1060 M1070:R1071 M429:R433 M438:R441 M502:R506 M509:R509">
    <cfRule type="cellIs" dxfId="1226" priority="1281" operator="greaterThan">
      <formula>0</formula>
    </cfRule>
  </conditionalFormatting>
  <conditionalFormatting sqref="M5:R5">
    <cfRule type="cellIs" dxfId="1225" priority="1280" operator="greaterThan">
      <formula>0</formula>
    </cfRule>
  </conditionalFormatting>
  <conditionalFormatting sqref="M10:R11">
    <cfRule type="cellIs" dxfId="1224" priority="1279" operator="greaterThan">
      <formula>0</formula>
    </cfRule>
  </conditionalFormatting>
  <conditionalFormatting sqref="M9:R9">
    <cfRule type="cellIs" dxfId="1223" priority="1278" operator="greaterThan">
      <formula>0</formula>
    </cfRule>
  </conditionalFormatting>
  <conditionalFormatting sqref="M13:R13">
    <cfRule type="cellIs" dxfId="1222" priority="1277" operator="greaterThan">
      <formula>0</formula>
    </cfRule>
  </conditionalFormatting>
  <conditionalFormatting sqref="M375:R375 M397:R397">
    <cfRule type="cellIs" dxfId="1221" priority="1269" operator="greaterThan">
      <formula>0</formula>
    </cfRule>
  </conditionalFormatting>
  <conditionalFormatting sqref="M12:R12">
    <cfRule type="cellIs" dxfId="1220" priority="1276" operator="greaterThan">
      <formula>0</formula>
    </cfRule>
  </conditionalFormatting>
  <conditionalFormatting sqref="M302:R302">
    <cfRule type="cellIs" dxfId="1219" priority="1271" operator="greaterThan">
      <formula>0</formula>
    </cfRule>
  </conditionalFormatting>
  <conditionalFormatting sqref="M39:R39">
    <cfRule type="cellIs" dxfId="1218" priority="1273" operator="greaterThan">
      <formula>0</formula>
    </cfRule>
  </conditionalFormatting>
  <conditionalFormatting sqref="M514:R515">
    <cfRule type="cellIs" dxfId="1217" priority="1265" operator="greaterThan">
      <formula>0</formula>
    </cfRule>
  </conditionalFormatting>
  <conditionalFormatting sqref="M487:R487 M491:R493">
    <cfRule type="cellIs" dxfId="1216" priority="1268" operator="greaterThan">
      <formula>0</formula>
    </cfRule>
  </conditionalFormatting>
  <conditionalFormatting sqref="M163:R163">
    <cfRule type="cellIs" dxfId="1215" priority="1270" operator="greaterThan">
      <formula>0</formula>
    </cfRule>
  </conditionalFormatting>
  <conditionalFormatting sqref="M494:R494 M511:R512">
    <cfRule type="cellIs" dxfId="1214" priority="1266" operator="greaterThan">
      <formula>0</formula>
    </cfRule>
  </conditionalFormatting>
  <conditionalFormatting sqref="M513:R513">
    <cfRule type="cellIs" dxfId="1213" priority="1264" operator="greaterThan">
      <formula>0</formula>
    </cfRule>
  </conditionalFormatting>
  <conditionalFormatting sqref="N423:R423">
    <cfRule type="cellIs" dxfId="1212" priority="1267" operator="greaterThan">
      <formula>0</formula>
    </cfRule>
  </conditionalFormatting>
  <conditionalFormatting sqref="M516:R516">
    <cfRule type="cellIs" dxfId="1211" priority="1262" operator="greaterThan">
      <formula>0</formula>
    </cfRule>
  </conditionalFormatting>
  <conditionalFormatting sqref="M18:R18">
    <cfRule type="cellIs" dxfId="1210" priority="1252" operator="greaterThan">
      <formula>0</formula>
    </cfRule>
  </conditionalFormatting>
  <conditionalFormatting sqref="M948:R948">
    <cfRule type="cellIs" dxfId="1209" priority="1258" operator="greaterThan">
      <formula>0</formula>
    </cfRule>
  </conditionalFormatting>
  <conditionalFormatting sqref="M517:R517 N593:R593">
    <cfRule type="cellIs" dxfId="1208" priority="1263" operator="greaterThan">
      <formula>0</formula>
    </cfRule>
  </conditionalFormatting>
  <conditionalFormatting sqref="M624:R624 M626:R627 M644:R644">
    <cfRule type="cellIs" dxfId="1207" priority="1259" operator="greaterThan">
      <formula>0</formula>
    </cfRule>
  </conditionalFormatting>
  <conditionalFormatting sqref="M16:R16">
    <cfRule type="cellIs" dxfId="1206" priority="1254" operator="greaterThan">
      <formula>0</formula>
    </cfRule>
  </conditionalFormatting>
  <conditionalFormatting sqref="M17:R17">
    <cfRule type="cellIs" dxfId="1205" priority="1255" operator="greaterThan">
      <formula>0</formula>
    </cfRule>
  </conditionalFormatting>
  <conditionalFormatting sqref="M14:R15">
    <cfRule type="cellIs" dxfId="1204" priority="1256" operator="greaterThan">
      <formula>0</formula>
    </cfRule>
  </conditionalFormatting>
  <conditionalFormatting sqref="M28:R29">
    <cfRule type="cellIs" dxfId="1203" priority="1244" operator="greaterThan">
      <formula>0</formula>
    </cfRule>
  </conditionalFormatting>
  <conditionalFormatting sqref="M24:R25">
    <cfRule type="cellIs" dxfId="1202" priority="1247" operator="greaterThan">
      <formula>0</formula>
    </cfRule>
  </conditionalFormatting>
  <conditionalFormatting sqref="M26:R26">
    <cfRule type="cellIs" dxfId="1201" priority="1246" operator="greaterThan">
      <formula>0</formula>
    </cfRule>
  </conditionalFormatting>
  <conditionalFormatting sqref="M21:R22">
    <cfRule type="cellIs" dxfId="1200" priority="1249" operator="greaterThan">
      <formula>0</formula>
    </cfRule>
  </conditionalFormatting>
  <conditionalFormatting sqref="M40:R40">
    <cfRule type="cellIs" dxfId="1199" priority="1235" operator="greaterThan">
      <formula>0</formula>
    </cfRule>
  </conditionalFormatting>
  <conditionalFormatting sqref="M19:R20">
    <cfRule type="cellIs" dxfId="1198" priority="1251" operator="greaterThan">
      <formula>0</formula>
    </cfRule>
  </conditionalFormatting>
  <conditionalFormatting sqref="M33:R33">
    <cfRule type="cellIs" dxfId="1197" priority="1240" operator="greaterThan">
      <formula>0</formula>
    </cfRule>
  </conditionalFormatting>
  <conditionalFormatting sqref="M23:R23">
    <cfRule type="cellIs" dxfId="1196" priority="1248" operator="greaterThan">
      <formula>0</formula>
    </cfRule>
  </conditionalFormatting>
  <conditionalFormatting sqref="M30:R30">
    <cfRule type="cellIs" dxfId="1195" priority="1241" operator="greaterThan">
      <formula>0</formula>
    </cfRule>
  </conditionalFormatting>
  <conditionalFormatting sqref="M38:R38">
    <cfRule type="cellIs" dxfId="1194" priority="1237" operator="greaterThan">
      <formula>0</formula>
    </cfRule>
  </conditionalFormatting>
  <conditionalFormatting sqref="M27:R27">
    <cfRule type="cellIs" dxfId="1193" priority="1245" operator="greaterThan">
      <formula>0</formula>
    </cfRule>
  </conditionalFormatting>
  <conditionalFormatting sqref="M31:R32">
    <cfRule type="cellIs" dxfId="1192" priority="1242" operator="greaterThan">
      <formula>0</formula>
    </cfRule>
  </conditionalFormatting>
  <conditionalFormatting sqref="M35:R37">
    <cfRule type="cellIs" dxfId="1191" priority="1238" operator="greaterThan">
      <formula>0</formula>
    </cfRule>
  </conditionalFormatting>
  <conditionalFormatting sqref="M43:R43">
    <cfRule type="cellIs" dxfId="1190" priority="1233" operator="greaterThan">
      <formula>0</formula>
    </cfRule>
  </conditionalFormatting>
  <conditionalFormatting sqref="M41:R42">
    <cfRule type="cellIs" dxfId="1189" priority="1234" operator="greaterThan">
      <formula>0</formula>
    </cfRule>
  </conditionalFormatting>
  <conditionalFormatting sqref="M49:R49">
    <cfRule type="cellIs" dxfId="1188" priority="1229" operator="greaterThan">
      <formula>0</formula>
    </cfRule>
  </conditionalFormatting>
  <conditionalFormatting sqref="M34:R34">
    <cfRule type="cellIs" dxfId="1187" priority="1239" operator="greaterThan">
      <formula>0</formula>
    </cfRule>
  </conditionalFormatting>
  <conditionalFormatting sqref="M44:R44">
    <cfRule type="cellIs" dxfId="1186" priority="1236" operator="greaterThan">
      <formula>0</formula>
    </cfRule>
  </conditionalFormatting>
  <conditionalFormatting sqref="M51:R51">
    <cfRule type="cellIs" dxfId="1185" priority="1227" operator="greaterThan">
      <formula>0</formula>
    </cfRule>
  </conditionalFormatting>
  <conditionalFormatting sqref="M46:R48">
    <cfRule type="cellIs" dxfId="1184" priority="1230" operator="greaterThan">
      <formula>0</formula>
    </cfRule>
  </conditionalFormatting>
  <conditionalFormatting sqref="M59:R59">
    <cfRule type="cellIs" dxfId="1183" priority="1226" operator="greaterThan">
      <formula>0</formula>
    </cfRule>
  </conditionalFormatting>
  <conditionalFormatting sqref="M58:R58">
    <cfRule type="cellIs" dxfId="1182" priority="1223" operator="greaterThan">
      <formula>0</formula>
    </cfRule>
  </conditionalFormatting>
  <conditionalFormatting sqref="M52:R52">
    <cfRule type="cellIs" dxfId="1181" priority="1228" operator="greaterThan">
      <formula>0</formula>
    </cfRule>
  </conditionalFormatting>
  <conditionalFormatting sqref="M50:R50">
    <cfRule type="cellIs" dxfId="1180" priority="1232" operator="greaterThan">
      <formula>0</formula>
    </cfRule>
  </conditionalFormatting>
  <conditionalFormatting sqref="M45:R45">
    <cfRule type="cellIs" dxfId="1179" priority="1231" operator="greaterThan">
      <formula>0</formula>
    </cfRule>
  </conditionalFormatting>
  <conditionalFormatting sqref="M54:R57">
    <cfRule type="cellIs" dxfId="1178" priority="1224" operator="greaterThan">
      <formula>0</formula>
    </cfRule>
  </conditionalFormatting>
  <conditionalFormatting sqref="M53:R53">
    <cfRule type="cellIs" dxfId="1177" priority="1225" operator="greaterThan">
      <formula>0</formula>
    </cfRule>
  </conditionalFormatting>
  <conditionalFormatting sqref="M64:R64">
    <cfRule type="cellIs" dxfId="1176" priority="1217" operator="greaterThan">
      <formula>0</formula>
    </cfRule>
  </conditionalFormatting>
  <conditionalFormatting sqref="M65:R65">
    <cfRule type="cellIs" dxfId="1175" priority="1220" operator="greaterThan">
      <formula>0</formula>
    </cfRule>
  </conditionalFormatting>
  <conditionalFormatting sqref="M60:R60">
    <cfRule type="cellIs" dxfId="1174" priority="1219" operator="greaterThan">
      <formula>0</formula>
    </cfRule>
  </conditionalFormatting>
  <conditionalFormatting sqref="M63:R63">
    <cfRule type="cellIs" dxfId="1173" priority="1214" operator="greaterThan">
      <formula>0</formula>
    </cfRule>
  </conditionalFormatting>
  <conditionalFormatting sqref="M71:R71">
    <cfRule type="cellIs" dxfId="1172" priority="1210" operator="greaterThan">
      <formula>0</formula>
    </cfRule>
  </conditionalFormatting>
  <conditionalFormatting sqref="M67:R68">
    <cfRule type="cellIs" dxfId="1171" priority="1211" operator="greaterThan">
      <formula>0</formula>
    </cfRule>
  </conditionalFormatting>
  <conditionalFormatting sqref="M72:R72">
    <cfRule type="cellIs" dxfId="1170" priority="1213" operator="greaterThan">
      <formula>0</formula>
    </cfRule>
  </conditionalFormatting>
  <conditionalFormatting sqref="M66:R66">
    <cfRule type="cellIs" dxfId="1169" priority="1212" operator="greaterThan">
      <formula>0</formula>
    </cfRule>
  </conditionalFormatting>
  <conditionalFormatting sqref="M69:R70">
    <cfRule type="cellIs" dxfId="1168" priority="1209" operator="greaterThan">
      <formula>0</formula>
    </cfRule>
  </conditionalFormatting>
  <conditionalFormatting sqref="M79:R79">
    <cfRule type="cellIs" dxfId="1167" priority="1205" operator="greaterThan">
      <formula>0</formula>
    </cfRule>
  </conditionalFormatting>
  <conditionalFormatting sqref="M74:R75">
    <cfRule type="cellIs" dxfId="1166" priority="1206" operator="greaterThan">
      <formula>0</formula>
    </cfRule>
  </conditionalFormatting>
  <conditionalFormatting sqref="M80:R80">
    <cfRule type="cellIs" dxfId="1165" priority="1208" operator="greaterThan">
      <formula>0</formula>
    </cfRule>
  </conditionalFormatting>
  <conditionalFormatting sqref="M73:R73">
    <cfRule type="cellIs" dxfId="1164" priority="1207" operator="greaterThan">
      <formula>0</formula>
    </cfRule>
  </conditionalFormatting>
  <conditionalFormatting sqref="M76:R78">
    <cfRule type="cellIs" dxfId="1163" priority="1204" operator="greaterThan">
      <formula>0</formula>
    </cfRule>
  </conditionalFormatting>
  <conditionalFormatting sqref="M85:R85">
    <cfRule type="cellIs" dxfId="1162" priority="1200" operator="greaterThan">
      <formula>0</formula>
    </cfRule>
  </conditionalFormatting>
  <conditionalFormatting sqref="M87:R87">
    <cfRule type="cellIs" dxfId="1161" priority="1199" operator="greaterThan">
      <formula>0</formula>
    </cfRule>
  </conditionalFormatting>
  <conditionalFormatting sqref="M82:R84">
    <cfRule type="cellIs" dxfId="1160" priority="1201" operator="greaterThan">
      <formula>0</formula>
    </cfRule>
  </conditionalFormatting>
  <conditionalFormatting sqref="M86:R86">
    <cfRule type="cellIs" dxfId="1159" priority="1203" operator="greaterThan">
      <formula>0</formula>
    </cfRule>
  </conditionalFormatting>
  <conditionalFormatting sqref="M81:R81">
    <cfRule type="cellIs" dxfId="1158" priority="1202" operator="greaterThan">
      <formula>0</formula>
    </cfRule>
  </conditionalFormatting>
  <conditionalFormatting sqref="M92:R92">
    <cfRule type="cellIs" dxfId="1157" priority="1195" operator="greaterThan">
      <formula>0</formula>
    </cfRule>
  </conditionalFormatting>
  <conditionalFormatting sqref="M93:R93">
    <cfRule type="cellIs" dxfId="1156" priority="1194" operator="greaterThan">
      <formula>0</formula>
    </cfRule>
  </conditionalFormatting>
  <conditionalFormatting sqref="M88:R88">
    <cfRule type="cellIs" dxfId="1155" priority="1197" operator="greaterThan">
      <formula>0</formula>
    </cfRule>
  </conditionalFormatting>
  <conditionalFormatting sqref="M99:R101">
    <cfRule type="cellIs" dxfId="1154" priority="1187" operator="greaterThan">
      <formula>0</formula>
    </cfRule>
  </conditionalFormatting>
  <conditionalFormatting sqref="M95:R96">
    <cfRule type="cellIs" dxfId="1153" priority="1192" operator="greaterThan">
      <formula>0</formula>
    </cfRule>
  </conditionalFormatting>
  <conditionalFormatting sqref="M97:R97">
    <cfRule type="cellIs" dxfId="1152" priority="1189" operator="greaterThan">
      <formula>0</formula>
    </cfRule>
  </conditionalFormatting>
  <conditionalFormatting sqref="M98:R98">
    <cfRule type="cellIs" dxfId="1151" priority="1186" operator="greaterThan">
      <formula>0</formula>
    </cfRule>
  </conditionalFormatting>
  <conditionalFormatting sqref="M94:R94">
    <cfRule type="cellIs" dxfId="1150" priority="1190" operator="greaterThan">
      <formula>0</formula>
    </cfRule>
  </conditionalFormatting>
  <conditionalFormatting sqref="M106:R107">
    <cfRule type="cellIs" dxfId="1149" priority="1185" operator="greaterThan">
      <formula>0</formula>
    </cfRule>
  </conditionalFormatting>
  <conditionalFormatting sqref="M108:R108">
    <cfRule type="cellIs" dxfId="1148" priority="1184" operator="greaterThan">
      <formula>0</formula>
    </cfRule>
  </conditionalFormatting>
  <conditionalFormatting sqref="M103:R103">
    <cfRule type="cellIs" dxfId="1147" priority="1182" operator="greaterThan">
      <formula>0</formula>
    </cfRule>
  </conditionalFormatting>
  <conditionalFormatting sqref="M109:R110">
    <cfRule type="cellIs" dxfId="1146" priority="1181" operator="greaterThan">
      <formula>0</formula>
    </cfRule>
  </conditionalFormatting>
  <conditionalFormatting sqref="M112:R113">
    <cfRule type="cellIs" dxfId="1145" priority="1180" operator="greaterThan">
      <formula>0</formula>
    </cfRule>
  </conditionalFormatting>
  <conditionalFormatting sqref="M115:R115">
    <cfRule type="cellIs" dxfId="1144" priority="1177" operator="greaterThan">
      <formula>0</formula>
    </cfRule>
  </conditionalFormatting>
  <conditionalFormatting sqref="M116:R116">
    <cfRule type="cellIs" dxfId="1143" priority="1179" operator="greaterThan">
      <formula>0</formula>
    </cfRule>
  </conditionalFormatting>
  <conditionalFormatting sqref="M111:R111">
    <cfRule type="cellIs" dxfId="1142" priority="1178" operator="greaterThan">
      <formula>0</formula>
    </cfRule>
  </conditionalFormatting>
  <conditionalFormatting sqref="M114:R114">
    <cfRule type="cellIs" dxfId="1141" priority="1176" operator="greaterThan">
      <formula>0</formula>
    </cfRule>
  </conditionalFormatting>
  <conditionalFormatting sqref="M118:R120">
    <cfRule type="cellIs" dxfId="1140" priority="1175" operator="greaterThan">
      <formula>0</formula>
    </cfRule>
  </conditionalFormatting>
  <conditionalFormatting sqref="M121:R121">
    <cfRule type="cellIs" dxfId="1139" priority="1172" operator="greaterThan">
      <formula>0</formula>
    </cfRule>
  </conditionalFormatting>
  <conditionalFormatting sqref="M122:R122">
    <cfRule type="cellIs" dxfId="1138" priority="1174" operator="greaterThan">
      <formula>0</formula>
    </cfRule>
  </conditionalFormatting>
  <conditionalFormatting sqref="M117:R117">
    <cfRule type="cellIs" dxfId="1137" priority="1173" operator="greaterThan">
      <formula>0</formula>
    </cfRule>
  </conditionalFormatting>
  <conditionalFormatting sqref="M128:R128">
    <cfRule type="cellIs" dxfId="1136" priority="1167" operator="greaterThan">
      <formula>0</formula>
    </cfRule>
  </conditionalFormatting>
  <conditionalFormatting sqref="M129:R129">
    <cfRule type="cellIs" dxfId="1135" priority="1169" operator="greaterThan">
      <formula>0</formula>
    </cfRule>
  </conditionalFormatting>
  <conditionalFormatting sqref="M123:R123">
    <cfRule type="cellIs" dxfId="1134" priority="1168" operator="greaterThan">
      <formula>0</formula>
    </cfRule>
  </conditionalFormatting>
  <conditionalFormatting sqref="M126:R127">
    <cfRule type="cellIs" dxfId="1133" priority="1166" operator="greaterThan">
      <formula>0</formula>
    </cfRule>
  </conditionalFormatting>
  <conditionalFormatting sqref="M133:R133">
    <cfRule type="cellIs" dxfId="1132" priority="1162" operator="greaterThan">
      <formula>0</formula>
    </cfRule>
  </conditionalFormatting>
  <conditionalFormatting sqref="M130:R130">
    <cfRule type="cellIs" dxfId="1131" priority="1163" operator="greaterThan">
      <formula>0</formula>
    </cfRule>
  </conditionalFormatting>
  <conditionalFormatting sqref="M143:R144">
    <cfRule type="cellIs" dxfId="1130" priority="1158" operator="greaterThan">
      <formula>0</formula>
    </cfRule>
  </conditionalFormatting>
  <conditionalFormatting sqref="M142:R142">
    <cfRule type="cellIs" dxfId="1129" priority="1157" operator="greaterThan">
      <formula>0</formula>
    </cfRule>
  </conditionalFormatting>
  <conditionalFormatting sqref="M145:R145">
    <cfRule type="cellIs" dxfId="1128" priority="1156" operator="greaterThan">
      <formula>0</formula>
    </cfRule>
  </conditionalFormatting>
  <conditionalFormatting sqref="M146:R146">
    <cfRule type="cellIs" dxfId="1127" priority="1152" operator="greaterThan">
      <formula>0</formula>
    </cfRule>
  </conditionalFormatting>
  <conditionalFormatting sqref="M151:R152">
    <cfRule type="cellIs" dxfId="1126" priority="1154" operator="greaterThan">
      <formula>0</formula>
    </cfRule>
  </conditionalFormatting>
  <conditionalFormatting sqref="M147:R148">
    <cfRule type="cellIs" dxfId="1125" priority="1153" operator="greaterThan">
      <formula>0</formula>
    </cfRule>
  </conditionalFormatting>
  <conditionalFormatting sqref="M149:R150">
    <cfRule type="cellIs" dxfId="1124" priority="1150" operator="greaterThan">
      <formula>0</formula>
    </cfRule>
  </conditionalFormatting>
  <conditionalFormatting sqref="M153:R153">
    <cfRule type="cellIs" dxfId="1123" priority="1146" operator="greaterThan">
      <formula>0</formula>
    </cfRule>
  </conditionalFormatting>
  <conditionalFormatting sqref="M161:R162">
    <cfRule type="cellIs" dxfId="1122" priority="1148" operator="greaterThan">
      <formula>0</formula>
    </cfRule>
  </conditionalFormatting>
  <conditionalFormatting sqref="M154:R155">
    <cfRule type="cellIs" dxfId="1121" priority="1147" operator="greaterThan">
      <formula>0</formula>
    </cfRule>
  </conditionalFormatting>
  <conditionalFormatting sqref="M164:R164">
    <cfRule type="cellIs" dxfId="1120" priority="1139" operator="greaterThan">
      <formula>0</formula>
    </cfRule>
  </conditionalFormatting>
  <conditionalFormatting sqref="M156:R159">
    <cfRule type="cellIs" dxfId="1119" priority="1144" operator="greaterThan">
      <formula>0</formula>
    </cfRule>
  </conditionalFormatting>
  <conditionalFormatting sqref="M160:R160">
    <cfRule type="cellIs" dxfId="1118" priority="1143" operator="greaterThan">
      <formula>0</formula>
    </cfRule>
  </conditionalFormatting>
  <conditionalFormatting sqref="M173:R173">
    <cfRule type="cellIs" dxfId="1117" priority="1142" operator="greaterThan">
      <formula>0</formula>
    </cfRule>
  </conditionalFormatting>
  <conditionalFormatting sqref="M174:R174">
    <cfRule type="cellIs" dxfId="1116" priority="1133" operator="greaterThan">
      <formula>0</formula>
    </cfRule>
  </conditionalFormatting>
  <conditionalFormatting sqref="M170:R171">
    <cfRule type="cellIs" dxfId="1115" priority="1141" operator="greaterThan">
      <formula>0</formula>
    </cfRule>
  </conditionalFormatting>
  <conditionalFormatting sqref="M165:R169">
    <cfRule type="cellIs" dxfId="1114" priority="1140" operator="greaterThan">
      <formula>0</formula>
    </cfRule>
  </conditionalFormatting>
  <conditionalFormatting sqref="M178:R180">
    <cfRule type="cellIs" dxfId="1113" priority="1132" operator="greaterThan">
      <formula>0</formula>
    </cfRule>
  </conditionalFormatting>
  <conditionalFormatting sqref="M172:R172">
    <cfRule type="cellIs" dxfId="1112" priority="1137" operator="greaterThan">
      <formula>0</formula>
    </cfRule>
  </conditionalFormatting>
  <conditionalFormatting sqref="M185:R185">
    <cfRule type="cellIs" dxfId="1111" priority="1128" operator="greaterThan">
      <formula>0</formula>
    </cfRule>
  </conditionalFormatting>
  <conditionalFormatting sqref="M186:R189">
    <cfRule type="cellIs" dxfId="1110" priority="1129" operator="greaterThan">
      <formula>0</formula>
    </cfRule>
  </conditionalFormatting>
  <conditionalFormatting sqref="M181:R182">
    <cfRule type="cellIs" dxfId="1109" priority="1135" operator="greaterThan">
      <formula>0</formula>
    </cfRule>
  </conditionalFormatting>
  <conditionalFormatting sqref="M175:R177">
    <cfRule type="cellIs" dxfId="1108" priority="1134" operator="greaterThan">
      <formula>0</formula>
    </cfRule>
  </conditionalFormatting>
  <conditionalFormatting sqref="M193:R193">
    <cfRule type="cellIs" dxfId="1107" priority="1124" operator="greaterThan">
      <formula>0</formula>
    </cfRule>
  </conditionalFormatting>
  <conditionalFormatting sqref="M190:R192">
    <cfRule type="cellIs" dxfId="1106" priority="1130" operator="greaterThan">
      <formula>0</formula>
    </cfRule>
  </conditionalFormatting>
  <conditionalFormatting sqref="M207:R207">
    <cfRule type="cellIs" dxfId="1105" priority="1117" operator="greaterThan">
      <formula>0</formula>
    </cfRule>
  </conditionalFormatting>
  <conditionalFormatting sqref="M196:R198">
    <cfRule type="cellIs" dxfId="1104" priority="1126" operator="greaterThan">
      <formula>0</formula>
    </cfRule>
  </conditionalFormatting>
  <conditionalFormatting sqref="M208:R212">
    <cfRule type="cellIs" dxfId="1103" priority="1118" operator="greaterThan">
      <formula>0</formula>
    </cfRule>
  </conditionalFormatting>
  <conditionalFormatting sqref="M217:R217">
    <cfRule type="cellIs" dxfId="1102" priority="1113" operator="greaterThan">
      <formula>0</formula>
    </cfRule>
  </conditionalFormatting>
  <conditionalFormatting sqref="M213:R213">
    <cfRule type="cellIs" dxfId="1101" priority="1119" operator="greaterThan">
      <formula>0</formula>
    </cfRule>
  </conditionalFormatting>
  <conditionalFormatting sqref="M218:R219">
    <cfRule type="cellIs" dxfId="1100" priority="1114" operator="greaterThan">
      <formula>0</formula>
    </cfRule>
  </conditionalFormatting>
  <conditionalFormatting sqref="M220:R220">
    <cfRule type="cellIs" dxfId="1099" priority="1115" operator="greaterThan">
      <formula>0</formula>
    </cfRule>
  </conditionalFormatting>
  <conditionalFormatting sqref="M221:R221">
    <cfRule type="cellIs" dxfId="1098" priority="1116" operator="greaterThan">
      <formula>0</formula>
    </cfRule>
  </conditionalFormatting>
  <conditionalFormatting sqref="M222:R222">
    <cfRule type="cellIs" dxfId="1097" priority="1108" operator="greaterThan">
      <formula>0</formula>
    </cfRule>
  </conditionalFormatting>
  <conditionalFormatting sqref="M223:R224">
    <cfRule type="cellIs" dxfId="1096" priority="1109" operator="greaterThan">
      <formula>0</formula>
    </cfRule>
  </conditionalFormatting>
  <conditionalFormatting sqref="M225:R226">
    <cfRule type="cellIs" dxfId="1095" priority="1110" operator="greaterThan">
      <formula>0</formula>
    </cfRule>
  </conditionalFormatting>
  <conditionalFormatting sqref="M227:R227">
    <cfRule type="cellIs" dxfId="1094" priority="1111" operator="greaterThan">
      <formula>0</formula>
    </cfRule>
  </conditionalFormatting>
  <conditionalFormatting sqref="M233:R233">
    <cfRule type="cellIs" dxfId="1093" priority="1106" operator="greaterThan">
      <formula>0</formula>
    </cfRule>
  </conditionalFormatting>
  <conditionalFormatting sqref="M228:R228">
    <cfRule type="cellIs" dxfId="1092" priority="1102" operator="greaterThan">
      <formula>0</formula>
    </cfRule>
  </conditionalFormatting>
  <conditionalFormatting sqref="M229:R232">
    <cfRule type="cellIs" dxfId="1091" priority="1103" operator="greaterThan">
      <formula>0</formula>
    </cfRule>
  </conditionalFormatting>
  <conditionalFormatting sqref="M234:R234">
    <cfRule type="cellIs" dxfId="1090" priority="1104" operator="greaterThan">
      <formula>0</formula>
    </cfRule>
  </conditionalFormatting>
  <conditionalFormatting sqref="M235:R236">
    <cfRule type="cellIs" dxfId="1089" priority="1105" operator="greaterThan">
      <formula>0</formula>
    </cfRule>
  </conditionalFormatting>
  <conditionalFormatting sqref="M242:R243">
    <cfRule type="cellIs" dxfId="1088" priority="1099" operator="greaterThan">
      <formula>0</formula>
    </cfRule>
  </conditionalFormatting>
  <conditionalFormatting sqref="M237:R237">
    <cfRule type="cellIs" dxfId="1087" priority="1096" operator="greaterThan">
      <formula>0</formula>
    </cfRule>
  </conditionalFormatting>
  <conditionalFormatting sqref="M238:R240">
    <cfRule type="cellIs" dxfId="1086" priority="1097" operator="greaterThan">
      <formula>0</formula>
    </cfRule>
  </conditionalFormatting>
  <conditionalFormatting sqref="M241:R241">
    <cfRule type="cellIs" dxfId="1085" priority="1098" operator="greaterThan">
      <formula>0</formula>
    </cfRule>
  </conditionalFormatting>
  <conditionalFormatting sqref="M251:R251">
    <cfRule type="cellIs" dxfId="1084" priority="1094" operator="greaterThan">
      <formula>0</formula>
    </cfRule>
  </conditionalFormatting>
  <conditionalFormatting sqref="M256:R257">
    <cfRule type="cellIs" dxfId="1083" priority="1088" operator="greaterThan">
      <formula>0</formula>
    </cfRule>
  </conditionalFormatting>
  <conditionalFormatting sqref="M244:R244">
    <cfRule type="cellIs" dxfId="1082" priority="1091" operator="greaterThan">
      <formula>0</formula>
    </cfRule>
  </conditionalFormatting>
  <conditionalFormatting sqref="M245:R247">
    <cfRule type="cellIs" dxfId="1081" priority="1092" operator="greaterThan">
      <formula>0</formula>
    </cfRule>
  </conditionalFormatting>
  <conditionalFormatting sqref="M248:R250">
    <cfRule type="cellIs" dxfId="1080" priority="1093" operator="greaterThan">
      <formula>0</formula>
    </cfRule>
  </conditionalFormatting>
  <conditionalFormatting sqref="M252:R252">
    <cfRule type="cellIs" dxfId="1079" priority="1086" operator="greaterThan">
      <formula>0</formula>
    </cfRule>
  </conditionalFormatting>
  <conditionalFormatting sqref="M253:R255">
    <cfRule type="cellIs" dxfId="1078" priority="1087" operator="greaterThan">
      <formula>0</formula>
    </cfRule>
  </conditionalFormatting>
  <conditionalFormatting sqref="M266:R268">
    <cfRule type="cellIs" dxfId="1077" priority="1080" operator="greaterThan">
      <formula>0</formula>
    </cfRule>
  </conditionalFormatting>
  <conditionalFormatting sqref="M258:R259">
    <cfRule type="cellIs" dxfId="1076" priority="1083" operator="greaterThan">
      <formula>0</formula>
    </cfRule>
  </conditionalFormatting>
  <conditionalFormatting sqref="M290:R291">
    <cfRule type="cellIs" dxfId="1075" priority="1061" operator="greaterThan">
      <formula>0</formula>
    </cfRule>
  </conditionalFormatting>
  <conditionalFormatting sqref="M269:R269">
    <cfRule type="cellIs" dxfId="1074" priority="1081" operator="greaterThan">
      <formula>0</formula>
    </cfRule>
  </conditionalFormatting>
  <conditionalFormatting sqref="M265:R265">
    <cfRule type="cellIs" dxfId="1073" priority="1079" operator="greaterThan">
      <formula>0</formula>
    </cfRule>
  </conditionalFormatting>
  <conditionalFormatting sqref="M270:R270">
    <cfRule type="cellIs" dxfId="1072" priority="1082" operator="greaterThan">
      <formula>0</formula>
    </cfRule>
  </conditionalFormatting>
  <conditionalFormatting sqref="M271:R271">
    <cfRule type="cellIs" dxfId="1071" priority="1077" operator="greaterThan">
      <formula>0</formula>
    </cfRule>
  </conditionalFormatting>
  <conditionalFormatting sqref="M272:R272">
    <cfRule type="cellIs" dxfId="1070" priority="1078" operator="greaterThan">
      <formula>0</formula>
    </cfRule>
  </conditionalFormatting>
  <conditionalFormatting sqref="M273:R273">
    <cfRule type="cellIs" dxfId="1069" priority="1070" operator="greaterThan">
      <formula>0</formula>
    </cfRule>
  </conditionalFormatting>
  <conditionalFormatting sqref="M283:R283">
    <cfRule type="cellIs" dxfId="1068" priority="1062" operator="greaterThan">
      <formula>0</formula>
    </cfRule>
  </conditionalFormatting>
  <conditionalFormatting sqref="M279:R279">
    <cfRule type="cellIs" dxfId="1067" priority="1072" operator="greaterThan">
      <formula>0</formula>
    </cfRule>
  </conditionalFormatting>
  <conditionalFormatting sqref="M280:R280">
    <cfRule type="cellIs" dxfId="1066" priority="1073" operator="greaterThan">
      <formula>0</formula>
    </cfRule>
  </conditionalFormatting>
  <conditionalFormatting sqref="M284:R285">
    <cfRule type="cellIs" dxfId="1065" priority="1065" operator="greaterThan">
      <formula>0</formula>
    </cfRule>
  </conditionalFormatting>
  <conditionalFormatting sqref="M286:R286 M288:R288">
    <cfRule type="cellIs" dxfId="1064" priority="1063" operator="greaterThan">
      <formula>0</formula>
    </cfRule>
  </conditionalFormatting>
  <conditionalFormatting sqref="M292:R292">
    <cfRule type="cellIs" dxfId="1063" priority="1060" operator="greaterThan">
      <formula>0</formula>
    </cfRule>
  </conditionalFormatting>
  <conditionalFormatting sqref="M289:R289">
    <cfRule type="cellIs" dxfId="1062" priority="1059" operator="greaterThan">
      <formula>0</formula>
    </cfRule>
  </conditionalFormatting>
  <conditionalFormatting sqref="M294:R294">
    <cfRule type="cellIs" dxfId="1061" priority="1042" operator="greaterThan">
      <formula>0</formula>
    </cfRule>
  </conditionalFormatting>
  <conditionalFormatting sqref="M295:R296 M298:R299">
    <cfRule type="cellIs" dxfId="1060" priority="1044" operator="greaterThan">
      <formula>0</formula>
    </cfRule>
  </conditionalFormatting>
  <conditionalFormatting sqref="M300:R301">
    <cfRule type="cellIs" dxfId="1059" priority="1043" operator="greaterThan">
      <formula>0</formula>
    </cfRule>
  </conditionalFormatting>
  <conditionalFormatting sqref="M297:R297">
    <cfRule type="cellIs" dxfId="1058" priority="1041" operator="greaterThan">
      <formula>0</formula>
    </cfRule>
  </conditionalFormatting>
  <conditionalFormatting sqref="M310:R310">
    <cfRule type="cellIs" dxfId="1057" priority="1032" operator="greaterThan">
      <formula>0</formula>
    </cfRule>
  </conditionalFormatting>
  <conditionalFormatting sqref="M308:R309">
    <cfRule type="cellIs" dxfId="1056" priority="1040" operator="greaterThan">
      <formula>0</formula>
    </cfRule>
  </conditionalFormatting>
  <conditionalFormatting sqref="M303:R303">
    <cfRule type="cellIs" dxfId="1055" priority="1037" operator="greaterThan">
      <formula>0</formula>
    </cfRule>
  </conditionalFormatting>
  <conditionalFormatting sqref="M304:R306">
    <cfRule type="cellIs" dxfId="1054" priority="1039" operator="greaterThan">
      <formula>0</formula>
    </cfRule>
  </conditionalFormatting>
  <conditionalFormatting sqref="M307:R307">
    <cfRule type="cellIs" dxfId="1053" priority="1038" operator="greaterThan">
      <formula>0</formula>
    </cfRule>
  </conditionalFormatting>
  <conditionalFormatting sqref="M315:R315">
    <cfRule type="cellIs" dxfId="1052" priority="1028" operator="greaterThan">
      <formula>0</formula>
    </cfRule>
  </conditionalFormatting>
  <conditionalFormatting sqref="M322:R322">
    <cfRule type="cellIs" dxfId="1051" priority="1024" operator="greaterThan">
      <formula>0</formula>
    </cfRule>
  </conditionalFormatting>
  <conditionalFormatting sqref="M311:R312">
    <cfRule type="cellIs" dxfId="1050" priority="1034" operator="greaterThan">
      <formula>0</formula>
    </cfRule>
  </conditionalFormatting>
  <conditionalFormatting sqref="M313:R314">
    <cfRule type="cellIs" dxfId="1049" priority="1033" operator="greaterThan">
      <formula>0</formula>
    </cfRule>
  </conditionalFormatting>
  <conditionalFormatting sqref="M327:R327">
    <cfRule type="cellIs" dxfId="1048" priority="1020" operator="greaterThan">
      <formula>0</formula>
    </cfRule>
  </conditionalFormatting>
  <conditionalFormatting sqref="M321:R321">
    <cfRule type="cellIs" dxfId="1047" priority="1031" operator="greaterThan">
      <formula>0</formula>
    </cfRule>
  </conditionalFormatting>
  <conditionalFormatting sqref="M316:R319">
    <cfRule type="cellIs" dxfId="1046" priority="1030" operator="greaterThan">
      <formula>0</formula>
    </cfRule>
  </conditionalFormatting>
  <conditionalFormatting sqref="M320:R320">
    <cfRule type="cellIs" dxfId="1045" priority="1029" operator="greaterThan">
      <formula>0</formula>
    </cfRule>
  </conditionalFormatting>
  <conditionalFormatting sqref="M332:R332">
    <cfRule type="cellIs" dxfId="1044" priority="1016" operator="greaterThan">
      <formula>0</formula>
    </cfRule>
  </conditionalFormatting>
  <conditionalFormatting sqref="M326:R326">
    <cfRule type="cellIs" dxfId="1043" priority="1027" operator="greaterThan">
      <formula>0</formula>
    </cfRule>
  </conditionalFormatting>
  <conditionalFormatting sqref="M323:R324">
    <cfRule type="cellIs" dxfId="1042" priority="1026" operator="greaterThan">
      <formula>0</formula>
    </cfRule>
  </conditionalFormatting>
  <conditionalFormatting sqref="M325:R325">
    <cfRule type="cellIs" dxfId="1041" priority="1025" operator="greaterThan">
      <formula>0</formula>
    </cfRule>
  </conditionalFormatting>
  <conditionalFormatting sqref="M337:R337">
    <cfRule type="cellIs" dxfId="1040" priority="1012" operator="greaterThan">
      <formula>0</formula>
    </cfRule>
  </conditionalFormatting>
  <conditionalFormatting sqref="M331:R331">
    <cfRule type="cellIs" dxfId="1039" priority="1023" operator="greaterThan">
      <formula>0</formula>
    </cfRule>
  </conditionalFormatting>
  <conditionalFormatting sqref="M328:R329">
    <cfRule type="cellIs" dxfId="1038" priority="1022" operator="greaterThan">
      <formula>0</formula>
    </cfRule>
  </conditionalFormatting>
  <conditionalFormatting sqref="M330:R330">
    <cfRule type="cellIs" dxfId="1037" priority="1021" operator="greaterThan">
      <formula>0</formula>
    </cfRule>
  </conditionalFormatting>
  <conditionalFormatting sqref="M343:R343">
    <cfRule type="cellIs" dxfId="1036" priority="1009" operator="greaterThan">
      <formula>0</formula>
    </cfRule>
  </conditionalFormatting>
  <conditionalFormatting sqref="M336:R336">
    <cfRule type="cellIs" dxfId="1035" priority="1019" operator="greaterThan">
      <formula>0</formula>
    </cfRule>
  </conditionalFormatting>
  <conditionalFormatting sqref="M333:R334">
    <cfRule type="cellIs" dxfId="1034" priority="1018" operator="greaterThan">
      <formula>0</formula>
    </cfRule>
  </conditionalFormatting>
  <conditionalFormatting sqref="M335:R335">
    <cfRule type="cellIs" dxfId="1033" priority="1017" operator="greaterThan">
      <formula>0</formula>
    </cfRule>
  </conditionalFormatting>
  <conditionalFormatting sqref="M344:R345">
    <cfRule type="cellIs" dxfId="1032" priority="1011" operator="greaterThan">
      <formula>0</formula>
    </cfRule>
  </conditionalFormatting>
  <conditionalFormatting sqref="M338:R339">
    <cfRule type="cellIs" dxfId="1031" priority="1014" operator="greaterThan">
      <formula>0</formula>
    </cfRule>
  </conditionalFormatting>
  <conditionalFormatting sqref="M341:R342">
    <cfRule type="cellIs" dxfId="1030" priority="1013" operator="greaterThan">
      <formula>0</formula>
    </cfRule>
  </conditionalFormatting>
  <conditionalFormatting sqref="M348:R348">
    <cfRule type="cellIs" dxfId="1029" priority="1005" operator="greaterThan">
      <formula>0</formula>
    </cfRule>
  </conditionalFormatting>
  <conditionalFormatting sqref="M362:R363">
    <cfRule type="cellIs" dxfId="1028" priority="1000" operator="greaterThan">
      <formula>0</formula>
    </cfRule>
  </conditionalFormatting>
  <conditionalFormatting sqref="M346:R347">
    <cfRule type="cellIs" dxfId="1027" priority="1010" operator="greaterThan">
      <formula>0</formula>
    </cfRule>
  </conditionalFormatting>
  <conditionalFormatting sqref="M375:R375 M397:R397 M487:R487 N423:R423 M621:R621 N593:R593 M624:R624 M626:R627 M644:R644 M948:R948 O1061:R1061 N1062:R1062 N1064:R1064 M491:R494 M511:R517 O622:R623">
    <cfRule type="cellIs" dxfId="1026" priority="1002" operator="greaterThan">
      <formula>0</formula>
    </cfRule>
  </conditionalFormatting>
  <conditionalFormatting sqref="M349:R350">
    <cfRule type="cellIs" dxfId="1025" priority="1007" operator="greaterThan">
      <formula>0</formula>
    </cfRule>
  </conditionalFormatting>
  <conditionalFormatting sqref="M351:R353">
    <cfRule type="cellIs" dxfId="1024" priority="1006" operator="greaterThan">
      <formula>0</formula>
    </cfRule>
  </conditionalFormatting>
  <conditionalFormatting sqref="M355:R356">
    <cfRule type="cellIs" dxfId="1023" priority="1004" operator="greaterThan">
      <formula>0</formula>
    </cfRule>
  </conditionalFormatting>
  <conditionalFormatting sqref="M357:R358">
    <cfRule type="cellIs" dxfId="1022" priority="1003" operator="greaterThan">
      <formula>0</formula>
    </cfRule>
  </conditionalFormatting>
  <conditionalFormatting sqref="M359:R359">
    <cfRule type="cellIs" dxfId="1021" priority="999" operator="greaterThan">
      <formula>0</formula>
    </cfRule>
  </conditionalFormatting>
  <conditionalFormatting sqref="M373:R373">
    <cfRule type="cellIs" dxfId="1020" priority="995" operator="greaterThan">
      <formula>0</formula>
    </cfRule>
  </conditionalFormatting>
  <conditionalFormatting sqref="M369:R369">
    <cfRule type="cellIs" dxfId="1019" priority="994" operator="greaterThan">
      <formula>0</formula>
    </cfRule>
  </conditionalFormatting>
  <conditionalFormatting sqref="M374:R374">
    <cfRule type="cellIs" dxfId="1018" priority="993" operator="greaterThan">
      <formula>0</formula>
    </cfRule>
  </conditionalFormatting>
  <conditionalFormatting sqref="M376:R382 M384:R384">
    <cfRule type="cellIs" dxfId="1017" priority="992" operator="greaterThan">
      <formula>0</formula>
    </cfRule>
  </conditionalFormatting>
  <conditionalFormatting sqref="M385:R389 M392:R392">
    <cfRule type="cellIs" dxfId="1016" priority="982" operator="greaterThan">
      <formula>0</formula>
    </cfRule>
  </conditionalFormatting>
  <conditionalFormatting sqref="M386:R387">
    <cfRule type="cellIs" dxfId="1015" priority="985" operator="greaterThan">
      <formula>0</formula>
    </cfRule>
  </conditionalFormatting>
  <conditionalFormatting sqref="M380:R381">
    <cfRule type="cellIs" dxfId="1014" priority="989" operator="greaterThan">
      <formula>0</formula>
    </cfRule>
  </conditionalFormatting>
  <conditionalFormatting sqref="M376:R376">
    <cfRule type="cellIs" dxfId="1013" priority="988" operator="greaterThan">
      <formula>0</formula>
    </cfRule>
  </conditionalFormatting>
  <conditionalFormatting sqref="M382:R382 M384:R384">
    <cfRule type="cellIs" dxfId="1012" priority="987" operator="greaterThan">
      <formula>0</formula>
    </cfRule>
  </conditionalFormatting>
  <conditionalFormatting sqref="M402:R403">
    <cfRule type="cellIs" dxfId="1011" priority="976" operator="greaterThan">
      <formula>0</formula>
    </cfRule>
  </conditionalFormatting>
  <conditionalFormatting sqref="M385:R385">
    <cfRule type="cellIs" dxfId="1010" priority="983" operator="greaterThan">
      <formula>0</formula>
    </cfRule>
  </conditionalFormatting>
  <conditionalFormatting sqref="M394:R395">
    <cfRule type="cellIs" dxfId="1009" priority="981" operator="greaterThan">
      <formula>0</formula>
    </cfRule>
  </conditionalFormatting>
  <conditionalFormatting sqref="M388:R389 M392:R392">
    <cfRule type="cellIs" dxfId="1008" priority="984" operator="greaterThan">
      <formula>0</formula>
    </cfRule>
  </conditionalFormatting>
  <conditionalFormatting sqref="M408:R408">
    <cfRule type="cellIs" dxfId="1007" priority="970" operator="greaterThan">
      <formula>0</formula>
    </cfRule>
  </conditionalFormatting>
  <conditionalFormatting sqref="M399:R400">
    <cfRule type="cellIs" dxfId="1006" priority="975" operator="greaterThan">
      <formula>0</formula>
    </cfRule>
  </conditionalFormatting>
  <conditionalFormatting sqref="M393:R393">
    <cfRule type="cellIs" dxfId="1005" priority="979" operator="greaterThan">
      <formula>0</formula>
    </cfRule>
  </conditionalFormatting>
  <conditionalFormatting sqref="M396:R396">
    <cfRule type="cellIs" dxfId="1004" priority="980" operator="greaterThan">
      <formula>0</formula>
    </cfRule>
  </conditionalFormatting>
  <conditionalFormatting sqref="M393:R396">
    <cfRule type="cellIs" dxfId="1003" priority="978" operator="greaterThan">
      <formula>0</formula>
    </cfRule>
  </conditionalFormatting>
  <conditionalFormatting sqref="M402:R403">
    <cfRule type="cellIs" dxfId="1002" priority="977" operator="greaterThan">
      <formula>0</formula>
    </cfRule>
  </conditionalFormatting>
  <conditionalFormatting sqref="M405:R406">
    <cfRule type="cellIs" dxfId="1001" priority="969" operator="greaterThan">
      <formula>0</formula>
    </cfRule>
  </conditionalFormatting>
  <conditionalFormatting sqref="M398:R398">
    <cfRule type="cellIs" dxfId="1000" priority="973" operator="greaterThan">
      <formula>0</formula>
    </cfRule>
  </conditionalFormatting>
  <conditionalFormatting sqref="M401:R401">
    <cfRule type="cellIs" dxfId="999" priority="974" operator="greaterThan">
      <formula>0</formula>
    </cfRule>
  </conditionalFormatting>
  <conditionalFormatting sqref="M398:R401">
    <cfRule type="cellIs" dxfId="998" priority="972" operator="greaterThan">
      <formula>0</formula>
    </cfRule>
  </conditionalFormatting>
  <conditionalFormatting sqref="M415:R415">
    <cfRule type="cellIs" dxfId="997" priority="958" operator="greaterThan">
      <formula>0</formula>
    </cfRule>
  </conditionalFormatting>
  <conditionalFormatting sqref="M408:R408">
    <cfRule type="cellIs" dxfId="996" priority="971" operator="greaterThan">
      <formula>0</formula>
    </cfRule>
  </conditionalFormatting>
  <conditionalFormatting sqref="M404:R404">
    <cfRule type="cellIs" dxfId="995" priority="967" operator="greaterThan">
      <formula>0</formula>
    </cfRule>
  </conditionalFormatting>
  <conditionalFormatting sqref="M407:R407">
    <cfRule type="cellIs" dxfId="994" priority="968" operator="greaterThan">
      <formula>0</formula>
    </cfRule>
  </conditionalFormatting>
  <conditionalFormatting sqref="M404:R407">
    <cfRule type="cellIs" dxfId="993" priority="966" operator="greaterThan">
      <formula>0</formula>
    </cfRule>
  </conditionalFormatting>
  <conditionalFormatting sqref="M418:R420">
    <cfRule type="cellIs" dxfId="992" priority="943" operator="greaterThan">
      <formula>0</formula>
    </cfRule>
  </conditionalFormatting>
  <conditionalFormatting sqref="M415:R415">
    <cfRule type="cellIs" dxfId="991" priority="959" operator="greaterThan">
      <formula>0</formula>
    </cfRule>
  </conditionalFormatting>
  <conditionalFormatting sqref="M411:R411">
    <cfRule type="cellIs" dxfId="990" priority="955" operator="greaterThan">
      <formula>0</formula>
    </cfRule>
  </conditionalFormatting>
  <conditionalFormatting sqref="M414:R414">
    <cfRule type="cellIs" dxfId="989" priority="956" operator="greaterThan">
      <formula>0</formula>
    </cfRule>
  </conditionalFormatting>
  <conditionalFormatting sqref="M428:R428">
    <cfRule type="cellIs" dxfId="988" priority="938" operator="greaterThan">
      <formula>0</formula>
    </cfRule>
  </conditionalFormatting>
  <conditionalFormatting sqref="M421:R422 M423">
    <cfRule type="cellIs" dxfId="987" priority="942" operator="greaterThan">
      <formula>0</formula>
    </cfRule>
  </conditionalFormatting>
  <conditionalFormatting sqref="M425:R426">
    <cfRule type="cellIs" dxfId="986" priority="937" operator="greaterThan">
      <formula>0</formula>
    </cfRule>
  </conditionalFormatting>
  <conditionalFormatting sqref="M427:R427">
    <cfRule type="cellIs" dxfId="985" priority="936" operator="greaterThan">
      <formula>0</formula>
    </cfRule>
  </conditionalFormatting>
  <conditionalFormatting sqref="M416:R416">
    <cfRule type="cellIs" dxfId="984" priority="946" operator="greaterThan">
      <formula>0</formula>
    </cfRule>
  </conditionalFormatting>
  <conditionalFormatting sqref="M435:R436">
    <cfRule type="cellIs" dxfId="983" priority="927" operator="greaterThan">
      <formula>0</formula>
    </cfRule>
  </conditionalFormatting>
  <conditionalFormatting sqref="M416:R416">
    <cfRule type="cellIs" dxfId="982" priority="947" operator="greaterThan">
      <formula>0</formula>
    </cfRule>
  </conditionalFormatting>
  <conditionalFormatting sqref="M518:R522">
    <cfRule type="cellIs" dxfId="981" priority="921" operator="greaterThan">
      <formula>0</formula>
    </cfRule>
  </conditionalFormatting>
  <conditionalFormatting sqref="M518:R522">
    <cfRule type="cellIs" dxfId="980" priority="922" operator="greaterThan">
      <formula>0</formula>
    </cfRule>
  </conditionalFormatting>
  <conditionalFormatting sqref="M428:R428">
    <cfRule type="cellIs" dxfId="979" priority="939" operator="greaterThan">
      <formula>0</formula>
    </cfRule>
  </conditionalFormatting>
  <conditionalFormatting sqref="M417:R417">
    <cfRule type="cellIs" dxfId="978" priority="941" operator="greaterThan">
      <formula>0</formula>
    </cfRule>
  </conditionalFormatting>
  <conditionalFormatting sqref="M435:R436">
    <cfRule type="cellIs" dxfId="977" priority="926" operator="greaterThan">
      <formula>0</formula>
    </cfRule>
  </conditionalFormatting>
  <conditionalFormatting sqref="M417:R422 M423">
    <cfRule type="cellIs" dxfId="976" priority="940" operator="greaterThan">
      <formula>0</formula>
    </cfRule>
  </conditionalFormatting>
  <conditionalFormatting sqref="M429:R429">
    <cfRule type="cellIs" dxfId="975" priority="929" operator="greaterThan">
      <formula>0</formula>
    </cfRule>
  </conditionalFormatting>
  <conditionalFormatting sqref="M424:R424">
    <cfRule type="cellIs" dxfId="974" priority="935" operator="greaterThan">
      <formula>0</formula>
    </cfRule>
  </conditionalFormatting>
  <conditionalFormatting sqref="M586:R588">
    <cfRule type="cellIs" dxfId="973" priority="891" operator="greaterThan">
      <formula>0</formula>
    </cfRule>
  </conditionalFormatting>
  <conditionalFormatting sqref="M424:R427">
    <cfRule type="cellIs" dxfId="972" priority="934" operator="greaterThan">
      <formula>0</formula>
    </cfRule>
  </conditionalFormatting>
  <conditionalFormatting sqref="M434:R434">
    <cfRule type="cellIs" dxfId="971" priority="932" operator="greaterThan">
      <formula>0</formula>
    </cfRule>
  </conditionalFormatting>
  <conditionalFormatting sqref="M430:R432">
    <cfRule type="cellIs" dxfId="970" priority="931" operator="greaterThan">
      <formula>0</formula>
    </cfRule>
  </conditionalFormatting>
  <conditionalFormatting sqref="M434:R434">
    <cfRule type="cellIs" dxfId="969" priority="933" operator="greaterThan">
      <formula>0</formula>
    </cfRule>
  </conditionalFormatting>
  <conditionalFormatting sqref="M433:R433">
    <cfRule type="cellIs" dxfId="968" priority="930" operator="greaterThan">
      <formula>0</formula>
    </cfRule>
  </conditionalFormatting>
  <conditionalFormatting sqref="M582:R585">
    <cfRule type="cellIs" dxfId="967" priority="890" operator="greaterThan">
      <formula>0</formula>
    </cfRule>
  </conditionalFormatting>
  <conditionalFormatting sqref="M594:R594 M595">
    <cfRule type="cellIs" dxfId="966" priority="884" operator="greaterThan">
      <formula>0</formula>
    </cfRule>
  </conditionalFormatting>
  <conditionalFormatting sqref="M581:R581">
    <cfRule type="cellIs" dxfId="965" priority="892" operator="greaterThan">
      <formula>0</formula>
    </cfRule>
  </conditionalFormatting>
  <conditionalFormatting sqref="M591:R591">
    <cfRule type="cellIs" dxfId="964" priority="888" operator="greaterThan">
      <formula>0</formula>
    </cfRule>
  </conditionalFormatting>
  <conditionalFormatting sqref="M596:R597">
    <cfRule type="cellIs" dxfId="963" priority="881" operator="greaterThan">
      <formula>0</formula>
    </cfRule>
  </conditionalFormatting>
  <conditionalFormatting sqref="M592:R592 M593">
    <cfRule type="cellIs" dxfId="962" priority="889" operator="greaterThan">
      <formula>0</formula>
    </cfRule>
  </conditionalFormatting>
  <conditionalFormatting sqref="N595:R595">
    <cfRule type="cellIs" dxfId="961" priority="886" operator="greaterThan">
      <formula>0</formula>
    </cfRule>
  </conditionalFormatting>
  <conditionalFormatting sqref="M593 M581:R588 M591:R592">
    <cfRule type="cellIs" dxfId="960" priority="887" operator="greaterThan">
      <formula>0</formula>
    </cfRule>
  </conditionalFormatting>
  <conditionalFormatting sqref="N595:R595">
    <cfRule type="cellIs" dxfId="959" priority="885" operator="greaterThan">
      <formula>0</formula>
    </cfRule>
  </conditionalFormatting>
  <conditionalFormatting sqref="M594:R594 M595">
    <cfRule type="cellIs" dxfId="958" priority="883" operator="greaterThan">
      <formula>0</formula>
    </cfRule>
  </conditionalFormatting>
  <conditionalFormatting sqref="M596:R597">
    <cfRule type="cellIs" dxfId="957" priority="882" operator="greaterThan">
      <formula>0</formula>
    </cfRule>
  </conditionalFormatting>
  <conditionalFormatting sqref="N598:R598 N601:R601">
    <cfRule type="cellIs" dxfId="956" priority="879" operator="greaterThan">
      <formula>0</formula>
    </cfRule>
  </conditionalFormatting>
  <conditionalFormatting sqref="M598 M601">
    <cfRule type="cellIs" dxfId="955" priority="878" operator="greaterThan">
      <formula>0</formula>
    </cfRule>
  </conditionalFormatting>
  <conditionalFormatting sqref="N598:R598 N601:R601">
    <cfRule type="cellIs" dxfId="954" priority="880" operator="greaterThan">
      <formula>0</formula>
    </cfRule>
  </conditionalFormatting>
  <conditionalFormatting sqref="M602:R603">
    <cfRule type="cellIs" dxfId="953" priority="876" operator="greaterThan">
      <formula>0</formula>
    </cfRule>
  </conditionalFormatting>
  <conditionalFormatting sqref="M598 M601">
    <cfRule type="cellIs" dxfId="952" priority="877" operator="greaterThan">
      <formula>0</formula>
    </cfRule>
  </conditionalFormatting>
  <conditionalFormatting sqref="M605:R606">
    <cfRule type="cellIs" dxfId="951" priority="873" operator="greaterThan">
      <formula>0</formula>
    </cfRule>
  </conditionalFormatting>
  <conditionalFormatting sqref="M605:R606">
    <cfRule type="cellIs" dxfId="950" priority="872" operator="greaterThan">
      <formula>0</formula>
    </cfRule>
  </conditionalFormatting>
  <conditionalFormatting sqref="N607:R614">
    <cfRule type="cellIs" dxfId="949" priority="870" operator="greaterThan">
      <formula>0</formula>
    </cfRule>
  </conditionalFormatting>
  <conditionalFormatting sqref="M607:M614">
    <cfRule type="cellIs" dxfId="948" priority="869" operator="greaterThan">
      <formula>0</formula>
    </cfRule>
  </conditionalFormatting>
  <conditionalFormatting sqref="N607:R614">
    <cfRule type="cellIs" dxfId="947" priority="871" operator="greaterThan">
      <formula>0</formula>
    </cfRule>
  </conditionalFormatting>
  <conditionalFormatting sqref="M607:M614">
    <cfRule type="cellIs" dxfId="946" priority="868" operator="greaterThan">
      <formula>0</formula>
    </cfRule>
  </conditionalFormatting>
  <conditionalFormatting sqref="M615:R617 M620:R620">
    <cfRule type="cellIs" dxfId="945" priority="867" operator="greaterThan">
      <formula>0</formula>
    </cfRule>
  </conditionalFormatting>
  <conditionalFormatting sqref="M615:R616">
    <cfRule type="cellIs" dxfId="944" priority="866" operator="greaterThan">
      <formula>0</formula>
    </cfRule>
  </conditionalFormatting>
  <conditionalFormatting sqref="M625:R625">
    <cfRule type="cellIs" dxfId="943" priority="847" operator="greaterThan">
      <formula>0</formula>
    </cfRule>
  </conditionalFormatting>
  <conditionalFormatting sqref="M625:R625">
    <cfRule type="cellIs" dxfId="942" priority="846" operator="greaterThan">
      <formula>0</formula>
    </cfRule>
  </conditionalFormatting>
  <conditionalFormatting sqref="M628:R628">
    <cfRule type="cellIs" dxfId="941" priority="845" operator="greaterThan">
      <formula>0</formula>
    </cfRule>
  </conditionalFormatting>
  <conditionalFormatting sqref="M634:R634">
    <cfRule type="cellIs" dxfId="940" priority="844" operator="greaterThan">
      <formula>0</formula>
    </cfRule>
  </conditionalFormatting>
  <conditionalFormatting sqref="M622:M623">
    <cfRule type="cellIs" dxfId="939" priority="848" operator="greaterThan">
      <formula>0</formula>
    </cfRule>
  </conditionalFormatting>
  <conditionalFormatting sqref="N622:N623">
    <cfRule type="cellIs" dxfId="938" priority="851" operator="greaterThan">
      <formula>0</formula>
    </cfRule>
  </conditionalFormatting>
  <conditionalFormatting sqref="N622:N623">
    <cfRule type="cellIs" dxfId="937" priority="850" operator="greaterThan">
      <formula>0</formula>
    </cfRule>
  </conditionalFormatting>
  <conditionalFormatting sqref="M622:M623">
    <cfRule type="cellIs" dxfId="936" priority="849" operator="greaterThan">
      <formula>0</formula>
    </cfRule>
  </conditionalFormatting>
  <conditionalFormatting sqref="M628:R628 M634:R634">
    <cfRule type="cellIs" dxfId="935" priority="843" operator="greaterThan">
      <formula>0</formula>
    </cfRule>
  </conditionalFormatting>
  <conditionalFormatting sqref="M635:R635">
    <cfRule type="cellIs" dxfId="934" priority="836" operator="greaterThan">
      <formula>0</formula>
    </cfRule>
  </conditionalFormatting>
  <conditionalFormatting sqref="M635:R635">
    <cfRule type="cellIs" dxfId="933" priority="834" operator="greaterThan">
      <formula>0</formula>
    </cfRule>
  </conditionalFormatting>
  <conditionalFormatting sqref="M661:R661">
    <cfRule type="cellIs" dxfId="932" priority="816" operator="greaterThan">
      <formula>0</formula>
    </cfRule>
  </conditionalFormatting>
  <conditionalFormatting sqref="M661:R661">
    <cfRule type="cellIs" dxfId="931" priority="813" operator="greaterThan">
      <formula>0</formula>
    </cfRule>
  </conditionalFormatting>
  <conditionalFormatting sqref="M645:R646">
    <cfRule type="cellIs" dxfId="930" priority="827" operator="greaterThan">
      <formula>0</formula>
    </cfRule>
  </conditionalFormatting>
  <conditionalFormatting sqref="M645:R646">
    <cfRule type="cellIs" dxfId="929" priority="822" operator="greaterThan">
      <formula>0</formula>
    </cfRule>
  </conditionalFormatting>
  <conditionalFormatting sqref="M673:R673">
    <cfRule type="cellIs" dxfId="928" priority="809" operator="greaterThan">
      <formula>0</formula>
    </cfRule>
  </conditionalFormatting>
  <conditionalFormatting sqref="M673:R673">
    <cfRule type="cellIs" dxfId="927" priority="812" operator="greaterThan">
      <formula>0</formula>
    </cfRule>
  </conditionalFormatting>
  <conditionalFormatting sqref="M706:R706">
    <cfRule type="cellIs" dxfId="926" priority="804" operator="greaterThan">
      <formula>0</formula>
    </cfRule>
  </conditionalFormatting>
  <conditionalFormatting sqref="M706:R706">
    <cfRule type="cellIs" dxfId="925" priority="803" operator="greaterThan">
      <formula>0</formula>
    </cfRule>
  </conditionalFormatting>
  <conditionalFormatting sqref="M702:R702">
    <cfRule type="cellIs" dxfId="924" priority="802" operator="greaterThan">
      <formula>0</formula>
    </cfRule>
  </conditionalFormatting>
  <conditionalFormatting sqref="M705:R705">
    <cfRule type="cellIs" dxfId="923" priority="801" operator="greaterThan">
      <formula>0</formula>
    </cfRule>
  </conditionalFormatting>
  <conditionalFormatting sqref="M703:R704">
    <cfRule type="cellIs" dxfId="922" priority="800" operator="greaterThan">
      <formula>0</formula>
    </cfRule>
  </conditionalFormatting>
  <conditionalFormatting sqref="M702:R705">
    <cfRule type="cellIs" dxfId="921" priority="799" operator="greaterThan">
      <formula>0</formula>
    </cfRule>
  </conditionalFormatting>
  <conditionalFormatting sqref="M710:R714">
    <cfRule type="cellIs" dxfId="920" priority="798" operator="greaterThan">
      <formula>0</formula>
    </cfRule>
  </conditionalFormatting>
  <conditionalFormatting sqref="M710:R714">
    <cfRule type="cellIs" dxfId="919" priority="797" operator="greaterThan">
      <formula>0</formula>
    </cfRule>
  </conditionalFormatting>
  <conditionalFormatting sqref="M709:R709">
    <cfRule type="cellIs" dxfId="918" priority="796" operator="greaterThan">
      <formula>0</formula>
    </cfRule>
  </conditionalFormatting>
  <conditionalFormatting sqref="M709:R709">
    <cfRule type="cellIs" dxfId="917" priority="795" operator="greaterThan">
      <formula>0</formula>
    </cfRule>
  </conditionalFormatting>
  <conditionalFormatting sqref="M715:R715">
    <cfRule type="cellIs" dxfId="916" priority="789" operator="greaterThan">
      <formula>0</formula>
    </cfRule>
  </conditionalFormatting>
  <conditionalFormatting sqref="M715:R715">
    <cfRule type="cellIs" dxfId="915" priority="792" operator="greaterThan">
      <formula>0</formula>
    </cfRule>
  </conditionalFormatting>
  <conditionalFormatting sqref="M730:R730">
    <cfRule type="cellIs" dxfId="914" priority="780" operator="greaterThan">
      <formula>0</formula>
    </cfRule>
  </conditionalFormatting>
  <conditionalFormatting sqref="M731:R732">
    <cfRule type="cellIs" dxfId="913" priority="779" operator="greaterThan">
      <formula>0</formula>
    </cfRule>
  </conditionalFormatting>
  <conditionalFormatting sqref="M730:R732">
    <cfRule type="cellIs" dxfId="912" priority="778" operator="greaterThan">
      <formula>0</formula>
    </cfRule>
  </conditionalFormatting>
  <conditionalFormatting sqref="M733:R733">
    <cfRule type="cellIs" dxfId="911" priority="777" operator="greaterThan">
      <formula>0</formula>
    </cfRule>
  </conditionalFormatting>
  <conditionalFormatting sqref="M733:R733">
    <cfRule type="cellIs" dxfId="910" priority="776" operator="greaterThan">
      <formula>0</formula>
    </cfRule>
  </conditionalFormatting>
  <conditionalFormatting sqref="M735:R736 M770:R770">
    <cfRule type="cellIs" dxfId="909" priority="775" operator="greaterThan">
      <formula>0</formula>
    </cfRule>
  </conditionalFormatting>
  <conditionalFormatting sqref="M735:R736 M770:R770">
    <cfRule type="cellIs" dxfId="908" priority="774" operator="greaterThan">
      <formula>0</formula>
    </cfRule>
  </conditionalFormatting>
  <conditionalFormatting sqref="M734:R734">
    <cfRule type="cellIs" dxfId="907" priority="773" operator="greaterThan">
      <formula>0</formula>
    </cfRule>
  </conditionalFormatting>
  <conditionalFormatting sqref="M734:R734">
    <cfRule type="cellIs" dxfId="906" priority="772" operator="greaterThan">
      <formula>0</formula>
    </cfRule>
  </conditionalFormatting>
  <conditionalFormatting sqref="M771:R773">
    <cfRule type="cellIs" dxfId="905" priority="769" operator="greaterThan">
      <formula>0</formula>
    </cfRule>
  </conditionalFormatting>
  <conditionalFormatting sqref="M771:R771">
    <cfRule type="cellIs" dxfId="904" priority="771" operator="greaterThan">
      <formula>0</formula>
    </cfRule>
  </conditionalFormatting>
  <conditionalFormatting sqref="M772:R773">
    <cfRule type="cellIs" dxfId="903" priority="770" operator="greaterThan">
      <formula>0</formula>
    </cfRule>
  </conditionalFormatting>
  <conditionalFormatting sqref="M774:R774">
    <cfRule type="cellIs" dxfId="902" priority="768" operator="greaterThan">
      <formula>0</formula>
    </cfRule>
  </conditionalFormatting>
  <conditionalFormatting sqref="M774:R774">
    <cfRule type="cellIs" dxfId="901" priority="767" operator="greaterThan">
      <formula>0</formula>
    </cfRule>
  </conditionalFormatting>
  <conditionalFormatting sqref="M776:R776 M783:R783">
    <cfRule type="cellIs" dxfId="900" priority="766" operator="greaterThan">
      <formula>0</formula>
    </cfRule>
  </conditionalFormatting>
  <conditionalFormatting sqref="M776:R776 M783:R783">
    <cfRule type="cellIs" dxfId="899" priority="765" operator="greaterThan">
      <formula>0</formula>
    </cfRule>
  </conditionalFormatting>
  <conditionalFormatting sqref="M775:R775">
    <cfRule type="cellIs" dxfId="898" priority="764" operator="greaterThan">
      <formula>0</formula>
    </cfRule>
  </conditionalFormatting>
  <conditionalFormatting sqref="M775:R775">
    <cfRule type="cellIs" dxfId="897" priority="763" operator="greaterThan">
      <formula>0</formula>
    </cfRule>
  </conditionalFormatting>
  <conditionalFormatting sqref="M784:R786">
    <cfRule type="cellIs" dxfId="896" priority="760" operator="greaterThan">
      <formula>0</formula>
    </cfRule>
  </conditionalFormatting>
  <conditionalFormatting sqref="M784:R784">
    <cfRule type="cellIs" dxfId="895" priority="762" operator="greaterThan">
      <formula>0</formula>
    </cfRule>
  </conditionalFormatting>
  <conditionalFormatting sqref="M785:R786">
    <cfRule type="cellIs" dxfId="894" priority="761" operator="greaterThan">
      <formula>0</formula>
    </cfRule>
  </conditionalFormatting>
  <conditionalFormatting sqref="M787:R787">
    <cfRule type="cellIs" dxfId="893" priority="759" operator="greaterThan">
      <formula>0</formula>
    </cfRule>
  </conditionalFormatting>
  <conditionalFormatting sqref="M787:R787">
    <cfRule type="cellIs" dxfId="892" priority="758" operator="greaterThan">
      <formula>0</formula>
    </cfRule>
  </conditionalFormatting>
  <conditionalFormatting sqref="M789:R794">
    <cfRule type="cellIs" dxfId="891" priority="757" operator="greaterThan">
      <formula>0</formula>
    </cfRule>
  </conditionalFormatting>
  <conditionalFormatting sqref="M789:R794">
    <cfRule type="cellIs" dxfId="890" priority="756" operator="greaterThan">
      <formula>0</formula>
    </cfRule>
  </conditionalFormatting>
  <conditionalFormatting sqref="M788:R788">
    <cfRule type="cellIs" dxfId="889" priority="755" operator="greaterThan">
      <formula>0</formula>
    </cfRule>
  </conditionalFormatting>
  <conditionalFormatting sqref="M788:R788">
    <cfRule type="cellIs" dxfId="888" priority="754" operator="greaterThan">
      <formula>0</formula>
    </cfRule>
  </conditionalFormatting>
  <conditionalFormatting sqref="M943:R944">
    <cfRule type="cellIs" dxfId="887" priority="745" operator="greaterThan">
      <formula>0</formula>
    </cfRule>
  </conditionalFormatting>
  <conditionalFormatting sqref="M945:R947">
    <cfRule type="cellIs" dxfId="886" priority="746" operator="greaterThan">
      <formula>0</formula>
    </cfRule>
  </conditionalFormatting>
  <conditionalFormatting sqref="M950:R955">
    <cfRule type="cellIs" dxfId="885" priority="742" operator="greaterThan">
      <formula>0</formula>
    </cfRule>
  </conditionalFormatting>
  <conditionalFormatting sqref="M941:R942">
    <cfRule type="cellIs" dxfId="884" priority="747" operator="greaterThan">
      <formula>0</formula>
    </cfRule>
  </conditionalFormatting>
  <conditionalFormatting sqref="M949:R949">
    <cfRule type="cellIs" dxfId="883" priority="741" operator="greaterThan">
      <formula>0</formula>
    </cfRule>
  </conditionalFormatting>
  <conditionalFormatting sqref="M941:R947">
    <cfRule type="cellIs" dxfId="882" priority="744" operator="greaterThan">
      <formula>0</formula>
    </cfRule>
  </conditionalFormatting>
  <conditionalFormatting sqref="M950:R955">
    <cfRule type="cellIs" dxfId="881" priority="743" operator="greaterThan">
      <formula>0</formula>
    </cfRule>
  </conditionalFormatting>
  <conditionalFormatting sqref="M949:R949">
    <cfRule type="cellIs" dxfId="880" priority="740" operator="greaterThan">
      <formula>0</formula>
    </cfRule>
  </conditionalFormatting>
  <conditionalFormatting sqref="M757:R757">
    <cfRule type="cellIs" dxfId="879" priority="739" operator="greaterThan">
      <formula>0</formula>
    </cfRule>
  </conditionalFormatting>
  <conditionalFormatting sqref="M757:R757">
    <cfRule type="cellIs" dxfId="878" priority="737" operator="greaterThan">
      <formula>0</formula>
    </cfRule>
  </conditionalFormatting>
  <conditionalFormatting sqref="M764:R764">
    <cfRule type="cellIs" dxfId="877" priority="730" operator="greaterThan">
      <formula>0</formula>
    </cfRule>
  </conditionalFormatting>
  <conditionalFormatting sqref="M764:R764">
    <cfRule type="cellIs" dxfId="876" priority="728" operator="greaterThan">
      <formula>0</formula>
    </cfRule>
  </conditionalFormatting>
  <conditionalFormatting sqref="M808:R808">
    <cfRule type="cellIs" dxfId="875" priority="721" operator="greaterThan">
      <formula>0</formula>
    </cfRule>
  </conditionalFormatting>
  <conditionalFormatting sqref="M808:R808">
    <cfRule type="cellIs" dxfId="874" priority="719" operator="greaterThan">
      <formula>0</formula>
    </cfRule>
  </conditionalFormatting>
  <conditionalFormatting sqref="M971:R971">
    <cfRule type="cellIs" dxfId="873" priority="697" operator="greaterThan">
      <formula>0</formula>
    </cfRule>
  </conditionalFormatting>
  <conditionalFormatting sqref="M985:R985">
    <cfRule type="cellIs" dxfId="872" priority="693" operator="greaterThan">
      <formula>0</formula>
    </cfRule>
  </conditionalFormatting>
  <conditionalFormatting sqref="M985:R985">
    <cfRule type="cellIs" dxfId="871" priority="694" operator="greaterThan">
      <formula>0</formula>
    </cfRule>
  </conditionalFormatting>
  <conditionalFormatting sqref="M987:R988">
    <cfRule type="cellIs" dxfId="870" priority="690" operator="greaterThan">
      <formula>0</formula>
    </cfRule>
  </conditionalFormatting>
  <conditionalFormatting sqref="M956:R956">
    <cfRule type="cellIs" dxfId="869" priority="710" operator="greaterThan">
      <formula>0</formula>
    </cfRule>
  </conditionalFormatting>
  <conditionalFormatting sqref="M956:R956">
    <cfRule type="cellIs" dxfId="868" priority="707" operator="greaterThan">
      <formula>0</formula>
    </cfRule>
  </conditionalFormatting>
  <conditionalFormatting sqref="M989:R990">
    <cfRule type="cellIs" dxfId="867" priority="691" operator="greaterThan">
      <formula>0</formula>
    </cfRule>
  </conditionalFormatting>
  <conditionalFormatting sqref="M971:R971">
    <cfRule type="cellIs" dxfId="866" priority="700" operator="greaterThan">
      <formula>0</formula>
    </cfRule>
  </conditionalFormatting>
  <conditionalFormatting sqref="M991:R991">
    <cfRule type="cellIs" dxfId="865" priority="688" operator="greaterThan">
      <formula>0</formula>
    </cfRule>
  </conditionalFormatting>
  <conditionalFormatting sqref="M986:R991">
    <cfRule type="cellIs" dxfId="864" priority="687" operator="greaterThan">
      <formula>0</formula>
    </cfRule>
  </conditionalFormatting>
  <conditionalFormatting sqref="M1005:R1006">
    <cfRule type="cellIs" dxfId="863" priority="679" operator="greaterThan">
      <formula>0</formula>
    </cfRule>
  </conditionalFormatting>
  <conditionalFormatting sqref="M986:R986">
    <cfRule type="cellIs" dxfId="862" priority="692" operator="greaterThan">
      <formula>0</formula>
    </cfRule>
  </conditionalFormatting>
  <conditionalFormatting sqref="M1000:R1006 M1009:R1012">
    <cfRule type="cellIs" dxfId="861" priority="677" operator="greaterThan">
      <formula>0</formula>
    </cfRule>
  </conditionalFormatting>
  <conditionalFormatting sqref="M1009:R1010">
    <cfRule type="cellIs" dxfId="860" priority="680" operator="greaterThan">
      <formula>0</formula>
    </cfRule>
  </conditionalFormatting>
  <conditionalFormatting sqref="M1013:R1014">
    <cfRule type="cellIs" dxfId="859" priority="675" operator="greaterThan">
      <formula>0</formula>
    </cfRule>
  </conditionalFormatting>
  <conditionalFormatting sqref="M1011:R1012">
    <cfRule type="cellIs" dxfId="858" priority="678" operator="greaterThan">
      <formula>0</formula>
    </cfRule>
  </conditionalFormatting>
  <conditionalFormatting sqref="M1013:R1014">
    <cfRule type="cellIs" dxfId="857" priority="676" operator="greaterThan">
      <formula>0</formula>
    </cfRule>
  </conditionalFormatting>
  <conditionalFormatting sqref="M1029:R1030">
    <cfRule type="cellIs" dxfId="856" priority="670" operator="greaterThan">
      <formula>0</formula>
    </cfRule>
  </conditionalFormatting>
  <conditionalFormatting sqref="M1000:R1004">
    <cfRule type="cellIs" dxfId="855" priority="681" operator="greaterThan">
      <formula>0</formula>
    </cfRule>
  </conditionalFormatting>
  <conditionalFormatting sqref="M1031:R1032">
    <cfRule type="cellIs" dxfId="854" priority="671" operator="greaterThan">
      <formula>0</formula>
    </cfRule>
  </conditionalFormatting>
  <conditionalFormatting sqref="M1015:R1016 M1027:R1027">
    <cfRule type="cellIs" dxfId="853" priority="674" operator="greaterThan">
      <formula>0</formula>
    </cfRule>
  </conditionalFormatting>
  <conditionalFormatting sqref="M1015:R1016 M1027:R1027">
    <cfRule type="cellIs" dxfId="852" priority="673" operator="greaterThan">
      <formula>0</formula>
    </cfRule>
  </conditionalFormatting>
  <conditionalFormatting sqref="M1033:R1035 M1059:R1059">
    <cfRule type="cellIs" dxfId="851" priority="669" operator="greaterThan">
      <formula>0</formula>
    </cfRule>
  </conditionalFormatting>
  <conditionalFormatting sqref="M1028:R1035 M1059:R1059">
    <cfRule type="cellIs" dxfId="850" priority="668" operator="greaterThan">
      <formula>0</formula>
    </cfRule>
  </conditionalFormatting>
  <conditionalFormatting sqref="M1028:R1028">
    <cfRule type="cellIs" dxfId="849" priority="672" operator="greaterThan">
      <formula>0</formula>
    </cfRule>
  </conditionalFormatting>
  <conditionalFormatting sqref="M1061:M1062">
    <cfRule type="cellIs" dxfId="848" priority="637" operator="greaterThan">
      <formula>0</formula>
    </cfRule>
  </conditionalFormatting>
  <conditionalFormatting sqref="M1065:R1069 M1076:R1077">
    <cfRule type="cellIs" dxfId="847" priority="633" operator="greaterThan">
      <formula>0</formula>
    </cfRule>
  </conditionalFormatting>
  <conditionalFormatting sqref="M1061:M1062">
    <cfRule type="cellIs" dxfId="846" priority="638" operator="greaterThan">
      <formula>0</formula>
    </cfRule>
  </conditionalFormatting>
  <conditionalFormatting sqref="M1092:M1093">
    <cfRule type="cellIs" dxfId="845" priority="613" operator="greaterThan">
      <formula>0</formula>
    </cfRule>
  </conditionalFormatting>
  <conditionalFormatting sqref="M1065:R1069 M1076:R1077">
    <cfRule type="cellIs" dxfId="844" priority="634" operator="greaterThan">
      <formula>0</formula>
    </cfRule>
  </conditionalFormatting>
  <conditionalFormatting sqref="N1061">
    <cfRule type="cellIs" dxfId="843" priority="640" operator="greaterThan">
      <formula>0</formula>
    </cfRule>
  </conditionalFormatting>
  <conditionalFormatting sqref="N1061">
    <cfRule type="cellIs" dxfId="842" priority="639" operator="greaterThan">
      <formula>0</formula>
    </cfRule>
  </conditionalFormatting>
  <conditionalFormatting sqref="M1063:R1063 M1064">
    <cfRule type="cellIs" dxfId="841" priority="636" operator="greaterThan">
      <formula>0</formula>
    </cfRule>
  </conditionalFormatting>
  <conditionalFormatting sqref="M1063:R1063 M1064">
    <cfRule type="cellIs" dxfId="840" priority="635" operator="greaterThan">
      <formula>0</formula>
    </cfRule>
  </conditionalFormatting>
  <conditionalFormatting sqref="M1092:M1093">
    <cfRule type="cellIs" dxfId="839" priority="614" operator="greaterThan">
      <formula>0</formula>
    </cfRule>
  </conditionalFormatting>
  <conditionalFormatting sqref="M1108:M1109">
    <cfRule type="cellIs" dxfId="838" priority="603" operator="greaterThan">
      <formula>0</formula>
    </cfRule>
  </conditionalFormatting>
  <conditionalFormatting sqref="M1078:R1078">
    <cfRule type="cellIs" dxfId="837" priority="632" operator="greaterThan">
      <formula>0</formula>
    </cfRule>
  </conditionalFormatting>
  <conditionalFormatting sqref="M1078:R1078">
    <cfRule type="cellIs" dxfId="836" priority="631" operator="greaterThan">
      <formula>0</formula>
    </cfRule>
  </conditionalFormatting>
  <conditionalFormatting sqref="O1079:R1079 N1080:R1080">
    <cfRule type="cellIs" dxfId="835" priority="630" operator="greaterThan">
      <formula>0</formula>
    </cfRule>
  </conditionalFormatting>
  <conditionalFormatting sqref="O1079:R1079 N1080:R1080">
    <cfRule type="cellIs" dxfId="834" priority="629" operator="greaterThan">
      <formula>0</formula>
    </cfRule>
  </conditionalFormatting>
  <conditionalFormatting sqref="M1079:M1080">
    <cfRule type="cellIs" dxfId="833" priority="625" operator="greaterThan">
      <formula>0</formula>
    </cfRule>
  </conditionalFormatting>
  <conditionalFormatting sqref="M1081:R1082 M1090:R1090">
    <cfRule type="cellIs" dxfId="832" priority="621" operator="greaterThan">
      <formula>0</formula>
    </cfRule>
  </conditionalFormatting>
  <conditionalFormatting sqref="M1079:M1080">
    <cfRule type="cellIs" dxfId="831" priority="626" operator="greaterThan">
      <formula>0</formula>
    </cfRule>
  </conditionalFormatting>
  <conditionalFormatting sqref="M1081:R1082 M1090:R1090">
    <cfRule type="cellIs" dxfId="830" priority="622" operator="greaterThan">
      <formula>0</formula>
    </cfRule>
  </conditionalFormatting>
  <conditionalFormatting sqref="N1079">
    <cfRule type="cellIs" dxfId="829" priority="628" operator="greaterThan">
      <formula>0</formula>
    </cfRule>
  </conditionalFormatting>
  <conditionalFormatting sqref="N1079">
    <cfRule type="cellIs" dxfId="828" priority="627" operator="greaterThan">
      <formula>0</formula>
    </cfRule>
  </conditionalFormatting>
  <conditionalFormatting sqref="M1108:M1109">
    <cfRule type="cellIs" dxfId="827" priority="604" operator="greaterThan">
      <formula>0</formula>
    </cfRule>
  </conditionalFormatting>
  <conditionalFormatting sqref="M1091:R1091">
    <cfRule type="cellIs" dxfId="826" priority="620" operator="greaterThan">
      <formula>0</formula>
    </cfRule>
  </conditionalFormatting>
  <conditionalFormatting sqref="M1091:R1091">
    <cfRule type="cellIs" dxfId="825" priority="619" operator="greaterThan">
      <formula>0</formula>
    </cfRule>
  </conditionalFormatting>
  <conditionalFormatting sqref="O1092:R1092 N1093:R1093">
    <cfRule type="cellIs" dxfId="824" priority="618" operator="greaterThan">
      <formula>0</formula>
    </cfRule>
  </conditionalFormatting>
  <conditionalFormatting sqref="O1092:R1092 N1093:R1093">
    <cfRule type="cellIs" dxfId="823" priority="617" operator="greaterThan">
      <formula>0</formula>
    </cfRule>
  </conditionalFormatting>
  <conditionalFormatting sqref="M1094:R1097 M1099:R1101 M1106:R1106">
    <cfRule type="cellIs" dxfId="822" priority="611" operator="greaterThan">
      <formula>0</formula>
    </cfRule>
  </conditionalFormatting>
  <conditionalFormatting sqref="M1094:R1097 M1099:R1101 M1106:R1106">
    <cfRule type="cellIs" dxfId="821" priority="612" operator="greaterThan">
      <formula>0</formula>
    </cfRule>
  </conditionalFormatting>
  <conditionalFormatting sqref="N1092">
    <cfRule type="cellIs" dxfId="820" priority="616" operator="greaterThan">
      <formula>0</formula>
    </cfRule>
  </conditionalFormatting>
  <conditionalFormatting sqref="N1092">
    <cfRule type="cellIs" dxfId="819" priority="615" operator="greaterThan">
      <formula>0</formula>
    </cfRule>
  </conditionalFormatting>
  <conditionalFormatting sqref="M1107:R1107">
    <cfRule type="cellIs" dxfId="818" priority="610" operator="greaterThan">
      <formula>0</formula>
    </cfRule>
  </conditionalFormatting>
  <conditionalFormatting sqref="M1107:R1107">
    <cfRule type="cellIs" dxfId="817" priority="609" operator="greaterThan">
      <formula>0</formula>
    </cfRule>
  </conditionalFormatting>
  <conditionalFormatting sqref="O1108:R1108 N1109:R1109">
    <cfRule type="cellIs" dxfId="816" priority="608" operator="greaterThan">
      <formula>0</formula>
    </cfRule>
  </conditionalFormatting>
  <conditionalFormatting sqref="O1108:R1108 N1109:R1109">
    <cfRule type="cellIs" dxfId="815" priority="607" operator="greaterThan">
      <formula>0</formula>
    </cfRule>
  </conditionalFormatting>
  <conditionalFormatting sqref="M1110:R1110">
    <cfRule type="cellIs" dxfId="814" priority="601" operator="greaterThan">
      <formula>0</formula>
    </cfRule>
  </conditionalFormatting>
  <conditionalFormatting sqref="M1110:R1110">
    <cfRule type="cellIs" dxfId="813" priority="602" operator="greaterThan">
      <formula>0</formula>
    </cfRule>
  </conditionalFormatting>
  <conditionalFormatting sqref="N1108">
    <cfRule type="cellIs" dxfId="812" priority="606" operator="greaterThan">
      <formula>0</formula>
    </cfRule>
  </conditionalFormatting>
  <conditionalFormatting sqref="N1108">
    <cfRule type="cellIs" dxfId="811" priority="605" operator="greaterThan">
      <formula>0</formula>
    </cfRule>
  </conditionalFormatting>
  <conditionalFormatting sqref="M1125:R1126">
    <cfRule type="cellIs" dxfId="810" priority="599" operator="greaterThan">
      <formula>0</formula>
    </cfRule>
  </conditionalFormatting>
  <conditionalFormatting sqref="M1130:R1153">
    <cfRule type="cellIs" dxfId="809" priority="594" operator="greaterThan">
      <formula>0</formula>
    </cfRule>
  </conditionalFormatting>
  <conditionalFormatting sqref="M1127:R1127">
    <cfRule type="cellIs" dxfId="808" priority="597" operator="greaterThan">
      <formula>0</formula>
    </cfRule>
  </conditionalFormatting>
  <conditionalFormatting sqref="M1124:R1124">
    <cfRule type="cellIs" dxfId="807" priority="600" operator="greaterThan">
      <formula>0</formula>
    </cfRule>
  </conditionalFormatting>
  <conditionalFormatting sqref="M1124:R1127">
    <cfRule type="cellIs" dxfId="806" priority="595" operator="greaterThan">
      <formula>0</formula>
    </cfRule>
  </conditionalFormatting>
  <conditionalFormatting sqref="M1130:R1153">
    <cfRule type="cellIs" dxfId="805" priority="593" operator="greaterThan">
      <formula>0</formula>
    </cfRule>
  </conditionalFormatting>
  <conditionalFormatting sqref="M489:R489">
    <cfRule type="cellIs" dxfId="804" priority="592" operator="greaterThan">
      <formula>0</formula>
    </cfRule>
  </conditionalFormatting>
  <conditionalFormatting sqref="M102:R102">
    <cfRule type="cellIs" dxfId="803" priority="591" operator="greaterThan">
      <formula>0</formula>
    </cfRule>
  </conditionalFormatting>
  <conditionalFormatting sqref="M102:R102">
    <cfRule type="cellIs" dxfId="802" priority="590" operator="greaterThan">
      <formula>0</formula>
    </cfRule>
  </conditionalFormatting>
  <conditionalFormatting sqref="M134:R141">
    <cfRule type="cellIs" dxfId="801" priority="589" operator="greaterThan">
      <formula>0</formula>
    </cfRule>
  </conditionalFormatting>
  <conditionalFormatting sqref="M140:R141">
    <cfRule type="cellIs" dxfId="800" priority="587" operator="greaterThan">
      <formula>0</formula>
    </cfRule>
  </conditionalFormatting>
  <conditionalFormatting sqref="M134:R134">
    <cfRule type="cellIs" dxfId="799" priority="588" operator="greaterThan">
      <formula>0</formula>
    </cfRule>
  </conditionalFormatting>
  <conditionalFormatting sqref="M183:R184">
    <cfRule type="cellIs" dxfId="798" priority="586" operator="greaterThan">
      <formula>0</formula>
    </cfRule>
  </conditionalFormatting>
  <conditionalFormatting sqref="M183:R184">
    <cfRule type="cellIs" dxfId="797" priority="585" operator="greaterThan">
      <formula>0</formula>
    </cfRule>
  </conditionalFormatting>
  <conditionalFormatting sqref="M200:R202">
    <cfRule type="cellIs" dxfId="796" priority="582" operator="greaterThan">
      <formula>0</formula>
    </cfRule>
  </conditionalFormatting>
  <conditionalFormatting sqref="M199:R199">
    <cfRule type="cellIs" dxfId="795" priority="581" operator="greaterThan">
      <formula>0</formula>
    </cfRule>
  </conditionalFormatting>
  <conditionalFormatting sqref="M203:R206">
    <cfRule type="cellIs" dxfId="794" priority="583" operator="greaterThan">
      <formula>0</formula>
    </cfRule>
  </conditionalFormatting>
  <conditionalFormatting sqref="M215:R216">
    <cfRule type="cellIs" dxfId="793" priority="579" operator="greaterThan">
      <formula>0</formula>
    </cfRule>
  </conditionalFormatting>
  <conditionalFormatting sqref="M215:R215">
    <cfRule type="cellIs" dxfId="792" priority="578" operator="greaterThan">
      <formula>0</formula>
    </cfRule>
  </conditionalFormatting>
  <conditionalFormatting sqref="M263:R264">
    <cfRule type="cellIs" dxfId="791" priority="576" operator="greaterThan">
      <formula>0</formula>
    </cfRule>
  </conditionalFormatting>
  <conditionalFormatting sqref="M260:R260">
    <cfRule type="cellIs" dxfId="790" priority="574" operator="greaterThan">
      <formula>0</formula>
    </cfRule>
  </conditionalFormatting>
  <conditionalFormatting sqref="M261:R262">
    <cfRule type="cellIs" dxfId="789" priority="575" operator="greaterThan">
      <formula>0</formula>
    </cfRule>
  </conditionalFormatting>
  <conditionalFormatting sqref="M281:R282">
    <cfRule type="cellIs" dxfId="788" priority="573" operator="greaterThan">
      <formula>0</formula>
    </cfRule>
  </conditionalFormatting>
  <conditionalFormatting sqref="M281:R281">
    <cfRule type="cellIs" dxfId="787" priority="571" operator="greaterThan">
      <formula>0</formula>
    </cfRule>
  </conditionalFormatting>
  <conditionalFormatting sqref="M282:R282">
    <cfRule type="cellIs" dxfId="786" priority="572" operator="greaterThan">
      <formula>0</formula>
    </cfRule>
  </conditionalFormatting>
  <conditionalFormatting sqref="M287:R287">
    <cfRule type="cellIs" dxfId="785" priority="570" operator="greaterThan">
      <formula>0</formula>
    </cfRule>
  </conditionalFormatting>
  <conditionalFormatting sqref="M287:R287">
    <cfRule type="cellIs" dxfId="784" priority="569" operator="greaterThan">
      <formula>0</formula>
    </cfRule>
  </conditionalFormatting>
  <conditionalFormatting sqref="M340:R340">
    <cfRule type="cellIs" dxfId="783" priority="568" operator="greaterThan">
      <formula>0</formula>
    </cfRule>
  </conditionalFormatting>
  <conditionalFormatting sqref="M340:R340">
    <cfRule type="cellIs" dxfId="782" priority="567" operator="greaterThan">
      <formula>0</formula>
    </cfRule>
  </conditionalFormatting>
  <conditionalFormatting sqref="M364:R368">
    <cfRule type="cellIs" dxfId="781" priority="564" operator="greaterThan">
      <formula>0</formula>
    </cfRule>
  </conditionalFormatting>
  <conditionalFormatting sqref="M365:R366">
    <cfRule type="cellIs" dxfId="780" priority="563" operator="greaterThan">
      <formula>0</formula>
    </cfRule>
  </conditionalFormatting>
  <conditionalFormatting sqref="M367:R368">
    <cfRule type="cellIs" dxfId="779" priority="562" operator="greaterThan">
      <formula>0</formula>
    </cfRule>
  </conditionalFormatting>
  <conditionalFormatting sqref="M383:R383">
    <cfRule type="cellIs" dxfId="778" priority="561" operator="greaterThan">
      <formula>0</formula>
    </cfRule>
  </conditionalFormatting>
  <conditionalFormatting sqref="M383:R383">
    <cfRule type="cellIs" dxfId="777" priority="560" operator="greaterThan">
      <formula>0</formula>
    </cfRule>
  </conditionalFormatting>
  <conditionalFormatting sqref="M390:R391">
    <cfRule type="cellIs" dxfId="776" priority="558" operator="greaterThan">
      <formula>0</formula>
    </cfRule>
  </conditionalFormatting>
  <conditionalFormatting sqref="M390:R391">
    <cfRule type="cellIs" dxfId="775" priority="559" operator="greaterThan">
      <formula>0</formula>
    </cfRule>
  </conditionalFormatting>
  <conditionalFormatting sqref="M409:R409">
    <cfRule type="cellIs" dxfId="774" priority="551" operator="greaterThan">
      <formula>0</formula>
    </cfRule>
  </conditionalFormatting>
  <conditionalFormatting sqref="M409:R409">
    <cfRule type="cellIs" dxfId="773" priority="550" operator="greaterThan">
      <formula>0</formula>
    </cfRule>
  </conditionalFormatting>
  <conditionalFormatting sqref="M523:R524">
    <cfRule type="cellIs" dxfId="772" priority="549" operator="greaterThan">
      <formula>0</formula>
    </cfRule>
  </conditionalFormatting>
  <conditionalFormatting sqref="M523:R524">
    <cfRule type="cellIs" dxfId="771" priority="548" operator="greaterThan">
      <formula>0</formula>
    </cfRule>
  </conditionalFormatting>
  <conditionalFormatting sqref="M498:R499">
    <cfRule type="cellIs" dxfId="770" priority="546" operator="greaterThan">
      <formula>0</formula>
    </cfRule>
  </conditionalFormatting>
  <conditionalFormatting sqref="M495:R496">
    <cfRule type="cellIs" dxfId="769" priority="547" operator="greaterThan">
      <formula>0</formula>
    </cfRule>
  </conditionalFormatting>
  <conditionalFormatting sqref="M497:R497">
    <cfRule type="cellIs" dxfId="768" priority="545" operator="greaterThan">
      <formula>0</formula>
    </cfRule>
  </conditionalFormatting>
  <conditionalFormatting sqref="M500:R500">
    <cfRule type="cellIs" dxfId="767" priority="543" operator="greaterThan">
      <formula>0</formula>
    </cfRule>
  </conditionalFormatting>
  <conditionalFormatting sqref="M501:R501">
    <cfRule type="cellIs" dxfId="766" priority="544" operator="greaterThan">
      <formula>0</formula>
    </cfRule>
  </conditionalFormatting>
  <conditionalFormatting sqref="M495:R501">
    <cfRule type="cellIs" dxfId="765" priority="542" operator="greaterThan">
      <formula>0</formula>
    </cfRule>
  </conditionalFormatting>
  <conditionalFormatting sqref="M507:R508 M510:R510">
    <cfRule type="cellIs" dxfId="764" priority="539" operator="greaterThan">
      <formula>0</formula>
    </cfRule>
  </conditionalFormatting>
  <conditionalFormatting sqref="M507:R508 M510:R510">
    <cfRule type="cellIs" dxfId="763" priority="538" operator="greaterThan">
      <formula>0</formula>
    </cfRule>
  </conditionalFormatting>
  <conditionalFormatting sqref="M529:R530">
    <cfRule type="cellIs" dxfId="762" priority="536" operator="greaterThan">
      <formula>0</formula>
    </cfRule>
  </conditionalFormatting>
  <conditionalFormatting sqref="M526:R527">
    <cfRule type="cellIs" dxfId="761" priority="537" operator="greaterThan">
      <formula>0</formula>
    </cfRule>
  </conditionalFormatting>
  <conditionalFormatting sqref="M528:R528">
    <cfRule type="cellIs" dxfId="760" priority="535" operator="greaterThan">
      <formula>0</formula>
    </cfRule>
  </conditionalFormatting>
  <conditionalFormatting sqref="M531:R531">
    <cfRule type="cellIs" dxfId="759" priority="533" operator="greaterThan">
      <formula>0</formula>
    </cfRule>
  </conditionalFormatting>
  <conditionalFormatting sqref="M532:R532">
    <cfRule type="cellIs" dxfId="758" priority="534" operator="greaterThan">
      <formula>0</formula>
    </cfRule>
  </conditionalFormatting>
  <conditionalFormatting sqref="M526:R532">
    <cfRule type="cellIs" dxfId="757" priority="532" operator="greaterThan">
      <formula>0</formula>
    </cfRule>
  </conditionalFormatting>
  <conditionalFormatting sqref="M535:R536">
    <cfRule type="cellIs" dxfId="756" priority="529" operator="greaterThan">
      <formula>0</formula>
    </cfRule>
  </conditionalFormatting>
  <conditionalFormatting sqref="M535:R536">
    <cfRule type="cellIs" dxfId="755" priority="528" operator="greaterThan">
      <formula>0</formula>
    </cfRule>
  </conditionalFormatting>
  <conditionalFormatting sqref="M525:R525">
    <cfRule type="cellIs" dxfId="754" priority="527" operator="greaterThan">
      <formula>0</formula>
    </cfRule>
  </conditionalFormatting>
  <conditionalFormatting sqref="M525:R525">
    <cfRule type="cellIs" dxfId="753" priority="526" operator="greaterThan">
      <formula>0</formula>
    </cfRule>
  </conditionalFormatting>
  <conditionalFormatting sqref="M557:R559">
    <cfRule type="cellIs" dxfId="752" priority="524" operator="greaterThan">
      <formula>0</formula>
    </cfRule>
  </conditionalFormatting>
  <conditionalFormatting sqref="M552:R554">
    <cfRule type="cellIs" dxfId="751" priority="525" operator="greaterThan">
      <formula>0</formula>
    </cfRule>
  </conditionalFormatting>
  <conditionalFormatting sqref="M555:R556">
    <cfRule type="cellIs" dxfId="750" priority="523" operator="greaterThan">
      <formula>0</formula>
    </cfRule>
  </conditionalFormatting>
  <conditionalFormatting sqref="M560:R560">
    <cfRule type="cellIs" dxfId="749" priority="521" operator="greaterThan">
      <formula>0</formula>
    </cfRule>
  </conditionalFormatting>
  <conditionalFormatting sqref="M561:R561">
    <cfRule type="cellIs" dxfId="748" priority="522" operator="greaterThan">
      <formula>0</formula>
    </cfRule>
  </conditionalFormatting>
  <conditionalFormatting sqref="M552:R561">
    <cfRule type="cellIs" dxfId="747" priority="520" operator="greaterThan">
      <formula>0</formula>
    </cfRule>
  </conditionalFormatting>
  <conditionalFormatting sqref="M580:R580 M565:R567">
    <cfRule type="cellIs" dxfId="746" priority="517" operator="greaterThan">
      <formula>0</formula>
    </cfRule>
  </conditionalFormatting>
  <conditionalFormatting sqref="M580:R580 M565:R567">
    <cfRule type="cellIs" dxfId="745" priority="516" operator="greaterThan">
      <formula>0</formula>
    </cfRule>
  </conditionalFormatting>
  <conditionalFormatting sqref="M551:R551">
    <cfRule type="cellIs" dxfId="744" priority="515" operator="greaterThan">
      <formula>0</formula>
    </cfRule>
  </conditionalFormatting>
  <conditionalFormatting sqref="M551:R551">
    <cfRule type="cellIs" dxfId="743" priority="514" operator="greaterThan">
      <formula>0</formula>
    </cfRule>
  </conditionalFormatting>
  <conditionalFormatting sqref="M545:R548">
    <cfRule type="cellIs" dxfId="742" priority="501" operator="greaterThan">
      <formula>0</formula>
    </cfRule>
  </conditionalFormatting>
  <conditionalFormatting sqref="M541:R542">
    <cfRule type="cellIs" dxfId="741" priority="499" operator="greaterThan">
      <formula>0</formula>
    </cfRule>
  </conditionalFormatting>
  <conditionalFormatting sqref="M538:R539">
    <cfRule type="cellIs" dxfId="740" priority="500" operator="greaterThan">
      <formula>0</formula>
    </cfRule>
  </conditionalFormatting>
  <conditionalFormatting sqref="M540:R540">
    <cfRule type="cellIs" dxfId="739" priority="498" operator="greaterThan">
      <formula>0</formula>
    </cfRule>
  </conditionalFormatting>
  <conditionalFormatting sqref="M543:R543">
    <cfRule type="cellIs" dxfId="738" priority="496" operator="greaterThan">
      <formula>0</formula>
    </cfRule>
  </conditionalFormatting>
  <conditionalFormatting sqref="M544:R544">
    <cfRule type="cellIs" dxfId="737" priority="497" operator="greaterThan">
      <formula>0</formula>
    </cfRule>
  </conditionalFormatting>
  <conditionalFormatting sqref="M538:R544">
    <cfRule type="cellIs" dxfId="736" priority="495" operator="greaterThan">
      <formula>0</formula>
    </cfRule>
  </conditionalFormatting>
  <conditionalFormatting sqref="M549:R550">
    <cfRule type="cellIs" dxfId="735" priority="494" operator="greaterThan">
      <formula>0</formula>
    </cfRule>
  </conditionalFormatting>
  <conditionalFormatting sqref="M549:R550">
    <cfRule type="cellIs" dxfId="734" priority="493" operator="greaterThan">
      <formula>0</formula>
    </cfRule>
  </conditionalFormatting>
  <conditionalFormatting sqref="M537:R537">
    <cfRule type="cellIs" dxfId="733" priority="492" operator="greaterThan">
      <formula>0</formula>
    </cfRule>
  </conditionalFormatting>
  <conditionalFormatting sqref="M537:R537">
    <cfRule type="cellIs" dxfId="732" priority="491" operator="greaterThan">
      <formula>0</formula>
    </cfRule>
  </conditionalFormatting>
  <conditionalFormatting sqref="M572:R573">
    <cfRule type="cellIs" dxfId="731" priority="488" operator="greaterThan">
      <formula>0</formula>
    </cfRule>
  </conditionalFormatting>
  <conditionalFormatting sqref="M569:R570">
    <cfRule type="cellIs" dxfId="730" priority="489" operator="greaterThan">
      <formula>0</formula>
    </cfRule>
  </conditionalFormatting>
  <conditionalFormatting sqref="M571:R571">
    <cfRule type="cellIs" dxfId="729" priority="487" operator="greaterThan">
      <formula>0</formula>
    </cfRule>
  </conditionalFormatting>
  <conditionalFormatting sqref="M574:R574">
    <cfRule type="cellIs" dxfId="728" priority="485" operator="greaterThan">
      <formula>0</formula>
    </cfRule>
  </conditionalFormatting>
  <conditionalFormatting sqref="M575:R575">
    <cfRule type="cellIs" dxfId="727" priority="486" operator="greaterThan">
      <formula>0</formula>
    </cfRule>
  </conditionalFormatting>
  <conditionalFormatting sqref="M578:R579">
    <cfRule type="cellIs" dxfId="726" priority="483" operator="greaterThan">
      <formula>0</formula>
    </cfRule>
  </conditionalFormatting>
  <conditionalFormatting sqref="M578:R579">
    <cfRule type="cellIs" dxfId="725" priority="482" operator="greaterThan">
      <formula>0</formula>
    </cfRule>
  </conditionalFormatting>
  <conditionalFormatting sqref="M568:R568">
    <cfRule type="cellIs" dxfId="724" priority="481" operator="greaterThan">
      <formula>0</formula>
    </cfRule>
  </conditionalFormatting>
  <conditionalFormatting sqref="M568:R568">
    <cfRule type="cellIs" dxfId="723" priority="480" operator="greaterThan">
      <formula>0</formula>
    </cfRule>
  </conditionalFormatting>
  <conditionalFormatting sqref="M589:R590">
    <cfRule type="cellIs" dxfId="722" priority="479" operator="greaterThan">
      <formula>0</formula>
    </cfRule>
  </conditionalFormatting>
  <conditionalFormatting sqref="M589:R590">
    <cfRule type="cellIs" dxfId="721" priority="478" operator="greaterThan">
      <formula>0</formula>
    </cfRule>
  </conditionalFormatting>
  <conditionalFormatting sqref="M599:R599">
    <cfRule type="cellIs" dxfId="720" priority="476" operator="greaterThan">
      <formula>0</formula>
    </cfRule>
  </conditionalFormatting>
  <conditionalFormatting sqref="M599:R599">
    <cfRule type="cellIs" dxfId="719" priority="477" operator="greaterThan">
      <formula>0</formula>
    </cfRule>
  </conditionalFormatting>
  <conditionalFormatting sqref="N600:R600">
    <cfRule type="cellIs" dxfId="718" priority="474" operator="greaterThan">
      <formula>0</formula>
    </cfRule>
  </conditionalFormatting>
  <conditionalFormatting sqref="M600">
    <cfRule type="cellIs" dxfId="717" priority="473" operator="greaterThan">
      <formula>0</formula>
    </cfRule>
  </conditionalFormatting>
  <conditionalFormatting sqref="N600:R600">
    <cfRule type="cellIs" dxfId="716" priority="475" operator="greaterThan">
      <formula>0</formula>
    </cfRule>
  </conditionalFormatting>
  <conditionalFormatting sqref="M600">
    <cfRule type="cellIs" dxfId="715" priority="472" operator="greaterThan">
      <formula>0</formula>
    </cfRule>
  </conditionalFormatting>
  <conditionalFormatting sqref="N618:R619">
    <cfRule type="cellIs" dxfId="714" priority="470" operator="greaterThan">
      <formula>0</formula>
    </cfRule>
  </conditionalFormatting>
  <conditionalFormatting sqref="M618:M619">
    <cfRule type="cellIs" dxfId="713" priority="469" operator="greaterThan">
      <formula>0</formula>
    </cfRule>
  </conditionalFormatting>
  <conditionalFormatting sqref="N618:R619">
    <cfRule type="cellIs" dxfId="712" priority="471" operator="greaterThan">
      <formula>0</formula>
    </cfRule>
  </conditionalFormatting>
  <conditionalFormatting sqref="M618:M619">
    <cfRule type="cellIs" dxfId="711" priority="468" operator="greaterThan">
      <formula>0</formula>
    </cfRule>
  </conditionalFormatting>
  <conditionalFormatting sqref="O629:R630">
    <cfRule type="cellIs" dxfId="710" priority="467" operator="greaterThan">
      <formula>0</formula>
    </cfRule>
  </conditionalFormatting>
  <conditionalFormatting sqref="M631:R631 M633:R633">
    <cfRule type="cellIs" dxfId="709" priority="466" operator="greaterThan">
      <formula>0</formula>
    </cfRule>
  </conditionalFormatting>
  <conditionalFormatting sqref="M631:R631 M633:R633 O629:R630">
    <cfRule type="cellIs" dxfId="708" priority="465" operator="greaterThan">
      <formula>0</formula>
    </cfRule>
  </conditionalFormatting>
  <conditionalFormatting sqref="N629:N630">
    <cfRule type="cellIs" dxfId="707" priority="464" operator="greaterThan">
      <formula>0</formula>
    </cfRule>
  </conditionalFormatting>
  <conditionalFormatting sqref="N629:N630">
    <cfRule type="cellIs" dxfId="706" priority="463" operator="greaterThan">
      <formula>0</formula>
    </cfRule>
  </conditionalFormatting>
  <conditionalFormatting sqref="M629:M630">
    <cfRule type="cellIs" dxfId="705" priority="462" operator="greaterThan">
      <formula>0</formula>
    </cfRule>
  </conditionalFormatting>
  <conditionalFormatting sqref="M629:M630">
    <cfRule type="cellIs" dxfId="704" priority="461" operator="greaterThan">
      <formula>0</formula>
    </cfRule>
  </conditionalFormatting>
  <conditionalFormatting sqref="M632:R632">
    <cfRule type="cellIs" dxfId="703" priority="460" operator="greaterThan">
      <formula>0</formula>
    </cfRule>
  </conditionalFormatting>
  <conditionalFormatting sqref="M632:R632">
    <cfRule type="cellIs" dxfId="702" priority="459" operator="greaterThan">
      <formula>0</formula>
    </cfRule>
  </conditionalFormatting>
  <conditionalFormatting sqref="O636:R638">
    <cfRule type="cellIs" dxfId="701" priority="458" operator="greaterThan">
      <formula>0</formula>
    </cfRule>
  </conditionalFormatting>
  <conditionalFormatting sqref="M639:R639 M641:R643">
    <cfRule type="cellIs" dxfId="700" priority="457" operator="greaterThan">
      <formula>0</formula>
    </cfRule>
  </conditionalFormatting>
  <conditionalFormatting sqref="M639:R639 O636:R638 M641:R643">
    <cfRule type="cellIs" dxfId="699" priority="456" operator="greaterThan">
      <formula>0</formula>
    </cfRule>
  </conditionalFormatting>
  <conditionalFormatting sqref="N636:N638">
    <cfRule type="cellIs" dxfId="698" priority="455" operator="greaterThan">
      <formula>0</formula>
    </cfRule>
  </conditionalFormatting>
  <conditionalFormatting sqref="N636:N638">
    <cfRule type="cellIs" dxfId="697" priority="454" operator="greaterThan">
      <formula>0</formula>
    </cfRule>
  </conditionalFormatting>
  <conditionalFormatting sqref="M636:M638">
    <cfRule type="cellIs" dxfId="696" priority="453" operator="greaterThan">
      <formula>0</formula>
    </cfRule>
  </conditionalFormatting>
  <conditionalFormatting sqref="M636:M638">
    <cfRule type="cellIs" dxfId="695" priority="452" operator="greaterThan">
      <formula>0</formula>
    </cfRule>
  </conditionalFormatting>
  <conditionalFormatting sqref="M640:R640">
    <cfRule type="cellIs" dxfId="694" priority="451" operator="greaterThan">
      <formula>0</formula>
    </cfRule>
  </conditionalFormatting>
  <conditionalFormatting sqref="M640:R640">
    <cfRule type="cellIs" dxfId="693" priority="450" operator="greaterThan">
      <formula>0</formula>
    </cfRule>
  </conditionalFormatting>
  <conditionalFormatting sqref="M649:R650">
    <cfRule type="cellIs" dxfId="692" priority="448" operator="greaterThan">
      <formula>0</formula>
    </cfRule>
  </conditionalFormatting>
  <conditionalFormatting sqref="M647:R647">
    <cfRule type="cellIs" dxfId="691" priority="449" operator="greaterThan">
      <formula>0</formula>
    </cfRule>
  </conditionalFormatting>
  <conditionalFormatting sqref="M648:R648">
    <cfRule type="cellIs" dxfId="690" priority="447" operator="greaterThan">
      <formula>0</formula>
    </cfRule>
  </conditionalFormatting>
  <conditionalFormatting sqref="M651:R651">
    <cfRule type="cellIs" dxfId="689" priority="445" operator="greaterThan">
      <formula>0</formula>
    </cfRule>
  </conditionalFormatting>
  <conditionalFormatting sqref="M654:R654">
    <cfRule type="cellIs" dxfId="688" priority="446" operator="greaterThan">
      <formula>0</formula>
    </cfRule>
  </conditionalFormatting>
  <conditionalFormatting sqref="M647:R651 M654:R654">
    <cfRule type="cellIs" dxfId="687" priority="444" operator="greaterThan">
      <formula>0</formula>
    </cfRule>
  </conditionalFormatting>
  <conditionalFormatting sqref="M658:R660">
    <cfRule type="cellIs" dxfId="686" priority="441" operator="greaterThan">
      <formula>0</formula>
    </cfRule>
  </conditionalFormatting>
  <conditionalFormatting sqref="M658:R660">
    <cfRule type="cellIs" dxfId="685" priority="440" operator="greaterThan">
      <formula>0</formula>
    </cfRule>
  </conditionalFormatting>
  <conditionalFormatting sqref="M652:R652">
    <cfRule type="cellIs" dxfId="684" priority="439" operator="greaterThan">
      <formula>0</formula>
    </cfRule>
  </conditionalFormatting>
  <conditionalFormatting sqref="M653:R653">
    <cfRule type="cellIs" dxfId="683" priority="438" operator="greaterThan">
      <formula>0</formula>
    </cfRule>
  </conditionalFormatting>
  <conditionalFormatting sqref="M652:R653">
    <cfRule type="cellIs" dxfId="682" priority="437" operator="greaterThan">
      <formula>0</formula>
    </cfRule>
  </conditionalFormatting>
  <conditionalFormatting sqref="M664:R665">
    <cfRule type="cellIs" dxfId="681" priority="434" operator="greaterThan">
      <formula>0</formula>
    </cfRule>
  </conditionalFormatting>
  <conditionalFormatting sqref="M663:R663">
    <cfRule type="cellIs" dxfId="680" priority="433" operator="greaterThan">
      <formula>0</formula>
    </cfRule>
  </conditionalFormatting>
  <conditionalFormatting sqref="M666:R666">
    <cfRule type="cellIs" dxfId="679" priority="431" operator="greaterThan">
      <formula>0</formula>
    </cfRule>
  </conditionalFormatting>
  <conditionalFormatting sqref="M667:R667">
    <cfRule type="cellIs" dxfId="678" priority="432" operator="greaterThan">
      <formula>0</formula>
    </cfRule>
  </conditionalFormatting>
  <conditionalFormatting sqref="M670:R672">
    <cfRule type="cellIs" dxfId="677" priority="430" operator="greaterThan">
      <formula>0</formula>
    </cfRule>
  </conditionalFormatting>
  <conditionalFormatting sqref="M670:R672">
    <cfRule type="cellIs" dxfId="676" priority="429" operator="greaterThan">
      <formula>0</formula>
    </cfRule>
  </conditionalFormatting>
  <conditionalFormatting sqref="N689:R689">
    <cfRule type="cellIs" dxfId="675" priority="428" operator="greaterThan">
      <formula>0</formula>
    </cfRule>
  </conditionalFormatting>
  <conditionalFormatting sqref="N689:R689">
    <cfRule type="cellIs" dxfId="674" priority="427" operator="greaterThan">
      <formula>0</formula>
    </cfRule>
  </conditionalFormatting>
  <conditionalFormatting sqref="M683:R685">
    <cfRule type="cellIs" dxfId="673" priority="426" operator="greaterThan">
      <formula>0</formula>
    </cfRule>
  </conditionalFormatting>
  <conditionalFormatting sqref="M674:R675 M678:R682">
    <cfRule type="cellIs" dxfId="672" priority="425" operator="greaterThan">
      <formula>0</formula>
    </cfRule>
  </conditionalFormatting>
  <conditionalFormatting sqref="M693 M691:R692">
    <cfRule type="cellIs" dxfId="671" priority="419" operator="greaterThan">
      <formula>0</formula>
    </cfRule>
  </conditionalFormatting>
  <conditionalFormatting sqref="M690:R690">
    <cfRule type="cellIs" dxfId="670" priority="423" operator="greaterThan">
      <formula>0</formula>
    </cfRule>
  </conditionalFormatting>
  <conditionalFormatting sqref="M688:R688 M689">
    <cfRule type="cellIs" dxfId="669" priority="424" operator="greaterThan">
      <formula>0</formula>
    </cfRule>
  </conditionalFormatting>
  <conditionalFormatting sqref="N693:R693">
    <cfRule type="cellIs" dxfId="668" priority="421" operator="greaterThan">
      <formula>0</formula>
    </cfRule>
  </conditionalFormatting>
  <conditionalFormatting sqref="M689 M674:R675 M678:R685">
    <cfRule type="cellIs" dxfId="667" priority="422" operator="greaterThan">
      <formula>0</formula>
    </cfRule>
  </conditionalFormatting>
  <conditionalFormatting sqref="N693:R693">
    <cfRule type="cellIs" dxfId="666" priority="420" operator="greaterThan">
      <formula>0</formula>
    </cfRule>
  </conditionalFormatting>
  <conditionalFormatting sqref="M693 M691:R692">
    <cfRule type="cellIs" dxfId="665" priority="418" operator="greaterThan">
      <formula>0</formula>
    </cfRule>
  </conditionalFormatting>
  <conditionalFormatting sqref="N695:R695">
    <cfRule type="cellIs" dxfId="664" priority="414" operator="greaterThan">
      <formula>0</formula>
    </cfRule>
  </conditionalFormatting>
  <conditionalFormatting sqref="M695">
    <cfRule type="cellIs" dxfId="663" priority="413" operator="greaterThan">
      <formula>0</formula>
    </cfRule>
  </conditionalFormatting>
  <conditionalFormatting sqref="N695:R695">
    <cfRule type="cellIs" dxfId="662" priority="415" operator="greaterThan">
      <formula>0</formula>
    </cfRule>
  </conditionalFormatting>
  <conditionalFormatting sqref="M695">
    <cfRule type="cellIs" dxfId="661" priority="412" operator="greaterThan">
      <formula>0</formula>
    </cfRule>
  </conditionalFormatting>
  <conditionalFormatting sqref="M686:R687">
    <cfRule type="cellIs" dxfId="660" priority="411" operator="greaterThan">
      <formula>0</formula>
    </cfRule>
  </conditionalFormatting>
  <conditionalFormatting sqref="M686:R687">
    <cfRule type="cellIs" dxfId="659" priority="410" operator="greaterThan">
      <formula>0</formula>
    </cfRule>
  </conditionalFormatting>
  <conditionalFormatting sqref="M696:R696">
    <cfRule type="cellIs" dxfId="658" priority="408" operator="greaterThan">
      <formula>0</formula>
    </cfRule>
  </conditionalFormatting>
  <conditionalFormatting sqref="M696:R696">
    <cfRule type="cellIs" dxfId="657" priority="409" operator="greaterThan">
      <formula>0</formula>
    </cfRule>
  </conditionalFormatting>
  <conditionalFormatting sqref="N697:R701">
    <cfRule type="cellIs" dxfId="656" priority="406" operator="greaterThan">
      <formula>0</formula>
    </cfRule>
  </conditionalFormatting>
  <conditionalFormatting sqref="M697:M701">
    <cfRule type="cellIs" dxfId="655" priority="405" operator="greaterThan">
      <formula>0</formula>
    </cfRule>
  </conditionalFormatting>
  <conditionalFormatting sqref="N697:R701">
    <cfRule type="cellIs" dxfId="654" priority="407" operator="greaterThan">
      <formula>0</formula>
    </cfRule>
  </conditionalFormatting>
  <conditionalFormatting sqref="M697:M701">
    <cfRule type="cellIs" dxfId="653" priority="404" operator="greaterThan">
      <formula>0</formula>
    </cfRule>
  </conditionalFormatting>
  <conditionalFormatting sqref="M676:R677">
    <cfRule type="cellIs" dxfId="652" priority="403" operator="greaterThan">
      <formula>0</formula>
    </cfRule>
  </conditionalFormatting>
  <conditionalFormatting sqref="M676:R677">
    <cfRule type="cellIs" dxfId="651" priority="402" operator="greaterThan">
      <formula>0</formula>
    </cfRule>
  </conditionalFormatting>
  <conditionalFormatting sqref="M708:R708">
    <cfRule type="cellIs" dxfId="650" priority="401" operator="greaterThan">
      <formula>0</formula>
    </cfRule>
  </conditionalFormatting>
  <conditionalFormatting sqref="M708:R708">
    <cfRule type="cellIs" dxfId="649" priority="400" operator="greaterThan">
      <formula>0</formula>
    </cfRule>
  </conditionalFormatting>
  <conditionalFormatting sqref="M707:R707">
    <cfRule type="cellIs" dxfId="648" priority="399" operator="greaterThan">
      <formula>0</formula>
    </cfRule>
  </conditionalFormatting>
  <conditionalFormatting sqref="M707:R707">
    <cfRule type="cellIs" dxfId="647" priority="398" operator="greaterThan">
      <formula>0</formula>
    </cfRule>
  </conditionalFormatting>
  <conditionalFormatting sqref="M719:R719">
    <cfRule type="cellIs" dxfId="646" priority="397" operator="greaterThan">
      <formula>0</formula>
    </cfRule>
  </conditionalFormatting>
  <conditionalFormatting sqref="M719:R719">
    <cfRule type="cellIs" dxfId="645" priority="396" operator="greaterThan">
      <formula>0</formula>
    </cfRule>
  </conditionalFormatting>
  <conditionalFormatting sqref="M718:R718">
    <cfRule type="cellIs" dxfId="644" priority="395" operator="greaterThan">
      <formula>0</formula>
    </cfRule>
  </conditionalFormatting>
  <conditionalFormatting sqref="M716:R717">
    <cfRule type="cellIs" dxfId="643" priority="394" operator="greaterThan">
      <formula>0</formula>
    </cfRule>
  </conditionalFormatting>
  <conditionalFormatting sqref="M716:R718">
    <cfRule type="cellIs" dxfId="642" priority="393" operator="greaterThan">
      <formula>0</formula>
    </cfRule>
  </conditionalFormatting>
  <conditionalFormatting sqref="M723:R723">
    <cfRule type="cellIs" dxfId="641" priority="392" operator="greaterThan">
      <formula>0</formula>
    </cfRule>
  </conditionalFormatting>
  <conditionalFormatting sqref="M723:R723">
    <cfRule type="cellIs" dxfId="640" priority="391" operator="greaterThan">
      <formula>0</formula>
    </cfRule>
  </conditionalFormatting>
  <conditionalFormatting sqref="M722:R722">
    <cfRule type="cellIs" dxfId="639" priority="390" operator="greaterThan">
      <formula>0</formula>
    </cfRule>
  </conditionalFormatting>
  <conditionalFormatting sqref="M722:R722">
    <cfRule type="cellIs" dxfId="638" priority="389" operator="greaterThan">
      <formula>0</formula>
    </cfRule>
  </conditionalFormatting>
  <conditionalFormatting sqref="M721:R721">
    <cfRule type="cellIs" dxfId="637" priority="388" operator="greaterThan">
      <formula>0</formula>
    </cfRule>
  </conditionalFormatting>
  <conditionalFormatting sqref="M721:R721">
    <cfRule type="cellIs" dxfId="636" priority="387" operator="greaterThan">
      <formula>0</formula>
    </cfRule>
  </conditionalFormatting>
  <conditionalFormatting sqref="M720:R720">
    <cfRule type="cellIs" dxfId="635" priority="386" operator="greaterThan">
      <formula>0</formula>
    </cfRule>
  </conditionalFormatting>
  <conditionalFormatting sqref="M720:R720">
    <cfRule type="cellIs" dxfId="634" priority="385" operator="greaterThan">
      <formula>0</formula>
    </cfRule>
  </conditionalFormatting>
  <conditionalFormatting sqref="M725:R725">
    <cfRule type="cellIs" dxfId="633" priority="384" operator="greaterThan">
      <formula>0</formula>
    </cfRule>
  </conditionalFormatting>
  <conditionalFormatting sqref="M725:R725">
    <cfRule type="cellIs" dxfId="632" priority="383" operator="greaterThan">
      <formula>0</formula>
    </cfRule>
  </conditionalFormatting>
  <conditionalFormatting sqref="M724:R724">
    <cfRule type="cellIs" dxfId="631" priority="382" operator="greaterThan">
      <formula>0</formula>
    </cfRule>
  </conditionalFormatting>
  <conditionalFormatting sqref="M724:R724">
    <cfRule type="cellIs" dxfId="630" priority="381" operator="greaterThan">
      <formula>0</formula>
    </cfRule>
  </conditionalFormatting>
  <conditionalFormatting sqref="M726:R728">
    <cfRule type="cellIs" dxfId="629" priority="380" operator="greaterThan">
      <formula>0</formula>
    </cfRule>
  </conditionalFormatting>
  <conditionalFormatting sqref="M726:R728">
    <cfRule type="cellIs" dxfId="628" priority="379" operator="greaterThan">
      <formula>0</formula>
    </cfRule>
  </conditionalFormatting>
  <conditionalFormatting sqref="M737:R738">
    <cfRule type="cellIs" dxfId="627" priority="378" operator="greaterThan">
      <formula>0</formula>
    </cfRule>
  </conditionalFormatting>
  <conditionalFormatting sqref="M737:R738">
    <cfRule type="cellIs" dxfId="626" priority="377" operator="greaterThan">
      <formula>0</formula>
    </cfRule>
  </conditionalFormatting>
  <conditionalFormatting sqref="M739:R742">
    <cfRule type="cellIs" dxfId="625" priority="376" operator="greaterThan">
      <formula>0</formula>
    </cfRule>
  </conditionalFormatting>
  <conditionalFormatting sqref="M739:R742 M770:R770">
    <cfRule type="cellIs" dxfId="624" priority="375" operator="greaterThan">
      <formula>0</formula>
    </cfRule>
  </conditionalFormatting>
  <conditionalFormatting sqref="M743:R743">
    <cfRule type="cellIs" dxfId="623" priority="374" operator="greaterThan">
      <formula>0</formula>
    </cfRule>
  </conditionalFormatting>
  <conditionalFormatting sqref="M743:R743">
    <cfRule type="cellIs" dxfId="622" priority="373" operator="greaterThan">
      <formula>0</formula>
    </cfRule>
  </conditionalFormatting>
  <conditionalFormatting sqref="M744:R744">
    <cfRule type="cellIs" dxfId="621" priority="369" operator="greaterThan">
      <formula>0</formula>
    </cfRule>
  </conditionalFormatting>
  <conditionalFormatting sqref="M744:R744">
    <cfRule type="cellIs" dxfId="620" priority="372" operator="greaterThan">
      <formula>0</formula>
    </cfRule>
  </conditionalFormatting>
  <conditionalFormatting sqref="M747:R748">
    <cfRule type="cellIs" dxfId="619" priority="366" operator="greaterThan">
      <formula>0</formula>
    </cfRule>
  </conditionalFormatting>
  <conditionalFormatting sqref="M745:R745">
    <cfRule type="cellIs" dxfId="618" priority="367" operator="greaterThan">
      <formula>0</formula>
    </cfRule>
  </conditionalFormatting>
  <conditionalFormatting sqref="M746:R746">
    <cfRule type="cellIs" dxfId="617" priority="365" operator="greaterThan">
      <formula>0</formula>
    </cfRule>
  </conditionalFormatting>
  <conditionalFormatting sqref="M749:R749">
    <cfRule type="cellIs" dxfId="616" priority="363" operator="greaterThan">
      <formula>0</formula>
    </cfRule>
  </conditionalFormatting>
  <conditionalFormatting sqref="M750:R750">
    <cfRule type="cellIs" dxfId="615" priority="364" operator="greaterThan">
      <formula>0</formula>
    </cfRule>
  </conditionalFormatting>
  <conditionalFormatting sqref="M745:R750">
    <cfRule type="cellIs" dxfId="614" priority="362" operator="greaterThan">
      <formula>0</formula>
    </cfRule>
  </conditionalFormatting>
  <conditionalFormatting sqref="M754:R755">
    <cfRule type="cellIs" dxfId="613" priority="361" operator="greaterThan">
      <formula>0</formula>
    </cfRule>
  </conditionalFormatting>
  <conditionalFormatting sqref="M754:R755">
    <cfRule type="cellIs" dxfId="612" priority="360" operator="greaterThan">
      <formula>0</formula>
    </cfRule>
  </conditionalFormatting>
  <conditionalFormatting sqref="O758:R759">
    <cfRule type="cellIs" dxfId="611" priority="359" operator="greaterThan">
      <formula>0</formula>
    </cfRule>
  </conditionalFormatting>
  <conditionalFormatting sqref="M760:R760 M762:R762">
    <cfRule type="cellIs" dxfId="610" priority="358" operator="greaterThan">
      <formula>0</formula>
    </cfRule>
  </conditionalFormatting>
  <conditionalFormatting sqref="M760:R760 M762:R762 O758:R759">
    <cfRule type="cellIs" dxfId="609" priority="357" operator="greaterThan">
      <formula>0</formula>
    </cfRule>
  </conditionalFormatting>
  <conditionalFormatting sqref="N758:N759">
    <cfRule type="cellIs" dxfId="608" priority="356" operator="greaterThan">
      <formula>0</formula>
    </cfRule>
  </conditionalFormatting>
  <conditionalFormatting sqref="N758:N759">
    <cfRule type="cellIs" dxfId="607" priority="355" operator="greaterThan">
      <formula>0</formula>
    </cfRule>
  </conditionalFormatting>
  <conditionalFormatting sqref="M758:M759">
    <cfRule type="cellIs" dxfId="606" priority="354" operator="greaterThan">
      <formula>0</formula>
    </cfRule>
  </conditionalFormatting>
  <conditionalFormatting sqref="M758:M759">
    <cfRule type="cellIs" dxfId="605" priority="353" operator="greaterThan">
      <formula>0</formula>
    </cfRule>
  </conditionalFormatting>
  <conditionalFormatting sqref="M761:R761">
    <cfRule type="cellIs" dxfId="604" priority="352" operator="greaterThan">
      <formula>0</formula>
    </cfRule>
  </conditionalFormatting>
  <conditionalFormatting sqref="M761:R761">
    <cfRule type="cellIs" dxfId="603" priority="351" operator="greaterThan">
      <formula>0</formula>
    </cfRule>
  </conditionalFormatting>
  <conditionalFormatting sqref="O765:R766">
    <cfRule type="cellIs" dxfId="602" priority="350" operator="greaterThan">
      <formula>0</formula>
    </cfRule>
  </conditionalFormatting>
  <conditionalFormatting sqref="M767:R767 M769:R769">
    <cfRule type="cellIs" dxfId="601" priority="349" operator="greaterThan">
      <formula>0</formula>
    </cfRule>
  </conditionalFormatting>
  <conditionalFormatting sqref="M767:R767 M769:R769 O765:R766">
    <cfRule type="cellIs" dxfId="600" priority="348" operator="greaterThan">
      <formula>0</formula>
    </cfRule>
  </conditionalFormatting>
  <conditionalFormatting sqref="N765:N766">
    <cfRule type="cellIs" dxfId="599" priority="347" operator="greaterThan">
      <formula>0</formula>
    </cfRule>
  </conditionalFormatting>
  <conditionalFormatting sqref="N765:N766">
    <cfRule type="cellIs" dxfId="598" priority="346" operator="greaterThan">
      <formula>0</formula>
    </cfRule>
  </conditionalFormatting>
  <conditionalFormatting sqref="M765:M766">
    <cfRule type="cellIs" dxfId="597" priority="345" operator="greaterThan">
      <formula>0</formula>
    </cfRule>
  </conditionalFormatting>
  <conditionalFormatting sqref="M765:M766">
    <cfRule type="cellIs" dxfId="596" priority="344" operator="greaterThan">
      <formula>0</formula>
    </cfRule>
  </conditionalFormatting>
  <conditionalFormatting sqref="M768:R768">
    <cfRule type="cellIs" dxfId="595" priority="343" operator="greaterThan">
      <formula>0</formula>
    </cfRule>
  </conditionalFormatting>
  <conditionalFormatting sqref="M768:R768">
    <cfRule type="cellIs" dxfId="594" priority="342" operator="greaterThan">
      <formula>0</formula>
    </cfRule>
  </conditionalFormatting>
  <conditionalFormatting sqref="M825:R827 M832:R839 M860:R860 M858:R858 M864:R864 M899:R899 M921:R923 M926:R926 M933:R933">
    <cfRule type="cellIs" dxfId="593" priority="341" operator="greaterThan">
      <formula>0</formula>
    </cfRule>
  </conditionalFormatting>
  <conditionalFormatting sqref="M814:R814">
    <cfRule type="cellIs" dxfId="592" priority="340" operator="greaterThan">
      <formula>0</formula>
    </cfRule>
  </conditionalFormatting>
  <conditionalFormatting sqref="M814:R814">
    <cfRule type="cellIs" dxfId="591" priority="339" operator="greaterThan">
      <formula>0</formula>
    </cfRule>
  </conditionalFormatting>
  <conditionalFormatting sqref="M831:R831">
    <cfRule type="cellIs" dxfId="590" priority="336" operator="greaterThan">
      <formula>0</formula>
    </cfRule>
  </conditionalFormatting>
  <conditionalFormatting sqref="M831:R831">
    <cfRule type="cellIs" dxfId="589" priority="335" operator="greaterThan">
      <formula>0</formula>
    </cfRule>
  </conditionalFormatting>
  <conditionalFormatting sqref="M815:R816">
    <cfRule type="cellIs" dxfId="588" priority="338" operator="greaterThan">
      <formula>0</formula>
    </cfRule>
  </conditionalFormatting>
  <conditionalFormatting sqref="M815:R816">
    <cfRule type="cellIs" dxfId="587" priority="337" operator="greaterThan">
      <formula>0</formula>
    </cfRule>
  </conditionalFormatting>
  <conditionalFormatting sqref="M843:R843">
    <cfRule type="cellIs" dxfId="586" priority="333" operator="greaterThan">
      <formula>0</formula>
    </cfRule>
  </conditionalFormatting>
  <conditionalFormatting sqref="M843:R843">
    <cfRule type="cellIs" dxfId="585" priority="334" operator="greaterThan">
      <formula>0</formula>
    </cfRule>
  </conditionalFormatting>
  <conditionalFormatting sqref="M876:R876">
    <cfRule type="cellIs" dxfId="584" priority="332" operator="greaterThan">
      <formula>0</formula>
    </cfRule>
  </conditionalFormatting>
  <conditionalFormatting sqref="M876:R876">
    <cfRule type="cellIs" dxfId="583" priority="331" operator="greaterThan">
      <formula>0</formula>
    </cfRule>
  </conditionalFormatting>
  <conditionalFormatting sqref="M872:R872">
    <cfRule type="cellIs" dxfId="582" priority="330" operator="greaterThan">
      <formula>0</formula>
    </cfRule>
  </conditionalFormatting>
  <conditionalFormatting sqref="M875:R875">
    <cfRule type="cellIs" dxfId="581" priority="329" operator="greaterThan">
      <formula>0</formula>
    </cfRule>
  </conditionalFormatting>
  <conditionalFormatting sqref="M873:R874">
    <cfRule type="cellIs" dxfId="580" priority="328" operator="greaterThan">
      <formula>0</formula>
    </cfRule>
  </conditionalFormatting>
  <conditionalFormatting sqref="M872:R875">
    <cfRule type="cellIs" dxfId="579" priority="327" operator="greaterThan">
      <formula>0</formula>
    </cfRule>
  </conditionalFormatting>
  <conditionalFormatting sqref="M880:R884">
    <cfRule type="cellIs" dxfId="578" priority="326" operator="greaterThan">
      <formula>0</formula>
    </cfRule>
  </conditionalFormatting>
  <conditionalFormatting sqref="M880:R884">
    <cfRule type="cellIs" dxfId="577" priority="325" operator="greaterThan">
      <formula>0</formula>
    </cfRule>
  </conditionalFormatting>
  <conditionalFormatting sqref="M879:R879">
    <cfRule type="cellIs" dxfId="576" priority="324" operator="greaterThan">
      <formula>0</formula>
    </cfRule>
  </conditionalFormatting>
  <conditionalFormatting sqref="M879:R879">
    <cfRule type="cellIs" dxfId="575" priority="323" operator="greaterThan">
      <formula>0</formula>
    </cfRule>
  </conditionalFormatting>
  <conditionalFormatting sqref="M885:R885">
    <cfRule type="cellIs" dxfId="574" priority="321" operator="greaterThan">
      <formula>0</formula>
    </cfRule>
  </conditionalFormatting>
  <conditionalFormatting sqref="M885:R885">
    <cfRule type="cellIs" dxfId="573" priority="322" operator="greaterThan">
      <formula>0</formula>
    </cfRule>
  </conditionalFormatting>
  <conditionalFormatting sqref="M900:R900">
    <cfRule type="cellIs" dxfId="572" priority="320" operator="greaterThan">
      <formula>0</formula>
    </cfRule>
  </conditionalFormatting>
  <conditionalFormatting sqref="M901:R902">
    <cfRule type="cellIs" dxfId="571" priority="319" operator="greaterThan">
      <formula>0</formula>
    </cfRule>
  </conditionalFormatting>
  <conditionalFormatting sqref="M900:R902">
    <cfRule type="cellIs" dxfId="570" priority="318" operator="greaterThan">
      <formula>0</formula>
    </cfRule>
  </conditionalFormatting>
  <conditionalFormatting sqref="M903:R903">
    <cfRule type="cellIs" dxfId="569" priority="317" operator="greaterThan">
      <formula>0</formula>
    </cfRule>
  </conditionalFormatting>
  <conditionalFormatting sqref="M903:R903">
    <cfRule type="cellIs" dxfId="568" priority="316" operator="greaterThan">
      <formula>0</formula>
    </cfRule>
  </conditionalFormatting>
  <conditionalFormatting sqref="M905:R906">
    <cfRule type="cellIs" dxfId="567" priority="315" operator="greaterThan">
      <formula>0</formula>
    </cfRule>
  </conditionalFormatting>
  <conditionalFormatting sqref="M905:R906">
    <cfRule type="cellIs" dxfId="566" priority="314" operator="greaterThan">
      <formula>0</formula>
    </cfRule>
  </conditionalFormatting>
  <conditionalFormatting sqref="M904:R904">
    <cfRule type="cellIs" dxfId="565" priority="313" operator="greaterThan">
      <formula>0</formula>
    </cfRule>
  </conditionalFormatting>
  <conditionalFormatting sqref="M904:R904">
    <cfRule type="cellIs" dxfId="564" priority="312" operator="greaterThan">
      <formula>0</formula>
    </cfRule>
  </conditionalFormatting>
  <conditionalFormatting sqref="M927:R927">
    <cfRule type="cellIs" dxfId="563" priority="311" operator="greaterThan">
      <formula>0</formula>
    </cfRule>
  </conditionalFormatting>
  <conditionalFormatting sqref="M927:R927">
    <cfRule type="cellIs" dxfId="562" priority="310" operator="greaterThan">
      <formula>0</formula>
    </cfRule>
  </conditionalFormatting>
  <conditionalFormatting sqref="M934:R934">
    <cfRule type="cellIs" dxfId="561" priority="309" operator="greaterThan">
      <formula>0</formula>
    </cfRule>
  </conditionalFormatting>
  <conditionalFormatting sqref="M934:R934">
    <cfRule type="cellIs" dxfId="560" priority="308" operator="greaterThan">
      <formula>0</formula>
    </cfRule>
  </conditionalFormatting>
  <conditionalFormatting sqref="M819:R820">
    <cfRule type="cellIs" dxfId="559" priority="306" operator="greaterThan">
      <formula>0</formula>
    </cfRule>
  </conditionalFormatting>
  <conditionalFormatting sqref="M817:R817">
    <cfRule type="cellIs" dxfId="558" priority="307" operator="greaterThan">
      <formula>0</formula>
    </cfRule>
  </conditionalFormatting>
  <conditionalFormatting sqref="M818:R818">
    <cfRule type="cellIs" dxfId="557" priority="305" operator="greaterThan">
      <formula>0</formula>
    </cfRule>
  </conditionalFormatting>
  <conditionalFormatting sqref="M821:R821">
    <cfRule type="cellIs" dxfId="556" priority="303" operator="greaterThan">
      <formula>0</formula>
    </cfRule>
  </conditionalFormatting>
  <conditionalFormatting sqref="M824:R824">
    <cfRule type="cellIs" dxfId="555" priority="304" operator="greaterThan">
      <formula>0</formula>
    </cfRule>
  </conditionalFormatting>
  <conditionalFormatting sqref="M817:R821 M824:R824">
    <cfRule type="cellIs" dxfId="554" priority="302" operator="greaterThan">
      <formula>0</formula>
    </cfRule>
  </conditionalFormatting>
  <conditionalFormatting sqref="M828:R830">
    <cfRule type="cellIs" dxfId="553" priority="301" operator="greaterThan">
      <formula>0</formula>
    </cfRule>
  </conditionalFormatting>
  <conditionalFormatting sqref="M828:R830">
    <cfRule type="cellIs" dxfId="552" priority="300" operator="greaterThan">
      <formula>0</formula>
    </cfRule>
  </conditionalFormatting>
  <conditionalFormatting sqref="M822:R822">
    <cfRule type="cellIs" dxfId="551" priority="299" operator="greaterThan">
      <formula>0</formula>
    </cfRule>
  </conditionalFormatting>
  <conditionalFormatting sqref="M823:R823">
    <cfRule type="cellIs" dxfId="550" priority="298" operator="greaterThan">
      <formula>0</formula>
    </cfRule>
  </conditionalFormatting>
  <conditionalFormatting sqref="M822:R823">
    <cfRule type="cellIs" dxfId="549" priority="297" operator="greaterThan">
      <formula>0</formula>
    </cfRule>
  </conditionalFormatting>
  <conditionalFormatting sqref="M834:R835">
    <cfRule type="cellIs" dxfId="548" priority="296" operator="greaterThan">
      <formula>0</formula>
    </cfRule>
  </conditionalFormatting>
  <conditionalFormatting sqref="M833:R833">
    <cfRule type="cellIs" dxfId="547" priority="295" operator="greaterThan">
      <formula>0</formula>
    </cfRule>
  </conditionalFormatting>
  <conditionalFormatting sqref="M836:R836">
    <cfRule type="cellIs" dxfId="546" priority="293" operator="greaterThan">
      <formula>0</formula>
    </cfRule>
  </conditionalFormatting>
  <conditionalFormatting sqref="M837:R837">
    <cfRule type="cellIs" dxfId="545" priority="294" operator="greaterThan">
      <formula>0</formula>
    </cfRule>
  </conditionalFormatting>
  <conditionalFormatting sqref="M840:R842">
    <cfRule type="cellIs" dxfId="544" priority="292" operator="greaterThan">
      <formula>0</formula>
    </cfRule>
  </conditionalFormatting>
  <conditionalFormatting sqref="M840:R842">
    <cfRule type="cellIs" dxfId="543" priority="291" operator="greaterThan">
      <formula>0</formula>
    </cfRule>
  </conditionalFormatting>
  <conditionalFormatting sqref="N859:R859">
    <cfRule type="cellIs" dxfId="542" priority="290" operator="greaterThan">
      <formula>0</formula>
    </cfRule>
  </conditionalFormatting>
  <conditionalFormatting sqref="N859:R859">
    <cfRule type="cellIs" dxfId="541" priority="289" operator="greaterThan">
      <formula>0</formula>
    </cfRule>
  </conditionalFormatting>
  <conditionalFormatting sqref="M853:R855">
    <cfRule type="cellIs" dxfId="540" priority="288" operator="greaterThan">
      <formula>0</formula>
    </cfRule>
  </conditionalFormatting>
  <conditionalFormatting sqref="M844:R845 M848:R852">
    <cfRule type="cellIs" dxfId="539" priority="287" operator="greaterThan">
      <formula>0</formula>
    </cfRule>
  </conditionalFormatting>
  <conditionalFormatting sqref="M863 M861:R862">
    <cfRule type="cellIs" dxfId="538" priority="281" operator="greaterThan">
      <formula>0</formula>
    </cfRule>
  </conditionalFormatting>
  <conditionalFormatting sqref="M860:R860">
    <cfRule type="cellIs" dxfId="537" priority="285" operator="greaterThan">
      <formula>0</formula>
    </cfRule>
  </conditionalFormatting>
  <conditionalFormatting sqref="M858:R858 M859">
    <cfRule type="cellIs" dxfId="536" priority="286" operator="greaterThan">
      <formula>0</formula>
    </cfRule>
  </conditionalFormatting>
  <conditionalFormatting sqref="N863:R863">
    <cfRule type="cellIs" dxfId="535" priority="283" operator="greaterThan">
      <formula>0</formula>
    </cfRule>
  </conditionalFormatting>
  <conditionalFormatting sqref="M859 M844:R845 M848:R855">
    <cfRule type="cellIs" dxfId="534" priority="284" operator="greaterThan">
      <formula>0</formula>
    </cfRule>
  </conditionalFormatting>
  <conditionalFormatting sqref="N863:R863">
    <cfRule type="cellIs" dxfId="533" priority="282" operator="greaterThan">
      <formula>0</formula>
    </cfRule>
  </conditionalFormatting>
  <conditionalFormatting sqref="M863 M861:R862">
    <cfRule type="cellIs" dxfId="532" priority="280" operator="greaterThan">
      <formula>0</formula>
    </cfRule>
  </conditionalFormatting>
  <conditionalFormatting sqref="N865:R865">
    <cfRule type="cellIs" dxfId="531" priority="278" operator="greaterThan">
      <formula>0</formula>
    </cfRule>
  </conditionalFormatting>
  <conditionalFormatting sqref="M865">
    <cfRule type="cellIs" dxfId="530" priority="277" operator="greaterThan">
      <formula>0</formula>
    </cfRule>
  </conditionalFormatting>
  <conditionalFormatting sqref="N865:R865">
    <cfRule type="cellIs" dxfId="529" priority="279" operator="greaterThan">
      <formula>0</formula>
    </cfRule>
  </conditionalFormatting>
  <conditionalFormatting sqref="M865">
    <cfRule type="cellIs" dxfId="528" priority="276" operator="greaterThan">
      <formula>0</formula>
    </cfRule>
  </conditionalFormatting>
  <conditionalFormatting sqref="M856:R857">
    <cfRule type="cellIs" dxfId="527" priority="275" operator="greaterThan">
      <formula>0</formula>
    </cfRule>
  </conditionalFormatting>
  <conditionalFormatting sqref="M856:R857">
    <cfRule type="cellIs" dxfId="526" priority="274" operator="greaterThan">
      <formula>0</formula>
    </cfRule>
  </conditionalFormatting>
  <conditionalFormatting sqref="M866:R866">
    <cfRule type="cellIs" dxfId="525" priority="272" operator="greaterThan">
      <formula>0</formula>
    </cfRule>
  </conditionalFormatting>
  <conditionalFormatting sqref="M866:R866">
    <cfRule type="cellIs" dxfId="524" priority="273" operator="greaterThan">
      <formula>0</formula>
    </cfRule>
  </conditionalFormatting>
  <conditionalFormatting sqref="N867:R871">
    <cfRule type="cellIs" dxfId="523" priority="270" operator="greaterThan">
      <formula>0</formula>
    </cfRule>
  </conditionalFormatting>
  <conditionalFormatting sqref="M867:M871">
    <cfRule type="cellIs" dxfId="522" priority="269" operator="greaterThan">
      <formula>0</formula>
    </cfRule>
  </conditionalFormatting>
  <conditionalFormatting sqref="N867:R871">
    <cfRule type="cellIs" dxfId="521" priority="271" operator="greaterThan">
      <formula>0</formula>
    </cfRule>
  </conditionalFormatting>
  <conditionalFormatting sqref="M867:M871">
    <cfRule type="cellIs" dxfId="520" priority="268" operator="greaterThan">
      <formula>0</formula>
    </cfRule>
  </conditionalFormatting>
  <conditionalFormatting sqref="M846:R847">
    <cfRule type="cellIs" dxfId="519" priority="267" operator="greaterThan">
      <formula>0</formula>
    </cfRule>
  </conditionalFormatting>
  <conditionalFormatting sqref="M846:R847">
    <cfRule type="cellIs" dxfId="518" priority="266" operator="greaterThan">
      <formula>0</formula>
    </cfRule>
  </conditionalFormatting>
  <conditionalFormatting sqref="M878:R878">
    <cfRule type="cellIs" dxfId="517" priority="265" operator="greaterThan">
      <formula>0</formula>
    </cfRule>
  </conditionalFormatting>
  <conditionalFormatting sqref="M878:R878">
    <cfRule type="cellIs" dxfId="516" priority="264" operator="greaterThan">
      <formula>0</formula>
    </cfRule>
  </conditionalFormatting>
  <conditionalFormatting sqref="M877:R877">
    <cfRule type="cellIs" dxfId="515" priority="263" operator="greaterThan">
      <formula>0</formula>
    </cfRule>
  </conditionalFormatting>
  <conditionalFormatting sqref="M877:R877">
    <cfRule type="cellIs" dxfId="514" priority="262" operator="greaterThan">
      <formula>0</formula>
    </cfRule>
  </conditionalFormatting>
  <conditionalFormatting sqref="M889:R889">
    <cfRule type="cellIs" dxfId="513" priority="261" operator="greaterThan">
      <formula>0</formula>
    </cfRule>
  </conditionalFormatting>
  <conditionalFormatting sqref="M889:R889">
    <cfRule type="cellIs" dxfId="512" priority="260" operator="greaterThan">
      <formula>0</formula>
    </cfRule>
  </conditionalFormatting>
  <conditionalFormatting sqref="M888:R888">
    <cfRule type="cellIs" dxfId="511" priority="259" operator="greaterThan">
      <formula>0</formula>
    </cfRule>
  </conditionalFormatting>
  <conditionalFormatting sqref="M886:R887">
    <cfRule type="cellIs" dxfId="510" priority="258" operator="greaterThan">
      <formula>0</formula>
    </cfRule>
  </conditionalFormatting>
  <conditionalFormatting sqref="M886:R888">
    <cfRule type="cellIs" dxfId="509" priority="257" operator="greaterThan">
      <formula>0</formula>
    </cfRule>
  </conditionalFormatting>
  <conditionalFormatting sqref="M893:R893">
    <cfRule type="cellIs" dxfId="508" priority="256" operator="greaterThan">
      <formula>0</formula>
    </cfRule>
  </conditionalFormatting>
  <conditionalFormatting sqref="M893:R893">
    <cfRule type="cellIs" dxfId="507" priority="255" operator="greaterThan">
      <formula>0</formula>
    </cfRule>
  </conditionalFormatting>
  <conditionalFormatting sqref="M892:R892">
    <cfRule type="cellIs" dxfId="506" priority="254" operator="greaterThan">
      <formula>0</formula>
    </cfRule>
  </conditionalFormatting>
  <conditionalFormatting sqref="M892:R892">
    <cfRule type="cellIs" dxfId="505" priority="253" operator="greaterThan">
      <formula>0</formula>
    </cfRule>
  </conditionalFormatting>
  <conditionalFormatting sqref="M891:R891">
    <cfRule type="cellIs" dxfId="504" priority="252" operator="greaterThan">
      <formula>0</formula>
    </cfRule>
  </conditionalFormatting>
  <conditionalFormatting sqref="M891:R891">
    <cfRule type="cellIs" dxfId="503" priority="251" operator="greaterThan">
      <formula>0</formula>
    </cfRule>
  </conditionalFormatting>
  <conditionalFormatting sqref="M890:R890">
    <cfRule type="cellIs" dxfId="502" priority="250" operator="greaterThan">
      <formula>0</formula>
    </cfRule>
  </conditionalFormatting>
  <conditionalFormatting sqref="M890:R890">
    <cfRule type="cellIs" dxfId="501" priority="249" operator="greaterThan">
      <formula>0</formula>
    </cfRule>
  </conditionalFormatting>
  <conditionalFormatting sqref="M895:R895">
    <cfRule type="cellIs" dxfId="500" priority="248" operator="greaterThan">
      <formula>0</formula>
    </cfRule>
  </conditionalFormatting>
  <conditionalFormatting sqref="M895:R895">
    <cfRule type="cellIs" dxfId="499" priority="247" operator="greaterThan">
      <formula>0</formula>
    </cfRule>
  </conditionalFormatting>
  <conditionalFormatting sqref="M894:R894">
    <cfRule type="cellIs" dxfId="498" priority="246" operator="greaterThan">
      <formula>0</formula>
    </cfRule>
  </conditionalFormatting>
  <conditionalFormatting sqref="M894:R894">
    <cfRule type="cellIs" dxfId="497" priority="245" operator="greaterThan">
      <formula>0</formula>
    </cfRule>
  </conditionalFormatting>
  <conditionalFormatting sqref="M896:R898">
    <cfRule type="cellIs" dxfId="496" priority="244" operator="greaterThan">
      <formula>0</formula>
    </cfRule>
  </conditionalFormatting>
  <conditionalFormatting sqref="M896:R898">
    <cfRule type="cellIs" dxfId="495" priority="243" operator="greaterThan">
      <formula>0</formula>
    </cfRule>
  </conditionalFormatting>
  <conditionalFormatting sqref="M907:R908">
    <cfRule type="cellIs" dxfId="494" priority="242" operator="greaterThan">
      <formula>0</formula>
    </cfRule>
  </conditionalFormatting>
  <conditionalFormatting sqref="M907:R908">
    <cfRule type="cellIs" dxfId="493" priority="241" operator="greaterThan">
      <formula>0</formula>
    </cfRule>
  </conditionalFormatting>
  <conditionalFormatting sqref="M909:R912">
    <cfRule type="cellIs" dxfId="492" priority="240" operator="greaterThan">
      <formula>0</formula>
    </cfRule>
  </conditionalFormatting>
  <conditionalFormatting sqref="M909:R912">
    <cfRule type="cellIs" dxfId="491" priority="239" operator="greaterThan">
      <formula>0</formula>
    </cfRule>
  </conditionalFormatting>
  <conditionalFormatting sqref="M913:R913">
    <cfRule type="cellIs" dxfId="490" priority="238" operator="greaterThan">
      <formula>0</formula>
    </cfRule>
  </conditionalFormatting>
  <conditionalFormatting sqref="M913:R913">
    <cfRule type="cellIs" dxfId="489" priority="237" operator="greaterThan">
      <formula>0</formula>
    </cfRule>
  </conditionalFormatting>
  <conditionalFormatting sqref="M914:R914">
    <cfRule type="cellIs" dxfId="488" priority="235" operator="greaterThan">
      <formula>0</formula>
    </cfRule>
  </conditionalFormatting>
  <conditionalFormatting sqref="M914:R914">
    <cfRule type="cellIs" dxfId="487" priority="236" operator="greaterThan">
      <formula>0</formula>
    </cfRule>
  </conditionalFormatting>
  <conditionalFormatting sqref="M917:R918">
    <cfRule type="cellIs" dxfId="486" priority="233" operator="greaterThan">
      <formula>0</formula>
    </cfRule>
  </conditionalFormatting>
  <conditionalFormatting sqref="M915:R915">
    <cfRule type="cellIs" dxfId="485" priority="234" operator="greaterThan">
      <formula>0</formula>
    </cfRule>
  </conditionalFormatting>
  <conditionalFormatting sqref="M916:R916">
    <cfRule type="cellIs" dxfId="484" priority="232" operator="greaterThan">
      <formula>0</formula>
    </cfRule>
  </conditionalFormatting>
  <conditionalFormatting sqref="M919:R919">
    <cfRule type="cellIs" dxfId="483" priority="230" operator="greaterThan">
      <formula>0</formula>
    </cfRule>
  </conditionalFormatting>
  <conditionalFormatting sqref="M920:R920">
    <cfRule type="cellIs" dxfId="482" priority="231" operator="greaterThan">
      <formula>0</formula>
    </cfRule>
  </conditionalFormatting>
  <conditionalFormatting sqref="M915:R920">
    <cfRule type="cellIs" dxfId="481" priority="229" operator="greaterThan">
      <formula>0</formula>
    </cfRule>
  </conditionalFormatting>
  <conditionalFormatting sqref="M924:R925">
    <cfRule type="cellIs" dxfId="480" priority="228" operator="greaterThan">
      <formula>0</formula>
    </cfRule>
  </conditionalFormatting>
  <conditionalFormatting sqref="M924:R925">
    <cfRule type="cellIs" dxfId="479" priority="227" operator="greaterThan">
      <formula>0</formula>
    </cfRule>
  </conditionalFormatting>
  <conditionalFormatting sqref="O928:R929">
    <cfRule type="cellIs" dxfId="478" priority="226" operator="greaterThan">
      <formula>0</formula>
    </cfRule>
  </conditionalFormatting>
  <conditionalFormatting sqref="M930:R930 M932:R932">
    <cfRule type="cellIs" dxfId="477" priority="225" operator="greaterThan">
      <formula>0</formula>
    </cfRule>
  </conditionalFormatting>
  <conditionalFormatting sqref="M930:R930 M932:R932 O928:R929">
    <cfRule type="cellIs" dxfId="476" priority="224" operator="greaterThan">
      <formula>0</formula>
    </cfRule>
  </conditionalFormatting>
  <conditionalFormatting sqref="N928:N929">
    <cfRule type="cellIs" dxfId="475" priority="223" operator="greaterThan">
      <formula>0</formula>
    </cfRule>
  </conditionalFormatting>
  <conditionalFormatting sqref="N928:N929">
    <cfRule type="cellIs" dxfId="474" priority="222" operator="greaterThan">
      <formula>0</formula>
    </cfRule>
  </conditionalFormatting>
  <conditionalFormatting sqref="M928:M929">
    <cfRule type="cellIs" dxfId="473" priority="221" operator="greaterThan">
      <formula>0</formula>
    </cfRule>
  </conditionalFormatting>
  <conditionalFormatting sqref="M928:M929">
    <cfRule type="cellIs" dxfId="472" priority="220" operator="greaterThan">
      <formula>0</formula>
    </cfRule>
  </conditionalFormatting>
  <conditionalFormatting sqref="M931:R931">
    <cfRule type="cellIs" dxfId="471" priority="219" operator="greaterThan">
      <formula>0</formula>
    </cfRule>
  </conditionalFormatting>
  <conditionalFormatting sqref="M931:R931">
    <cfRule type="cellIs" dxfId="470" priority="218" operator="greaterThan">
      <formula>0</formula>
    </cfRule>
  </conditionalFormatting>
  <conditionalFormatting sqref="O935:R936">
    <cfRule type="cellIs" dxfId="469" priority="217" operator="greaterThan">
      <formula>0</formula>
    </cfRule>
  </conditionalFormatting>
  <conditionalFormatting sqref="M937:R937 M939:R939">
    <cfRule type="cellIs" dxfId="468" priority="216" operator="greaterThan">
      <formula>0</formula>
    </cfRule>
  </conditionalFormatting>
  <conditionalFormatting sqref="M937:R937 M939:R939 O935:R936">
    <cfRule type="cellIs" dxfId="467" priority="215" operator="greaterThan">
      <formula>0</formula>
    </cfRule>
  </conditionalFormatting>
  <conditionalFormatting sqref="N935:N936">
    <cfRule type="cellIs" dxfId="466" priority="214" operator="greaterThan">
      <formula>0</formula>
    </cfRule>
  </conditionalFormatting>
  <conditionalFormatting sqref="N935:N936">
    <cfRule type="cellIs" dxfId="465" priority="213" operator="greaterThan">
      <formula>0</formula>
    </cfRule>
  </conditionalFormatting>
  <conditionalFormatting sqref="M935:M936">
    <cfRule type="cellIs" dxfId="464" priority="212" operator="greaterThan">
      <formula>0</formula>
    </cfRule>
  </conditionalFormatting>
  <conditionalFormatting sqref="M935:M936">
    <cfRule type="cellIs" dxfId="463" priority="211" operator="greaterThan">
      <formula>0</formula>
    </cfRule>
  </conditionalFormatting>
  <conditionalFormatting sqref="M938:R938">
    <cfRule type="cellIs" dxfId="462" priority="210" operator="greaterThan">
      <formula>0</formula>
    </cfRule>
  </conditionalFormatting>
  <conditionalFormatting sqref="M938:R938">
    <cfRule type="cellIs" dxfId="461" priority="209" operator="greaterThan">
      <formula>0</formula>
    </cfRule>
  </conditionalFormatting>
  <conditionalFormatting sqref="M778:R778">
    <cfRule type="cellIs" dxfId="460" priority="208" operator="greaterThan">
      <formula>0</formula>
    </cfRule>
  </conditionalFormatting>
  <conditionalFormatting sqref="M778:R778">
    <cfRule type="cellIs" dxfId="459" priority="207" operator="greaterThan">
      <formula>0</formula>
    </cfRule>
  </conditionalFormatting>
  <conditionalFormatting sqref="M777:R777">
    <cfRule type="cellIs" dxfId="458" priority="206" operator="greaterThan">
      <formula>0</formula>
    </cfRule>
  </conditionalFormatting>
  <conditionalFormatting sqref="M777:R777">
    <cfRule type="cellIs" dxfId="457" priority="205" operator="greaterThan">
      <formula>0</formula>
    </cfRule>
  </conditionalFormatting>
  <conditionalFormatting sqref="M779:R782">
    <cfRule type="cellIs" dxfId="456" priority="204" operator="greaterThan">
      <formula>0</formula>
    </cfRule>
  </conditionalFormatting>
  <conditionalFormatting sqref="M779:R782">
    <cfRule type="cellIs" dxfId="455" priority="203" operator="greaterThan">
      <formula>0</formula>
    </cfRule>
  </conditionalFormatting>
  <conditionalFormatting sqref="M795:R795">
    <cfRule type="cellIs" dxfId="454" priority="202" operator="greaterThan">
      <formula>0</formula>
    </cfRule>
  </conditionalFormatting>
  <conditionalFormatting sqref="M795:R795">
    <cfRule type="cellIs" dxfId="453" priority="201" operator="greaterThan">
      <formula>0</formula>
    </cfRule>
  </conditionalFormatting>
  <conditionalFormatting sqref="M796:R798">
    <cfRule type="cellIs" dxfId="452" priority="198" operator="greaterThan">
      <formula>0</formula>
    </cfRule>
  </conditionalFormatting>
  <conditionalFormatting sqref="M796:R796">
    <cfRule type="cellIs" dxfId="451" priority="200" operator="greaterThan">
      <formula>0</formula>
    </cfRule>
  </conditionalFormatting>
  <conditionalFormatting sqref="M797:R798">
    <cfRule type="cellIs" dxfId="450" priority="199" operator="greaterThan">
      <formula>0</formula>
    </cfRule>
  </conditionalFormatting>
  <conditionalFormatting sqref="M799:R799">
    <cfRule type="cellIs" dxfId="449" priority="197" operator="greaterThan">
      <formula>0</formula>
    </cfRule>
  </conditionalFormatting>
  <conditionalFormatting sqref="M799:R799">
    <cfRule type="cellIs" dxfId="448" priority="196" operator="greaterThan">
      <formula>0</formula>
    </cfRule>
  </conditionalFormatting>
  <conditionalFormatting sqref="M801:R806">
    <cfRule type="cellIs" dxfId="447" priority="195" operator="greaterThan">
      <formula>0</formula>
    </cfRule>
  </conditionalFormatting>
  <conditionalFormatting sqref="M801:R806">
    <cfRule type="cellIs" dxfId="446" priority="194" operator="greaterThan">
      <formula>0</formula>
    </cfRule>
  </conditionalFormatting>
  <conditionalFormatting sqref="M800:R800">
    <cfRule type="cellIs" dxfId="445" priority="193" operator="greaterThan">
      <formula>0</formula>
    </cfRule>
  </conditionalFormatting>
  <conditionalFormatting sqref="M800:R800">
    <cfRule type="cellIs" dxfId="444" priority="192" operator="greaterThan">
      <formula>0</formula>
    </cfRule>
  </conditionalFormatting>
  <conditionalFormatting sqref="O809:R810">
    <cfRule type="cellIs" dxfId="443" priority="188" operator="greaterThan">
      <formula>0</formula>
    </cfRule>
  </conditionalFormatting>
  <conditionalFormatting sqref="M811:R811 M813:R813">
    <cfRule type="cellIs" dxfId="442" priority="187" operator="greaterThan">
      <formula>0</formula>
    </cfRule>
  </conditionalFormatting>
  <conditionalFormatting sqref="M811:R811 M813:R813 O809:R810">
    <cfRule type="cellIs" dxfId="441" priority="186" operator="greaterThan">
      <formula>0</formula>
    </cfRule>
  </conditionalFormatting>
  <conditionalFormatting sqref="N809:N810">
    <cfRule type="cellIs" dxfId="440" priority="185" operator="greaterThan">
      <formula>0</formula>
    </cfRule>
  </conditionalFormatting>
  <conditionalFormatting sqref="N809:N810">
    <cfRule type="cellIs" dxfId="439" priority="184" operator="greaterThan">
      <formula>0</formula>
    </cfRule>
  </conditionalFormatting>
  <conditionalFormatting sqref="M809:M810">
    <cfRule type="cellIs" dxfId="438" priority="183" operator="greaterThan">
      <formula>0</formula>
    </cfRule>
  </conditionalFormatting>
  <conditionalFormatting sqref="M809:M810">
    <cfRule type="cellIs" dxfId="437" priority="182" operator="greaterThan">
      <formula>0</formula>
    </cfRule>
  </conditionalFormatting>
  <conditionalFormatting sqref="M812:R812">
    <cfRule type="cellIs" dxfId="436" priority="181" operator="greaterThan">
      <formula>0</formula>
    </cfRule>
  </conditionalFormatting>
  <conditionalFormatting sqref="M812:R812">
    <cfRule type="cellIs" dxfId="435" priority="180" operator="greaterThan">
      <formula>0</formula>
    </cfRule>
  </conditionalFormatting>
  <conditionalFormatting sqref="M963:R963">
    <cfRule type="cellIs" dxfId="434" priority="179" operator="greaterThan">
      <formula>0</formula>
    </cfRule>
  </conditionalFormatting>
  <conditionalFormatting sqref="M963:R963">
    <cfRule type="cellIs" dxfId="433" priority="178" operator="greaterThan">
      <formula>0</formula>
    </cfRule>
  </conditionalFormatting>
  <conditionalFormatting sqref="M957:R958">
    <cfRule type="cellIs" dxfId="432" priority="176" operator="greaterThan">
      <formula>0</formula>
    </cfRule>
  </conditionalFormatting>
  <conditionalFormatting sqref="M959:R962">
    <cfRule type="cellIs" dxfId="431" priority="177" operator="greaterThan">
      <formula>0</formula>
    </cfRule>
  </conditionalFormatting>
  <conditionalFormatting sqref="M965:R970">
    <cfRule type="cellIs" dxfId="430" priority="173" operator="greaterThan">
      <formula>0</formula>
    </cfRule>
  </conditionalFormatting>
  <conditionalFormatting sqref="M964:R964">
    <cfRule type="cellIs" dxfId="429" priority="172" operator="greaterThan">
      <formula>0</formula>
    </cfRule>
  </conditionalFormatting>
  <conditionalFormatting sqref="M957:R962">
    <cfRule type="cellIs" dxfId="428" priority="175" operator="greaterThan">
      <formula>0</formula>
    </cfRule>
  </conditionalFormatting>
  <conditionalFormatting sqref="M965:R970">
    <cfRule type="cellIs" dxfId="427" priority="174" operator="greaterThan">
      <formula>0</formula>
    </cfRule>
  </conditionalFormatting>
  <conditionalFormatting sqref="M964:R964">
    <cfRule type="cellIs" dxfId="426" priority="171" operator="greaterThan">
      <formula>0</formula>
    </cfRule>
  </conditionalFormatting>
  <conditionalFormatting sqref="M974:R975">
    <cfRule type="cellIs" dxfId="425" priority="169" operator="greaterThan">
      <formula>0</formula>
    </cfRule>
  </conditionalFormatting>
  <conditionalFormatting sqref="M972:R972">
    <cfRule type="cellIs" dxfId="424" priority="170" operator="greaterThan">
      <formula>0</formula>
    </cfRule>
  </conditionalFormatting>
  <conditionalFormatting sqref="M973:R973">
    <cfRule type="cellIs" dxfId="423" priority="168" operator="greaterThan">
      <formula>0</formula>
    </cfRule>
  </conditionalFormatting>
  <conditionalFormatting sqref="M976:R976">
    <cfRule type="cellIs" dxfId="422" priority="166" operator="greaterThan">
      <formula>0</formula>
    </cfRule>
  </conditionalFormatting>
  <conditionalFormatting sqref="M977:R977">
    <cfRule type="cellIs" dxfId="421" priority="167" operator="greaterThan">
      <formula>0</formula>
    </cfRule>
  </conditionalFormatting>
  <conditionalFormatting sqref="M972:R977">
    <cfRule type="cellIs" dxfId="420" priority="165" operator="greaterThan">
      <formula>0</formula>
    </cfRule>
  </conditionalFormatting>
  <conditionalFormatting sqref="M978:R982">
    <cfRule type="cellIs" dxfId="419" priority="163" operator="greaterThan">
      <formula>0</formula>
    </cfRule>
  </conditionalFormatting>
  <conditionalFormatting sqref="M978:R982">
    <cfRule type="cellIs" dxfId="418" priority="164" operator="greaterThan">
      <formula>0</formula>
    </cfRule>
  </conditionalFormatting>
  <conditionalFormatting sqref="M983:R984">
    <cfRule type="cellIs" dxfId="417" priority="162" operator="greaterThan">
      <formula>0</formula>
    </cfRule>
  </conditionalFormatting>
  <conditionalFormatting sqref="M983:R984">
    <cfRule type="cellIs" dxfId="416" priority="161" operator="greaterThan">
      <formula>0</formula>
    </cfRule>
  </conditionalFormatting>
  <conditionalFormatting sqref="M993:R996">
    <cfRule type="cellIs" dxfId="415" priority="160" operator="greaterThan">
      <formula>0</formula>
    </cfRule>
  </conditionalFormatting>
  <conditionalFormatting sqref="M992:R992">
    <cfRule type="cellIs" dxfId="414" priority="159" operator="greaterThan">
      <formula>0</formula>
    </cfRule>
  </conditionalFormatting>
  <conditionalFormatting sqref="M992:R992">
    <cfRule type="cellIs" dxfId="413" priority="158" operator="greaterThan">
      <formula>0</formula>
    </cfRule>
  </conditionalFormatting>
  <conditionalFormatting sqref="M997:R998">
    <cfRule type="cellIs" dxfId="412" priority="157" operator="greaterThan">
      <formula>0</formula>
    </cfRule>
  </conditionalFormatting>
  <conditionalFormatting sqref="M997:R998">
    <cfRule type="cellIs" dxfId="411" priority="156" operator="greaterThan">
      <formula>0</formula>
    </cfRule>
  </conditionalFormatting>
  <conditionalFormatting sqref="M1036:R1037">
    <cfRule type="cellIs" dxfId="410" priority="155" operator="greaterThan">
      <formula>0</formula>
    </cfRule>
  </conditionalFormatting>
  <conditionalFormatting sqref="M1036:R1037">
    <cfRule type="cellIs" dxfId="409" priority="154" operator="greaterThan">
      <formula>0</formula>
    </cfRule>
  </conditionalFormatting>
  <conditionalFormatting sqref="M1007:R1008">
    <cfRule type="cellIs" dxfId="408" priority="153" operator="greaterThan">
      <formula>0</formula>
    </cfRule>
  </conditionalFormatting>
  <conditionalFormatting sqref="M1007:R1008">
    <cfRule type="cellIs" dxfId="407" priority="152" operator="greaterThan">
      <formula>0</formula>
    </cfRule>
  </conditionalFormatting>
  <conditionalFormatting sqref="M1017:R1019">
    <cfRule type="cellIs" dxfId="406" priority="151" operator="greaterThan">
      <formula>0</formula>
    </cfRule>
  </conditionalFormatting>
  <conditionalFormatting sqref="M1017:R1019">
    <cfRule type="cellIs" dxfId="405" priority="150" operator="greaterThan">
      <formula>0</formula>
    </cfRule>
  </conditionalFormatting>
  <conditionalFormatting sqref="M1020:R1021">
    <cfRule type="cellIs" dxfId="404" priority="149" operator="greaterThan">
      <formula>0</formula>
    </cfRule>
  </conditionalFormatting>
  <conditionalFormatting sqref="M1020:R1021">
    <cfRule type="cellIs" dxfId="403" priority="148" operator="greaterThan">
      <formula>0</formula>
    </cfRule>
  </conditionalFormatting>
  <conditionalFormatting sqref="M1022:R1023">
    <cfRule type="cellIs" dxfId="402" priority="147" operator="greaterThan">
      <formula>0</formula>
    </cfRule>
  </conditionalFormatting>
  <conditionalFormatting sqref="M1024:R1025">
    <cfRule type="cellIs" dxfId="401" priority="146" operator="greaterThan">
      <formula>0</formula>
    </cfRule>
  </conditionalFormatting>
  <conditionalFormatting sqref="M1024:R1025">
    <cfRule type="cellIs" dxfId="400" priority="145" operator="greaterThan">
      <formula>0</formula>
    </cfRule>
  </conditionalFormatting>
  <conditionalFormatting sqref="M1039:R1039 O1040:R1041">
    <cfRule type="cellIs" dxfId="399" priority="142" operator="greaterThan">
      <formula>0</formula>
    </cfRule>
  </conditionalFormatting>
  <conditionalFormatting sqref="M1042:R1042 M1044:R1045">
    <cfRule type="cellIs" dxfId="398" priority="141" operator="greaterThan">
      <formula>0</formula>
    </cfRule>
  </conditionalFormatting>
  <conditionalFormatting sqref="M1039:R1039 M1042:R1042 M1044:R1045 O1040:R1041">
    <cfRule type="cellIs" dxfId="397" priority="140" operator="greaterThan">
      <formula>0</formula>
    </cfRule>
  </conditionalFormatting>
  <conditionalFormatting sqref="M1038:R1038">
    <cfRule type="cellIs" dxfId="396" priority="139" operator="greaterThan">
      <formula>0</formula>
    </cfRule>
  </conditionalFormatting>
  <conditionalFormatting sqref="M1043:R1043">
    <cfRule type="cellIs" dxfId="395" priority="134" operator="greaterThan">
      <formula>0</formula>
    </cfRule>
  </conditionalFormatting>
  <conditionalFormatting sqref="M1043:R1043">
    <cfRule type="cellIs" dxfId="394" priority="133" operator="greaterThan">
      <formula>0</formula>
    </cfRule>
  </conditionalFormatting>
  <conditionalFormatting sqref="M1046:R1046">
    <cfRule type="cellIs" dxfId="393" priority="132" operator="greaterThan">
      <formula>0</formula>
    </cfRule>
  </conditionalFormatting>
  <conditionalFormatting sqref="M1052:R1052">
    <cfRule type="cellIs" dxfId="392" priority="131" operator="greaterThan">
      <formula>0</formula>
    </cfRule>
  </conditionalFormatting>
  <conditionalFormatting sqref="M1040:M1041">
    <cfRule type="cellIs" dxfId="391" priority="135" operator="greaterThan">
      <formula>0</formula>
    </cfRule>
  </conditionalFormatting>
  <conditionalFormatting sqref="N1040:N1041">
    <cfRule type="cellIs" dxfId="390" priority="138" operator="greaterThan">
      <formula>0</formula>
    </cfRule>
  </conditionalFormatting>
  <conditionalFormatting sqref="N1040:N1041">
    <cfRule type="cellIs" dxfId="389" priority="137" operator="greaterThan">
      <formula>0</formula>
    </cfRule>
  </conditionalFormatting>
  <conditionalFormatting sqref="M1040:M1041">
    <cfRule type="cellIs" dxfId="388" priority="136" operator="greaterThan">
      <formula>0</formula>
    </cfRule>
  </conditionalFormatting>
  <conditionalFormatting sqref="M1046:R1046 M1052:R1052">
    <cfRule type="cellIs" dxfId="387" priority="130" operator="greaterThan">
      <formula>0</formula>
    </cfRule>
  </conditionalFormatting>
  <conditionalFormatting sqref="M1053:R1053">
    <cfRule type="cellIs" dxfId="386" priority="129" operator="greaterThan">
      <formula>0</formula>
    </cfRule>
  </conditionalFormatting>
  <conditionalFormatting sqref="M1053:R1053">
    <cfRule type="cellIs" dxfId="385" priority="128" operator="greaterThan">
      <formula>0</formula>
    </cfRule>
  </conditionalFormatting>
  <conditionalFormatting sqref="O1047:R1048">
    <cfRule type="cellIs" dxfId="384" priority="127" operator="greaterThan">
      <formula>0</formula>
    </cfRule>
  </conditionalFormatting>
  <conditionalFormatting sqref="M1049:R1049 M1051:R1051">
    <cfRule type="cellIs" dxfId="383" priority="126" operator="greaterThan">
      <formula>0</formula>
    </cfRule>
  </conditionalFormatting>
  <conditionalFormatting sqref="M1049:R1049 M1051:R1051 O1047:R1048">
    <cfRule type="cellIs" dxfId="382" priority="125" operator="greaterThan">
      <formula>0</formula>
    </cfRule>
  </conditionalFormatting>
  <conditionalFormatting sqref="N1047:N1048">
    <cfRule type="cellIs" dxfId="381" priority="124" operator="greaterThan">
      <formula>0</formula>
    </cfRule>
  </conditionalFormatting>
  <conditionalFormatting sqref="N1047:N1048">
    <cfRule type="cellIs" dxfId="380" priority="123" operator="greaterThan">
      <formula>0</formula>
    </cfRule>
  </conditionalFormatting>
  <conditionalFormatting sqref="M1047:M1048">
    <cfRule type="cellIs" dxfId="379" priority="122" operator="greaterThan">
      <formula>0</formula>
    </cfRule>
  </conditionalFormatting>
  <conditionalFormatting sqref="M1047:M1048">
    <cfRule type="cellIs" dxfId="378" priority="121" operator="greaterThan">
      <formula>0</formula>
    </cfRule>
  </conditionalFormatting>
  <conditionalFormatting sqref="M1050:R1050">
    <cfRule type="cellIs" dxfId="377" priority="120" operator="greaterThan">
      <formula>0</formula>
    </cfRule>
  </conditionalFormatting>
  <conditionalFormatting sqref="M1050:R1050">
    <cfRule type="cellIs" dxfId="376" priority="119" operator="greaterThan">
      <formula>0</formula>
    </cfRule>
  </conditionalFormatting>
  <conditionalFormatting sqref="O1054:R1055">
    <cfRule type="cellIs" dxfId="375" priority="118" operator="greaterThan">
      <formula>0</formula>
    </cfRule>
  </conditionalFormatting>
  <conditionalFormatting sqref="M1056:R1056 M1058:R1058">
    <cfRule type="cellIs" dxfId="374" priority="117" operator="greaterThan">
      <formula>0</formula>
    </cfRule>
  </conditionalFormatting>
  <conditionalFormatting sqref="M1056:R1056 M1058:R1058 O1054:R1055">
    <cfRule type="cellIs" dxfId="373" priority="116" operator="greaterThan">
      <formula>0</formula>
    </cfRule>
  </conditionalFormatting>
  <conditionalFormatting sqref="N1054:N1055">
    <cfRule type="cellIs" dxfId="372" priority="115" operator="greaterThan">
      <formula>0</formula>
    </cfRule>
  </conditionalFormatting>
  <conditionalFormatting sqref="N1054:N1055">
    <cfRule type="cellIs" dxfId="371" priority="114" operator="greaterThan">
      <formula>0</formula>
    </cfRule>
  </conditionalFormatting>
  <conditionalFormatting sqref="M1054:M1055">
    <cfRule type="cellIs" dxfId="370" priority="113" operator="greaterThan">
      <formula>0</formula>
    </cfRule>
  </conditionalFormatting>
  <conditionalFormatting sqref="M1054:M1055">
    <cfRule type="cellIs" dxfId="369" priority="112" operator="greaterThan">
      <formula>0</formula>
    </cfRule>
  </conditionalFormatting>
  <conditionalFormatting sqref="M1057:R1057">
    <cfRule type="cellIs" dxfId="368" priority="111" operator="greaterThan">
      <formula>0</formula>
    </cfRule>
  </conditionalFormatting>
  <conditionalFormatting sqref="M1057:R1057">
    <cfRule type="cellIs" dxfId="367" priority="110" operator="greaterThan">
      <formula>0</formula>
    </cfRule>
  </conditionalFormatting>
  <conditionalFormatting sqref="M1072:R1073">
    <cfRule type="cellIs" dxfId="366" priority="107" operator="greaterThan">
      <formula>0</formula>
    </cfRule>
  </conditionalFormatting>
  <conditionalFormatting sqref="M1074:R1075">
    <cfRule type="cellIs" dxfId="365" priority="106" operator="greaterThan">
      <formula>0</formula>
    </cfRule>
  </conditionalFormatting>
  <conditionalFormatting sqref="M1083:R1083">
    <cfRule type="cellIs" dxfId="364" priority="105" operator="greaterThan">
      <formula>0</formula>
    </cfRule>
  </conditionalFormatting>
  <conditionalFormatting sqref="M1084:R1085">
    <cfRule type="cellIs" dxfId="363" priority="103" operator="greaterThan">
      <formula>0</formula>
    </cfRule>
  </conditionalFormatting>
  <conditionalFormatting sqref="M1084:R1085">
    <cfRule type="cellIs" dxfId="362" priority="104" operator="greaterThan">
      <formula>0</formula>
    </cfRule>
  </conditionalFormatting>
  <conditionalFormatting sqref="M1086:R1086">
    <cfRule type="cellIs" dxfId="361" priority="102" operator="greaterThan">
      <formula>0</formula>
    </cfRule>
  </conditionalFormatting>
  <conditionalFormatting sqref="M1087:R1088">
    <cfRule type="cellIs" dxfId="360" priority="100" operator="greaterThan">
      <formula>0</formula>
    </cfRule>
  </conditionalFormatting>
  <conditionalFormatting sqref="M1087:R1088">
    <cfRule type="cellIs" dxfId="359" priority="101" operator="greaterThan">
      <formula>0</formula>
    </cfRule>
  </conditionalFormatting>
  <conditionalFormatting sqref="M1089:R1089">
    <cfRule type="cellIs" dxfId="358" priority="99" operator="greaterThan">
      <formula>0</formula>
    </cfRule>
  </conditionalFormatting>
  <conditionalFormatting sqref="M1098:R1098">
    <cfRule type="cellIs" dxfId="357" priority="97" operator="greaterThan">
      <formula>0</formula>
    </cfRule>
  </conditionalFormatting>
  <conditionalFormatting sqref="M1098:R1098">
    <cfRule type="cellIs" dxfId="356" priority="98" operator="greaterThan">
      <formula>0</formula>
    </cfRule>
  </conditionalFormatting>
  <conditionalFormatting sqref="M1102:R1102">
    <cfRule type="cellIs" dxfId="355" priority="95" operator="greaterThan">
      <formula>0</formula>
    </cfRule>
  </conditionalFormatting>
  <conditionalFormatting sqref="M1102:R1102">
    <cfRule type="cellIs" dxfId="354" priority="96" operator="greaterThan">
      <formula>0</formula>
    </cfRule>
  </conditionalFormatting>
  <conditionalFormatting sqref="M1103:R1104">
    <cfRule type="cellIs" dxfId="353" priority="93" operator="greaterThan">
      <formula>0</formula>
    </cfRule>
  </conditionalFormatting>
  <conditionalFormatting sqref="M1103:R1104">
    <cfRule type="cellIs" dxfId="352" priority="94" operator="greaterThan">
      <formula>0</formula>
    </cfRule>
  </conditionalFormatting>
  <conditionalFormatting sqref="M1105:R1105">
    <cfRule type="cellIs" dxfId="351" priority="91" operator="greaterThan">
      <formula>0</formula>
    </cfRule>
  </conditionalFormatting>
  <conditionalFormatting sqref="M1105:R1105">
    <cfRule type="cellIs" dxfId="350" priority="92" operator="greaterThan">
      <formula>0</formula>
    </cfRule>
  </conditionalFormatting>
  <conditionalFormatting sqref="M1111:R1111">
    <cfRule type="cellIs" dxfId="349" priority="89" operator="greaterThan">
      <formula>0</formula>
    </cfRule>
  </conditionalFormatting>
  <conditionalFormatting sqref="M1111:R1111">
    <cfRule type="cellIs" dxfId="348" priority="90" operator="greaterThan">
      <formula>0</formula>
    </cfRule>
  </conditionalFormatting>
  <conditionalFormatting sqref="M1112:R1113">
    <cfRule type="cellIs" dxfId="347" priority="87" operator="greaterThan">
      <formula>0</formula>
    </cfRule>
  </conditionalFormatting>
  <conditionalFormatting sqref="M1112:R1113">
    <cfRule type="cellIs" dxfId="346" priority="88" operator="greaterThan">
      <formula>0</formula>
    </cfRule>
  </conditionalFormatting>
  <conditionalFormatting sqref="M1114:R1114">
    <cfRule type="cellIs" dxfId="345" priority="85" operator="greaterThan">
      <formula>0</formula>
    </cfRule>
  </conditionalFormatting>
  <conditionalFormatting sqref="M1114:R1114">
    <cfRule type="cellIs" dxfId="344" priority="86" operator="greaterThan">
      <formula>0</formula>
    </cfRule>
  </conditionalFormatting>
  <conditionalFormatting sqref="M1115:R1116">
    <cfRule type="cellIs" dxfId="343" priority="83" operator="greaterThan">
      <formula>0</formula>
    </cfRule>
  </conditionalFormatting>
  <conditionalFormatting sqref="M1115:R1116">
    <cfRule type="cellIs" dxfId="342" priority="84" operator="greaterThan">
      <formula>0</formula>
    </cfRule>
  </conditionalFormatting>
  <conditionalFormatting sqref="M1117:R1117">
    <cfRule type="cellIs" dxfId="341" priority="81" operator="greaterThan">
      <formula>0</formula>
    </cfRule>
  </conditionalFormatting>
  <conditionalFormatting sqref="M1117:R1117">
    <cfRule type="cellIs" dxfId="340" priority="82" operator="greaterThan">
      <formula>0</formula>
    </cfRule>
  </conditionalFormatting>
  <conditionalFormatting sqref="M437:R437">
    <cfRule type="cellIs" dxfId="339" priority="78" operator="greaterThan">
      <formula>0</formula>
    </cfRule>
  </conditionalFormatting>
  <conditionalFormatting sqref="M443:R443">
    <cfRule type="cellIs" dxfId="338" priority="72" operator="greaterThan">
      <formula>0</formula>
    </cfRule>
  </conditionalFormatting>
  <conditionalFormatting sqref="M437:R437">
    <cfRule type="cellIs" dxfId="337" priority="79" operator="greaterThan">
      <formula>0</formula>
    </cfRule>
  </conditionalFormatting>
  <conditionalFormatting sqref="M443:R443">
    <cfRule type="cellIs" dxfId="336" priority="71" operator="greaterThan">
      <formula>0</formula>
    </cfRule>
  </conditionalFormatting>
  <conditionalFormatting sqref="M438:R438">
    <cfRule type="cellIs" dxfId="335" priority="73" operator="greaterThan">
      <formula>0</formula>
    </cfRule>
  </conditionalFormatting>
  <conditionalFormatting sqref="M442:R442">
    <cfRule type="cellIs" dxfId="334" priority="76" operator="greaterThan">
      <formula>0</formula>
    </cfRule>
  </conditionalFormatting>
  <conditionalFormatting sqref="M442:R442">
    <cfRule type="cellIs" dxfId="333" priority="77" operator="greaterThan">
      <formula>0</formula>
    </cfRule>
  </conditionalFormatting>
  <conditionalFormatting sqref="M441:R441">
    <cfRule type="cellIs" dxfId="332" priority="74" operator="greaterThan">
      <formula>0</formula>
    </cfRule>
  </conditionalFormatting>
  <conditionalFormatting sqref="M445:R448">
    <cfRule type="cellIs" dxfId="331" priority="70" operator="greaterThan">
      <formula>0</formula>
    </cfRule>
  </conditionalFormatting>
  <conditionalFormatting sqref="M444:R444">
    <cfRule type="cellIs" dxfId="330" priority="68" operator="greaterThan">
      <formula>0</formula>
    </cfRule>
  </conditionalFormatting>
  <conditionalFormatting sqref="M454:R454">
    <cfRule type="cellIs" dxfId="329" priority="56" operator="greaterThan">
      <formula>0</formula>
    </cfRule>
  </conditionalFormatting>
  <conditionalFormatting sqref="M444:R444">
    <cfRule type="cellIs" dxfId="328" priority="69" operator="greaterThan">
      <formula>0</formula>
    </cfRule>
  </conditionalFormatting>
  <conditionalFormatting sqref="M451:R451">
    <cfRule type="cellIs" dxfId="327" priority="55" operator="greaterThan">
      <formula>0</formula>
    </cfRule>
  </conditionalFormatting>
  <conditionalFormatting sqref="M445:R445">
    <cfRule type="cellIs" dxfId="326" priority="64" operator="greaterThan">
      <formula>0</formula>
    </cfRule>
  </conditionalFormatting>
  <conditionalFormatting sqref="M449:R449">
    <cfRule type="cellIs" dxfId="325" priority="66" operator="greaterThan">
      <formula>0</formula>
    </cfRule>
  </conditionalFormatting>
  <conditionalFormatting sqref="M449:R449">
    <cfRule type="cellIs" dxfId="324" priority="67" operator="greaterThan">
      <formula>0</formula>
    </cfRule>
  </conditionalFormatting>
  <conditionalFormatting sqref="M448:R448">
    <cfRule type="cellIs" dxfId="323" priority="65" operator="greaterThan">
      <formula>0</formula>
    </cfRule>
  </conditionalFormatting>
  <conditionalFormatting sqref="M451:R454">
    <cfRule type="cellIs" dxfId="322" priority="61" operator="greaterThan">
      <formula>0</formula>
    </cfRule>
  </conditionalFormatting>
  <conditionalFormatting sqref="M450:R450">
    <cfRule type="cellIs" dxfId="321" priority="59" operator="greaterThan">
      <formula>0</formula>
    </cfRule>
  </conditionalFormatting>
  <conditionalFormatting sqref="M450:R450">
    <cfRule type="cellIs" dxfId="320" priority="60" operator="greaterThan">
      <formula>0</formula>
    </cfRule>
  </conditionalFormatting>
  <conditionalFormatting sqref="M456:R456">
    <cfRule type="cellIs" dxfId="319" priority="53" operator="greaterThan">
      <formula>0</formula>
    </cfRule>
  </conditionalFormatting>
  <conditionalFormatting sqref="M455:R455">
    <cfRule type="cellIs" dxfId="318" priority="57" operator="greaterThan">
      <formula>0</formula>
    </cfRule>
  </conditionalFormatting>
  <conditionalFormatting sqref="M455:R455">
    <cfRule type="cellIs" dxfId="317" priority="58" operator="greaterThan">
      <formula>0</formula>
    </cfRule>
  </conditionalFormatting>
  <conditionalFormatting sqref="M456:R456">
    <cfRule type="cellIs" dxfId="316" priority="54" operator="greaterThan">
      <formula>0</formula>
    </cfRule>
  </conditionalFormatting>
  <conditionalFormatting sqref="M461:R461">
    <cfRule type="cellIs" dxfId="315" priority="48" operator="greaterThan">
      <formula>0</formula>
    </cfRule>
  </conditionalFormatting>
  <conditionalFormatting sqref="M459:R460">
    <cfRule type="cellIs" dxfId="314" priority="49" operator="greaterThan">
      <formula>0</formula>
    </cfRule>
  </conditionalFormatting>
  <conditionalFormatting sqref="M457:R461">
    <cfRule type="cellIs" dxfId="313" priority="52" operator="greaterThan">
      <formula>0</formula>
    </cfRule>
  </conditionalFormatting>
  <conditionalFormatting sqref="M458:R458">
    <cfRule type="cellIs" dxfId="312" priority="50" operator="greaterThan">
      <formula>0</formula>
    </cfRule>
  </conditionalFormatting>
  <conditionalFormatting sqref="M457:R457">
    <cfRule type="cellIs" dxfId="311" priority="51" operator="greaterThan">
      <formula>0</formula>
    </cfRule>
  </conditionalFormatting>
  <conditionalFormatting sqref="M466:R466">
    <cfRule type="cellIs" dxfId="310" priority="43" operator="greaterThan">
      <formula>0</formula>
    </cfRule>
  </conditionalFormatting>
  <conditionalFormatting sqref="M464:R465">
    <cfRule type="cellIs" dxfId="309" priority="44" operator="greaterThan">
      <formula>0</formula>
    </cfRule>
  </conditionalFormatting>
  <conditionalFormatting sqref="M471:R471">
    <cfRule type="cellIs" dxfId="308" priority="38" operator="greaterThan">
      <formula>0</formula>
    </cfRule>
  </conditionalFormatting>
  <conditionalFormatting sqref="M469:R470">
    <cfRule type="cellIs" dxfId="307" priority="39" operator="greaterThan">
      <formula>0</formula>
    </cfRule>
  </conditionalFormatting>
  <conditionalFormatting sqref="M462:R466">
    <cfRule type="cellIs" dxfId="306" priority="47" operator="greaterThan">
      <formula>0</formula>
    </cfRule>
  </conditionalFormatting>
  <conditionalFormatting sqref="M463:R463">
    <cfRule type="cellIs" dxfId="305" priority="45" operator="greaterThan">
      <formula>0</formula>
    </cfRule>
  </conditionalFormatting>
  <conditionalFormatting sqref="M462:R462">
    <cfRule type="cellIs" dxfId="304" priority="46" operator="greaterThan">
      <formula>0</formula>
    </cfRule>
  </conditionalFormatting>
  <conditionalFormatting sqref="M476:R476">
    <cfRule type="cellIs" dxfId="303" priority="33" operator="greaterThan">
      <formula>0</formula>
    </cfRule>
  </conditionalFormatting>
  <conditionalFormatting sqref="M474:R475">
    <cfRule type="cellIs" dxfId="302" priority="34" operator="greaterThan">
      <formula>0</formula>
    </cfRule>
  </conditionalFormatting>
  <conditionalFormatting sqref="M467:R471">
    <cfRule type="cellIs" dxfId="301" priority="42" operator="greaterThan">
      <formula>0</formula>
    </cfRule>
  </conditionalFormatting>
  <conditionalFormatting sqref="M468:R468">
    <cfRule type="cellIs" dxfId="300" priority="40" operator="greaterThan">
      <formula>0</formula>
    </cfRule>
  </conditionalFormatting>
  <conditionalFormatting sqref="M467:R467">
    <cfRule type="cellIs" dxfId="299" priority="41" operator="greaterThan">
      <formula>0</formula>
    </cfRule>
  </conditionalFormatting>
  <conditionalFormatting sqref="M481:R481">
    <cfRule type="cellIs" dxfId="298" priority="28" operator="greaterThan">
      <formula>0</formula>
    </cfRule>
  </conditionalFormatting>
  <conditionalFormatting sqref="M479:R480">
    <cfRule type="cellIs" dxfId="297" priority="29" operator="greaterThan">
      <formula>0</formula>
    </cfRule>
  </conditionalFormatting>
  <conditionalFormatting sqref="M472:R476">
    <cfRule type="cellIs" dxfId="296" priority="37" operator="greaterThan">
      <formula>0</formula>
    </cfRule>
  </conditionalFormatting>
  <conditionalFormatting sqref="M473:R473">
    <cfRule type="cellIs" dxfId="295" priority="35" operator="greaterThan">
      <formula>0</formula>
    </cfRule>
  </conditionalFormatting>
  <conditionalFormatting sqref="M472:R472">
    <cfRule type="cellIs" dxfId="294" priority="36" operator="greaterThan">
      <formula>0</formula>
    </cfRule>
  </conditionalFormatting>
  <conditionalFormatting sqref="M486:R486">
    <cfRule type="cellIs" dxfId="293" priority="23" operator="greaterThan">
      <formula>0</formula>
    </cfRule>
  </conditionalFormatting>
  <conditionalFormatting sqref="M484:R485">
    <cfRule type="cellIs" dxfId="292" priority="24" operator="greaterThan">
      <formula>0</formula>
    </cfRule>
  </conditionalFormatting>
  <conditionalFormatting sqref="M477:R481">
    <cfRule type="cellIs" dxfId="291" priority="32" operator="greaterThan">
      <formula>0</formula>
    </cfRule>
  </conditionalFormatting>
  <conditionalFormatting sqref="M478:R478">
    <cfRule type="cellIs" dxfId="290" priority="30" operator="greaterThan">
      <formula>0</formula>
    </cfRule>
  </conditionalFormatting>
  <conditionalFormatting sqref="M477:R477">
    <cfRule type="cellIs" dxfId="289" priority="31" operator="greaterThan">
      <formula>0</formula>
    </cfRule>
  </conditionalFormatting>
  <conditionalFormatting sqref="M482:R486">
    <cfRule type="cellIs" dxfId="288" priority="27" operator="greaterThan">
      <formula>0</formula>
    </cfRule>
  </conditionalFormatting>
  <conditionalFormatting sqref="M483:R483">
    <cfRule type="cellIs" dxfId="287" priority="25" operator="greaterThan">
      <formula>0</formula>
    </cfRule>
  </conditionalFormatting>
  <conditionalFormatting sqref="M482:R482">
    <cfRule type="cellIs" dxfId="286" priority="26" operator="greaterThan">
      <formula>0</formula>
    </cfRule>
  </conditionalFormatting>
  <conditionalFormatting sqref="M1120:M1121">
    <cfRule type="cellIs" dxfId="285" priority="13" operator="greaterThan">
      <formula>0</formula>
    </cfRule>
  </conditionalFormatting>
  <conditionalFormatting sqref="M1120:M1121">
    <cfRule type="cellIs" dxfId="284" priority="14" operator="greaterThan">
      <formula>0</formula>
    </cfRule>
  </conditionalFormatting>
  <conditionalFormatting sqref="M1118:R1118">
    <cfRule type="cellIs" dxfId="283" priority="21" operator="greaterThan">
      <formula>0</formula>
    </cfRule>
  </conditionalFormatting>
  <conditionalFormatting sqref="M1118:R1118">
    <cfRule type="cellIs" dxfId="282" priority="22" operator="greaterThan">
      <formula>0</formula>
    </cfRule>
  </conditionalFormatting>
  <conditionalFormatting sqref="M1119:R1119">
    <cfRule type="cellIs" dxfId="281" priority="20" operator="greaterThan">
      <formula>0</formula>
    </cfRule>
  </conditionalFormatting>
  <conditionalFormatting sqref="M1119:R1119">
    <cfRule type="cellIs" dxfId="280" priority="19" operator="greaterThan">
      <formula>0</formula>
    </cfRule>
  </conditionalFormatting>
  <conditionalFormatting sqref="O1120:R1120 N1121:R1121">
    <cfRule type="cellIs" dxfId="279" priority="18" operator="greaterThan">
      <formula>0</formula>
    </cfRule>
  </conditionalFormatting>
  <conditionalFormatting sqref="O1120:R1120 N1121:R1121">
    <cfRule type="cellIs" dxfId="278" priority="17" operator="greaterThan">
      <formula>0</formula>
    </cfRule>
  </conditionalFormatting>
  <conditionalFormatting sqref="N1120">
    <cfRule type="cellIs" dxfId="277" priority="16" operator="greaterThan">
      <formula>0</formula>
    </cfRule>
  </conditionalFormatting>
  <conditionalFormatting sqref="N1120">
    <cfRule type="cellIs" dxfId="276" priority="15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55" fitToHeight="0" orientation="landscape" r:id="rId1"/>
  <ignoredErrors>
    <ignoredError sqref="I6:I7 G10 G31 G50 G389 I518 G750 G1093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S383"/>
  <sheetViews>
    <sheetView workbookViewId="0">
      <pane ySplit="3" topLeftCell="A4" activePane="bottomLeft" state="frozen"/>
      <selection pane="bottomLeft" activeCell="M6" sqref="M6"/>
    </sheetView>
  </sheetViews>
  <sheetFormatPr defaultRowHeight="15" x14ac:dyDescent="0.25"/>
  <cols>
    <col min="1" max="1" width="9.140625" style="3"/>
    <col min="2" max="2" width="36.28515625" style="3" customWidth="1"/>
    <col min="3" max="3" width="6.85546875" style="41" customWidth="1"/>
    <col min="4" max="4" width="6.85546875" style="42" customWidth="1"/>
    <col min="5" max="5" width="7.7109375" style="41" customWidth="1"/>
    <col min="6" max="6" width="9.140625" style="41"/>
    <col min="7" max="7" width="8.7109375" style="41" customWidth="1"/>
    <col min="8" max="12" width="8.7109375" style="3" customWidth="1"/>
    <col min="13" max="13" width="9.5703125" style="3" bestFit="1" customWidth="1"/>
    <col min="14" max="16384" width="9.140625" style="3"/>
  </cols>
  <sheetData>
    <row r="1" spans="1:18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133" t="s">
        <v>1</v>
      </c>
      <c r="B2" s="133" t="s">
        <v>284</v>
      </c>
      <c r="C2" s="131" t="s">
        <v>3</v>
      </c>
      <c r="D2" s="131" t="s">
        <v>4</v>
      </c>
      <c r="E2" s="131" t="s">
        <v>5</v>
      </c>
      <c r="F2" s="131" t="s">
        <v>5</v>
      </c>
      <c r="G2" s="131" t="s">
        <v>6</v>
      </c>
      <c r="H2" s="135" t="s">
        <v>7</v>
      </c>
      <c r="I2" s="135"/>
      <c r="J2" s="135"/>
      <c r="K2" s="133" t="s">
        <v>21</v>
      </c>
      <c r="L2" s="133" t="s">
        <v>8</v>
      </c>
      <c r="M2" s="136" t="s">
        <v>9</v>
      </c>
      <c r="N2" s="136"/>
      <c r="O2" s="136"/>
      <c r="P2" s="136"/>
      <c r="Q2" s="136"/>
      <c r="R2" s="136"/>
    </row>
    <row r="3" spans="1:18" x14ac:dyDescent="0.25">
      <c r="A3" s="134"/>
      <c r="B3" s="134"/>
      <c r="C3" s="132"/>
      <c r="D3" s="132"/>
      <c r="E3" s="132"/>
      <c r="F3" s="132"/>
      <c r="G3" s="132"/>
      <c r="H3" s="4" t="s">
        <v>10</v>
      </c>
      <c r="I3" s="4" t="s">
        <v>11</v>
      </c>
      <c r="J3" s="4" t="s">
        <v>12</v>
      </c>
      <c r="K3" s="134"/>
      <c r="L3" s="134"/>
      <c r="M3" s="77" t="s">
        <v>13</v>
      </c>
      <c r="N3" s="77" t="s">
        <v>14</v>
      </c>
      <c r="O3" s="77" t="s">
        <v>15</v>
      </c>
      <c r="P3" s="77" t="s">
        <v>16</v>
      </c>
      <c r="Q3" s="77" t="s">
        <v>17</v>
      </c>
      <c r="R3" s="6" t="s">
        <v>18</v>
      </c>
    </row>
    <row r="4" spans="1:18" x14ac:dyDescent="0.25">
      <c r="A4" s="7"/>
      <c r="B4" s="8" t="s">
        <v>430</v>
      </c>
      <c r="C4" s="9"/>
      <c r="D4" s="10"/>
      <c r="E4" s="9"/>
      <c r="F4" s="11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3"/>
    </row>
    <row r="5" spans="1:18" x14ac:dyDescent="0.25">
      <c r="A5" s="26" t="s">
        <v>442</v>
      </c>
      <c r="B5" s="45" t="s">
        <v>594</v>
      </c>
      <c r="C5" s="15"/>
      <c r="D5" s="16"/>
      <c r="E5" s="15"/>
      <c r="F5" s="11"/>
      <c r="G5" s="11"/>
      <c r="H5" s="12"/>
      <c r="I5" s="12"/>
      <c r="J5" s="22"/>
      <c r="K5" s="47"/>
      <c r="L5" s="72">
        <f>SUM(H5:J5)+K5</f>
        <v>0</v>
      </c>
      <c r="M5" s="72">
        <f t="shared" ref="M5:M247" si="0">+ROUND(IF(C5=8,PRODUCT(E5,F5,G5,L5),0),2)</f>
        <v>0</v>
      </c>
      <c r="N5" s="72">
        <f t="shared" ref="N5:N247" si="1">+ROUND(IF(C5=10,PRODUCT(E5,F5,G5,L5),0),2)</f>
        <v>0</v>
      </c>
      <c r="O5" s="72">
        <f t="shared" ref="O5:O247" si="2">+ROUND(IF(C5=12,PRODUCT(E5,F5,G5,L5),0),2)</f>
        <v>0</v>
      </c>
      <c r="P5" s="72">
        <f t="shared" ref="P5:P247" si="3">+ROUND(IF(C5=16,PRODUCT(E5,F5,G5,L5),0),2)</f>
        <v>0</v>
      </c>
      <c r="Q5" s="72">
        <f t="shared" ref="Q5:Q247" si="4">+ROUND(IF(C5=20,PRODUCT(E5,F5,G5,L5),0),2)</f>
        <v>0</v>
      </c>
      <c r="R5" s="72">
        <f t="shared" ref="R5:R247" si="5">+ROUND(IF(C5=25,PRODUCT(E5,F5,G5,L5),0),2)</f>
        <v>0</v>
      </c>
    </row>
    <row r="6" spans="1:18" x14ac:dyDescent="0.25">
      <c r="A6" s="26"/>
      <c r="B6" s="25" t="s">
        <v>385</v>
      </c>
      <c r="C6" s="15">
        <v>16</v>
      </c>
      <c r="D6" s="16"/>
      <c r="E6" s="15">
        <v>2</v>
      </c>
      <c r="F6" s="11">
        <v>1</v>
      </c>
      <c r="G6" s="11">
        <v>2</v>
      </c>
      <c r="H6" s="12">
        <v>0.3</v>
      </c>
      <c r="I6" s="12">
        <f>7.375-0.06</f>
        <v>7.3150000000000004</v>
      </c>
      <c r="J6" s="22">
        <v>0.3</v>
      </c>
      <c r="K6" s="22"/>
      <c r="L6" s="72">
        <f>SUM(H6:J6)+K6</f>
        <v>7.915</v>
      </c>
      <c r="M6" s="72">
        <f t="shared" si="0"/>
        <v>0</v>
      </c>
      <c r="N6" s="72">
        <f t="shared" si="1"/>
        <v>0</v>
      </c>
      <c r="O6" s="72">
        <f t="shared" si="2"/>
        <v>0</v>
      </c>
      <c r="P6" s="72">
        <f t="shared" si="3"/>
        <v>31.66</v>
      </c>
      <c r="Q6" s="72">
        <f t="shared" si="4"/>
        <v>0</v>
      </c>
      <c r="R6" s="72">
        <f t="shared" si="5"/>
        <v>0</v>
      </c>
    </row>
    <row r="7" spans="1:18" x14ac:dyDescent="0.25">
      <c r="A7" s="26"/>
      <c r="B7" s="25" t="s">
        <v>432</v>
      </c>
      <c r="C7" s="15">
        <v>16</v>
      </c>
      <c r="D7" s="16"/>
      <c r="E7" s="15">
        <v>2</v>
      </c>
      <c r="F7" s="11">
        <v>1</v>
      </c>
      <c r="G7" s="11">
        <v>2</v>
      </c>
      <c r="H7" s="12">
        <v>0.3</v>
      </c>
      <c r="I7" s="12">
        <f>7.375-0.06</f>
        <v>7.3150000000000004</v>
      </c>
      <c r="J7" s="22">
        <v>0.3</v>
      </c>
      <c r="K7" s="22"/>
      <c r="L7" s="72">
        <f t="shared" ref="L7:L8" si="6">SUM(H7:J7)+K7</f>
        <v>7.915</v>
      </c>
      <c r="M7" s="72">
        <f t="shared" si="0"/>
        <v>0</v>
      </c>
      <c r="N7" s="72">
        <f t="shared" si="1"/>
        <v>0</v>
      </c>
      <c r="O7" s="72">
        <f t="shared" si="2"/>
        <v>0</v>
      </c>
      <c r="P7" s="72">
        <f t="shared" si="3"/>
        <v>31.66</v>
      </c>
      <c r="Q7" s="72">
        <f t="shared" si="4"/>
        <v>0</v>
      </c>
      <c r="R7" s="72">
        <f t="shared" si="5"/>
        <v>0</v>
      </c>
    </row>
    <row r="8" spans="1:18" x14ac:dyDescent="0.25">
      <c r="A8" s="26"/>
      <c r="B8" s="25" t="s">
        <v>433</v>
      </c>
      <c r="C8" s="15">
        <v>0</v>
      </c>
      <c r="D8" s="16"/>
      <c r="E8" s="15">
        <v>2</v>
      </c>
      <c r="F8" s="11">
        <v>1</v>
      </c>
      <c r="G8" s="11">
        <v>2</v>
      </c>
      <c r="H8" s="12">
        <v>0.3</v>
      </c>
      <c r="I8" s="12">
        <f>0.65-0.03+0.9</f>
        <v>1.52</v>
      </c>
      <c r="J8" s="22"/>
      <c r="K8" s="22"/>
      <c r="L8" s="72">
        <f t="shared" si="6"/>
        <v>1.82</v>
      </c>
      <c r="M8" s="72">
        <f t="shared" si="0"/>
        <v>0</v>
      </c>
      <c r="N8" s="72">
        <f t="shared" si="1"/>
        <v>0</v>
      </c>
      <c r="O8" s="72">
        <f t="shared" si="2"/>
        <v>0</v>
      </c>
      <c r="P8" s="72">
        <f t="shared" si="3"/>
        <v>0</v>
      </c>
      <c r="Q8" s="72">
        <f t="shared" si="4"/>
        <v>0</v>
      </c>
      <c r="R8" s="72">
        <f t="shared" si="5"/>
        <v>0</v>
      </c>
    </row>
    <row r="9" spans="1:18" x14ac:dyDescent="0.25">
      <c r="A9" s="26"/>
      <c r="B9" s="25" t="s">
        <v>434</v>
      </c>
      <c r="C9" s="15">
        <v>8</v>
      </c>
      <c r="D9" s="16">
        <v>100</v>
      </c>
      <c r="E9" s="15">
        <v>2</v>
      </c>
      <c r="F9" s="11">
        <v>1</v>
      </c>
      <c r="G9" s="11">
        <f>+ROUND(1.8/0.1,0)</f>
        <v>18</v>
      </c>
      <c r="H9" s="12"/>
      <c r="I9" s="12">
        <f>2*(0.14+0.39)+24*C9/1000</f>
        <v>1.252</v>
      </c>
      <c r="J9" s="22"/>
      <c r="K9" s="47"/>
      <c r="L9" s="72">
        <f>SUM(H9:J9)+K9</f>
        <v>1.252</v>
      </c>
      <c r="M9" s="72">
        <f t="shared" si="0"/>
        <v>45.07</v>
      </c>
      <c r="N9" s="72">
        <f t="shared" si="1"/>
        <v>0</v>
      </c>
      <c r="O9" s="72">
        <f t="shared" si="2"/>
        <v>0</v>
      </c>
      <c r="P9" s="72">
        <f t="shared" si="3"/>
        <v>0</v>
      </c>
      <c r="Q9" s="72">
        <f t="shared" si="4"/>
        <v>0</v>
      </c>
      <c r="R9" s="72">
        <f t="shared" si="5"/>
        <v>0</v>
      </c>
    </row>
    <row r="10" spans="1:18" x14ac:dyDescent="0.25">
      <c r="A10" s="26"/>
      <c r="B10" s="25"/>
      <c r="C10" s="15">
        <v>8</v>
      </c>
      <c r="D10" s="16">
        <v>150</v>
      </c>
      <c r="E10" s="15">
        <v>2</v>
      </c>
      <c r="F10" s="11">
        <v>1</v>
      </c>
      <c r="G10" s="11">
        <f>+ROUND(1.225/0.15+1,0)</f>
        <v>9</v>
      </c>
      <c r="H10" s="12"/>
      <c r="I10" s="12">
        <f t="shared" ref="I10:I12" si="7">2*(0.14+0.39)+24*C10/1000</f>
        <v>1.252</v>
      </c>
      <c r="J10" s="22"/>
      <c r="K10" s="22"/>
      <c r="L10" s="72">
        <f>SUM(H10:J10)+K10</f>
        <v>1.252</v>
      </c>
      <c r="M10" s="72">
        <f t="shared" si="0"/>
        <v>22.54</v>
      </c>
      <c r="N10" s="72">
        <f t="shared" si="1"/>
        <v>0</v>
      </c>
      <c r="O10" s="72">
        <f t="shared" si="2"/>
        <v>0</v>
      </c>
      <c r="P10" s="72">
        <f t="shared" si="3"/>
        <v>0</v>
      </c>
      <c r="Q10" s="72">
        <f t="shared" si="4"/>
        <v>0</v>
      </c>
      <c r="R10" s="72">
        <f t="shared" si="5"/>
        <v>0</v>
      </c>
    </row>
    <row r="11" spans="1:18" x14ac:dyDescent="0.25">
      <c r="A11" s="26"/>
      <c r="B11" s="25" t="s">
        <v>434</v>
      </c>
      <c r="C11" s="15">
        <v>8</v>
      </c>
      <c r="D11" s="16">
        <v>100</v>
      </c>
      <c r="E11" s="15">
        <v>2</v>
      </c>
      <c r="F11" s="11">
        <v>1</v>
      </c>
      <c r="G11" s="11">
        <f>+ROUND(1.8/0.1,0)</f>
        <v>18</v>
      </c>
      <c r="H11" s="12"/>
      <c r="I11" s="12">
        <f t="shared" si="7"/>
        <v>1.252</v>
      </c>
      <c r="J11" s="22"/>
      <c r="K11" s="22"/>
      <c r="L11" s="72">
        <f t="shared" ref="L11:L52" si="8">SUM(H11:J11)+K11</f>
        <v>1.252</v>
      </c>
      <c r="M11" s="72">
        <f t="shared" si="0"/>
        <v>45.07</v>
      </c>
      <c r="N11" s="72">
        <f t="shared" si="1"/>
        <v>0</v>
      </c>
      <c r="O11" s="72">
        <f t="shared" si="2"/>
        <v>0</v>
      </c>
      <c r="P11" s="72">
        <f t="shared" si="3"/>
        <v>0</v>
      </c>
      <c r="Q11" s="72">
        <f t="shared" si="4"/>
        <v>0</v>
      </c>
      <c r="R11" s="72">
        <f t="shared" si="5"/>
        <v>0</v>
      </c>
    </row>
    <row r="12" spans="1:18" x14ac:dyDescent="0.25">
      <c r="A12" s="26"/>
      <c r="B12" s="25"/>
      <c r="C12" s="15">
        <v>8</v>
      </c>
      <c r="D12" s="16">
        <v>150</v>
      </c>
      <c r="E12" s="15">
        <v>2</v>
      </c>
      <c r="F12" s="11">
        <v>1</v>
      </c>
      <c r="G12" s="11">
        <f>+ROUND(1/0.15+1,0)</f>
        <v>8</v>
      </c>
      <c r="H12" s="12"/>
      <c r="I12" s="12">
        <f t="shared" si="7"/>
        <v>1.252</v>
      </c>
      <c r="J12" s="22"/>
      <c r="K12" s="47"/>
      <c r="L12" s="72">
        <f t="shared" si="8"/>
        <v>1.252</v>
      </c>
      <c r="M12" s="72">
        <f t="shared" si="0"/>
        <v>20.03</v>
      </c>
      <c r="N12" s="72">
        <f t="shared" si="1"/>
        <v>0</v>
      </c>
      <c r="O12" s="72">
        <f t="shared" si="2"/>
        <v>0</v>
      </c>
      <c r="P12" s="72">
        <f t="shared" si="3"/>
        <v>0</v>
      </c>
      <c r="Q12" s="72">
        <f t="shared" si="4"/>
        <v>0</v>
      </c>
      <c r="R12" s="72">
        <f t="shared" si="5"/>
        <v>0</v>
      </c>
    </row>
    <row r="13" spans="1:18" x14ac:dyDescent="0.25">
      <c r="A13" s="26" t="s">
        <v>442</v>
      </c>
      <c r="B13" s="45" t="s">
        <v>595</v>
      </c>
      <c r="C13" s="15"/>
      <c r="D13" s="16"/>
      <c r="E13" s="15"/>
      <c r="F13" s="11"/>
      <c r="G13" s="11"/>
      <c r="H13" s="12"/>
      <c r="I13" s="12"/>
      <c r="J13" s="22"/>
      <c r="K13" s="22"/>
      <c r="L13" s="72">
        <f t="shared" si="8"/>
        <v>0</v>
      </c>
      <c r="M13" s="72">
        <f t="shared" si="0"/>
        <v>0</v>
      </c>
      <c r="N13" s="72">
        <f t="shared" si="1"/>
        <v>0</v>
      </c>
      <c r="O13" s="72">
        <f t="shared" si="2"/>
        <v>0</v>
      </c>
      <c r="P13" s="72">
        <f t="shared" si="3"/>
        <v>0</v>
      </c>
      <c r="Q13" s="72">
        <f t="shared" si="4"/>
        <v>0</v>
      </c>
      <c r="R13" s="72">
        <f t="shared" si="5"/>
        <v>0</v>
      </c>
    </row>
    <row r="14" spans="1:18" x14ac:dyDescent="0.25">
      <c r="A14" s="26"/>
      <c r="B14" s="25" t="s">
        <v>385</v>
      </c>
      <c r="C14" s="15">
        <v>16</v>
      </c>
      <c r="D14" s="16"/>
      <c r="E14" s="15">
        <v>2</v>
      </c>
      <c r="F14" s="11">
        <v>1</v>
      </c>
      <c r="G14" s="11">
        <v>2</v>
      </c>
      <c r="H14" s="12">
        <v>0.3</v>
      </c>
      <c r="I14" s="12">
        <f>4.15-0.06</f>
        <v>4.0900000000000007</v>
      </c>
      <c r="J14" s="22">
        <v>0.3</v>
      </c>
      <c r="K14" s="22"/>
      <c r="L14" s="72">
        <f>SUM(H14:J14)+K14</f>
        <v>4.6900000000000004</v>
      </c>
      <c r="M14" s="72">
        <f t="shared" si="0"/>
        <v>0</v>
      </c>
      <c r="N14" s="72">
        <f t="shared" si="1"/>
        <v>0</v>
      </c>
      <c r="O14" s="72">
        <f t="shared" si="2"/>
        <v>0</v>
      </c>
      <c r="P14" s="72">
        <f t="shared" si="3"/>
        <v>18.760000000000002</v>
      </c>
      <c r="Q14" s="72">
        <f t="shared" si="4"/>
        <v>0</v>
      </c>
      <c r="R14" s="72">
        <f t="shared" si="5"/>
        <v>0</v>
      </c>
    </row>
    <row r="15" spans="1:18" x14ac:dyDescent="0.25">
      <c r="A15" s="26"/>
      <c r="B15" s="25" t="s">
        <v>432</v>
      </c>
      <c r="C15" s="15">
        <v>16</v>
      </c>
      <c r="D15" s="16"/>
      <c r="E15" s="15">
        <v>2</v>
      </c>
      <c r="F15" s="11">
        <v>1</v>
      </c>
      <c r="G15" s="11">
        <v>2</v>
      </c>
      <c r="H15" s="12">
        <v>0.3</v>
      </c>
      <c r="I15" s="12">
        <f>4.15-0.06</f>
        <v>4.0900000000000007</v>
      </c>
      <c r="J15" s="22">
        <v>0.3</v>
      </c>
      <c r="K15" s="22"/>
      <c r="L15" s="72">
        <f t="shared" ref="L15:L16" si="9">SUM(H15:J15)+K15</f>
        <v>4.6900000000000004</v>
      </c>
      <c r="M15" s="72">
        <f t="shared" si="0"/>
        <v>0</v>
      </c>
      <c r="N15" s="72">
        <f t="shared" si="1"/>
        <v>0</v>
      </c>
      <c r="O15" s="72">
        <f t="shared" si="2"/>
        <v>0</v>
      </c>
      <c r="P15" s="72">
        <f t="shared" si="3"/>
        <v>18.760000000000002</v>
      </c>
      <c r="Q15" s="72">
        <f t="shared" si="4"/>
        <v>0</v>
      </c>
      <c r="R15" s="72">
        <f t="shared" si="5"/>
        <v>0</v>
      </c>
    </row>
    <row r="16" spans="1:18" x14ac:dyDescent="0.25">
      <c r="A16" s="26"/>
      <c r="B16" s="25" t="s">
        <v>433</v>
      </c>
      <c r="C16" s="15">
        <v>0</v>
      </c>
      <c r="D16" s="16"/>
      <c r="E16" s="15">
        <v>2</v>
      </c>
      <c r="F16" s="11">
        <v>1</v>
      </c>
      <c r="G16" s="11">
        <v>2</v>
      </c>
      <c r="H16" s="12">
        <v>0.3</v>
      </c>
      <c r="I16" s="12">
        <f>0.65-0.03+0.9</f>
        <v>1.52</v>
      </c>
      <c r="J16" s="22"/>
      <c r="K16" s="22"/>
      <c r="L16" s="72">
        <f t="shared" si="9"/>
        <v>1.82</v>
      </c>
      <c r="M16" s="72">
        <f t="shared" si="0"/>
        <v>0</v>
      </c>
      <c r="N16" s="72">
        <f t="shared" si="1"/>
        <v>0</v>
      </c>
      <c r="O16" s="72">
        <f t="shared" si="2"/>
        <v>0</v>
      </c>
      <c r="P16" s="72">
        <f t="shared" si="3"/>
        <v>0</v>
      </c>
      <c r="Q16" s="72">
        <f t="shared" si="4"/>
        <v>0</v>
      </c>
      <c r="R16" s="72">
        <f t="shared" si="5"/>
        <v>0</v>
      </c>
    </row>
    <row r="17" spans="1:18" x14ac:dyDescent="0.25">
      <c r="A17" s="26"/>
      <c r="B17" s="25" t="s">
        <v>434</v>
      </c>
      <c r="C17" s="15">
        <v>8</v>
      </c>
      <c r="D17" s="16">
        <v>100</v>
      </c>
      <c r="E17" s="15">
        <v>2</v>
      </c>
      <c r="F17" s="11">
        <v>1</v>
      </c>
      <c r="G17" s="11">
        <f>+ROUND(1.8/0.1,0)</f>
        <v>18</v>
      </c>
      <c r="H17" s="12"/>
      <c r="I17" s="12">
        <f t="shared" ref="I17:I18" si="10">2*(0.14+0.39)+24*C17/1000</f>
        <v>1.252</v>
      </c>
      <c r="J17" s="22"/>
      <c r="K17" s="47"/>
      <c r="L17" s="72">
        <f>SUM(H17:J17)+K17</f>
        <v>1.252</v>
      </c>
      <c r="M17" s="72">
        <f t="shared" si="0"/>
        <v>45.07</v>
      </c>
      <c r="N17" s="72">
        <f t="shared" si="1"/>
        <v>0</v>
      </c>
      <c r="O17" s="72">
        <f t="shared" si="2"/>
        <v>0</v>
      </c>
      <c r="P17" s="72">
        <f t="shared" si="3"/>
        <v>0</v>
      </c>
      <c r="Q17" s="72">
        <f t="shared" si="4"/>
        <v>0</v>
      </c>
      <c r="R17" s="72">
        <f t="shared" si="5"/>
        <v>0</v>
      </c>
    </row>
    <row r="18" spans="1:18" x14ac:dyDescent="0.25">
      <c r="A18" s="26"/>
      <c r="B18" s="25"/>
      <c r="C18" s="15">
        <v>8</v>
      </c>
      <c r="D18" s="16">
        <v>150</v>
      </c>
      <c r="E18" s="15">
        <v>2</v>
      </c>
      <c r="F18" s="11">
        <v>1</v>
      </c>
      <c r="G18" s="11">
        <f>+ROUND(1.5/0.15+1,0)</f>
        <v>11</v>
      </c>
      <c r="H18" s="12"/>
      <c r="I18" s="12">
        <f t="shared" si="10"/>
        <v>1.252</v>
      </c>
      <c r="J18" s="22"/>
      <c r="K18" s="22"/>
      <c r="L18" s="72">
        <f>SUM(H18:J18)+K18</f>
        <v>1.252</v>
      </c>
      <c r="M18" s="72">
        <f t="shared" si="0"/>
        <v>27.54</v>
      </c>
      <c r="N18" s="72">
        <f t="shared" si="1"/>
        <v>0</v>
      </c>
      <c r="O18" s="72">
        <f t="shared" si="2"/>
        <v>0</v>
      </c>
      <c r="P18" s="72">
        <f t="shared" si="3"/>
        <v>0</v>
      </c>
      <c r="Q18" s="72">
        <f t="shared" si="4"/>
        <v>0</v>
      </c>
      <c r="R18" s="72">
        <f t="shared" si="5"/>
        <v>0</v>
      </c>
    </row>
    <row r="19" spans="1:18" s="89" customFormat="1" x14ac:dyDescent="0.25">
      <c r="A19" s="82" t="s">
        <v>596</v>
      </c>
      <c r="B19" s="45" t="s">
        <v>597</v>
      </c>
      <c r="C19" s="83"/>
      <c r="D19" s="84"/>
      <c r="E19" s="83"/>
      <c r="F19" s="85"/>
      <c r="G19" s="85"/>
      <c r="H19" s="86"/>
      <c r="I19" s="86"/>
      <c r="J19" s="87"/>
      <c r="K19" s="87"/>
      <c r="L19" s="88">
        <f t="shared" ref="L19" si="11">SUM(H19:J19)+K19</f>
        <v>0</v>
      </c>
      <c r="M19" s="88">
        <f t="shared" si="0"/>
        <v>0</v>
      </c>
      <c r="N19" s="88">
        <f t="shared" si="1"/>
        <v>0</v>
      </c>
      <c r="O19" s="88">
        <f t="shared" si="2"/>
        <v>0</v>
      </c>
      <c r="P19" s="88">
        <f t="shared" si="3"/>
        <v>0</v>
      </c>
      <c r="Q19" s="88">
        <f t="shared" si="4"/>
        <v>0</v>
      </c>
      <c r="R19" s="88">
        <f t="shared" si="5"/>
        <v>0</v>
      </c>
    </row>
    <row r="20" spans="1:18" s="89" customFormat="1" x14ac:dyDescent="0.25">
      <c r="A20" s="82"/>
      <c r="B20" s="25" t="s">
        <v>385</v>
      </c>
      <c r="C20" s="83">
        <v>10</v>
      </c>
      <c r="D20" s="84"/>
      <c r="E20" s="83">
        <v>4</v>
      </c>
      <c r="F20" s="85">
        <v>1</v>
      </c>
      <c r="G20" s="85">
        <v>2</v>
      </c>
      <c r="H20" s="86">
        <v>0.2</v>
      </c>
      <c r="I20" s="86">
        <f>1.925-0.06</f>
        <v>1.865</v>
      </c>
      <c r="J20" s="87">
        <v>0.2</v>
      </c>
      <c r="K20" s="87"/>
      <c r="L20" s="88">
        <f>SUM(H20:J20)+K20</f>
        <v>2.2650000000000001</v>
      </c>
      <c r="M20" s="88">
        <f t="shared" si="0"/>
        <v>0</v>
      </c>
      <c r="N20" s="88">
        <f t="shared" si="1"/>
        <v>18.12</v>
      </c>
      <c r="O20" s="88">
        <f t="shared" si="2"/>
        <v>0</v>
      </c>
      <c r="P20" s="88">
        <f t="shared" si="3"/>
        <v>0</v>
      </c>
      <c r="Q20" s="88">
        <f t="shared" si="4"/>
        <v>0</v>
      </c>
      <c r="R20" s="88">
        <f t="shared" si="5"/>
        <v>0</v>
      </c>
    </row>
    <row r="21" spans="1:18" s="89" customFormat="1" x14ac:dyDescent="0.25">
      <c r="A21" s="82"/>
      <c r="B21" s="25" t="s">
        <v>432</v>
      </c>
      <c r="C21" s="83">
        <v>10</v>
      </c>
      <c r="D21" s="84"/>
      <c r="E21" s="83">
        <v>4</v>
      </c>
      <c r="F21" s="85">
        <v>1</v>
      </c>
      <c r="G21" s="85">
        <v>2</v>
      </c>
      <c r="H21" s="86">
        <v>0.2</v>
      </c>
      <c r="I21" s="86">
        <f>1.925-0.06</f>
        <v>1.865</v>
      </c>
      <c r="J21" s="87">
        <v>0.2</v>
      </c>
      <c r="K21" s="87"/>
      <c r="L21" s="88">
        <f t="shared" ref="L21" si="12">SUM(H21:J21)+K21</f>
        <v>2.2650000000000001</v>
      </c>
      <c r="M21" s="88">
        <f t="shared" si="0"/>
        <v>0</v>
      </c>
      <c r="N21" s="88">
        <f t="shared" si="1"/>
        <v>18.12</v>
      </c>
      <c r="O21" s="88">
        <f t="shared" si="2"/>
        <v>0</v>
      </c>
      <c r="P21" s="88">
        <f t="shared" si="3"/>
        <v>0</v>
      </c>
      <c r="Q21" s="88">
        <f t="shared" si="4"/>
        <v>0</v>
      </c>
      <c r="R21" s="88">
        <f t="shared" si="5"/>
        <v>0</v>
      </c>
    </row>
    <row r="22" spans="1:18" s="89" customFormat="1" x14ac:dyDescent="0.25">
      <c r="A22" s="82"/>
      <c r="B22" s="25" t="s">
        <v>434</v>
      </c>
      <c r="C22" s="83">
        <v>8</v>
      </c>
      <c r="D22" s="84">
        <v>150</v>
      </c>
      <c r="E22" s="83">
        <v>4</v>
      </c>
      <c r="F22" s="85">
        <v>1</v>
      </c>
      <c r="G22" s="85">
        <f>+ROUND(1.395/0.15+1,0)</f>
        <v>10</v>
      </c>
      <c r="H22" s="86"/>
      <c r="I22" s="86">
        <f>2*(0.05+0.39)+24*C22/1000</f>
        <v>1.0720000000000001</v>
      </c>
      <c r="J22" s="87"/>
      <c r="K22" s="90"/>
      <c r="L22" s="88">
        <f>SUM(H22:J22)+K22</f>
        <v>1.0720000000000001</v>
      </c>
      <c r="M22" s="88">
        <f t="shared" si="0"/>
        <v>42.88</v>
      </c>
      <c r="N22" s="88">
        <f t="shared" si="1"/>
        <v>0</v>
      </c>
      <c r="O22" s="88">
        <f t="shared" si="2"/>
        <v>0</v>
      </c>
      <c r="P22" s="88">
        <f t="shared" si="3"/>
        <v>0</v>
      </c>
      <c r="Q22" s="88">
        <f t="shared" si="4"/>
        <v>0</v>
      </c>
      <c r="R22" s="88">
        <f t="shared" si="5"/>
        <v>0</v>
      </c>
    </row>
    <row r="23" spans="1:18" s="89" customFormat="1" x14ac:dyDescent="0.25">
      <c r="A23" s="82" t="s">
        <v>596</v>
      </c>
      <c r="B23" s="45" t="s">
        <v>597</v>
      </c>
      <c r="C23" s="83"/>
      <c r="D23" s="84"/>
      <c r="E23" s="83"/>
      <c r="F23" s="85"/>
      <c r="G23" s="85"/>
      <c r="H23" s="86"/>
      <c r="I23" s="86"/>
      <c r="J23" s="87"/>
      <c r="K23" s="87"/>
      <c r="L23" s="88">
        <f t="shared" ref="L23" si="13">SUM(H23:J23)+K23</f>
        <v>0</v>
      </c>
      <c r="M23" s="88">
        <f t="shared" ref="M23:M26" si="14">+ROUND(IF(C23=8,PRODUCT(E23,F23,G23,L23),0),2)</f>
        <v>0</v>
      </c>
      <c r="N23" s="88">
        <f t="shared" ref="N23:N26" si="15">+ROUND(IF(C23=10,PRODUCT(E23,F23,G23,L23),0),2)</f>
        <v>0</v>
      </c>
      <c r="O23" s="88">
        <f t="shared" ref="O23:O26" si="16">+ROUND(IF(C23=12,PRODUCT(E23,F23,G23,L23),0),2)</f>
        <v>0</v>
      </c>
      <c r="P23" s="88">
        <f t="shared" ref="P23:P26" si="17">+ROUND(IF(C23=16,PRODUCT(E23,F23,G23,L23),0),2)</f>
        <v>0</v>
      </c>
      <c r="Q23" s="88">
        <f t="shared" ref="Q23:Q26" si="18">+ROUND(IF(C23=20,PRODUCT(E23,F23,G23,L23),0),2)</f>
        <v>0</v>
      </c>
      <c r="R23" s="88">
        <f t="shared" ref="R23:R26" si="19">+ROUND(IF(C23=25,PRODUCT(E23,F23,G23,L23),0),2)</f>
        <v>0</v>
      </c>
    </row>
    <row r="24" spans="1:18" s="89" customFormat="1" x14ac:dyDescent="0.25">
      <c r="A24" s="82"/>
      <c r="B24" s="25" t="s">
        <v>385</v>
      </c>
      <c r="C24" s="83">
        <v>10</v>
      </c>
      <c r="D24" s="84"/>
      <c r="E24" s="83">
        <v>2</v>
      </c>
      <c r="F24" s="85">
        <v>1</v>
      </c>
      <c r="G24" s="85">
        <v>2</v>
      </c>
      <c r="H24" s="86">
        <v>0.2</v>
      </c>
      <c r="I24" s="86">
        <f>1.53-0.06</f>
        <v>1.47</v>
      </c>
      <c r="J24" s="87">
        <v>0.2</v>
      </c>
      <c r="K24" s="87"/>
      <c r="L24" s="88">
        <f>SUM(H24:J24)+K24</f>
        <v>1.8699999999999999</v>
      </c>
      <c r="M24" s="88">
        <f t="shared" si="14"/>
        <v>0</v>
      </c>
      <c r="N24" s="88">
        <f t="shared" si="15"/>
        <v>7.48</v>
      </c>
      <c r="O24" s="88">
        <f t="shared" si="16"/>
        <v>0</v>
      </c>
      <c r="P24" s="88">
        <f t="shared" si="17"/>
        <v>0</v>
      </c>
      <c r="Q24" s="88">
        <f t="shared" si="18"/>
        <v>0</v>
      </c>
      <c r="R24" s="88">
        <f t="shared" si="19"/>
        <v>0</v>
      </c>
    </row>
    <row r="25" spans="1:18" s="89" customFormat="1" x14ac:dyDescent="0.25">
      <c r="A25" s="82"/>
      <c r="B25" s="25" t="s">
        <v>432</v>
      </c>
      <c r="C25" s="83">
        <v>10</v>
      </c>
      <c r="D25" s="84"/>
      <c r="E25" s="83">
        <v>2</v>
      </c>
      <c r="F25" s="85">
        <v>1</v>
      </c>
      <c r="G25" s="85">
        <v>2</v>
      </c>
      <c r="H25" s="86">
        <v>0.2</v>
      </c>
      <c r="I25" s="86">
        <f>1.53-0.06</f>
        <v>1.47</v>
      </c>
      <c r="J25" s="87">
        <v>0.2</v>
      </c>
      <c r="K25" s="87"/>
      <c r="L25" s="88">
        <f t="shared" ref="L25" si="20">SUM(H25:J25)+K25</f>
        <v>1.8699999999999999</v>
      </c>
      <c r="M25" s="88">
        <f t="shared" si="14"/>
        <v>0</v>
      </c>
      <c r="N25" s="88">
        <f t="shared" si="15"/>
        <v>7.48</v>
      </c>
      <c r="O25" s="88">
        <f t="shared" si="16"/>
        <v>0</v>
      </c>
      <c r="P25" s="88">
        <f t="shared" si="17"/>
        <v>0</v>
      </c>
      <c r="Q25" s="88">
        <f t="shared" si="18"/>
        <v>0</v>
      </c>
      <c r="R25" s="88">
        <f t="shared" si="19"/>
        <v>0</v>
      </c>
    </row>
    <row r="26" spans="1:18" s="89" customFormat="1" x14ac:dyDescent="0.25">
      <c r="A26" s="82"/>
      <c r="B26" s="25" t="s">
        <v>434</v>
      </c>
      <c r="C26" s="83">
        <v>8</v>
      </c>
      <c r="D26" s="84">
        <v>150</v>
      </c>
      <c r="E26" s="83">
        <v>2</v>
      </c>
      <c r="F26" s="85">
        <v>1</v>
      </c>
      <c r="G26" s="85">
        <f>+ROUND(1.2/0.15+1,0)</f>
        <v>9</v>
      </c>
      <c r="H26" s="86"/>
      <c r="I26" s="86">
        <f>2*(0.05+0.39)+24*C26/1000</f>
        <v>1.0720000000000001</v>
      </c>
      <c r="J26" s="87"/>
      <c r="K26" s="90"/>
      <c r="L26" s="88">
        <f>SUM(H26:J26)+K26</f>
        <v>1.0720000000000001</v>
      </c>
      <c r="M26" s="88">
        <f t="shared" si="14"/>
        <v>19.3</v>
      </c>
      <c r="N26" s="88">
        <f t="shared" si="15"/>
        <v>0</v>
      </c>
      <c r="O26" s="88">
        <f t="shared" si="16"/>
        <v>0</v>
      </c>
      <c r="P26" s="88">
        <f t="shared" si="17"/>
        <v>0</v>
      </c>
      <c r="Q26" s="88">
        <f t="shared" si="18"/>
        <v>0</v>
      </c>
      <c r="R26" s="88">
        <f t="shared" si="19"/>
        <v>0</v>
      </c>
    </row>
    <row r="27" spans="1:18" s="89" customFormat="1" x14ac:dyDescent="0.25">
      <c r="A27" s="82" t="s">
        <v>596</v>
      </c>
      <c r="B27" s="45" t="s">
        <v>597</v>
      </c>
      <c r="C27" s="83"/>
      <c r="D27" s="84"/>
      <c r="E27" s="83"/>
      <c r="F27" s="85"/>
      <c r="G27" s="85"/>
      <c r="H27" s="86"/>
      <c r="I27" s="86"/>
      <c r="J27" s="87"/>
      <c r="K27" s="87"/>
      <c r="L27" s="88">
        <f t="shared" ref="L27" si="21">SUM(H27:J27)+K27</f>
        <v>0</v>
      </c>
      <c r="M27" s="88">
        <f t="shared" ref="M27:M30" si="22">+ROUND(IF(C27=8,PRODUCT(E27,F27,G27,L27),0),2)</f>
        <v>0</v>
      </c>
      <c r="N27" s="88">
        <f t="shared" ref="N27:N30" si="23">+ROUND(IF(C27=10,PRODUCT(E27,F27,G27,L27),0),2)</f>
        <v>0</v>
      </c>
      <c r="O27" s="88">
        <f t="shared" ref="O27:O30" si="24">+ROUND(IF(C27=12,PRODUCT(E27,F27,G27,L27),0),2)</f>
        <v>0</v>
      </c>
      <c r="P27" s="88">
        <f t="shared" ref="P27:P30" si="25">+ROUND(IF(C27=16,PRODUCT(E27,F27,G27,L27),0),2)</f>
        <v>0</v>
      </c>
      <c r="Q27" s="88">
        <f t="shared" ref="Q27:Q30" si="26">+ROUND(IF(C27=20,PRODUCT(E27,F27,G27,L27),0),2)</f>
        <v>0</v>
      </c>
      <c r="R27" s="88">
        <f t="shared" ref="R27:R30" si="27">+ROUND(IF(C27=25,PRODUCT(E27,F27,G27,L27),0),2)</f>
        <v>0</v>
      </c>
    </row>
    <row r="28" spans="1:18" s="89" customFormat="1" x14ac:dyDescent="0.25">
      <c r="A28" s="82"/>
      <c r="B28" s="25" t="s">
        <v>385</v>
      </c>
      <c r="C28" s="83">
        <v>10</v>
      </c>
      <c r="D28" s="84"/>
      <c r="E28" s="83">
        <v>6</v>
      </c>
      <c r="F28" s="85">
        <v>1</v>
      </c>
      <c r="G28" s="85">
        <v>2</v>
      </c>
      <c r="H28" s="86">
        <v>0.2</v>
      </c>
      <c r="I28" s="86">
        <f>1.7-0.06</f>
        <v>1.64</v>
      </c>
      <c r="J28" s="87">
        <v>0.2</v>
      </c>
      <c r="K28" s="87"/>
      <c r="L28" s="88">
        <f>SUM(H28:J28)+K28</f>
        <v>2.04</v>
      </c>
      <c r="M28" s="88">
        <f t="shared" si="22"/>
        <v>0</v>
      </c>
      <c r="N28" s="88">
        <f t="shared" si="23"/>
        <v>24.48</v>
      </c>
      <c r="O28" s="88">
        <f t="shared" si="24"/>
        <v>0</v>
      </c>
      <c r="P28" s="88">
        <f t="shared" si="25"/>
        <v>0</v>
      </c>
      <c r="Q28" s="88">
        <f t="shared" si="26"/>
        <v>0</v>
      </c>
      <c r="R28" s="88">
        <f t="shared" si="27"/>
        <v>0</v>
      </c>
    </row>
    <row r="29" spans="1:18" s="89" customFormat="1" x14ac:dyDescent="0.25">
      <c r="A29" s="82"/>
      <c r="B29" s="25" t="s">
        <v>432</v>
      </c>
      <c r="C29" s="83">
        <v>10</v>
      </c>
      <c r="D29" s="84"/>
      <c r="E29" s="83">
        <v>6</v>
      </c>
      <c r="F29" s="85">
        <v>1</v>
      </c>
      <c r="G29" s="85">
        <v>2</v>
      </c>
      <c r="H29" s="86">
        <v>0.2</v>
      </c>
      <c r="I29" s="86">
        <f>1.7-0.06</f>
        <v>1.64</v>
      </c>
      <c r="J29" s="87">
        <v>0.2</v>
      </c>
      <c r="K29" s="87"/>
      <c r="L29" s="88">
        <f t="shared" ref="L29" si="28">SUM(H29:J29)+K29</f>
        <v>2.04</v>
      </c>
      <c r="M29" s="88">
        <f t="shared" si="22"/>
        <v>0</v>
      </c>
      <c r="N29" s="88">
        <f t="shared" si="23"/>
        <v>24.48</v>
      </c>
      <c r="O29" s="88">
        <f t="shared" si="24"/>
        <v>0</v>
      </c>
      <c r="P29" s="88">
        <f t="shared" si="25"/>
        <v>0</v>
      </c>
      <c r="Q29" s="88">
        <f t="shared" si="26"/>
        <v>0</v>
      </c>
      <c r="R29" s="88">
        <f t="shared" si="27"/>
        <v>0</v>
      </c>
    </row>
    <row r="30" spans="1:18" s="89" customFormat="1" x14ac:dyDescent="0.25">
      <c r="A30" s="82"/>
      <c r="B30" s="25" t="s">
        <v>434</v>
      </c>
      <c r="C30" s="83">
        <v>8</v>
      </c>
      <c r="D30" s="84">
        <v>150</v>
      </c>
      <c r="E30" s="83">
        <v>6</v>
      </c>
      <c r="F30" s="85">
        <v>1</v>
      </c>
      <c r="G30" s="85">
        <f>+ROUND(1.4/0.15+1,0)</f>
        <v>10</v>
      </c>
      <c r="H30" s="86"/>
      <c r="I30" s="86">
        <f>2*(0.05+0.39)+24*C30/1000</f>
        <v>1.0720000000000001</v>
      </c>
      <c r="J30" s="87"/>
      <c r="K30" s="90"/>
      <c r="L30" s="88">
        <f>SUM(H30:J30)+K30</f>
        <v>1.0720000000000001</v>
      </c>
      <c r="M30" s="88">
        <f t="shared" si="22"/>
        <v>64.319999999999993</v>
      </c>
      <c r="N30" s="88">
        <f t="shared" si="23"/>
        <v>0</v>
      </c>
      <c r="O30" s="88">
        <f t="shared" si="24"/>
        <v>0</v>
      </c>
      <c r="P30" s="88">
        <f t="shared" si="25"/>
        <v>0</v>
      </c>
      <c r="Q30" s="88">
        <f t="shared" si="26"/>
        <v>0</v>
      </c>
      <c r="R30" s="88">
        <f t="shared" si="27"/>
        <v>0</v>
      </c>
    </row>
    <row r="31" spans="1:18" s="89" customFormat="1" x14ac:dyDescent="0.25">
      <c r="A31" s="82" t="s">
        <v>596</v>
      </c>
      <c r="B31" s="45" t="s">
        <v>597</v>
      </c>
      <c r="C31" s="83"/>
      <c r="D31" s="84"/>
      <c r="E31" s="83"/>
      <c r="F31" s="85"/>
      <c r="G31" s="85"/>
      <c r="H31" s="86"/>
      <c r="I31" s="86"/>
      <c r="J31" s="87"/>
      <c r="K31" s="87"/>
      <c r="L31" s="88">
        <f t="shared" ref="L31" si="29">SUM(H31:J31)+K31</f>
        <v>0</v>
      </c>
      <c r="M31" s="88">
        <f t="shared" ref="M31:M34" si="30">+ROUND(IF(C31=8,PRODUCT(E31,F31,G31,L31),0),2)</f>
        <v>0</v>
      </c>
      <c r="N31" s="88">
        <f t="shared" ref="N31:N34" si="31">+ROUND(IF(C31=10,PRODUCT(E31,F31,G31,L31),0),2)</f>
        <v>0</v>
      </c>
      <c r="O31" s="88">
        <f t="shared" ref="O31:O34" si="32">+ROUND(IF(C31=12,PRODUCT(E31,F31,G31,L31),0),2)</f>
        <v>0</v>
      </c>
      <c r="P31" s="88">
        <f t="shared" ref="P31:P34" si="33">+ROUND(IF(C31=16,PRODUCT(E31,F31,G31,L31),0),2)</f>
        <v>0</v>
      </c>
      <c r="Q31" s="88">
        <f t="shared" ref="Q31:Q34" si="34">+ROUND(IF(C31=20,PRODUCT(E31,F31,G31,L31),0),2)</f>
        <v>0</v>
      </c>
      <c r="R31" s="88">
        <f t="shared" ref="R31:R34" si="35">+ROUND(IF(C31=25,PRODUCT(E31,F31,G31,L31),0),2)</f>
        <v>0</v>
      </c>
    </row>
    <row r="32" spans="1:18" s="89" customFormat="1" x14ac:dyDescent="0.25">
      <c r="A32" s="82"/>
      <c r="B32" s="25" t="s">
        <v>385</v>
      </c>
      <c r="C32" s="83">
        <v>10</v>
      </c>
      <c r="D32" s="84"/>
      <c r="E32" s="83">
        <v>6</v>
      </c>
      <c r="F32" s="85">
        <v>1</v>
      </c>
      <c r="G32" s="85">
        <v>2</v>
      </c>
      <c r="H32" s="86">
        <v>0.2</v>
      </c>
      <c r="I32" s="86">
        <f>1.87-0.06</f>
        <v>1.81</v>
      </c>
      <c r="J32" s="87">
        <v>0.2</v>
      </c>
      <c r="K32" s="87"/>
      <c r="L32" s="88">
        <f>SUM(H32:J32)+K32</f>
        <v>2.2100000000000004</v>
      </c>
      <c r="M32" s="88">
        <f t="shared" si="30"/>
        <v>0</v>
      </c>
      <c r="N32" s="88">
        <f t="shared" si="31"/>
        <v>26.52</v>
      </c>
      <c r="O32" s="88">
        <f t="shared" si="32"/>
        <v>0</v>
      </c>
      <c r="P32" s="88">
        <f t="shared" si="33"/>
        <v>0</v>
      </c>
      <c r="Q32" s="88">
        <f t="shared" si="34"/>
        <v>0</v>
      </c>
      <c r="R32" s="88">
        <f t="shared" si="35"/>
        <v>0</v>
      </c>
    </row>
    <row r="33" spans="1:18" s="89" customFormat="1" x14ac:dyDescent="0.25">
      <c r="A33" s="82"/>
      <c r="B33" s="25" t="s">
        <v>432</v>
      </c>
      <c r="C33" s="83">
        <v>10</v>
      </c>
      <c r="D33" s="84"/>
      <c r="E33" s="83">
        <v>6</v>
      </c>
      <c r="F33" s="85">
        <v>1</v>
      </c>
      <c r="G33" s="85">
        <v>2</v>
      </c>
      <c r="H33" s="86">
        <v>0.2</v>
      </c>
      <c r="I33" s="86">
        <f>1.87-0.06</f>
        <v>1.81</v>
      </c>
      <c r="J33" s="87">
        <v>0.2</v>
      </c>
      <c r="K33" s="87"/>
      <c r="L33" s="88">
        <f t="shared" ref="L33" si="36">SUM(H33:J33)+K33</f>
        <v>2.2100000000000004</v>
      </c>
      <c r="M33" s="88">
        <f t="shared" si="30"/>
        <v>0</v>
      </c>
      <c r="N33" s="88">
        <f t="shared" si="31"/>
        <v>26.52</v>
      </c>
      <c r="O33" s="88">
        <f t="shared" si="32"/>
        <v>0</v>
      </c>
      <c r="P33" s="88">
        <f t="shared" si="33"/>
        <v>0</v>
      </c>
      <c r="Q33" s="88">
        <f t="shared" si="34"/>
        <v>0</v>
      </c>
      <c r="R33" s="88">
        <f t="shared" si="35"/>
        <v>0</v>
      </c>
    </row>
    <row r="34" spans="1:18" s="89" customFormat="1" x14ac:dyDescent="0.25">
      <c r="A34" s="82"/>
      <c r="B34" s="25" t="s">
        <v>434</v>
      </c>
      <c r="C34" s="83">
        <v>8</v>
      </c>
      <c r="D34" s="84">
        <v>150</v>
      </c>
      <c r="E34" s="83">
        <v>6</v>
      </c>
      <c r="F34" s="85">
        <v>1</v>
      </c>
      <c r="G34" s="85">
        <f>+ROUND(1.57/0.15+1,0)</f>
        <v>11</v>
      </c>
      <c r="H34" s="86"/>
      <c r="I34" s="86">
        <f>2*(0.05+0.39)+24*C34/1000</f>
        <v>1.0720000000000001</v>
      </c>
      <c r="J34" s="87"/>
      <c r="K34" s="90"/>
      <c r="L34" s="88">
        <f>SUM(H34:J34)+K34</f>
        <v>1.0720000000000001</v>
      </c>
      <c r="M34" s="88">
        <f t="shared" si="30"/>
        <v>70.75</v>
      </c>
      <c r="N34" s="88">
        <f t="shared" si="31"/>
        <v>0</v>
      </c>
      <c r="O34" s="88">
        <f t="shared" si="32"/>
        <v>0</v>
      </c>
      <c r="P34" s="88">
        <f t="shared" si="33"/>
        <v>0</v>
      </c>
      <c r="Q34" s="88">
        <f t="shared" si="34"/>
        <v>0</v>
      </c>
      <c r="R34" s="88">
        <f t="shared" si="35"/>
        <v>0</v>
      </c>
    </row>
    <row r="35" spans="1:18" s="89" customFormat="1" x14ac:dyDescent="0.25">
      <c r="A35" s="82" t="s">
        <v>596</v>
      </c>
      <c r="B35" s="45" t="s">
        <v>597</v>
      </c>
      <c r="C35" s="83"/>
      <c r="D35" s="84"/>
      <c r="E35" s="83"/>
      <c r="F35" s="85"/>
      <c r="G35" s="85"/>
      <c r="H35" s="86"/>
      <c r="I35" s="86"/>
      <c r="J35" s="87"/>
      <c r="K35" s="87"/>
      <c r="L35" s="88">
        <f t="shared" ref="L35" si="37">SUM(H35:J35)+K35</f>
        <v>0</v>
      </c>
      <c r="M35" s="88">
        <f t="shared" ref="M35:M38" si="38">+ROUND(IF(C35=8,PRODUCT(E35,F35,G35,L35),0),2)</f>
        <v>0</v>
      </c>
      <c r="N35" s="88">
        <f t="shared" ref="N35:N38" si="39">+ROUND(IF(C35=10,PRODUCT(E35,F35,G35,L35),0),2)</f>
        <v>0</v>
      </c>
      <c r="O35" s="88">
        <f t="shared" ref="O35:O38" si="40">+ROUND(IF(C35=12,PRODUCT(E35,F35,G35,L35),0),2)</f>
        <v>0</v>
      </c>
      <c r="P35" s="88">
        <f t="shared" ref="P35:P38" si="41">+ROUND(IF(C35=16,PRODUCT(E35,F35,G35,L35),0),2)</f>
        <v>0</v>
      </c>
      <c r="Q35" s="88">
        <f t="shared" ref="Q35:Q38" si="42">+ROUND(IF(C35=20,PRODUCT(E35,F35,G35,L35),0),2)</f>
        <v>0</v>
      </c>
      <c r="R35" s="88">
        <f t="shared" ref="R35:R38" si="43">+ROUND(IF(C35=25,PRODUCT(E35,F35,G35,L35),0),2)</f>
        <v>0</v>
      </c>
    </row>
    <row r="36" spans="1:18" s="89" customFormat="1" x14ac:dyDescent="0.25">
      <c r="A36" s="82"/>
      <c r="B36" s="25" t="s">
        <v>385</v>
      </c>
      <c r="C36" s="83">
        <v>10</v>
      </c>
      <c r="D36" s="84"/>
      <c r="E36" s="83">
        <v>6</v>
      </c>
      <c r="F36" s="85">
        <v>1</v>
      </c>
      <c r="G36" s="85">
        <v>2</v>
      </c>
      <c r="H36" s="86">
        <v>0.2</v>
      </c>
      <c r="I36" s="86">
        <f>1.37-0.06</f>
        <v>1.31</v>
      </c>
      <c r="J36" s="87">
        <v>0.2</v>
      </c>
      <c r="K36" s="87"/>
      <c r="L36" s="88">
        <f>SUM(H36:J36)+K36</f>
        <v>1.71</v>
      </c>
      <c r="M36" s="88">
        <f t="shared" si="38"/>
        <v>0</v>
      </c>
      <c r="N36" s="88">
        <f t="shared" si="39"/>
        <v>20.52</v>
      </c>
      <c r="O36" s="88">
        <f t="shared" si="40"/>
        <v>0</v>
      </c>
      <c r="P36" s="88">
        <f t="shared" si="41"/>
        <v>0</v>
      </c>
      <c r="Q36" s="88">
        <f t="shared" si="42"/>
        <v>0</v>
      </c>
      <c r="R36" s="88">
        <f t="shared" si="43"/>
        <v>0</v>
      </c>
    </row>
    <row r="37" spans="1:18" s="89" customFormat="1" x14ac:dyDescent="0.25">
      <c r="A37" s="82"/>
      <c r="B37" s="25" t="s">
        <v>432</v>
      </c>
      <c r="C37" s="83">
        <v>10</v>
      </c>
      <c r="D37" s="84"/>
      <c r="E37" s="83">
        <v>6</v>
      </c>
      <c r="F37" s="85">
        <v>1</v>
      </c>
      <c r="G37" s="85">
        <v>2</v>
      </c>
      <c r="H37" s="86">
        <v>0.2</v>
      </c>
      <c r="I37" s="86">
        <f>1.37-0.06</f>
        <v>1.31</v>
      </c>
      <c r="J37" s="87">
        <v>0.2</v>
      </c>
      <c r="K37" s="87"/>
      <c r="L37" s="88">
        <f t="shared" ref="L37" si="44">SUM(H37:J37)+K37</f>
        <v>1.71</v>
      </c>
      <c r="M37" s="88">
        <f t="shared" si="38"/>
        <v>0</v>
      </c>
      <c r="N37" s="88">
        <f t="shared" si="39"/>
        <v>20.52</v>
      </c>
      <c r="O37" s="88">
        <f t="shared" si="40"/>
        <v>0</v>
      </c>
      <c r="P37" s="88">
        <f t="shared" si="41"/>
        <v>0</v>
      </c>
      <c r="Q37" s="88">
        <f t="shared" si="42"/>
        <v>0</v>
      </c>
      <c r="R37" s="88">
        <f t="shared" si="43"/>
        <v>0</v>
      </c>
    </row>
    <row r="38" spans="1:18" s="89" customFormat="1" x14ac:dyDescent="0.25">
      <c r="A38" s="82"/>
      <c r="B38" s="25" t="s">
        <v>434</v>
      </c>
      <c r="C38" s="83">
        <v>8</v>
      </c>
      <c r="D38" s="84">
        <v>150</v>
      </c>
      <c r="E38" s="83">
        <v>6</v>
      </c>
      <c r="F38" s="85">
        <v>1</v>
      </c>
      <c r="G38" s="85">
        <f>+ROUND(0.97/0.15+1,0)</f>
        <v>7</v>
      </c>
      <c r="H38" s="86"/>
      <c r="I38" s="86">
        <f>2*(0.05+0.39)+24*C38/1000</f>
        <v>1.0720000000000001</v>
      </c>
      <c r="J38" s="87"/>
      <c r="K38" s="90"/>
      <c r="L38" s="88">
        <f>SUM(H38:J38)+K38</f>
        <v>1.0720000000000001</v>
      </c>
      <c r="M38" s="88">
        <f t="shared" si="38"/>
        <v>45.02</v>
      </c>
      <c r="N38" s="88">
        <f t="shared" si="39"/>
        <v>0</v>
      </c>
      <c r="O38" s="88">
        <f t="shared" si="40"/>
        <v>0</v>
      </c>
      <c r="P38" s="88">
        <f t="shared" si="41"/>
        <v>0</v>
      </c>
      <c r="Q38" s="88">
        <f t="shared" si="42"/>
        <v>0</v>
      </c>
      <c r="R38" s="88">
        <f t="shared" si="43"/>
        <v>0</v>
      </c>
    </row>
    <row r="39" spans="1:18" x14ac:dyDescent="0.25">
      <c r="A39" s="26" t="s">
        <v>442</v>
      </c>
      <c r="B39" s="45" t="s">
        <v>598</v>
      </c>
      <c r="C39" s="15"/>
      <c r="D39" s="16"/>
      <c r="E39" s="15"/>
      <c r="F39" s="11"/>
      <c r="G39" s="11"/>
      <c r="H39" s="12"/>
      <c r="I39" s="12"/>
      <c r="J39" s="22"/>
      <c r="K39" s="22"/>
      <c r="L39" s="72">
        <f t="shared" ref="L39" si="45">SUM(H39:J39)+K39</f>
        <v>0</v>
      </c>
      <c r="M39" s="72">
        <f t="shared" si="0"/>
        <v>0</v>
      </c>
      <c r="N39" s="72">
        <f t="shared" si="1"/>
        <v>0</v>
      </c>
      <c r="O39" s="72">
        <f t="shared" si="2"/>
        <v>0</v>
      </c>
      <c r="P39" s="72">
        <f t="shared" si="3"/>
        <v>0</v>
      </c>
      <c r="Q39" s="72">
        <f t="shared" si="4"/>
        <v>0</v>
      </c>
      <c r="R39" s="72">
        <f t="shared" si="5"/>
        <v>0</v>
      </c>
    </row>
    <row r="40" spans="1:18" x14ac:dyDescent="0.25">
      <c r="A40" s="26"/>
      <c r="B40" s="25" t="s">
        <v>385</v>
      </c>
      <c r="C40" s="15">
        <v>16</v>
      </c>
      <c r="D40" s="16"/>
      <c r="E40" s="15">
        <v>2</v>
      </c>
      <c r="F40" s="11">
        <v>1</v>
      </c>
      <c r="G40" s="11">
        <v>2</v>
      </c>
      <c r="H40" s="12">
        <v>0.2</v>
      </c>
      <c r="I40" s="12">
        <f>1.925-0.06</f>
        <v>1.865</v>
      </c>
      <c r="J40" s="22">
        <v>0.2</v>
      </c>
      <c r="K40" s="22"/>
      <c r="L40" s="72">
        <f>SUM(H40:J40)+K40</f>
        <v>2.2650000000000001</v>
      </c>
      <c r="M40" s="72">
        <f t="shared" si="0"/>
        <v>0</v>
      </c>
      <c r="N40" s="72">
        <f t="shared" si="1"/>
        <v>0</v>
      </c>
      <c r="O40" s="72">
        <f t="shared" si="2"/>
        <v>0</v>
      </c>
      <c r="P40" s="72">
        <f t="shared" si="3"/>
        <v>9.06</v>
      </c>
      <c r="Q40" s="72">
        <f t="shared" si="4"/>
        <v>0</v>
      </c>
      <c r="R40" s="72">
        <f t="shared" si="5"/>
        <v>0</v>
      </c>
    </row>
    <row r="41" spans="1:18" x14ac:dyDescent="0.25">
      <c r="A41" s="26"/>
      <c r="B41" s="25" t="s">
        <v>432</v>
      </c>
      <c r="C41" s="15">
        <v>16</v>
      </c>
      <c r="D41" s="16"/>
      <c r="E41" s="15">
        <v>2</v>
      </c>
      <c r="F41" s="11">
        <v>1</v>
      </c>
      <c r="G41" s="11">
        <v>2</v>
      </c>
      <c r="H41" s="12">
        <v>0.2</v>
      </c>
      <c r="I41" s="12">
        <f>1.925-0.06</f>
        <v>1.865</v>
      </c>
      <c r="J41" s="22">
        <v>0.2</v>
      </c>
      <c r="K41" s="22"/>
      <c r="L41" s="72">
        <f t="shared" ref="L41" si="46">SUM(H41:J41)+K41</f>
        <v>2.2650000000000001</v>
      </c>
      <c r="M41" s="72">
        <f t="shared" si="0"/>
        <v>0</v>
      </c>
      <c r="N41" s="72">
        <f t="shared" si="1"/>
        <v>0</v>
      </c>
      <c r="O41" s="72">
        <f t="shared" si="2"/>
        <v>0</v>
      </c>
      <c r="P41" s="72">
        <f t="shared" si="3"/>
        <v>9.06</v>
      </c>
      <c r="Q41" s="72">
        <f t="shared" si="4"/>
        <v>0</v>
      </c>
      <c r="R41" s="72">
        <f t="shared" si="5"/>
        <v>0</v>
      </c>
    </row>
    <row r="42" spans="1:18" x14ac:dyDescent="0.25">
      <c r="A42" s="26"/>
      <c r="B42" s="25" t="s">
        <v>434</v>
      </c>
      <c r="C42" s="15">
        <v>8</v>
      </c>
      <c r="D42" s="16">
        <v>125</v>
      </c>
      <c r="E42" s="15">
        <v>2</v>
      </c>
      <c r="F42" s="11">
        <v>1</v>
      </c>
      <c r="G42" s="11">
        <f>+ROUND(1.395/0.125+1,0)</f>
        <v>12</v>
      </c>
      <c r="H42" s="12"/>
      <c r="I42" s="12">
        <f t="shared" ref="I42" si="47">2*(0.14+0.39)+24*C42/1000</f>
        <v>1.252</v>
      </c>
      <c r="J42" s="22"/>
      <c r="K42" s="47"/>
      <c r="L42" s="72">
        <f>SUM(H42:J42)+K42</f>
        <v>1.252</v>
      </c>
      <c r="M42" s="72">
        <f t="shared" si="0"/>
        <v>30.05</v>
      </c>
      <c r="N42" s="72">
        <f t="shared" si="1"/>
        <v>0</v>
      </c>
      <c r="O42" s="72">
        <f t="shared" si="2"/>
        <v>0</v>
      </c>
      <c r="P42" s="72">
        <f t="shared" si="3"/>
        <v>0</v>
      </c>
      <c r="Q42" s="72">
        <f t="shared" si="4"/>
        <v>0</v>
      </c>
      <c r="R42" s="72">
        <f t="shared" si="5"/>
        <v>0</v>
      </c>
    </row>
    <row r="43" spans="1:18" x14ac:dyDescent="0.25">
      <c r="A43" s="26" t="s">
        <v>442</v>
      </c>
      <c r="B43" s="45" t="s">
        <v>599</v>
      </c>
      <c r="C43" s="15"/>
      <c r="D43" s="16"/>
      <c r="E43" s="15"/>
      <c r="F43" s="11"/>
      <c r="G43" s="11"/>
      <c r="H43" s="12"/>
      <c r="I43" s="12"/>
      <c r="J43" s="22"/>
      <c r="K43" s="22"/>
      <c r="L43" s="72">
        <f t="shared" ref="L43" si="48">SUM(H43:J43)+K43</f>
        <v>0</v>
      </c>
      <c r="M43" s="72">
        <f t="shared" si="0"/>
        <v>0</v>
      </c>
      <c r="N43" s="72">
        <f t="shared" si="1"/>
        <v>0</v>
      </c>
      <c r="O43" s="72">
        <f t="shared" si="2"/>
        <v>0</v>
      </c>
      <c r="P43" s="72">
        <f t="shared" si="3"/>
        <v>0</v>
      </c>
      <c r="Q43" s="72">
        <f t="shared" si="4"/>
        <v>0</v>
      </c>
      <c r="R43" s="72">
        <f t="shared" si="5"/>
        <v>0</v>
      </c>
    </row>
    <row r="44" spans="1:18" x14ac:dyDescent="0.25">
      <c r="A44" s="26"/>
      <c r="B44" s="25" t="s">
        <v>385</v>
      </c>
      <c r="C44" s="15">
        <v>12</v>
      </c>
      <c r="D44" s="16"/>
      <c r="E44" s="15">
        <v>2</v>
      </c>
      <c r="F44" s="11">
        <v>1</v>
      </c>
      <c r="G44" s="11">
        <v>2</v>
      </c>
      <c r="H44" s="12">
        <v>0.3</v>
      </c>
      <c r="I44" s="12">
        <f>3.6-0.06</f>
        <v>3.54</v>
      </c>
      <c r="J44" s="22">
        <v>0.3</v>
      </c>
      <c r="K44" s="22"/>
      <c r="L44" s="72">
        <f>SUM(H44:J44)+K44</f>
        <v>4.1399999999999997</v>
      </c>
      <c r="M44" s="72">
        <f t="shared" si="0"/>
        <v>0</v>
      </c>
      <c r="N44" s="72">
        <f t="shared" si="1"/>
        <v>0</v>
      </c>
      <c r="O44" s="72">
        <f t="shared" si="2"/>
        <v>16.559999999999999</v>
      </c>
      <c r="P44" s="72">
        <f t="shared" si="3"/>
        <v>0</v>
      </c>
      <c r="Q44" s="72">
        <f t="shared" si="4"/>
        <v>0</v>
      </c>
      <c r="R44" s="72">
        <f t="shared" si="5"/>
        <v>0</v>
      </c>
    </row>
    <row r="45" spans="1:18" x14ac:dyDescent="0.25">
      <c r="A45" s="26"/>
      <c r="B45" s="25" t="s">
        <v>432</v>
      </c>
      <c r="C45" s="15">
        <v>12</v>
      </c>
      <c r="D45" s="16"/>
      <c r="E45" s="15">
        <v>2</v>
      </c>
      <c r="F45" s="11">
        <v>1</v>
      </c>
      <c r="G45" s="11">
        <v>2</v>
      </c>
      <c r="H45" s="12">
        <v>0.3</v>
      </c>
      <c r="I45" s="12">
        <f>3.6-0.06</f>
        <v>3.54</v>
      </c>
      <c r="J45" s="22">
        <v>0.3</v>
      </c>
      <c r="K45" s="22"/>
      <c r="L45" s="72">
        <f t="shared" ref="L45" si="49">SUM(H45:J45)+K45</f>
        <v>4.1399999999999997</v>
      </c>
      <c r="M45" s="72">
        <f t="shared" si="0"/>
        <v>0</v>
      </c>
      <c r="N45" s="72">
        <f t="shared" si="1"/>
        <v>0</v>
      </c>
      <c r="O45" s="72">
        <f t="shared" si="2"/>
        <v>16.559999999999999</v>
      </c>
      <c r="P45" s="72">
        <f t="shared" si="3"/>
        <v>0</v>
      </c>
      <c r="Q45" s="72">
        <f t="shared" si="4"/>
        <v>0</v>
      </c>
      <c r="R45" s="72">
        <f t="shared" si="5"/>
        <v>0</v>
      </c>
    </row>
    <row r="46" spans="1:18" x14ac:dyDescent="0.25">
      <c r="A46" s="26"/>
      <c r="B46" s="25" t="s">
        <v>434</v>
      </c>
      <c r="C46" s="15">
        <v>8</v>
      </c>
      <c r="D46" s="16">
        <v>100</v>
      </c>
      <c r="E46" s="15">
        <v>2</v>
      </c>
      <c r="F46" s="11">
        <v>1</v>
      </c>
      <c r="G46" s="11">
        <f>+ROUND(1.8/0.1,0)</f>
        <v>18</v>
      </c>
      <c r="H46" s="12"/>
      <c r="I46" s="12">
        <f>2*(0.14+0.39)+24*C46/1000</f>
        <v>1.252</v>
      </c>
      <c r="J46" s="22"/>
      <c r="K46" s="47"/>
      <c r="L46" s="72">
        <f>SUM(H46:J46)+K46</f>
        <v>1.252</v>
      </c>
      <c r="M46" s="72">
        <f t="shared" si="0"/>
        <v>45.07</v>
      </c>
      <c r="N46" s="72">
        <f t="shared" si="1"/>
        <v>0</v>
      </c>
      <c r="O46" s="72">
        <f t="shared" si="2"/>
        <v>0</v>
      </c>
      <c r="P46" s="72">
        <f t="shared" si="3"/>
        <v>0</v>
      </c>
      <c r="Q46" s="72">
        <f t="shared" si="4"/>
        <v>0</v>
      </c>
      <c r="R46" s="72">
        <f t="shared" si="5"/>
        <v>0</v>
      </c>
    </row>
    <row r="47" spans="1:18" x14ac:dyDescent="0.25">
      <c r="A47" s="26"/>
      <c r="B47" s="25"/>
      <c r="C47" s="15">
        <v>8</v>
      </c>
      <c r="D47" s="16">
        <v>150</v>
      </c>
      <c r="E47" s="15">
        <v>2</v>
      </c>
      <c r="F47" s="11">
        <v>1</v>
      </c>
      <c r="G47" s="11">
        <f>+ROUND(1.3/0.15+1,0)</f>
        <v>10</v>
      </c>
      <c r="H47" s="12"/>
      <c r="I47" s="12">
        <f t="shared" ref="I47" si="50">2*(0.14+0.39)+24*C47/1000</f>
        <v>1.252</v>
      </c>
      <c r="J47" s="22"/>
      <c r="K47" s="22"/>
      <c r="L47" s="72">
        <f>SUM(H47:J47)+K47</f>
        <v>1.252</v>
      </c>
      <c r="M47" s="72">
        <f t="shared" si="0"/>
        <v>25.04</v>
      </c>
      <c r="N47" s="72">
        <f t="shared" si="1"/>
        <v>0</v>
      </c>
      <c r="O47" s="72">
        <f t="shared" si="2"/>
        <v>0</v>
      </c>
      <c r="P47" s="72">
        <f t="shared" si="3"/>
        <v>0</v>
      </c>
      <c r="Q47" s="72">
        <f t="shared" si="4"/>
        <v>0</v>
      </c>
      <c r="R47" s="72">
        <f t="shared" si="5"/>
        <v>0</v>
      </c>
    </row>
    <row r="48" spans="1:18" x14ac:dyDescent="0.25">
      <c r="A48" s="26" t="s">
        <v>442</v>
      </c>
      <c r="B48" s="45" t="s">
        <v>600</v>
      </c>
      <c r="C48" s="15"/>
      <c r="D48" s="16"/>
      <c r="E48" s="15"/>
      <c r="F48" s="11"/>
      <c r="G48" s="11"/>
      <c r="H48" s="12"/>
      <c r="I48" s="12"/>
      <c r="J48" s="22"/>
      <c r="K48" s="22"/>
      <c r="L48" s="72">
        <f t="shared" ref="L48" si="51">SUM(H48:J48)+K48</f>
        <v>0</v>
      </c>
      <c r="M48" s="72">
        <f t="shared" si="0"/>
        <v>0</v>
      </c>
      <c r="N48" s="72">
        <f t="shared" si="1"/>
        <v>0</v>
      </c>
      <c r="O48" s="72">
        <f t="shared" si="2"/>
        <v>0</v>
      </c>
      <c r="P48" s="72">
        <f t="shared" si="3"/>
        <v>0</v>
      </c>
      <c r="Q48" s="72">
        <f t="shared" si="4"/>
        <v>0</v>
      </c>
      <c r="R48" s="72">
        <f t="shared" si="5"/>
        <v>0</v>
      </c>
    </row>
    <row r="49" spans="1:18" x14ac:dyDescent="0.25">
      <c r="A49" s="26"/>
      <c r="B49" s="25" t="s">
        <v>385</v>
      </c>
      <c r="C49" s="15">
        <v>12</v>
      </c>
      <c r="D49" s="16"/>
      <c r="E49" s="15">
        <v>1</v>
      </c>
      <c r="F49" s="11">
        <v>1</v>
      </c>
      <c r="G49" s="11">
        <v>2</v>
      </c>
      <c r="H49" s="12">
        <v>0.3</v>
      </c>
      <c r="I49" s="12">
        <v>18.91</v>
      </c>
      <c r="J49" s="22">
        <v>0.3</v>
      </c>
      <c r="K49" s="22">
        <f>+C49*49/1000</f>
        <v>0.58799999999999997</v>
      </c>
      <c r="L49" s="72">
        <f>SUM(H49:J49)+K49</f>
        <v>20.098000000000003</v>
      </c>
      <c r="M49" s="72">
        <f t="shared" si="0"/>
        <v>0</v>
      </c>
      <c r="N49" s="72">
        <f t="shared" si="1"/>
        <v>0</v>
      </c>
      <c r="O49" s="72">
        <f t="shared" si="2"/>
        <v>40.200000000000003</v>
      </c>
      <c r="P49" s="72">
        <f t="shared" si="3"/>
        <v>0</v>
      </c>
      <c r="Q49" s="72">
        <f t="shared" si="4"/>
        <v>0</v>
      </c>
      <c r="R49" s="72">
        <f t="shared" si="5"/>
        <v>0</v>
      </c>
    </row>
    <row r="50" spans="1:18" x14ac:dyDescent="0.25">
      <c r="A50" s="26"/>
      <c r="B50" s="25" t="s">
        <v>432</v>
      </c>
      <c r="C50" s="15">
        <v>12</v>
      </c>
      <c r="D50" s="16"/>
      <c r="E50" s="15">
        <v>1</v>
      </c>
      <c r="F50" s="11">
        <v>1</v>
      </c>
      <c r="G50" s="11">
        <v>2</v>
      </c>
      <c r="H50" s="12">
        <v>0.3</v>
      </c>
      <c r="I50" s="12">
        <v>18.91</v>
      </c>
      <c r="J50" s="22">
        <v>0.3</v>
      </c>
      <c r="K50" s="22">
        <f>+C50*49/1000</f>
        <v>0.58799999999999997</v>
      </c>
      <c r="L50" s="72">
        <f t="shared" ref="L50" si="52">SUM(H50:J50)+K50</f>
        <v>20.098000000000003</v>
      </c>
      <c r="M50" s="72">
        <f t="shared" si="0"/>
        <v>0</v>
      </c>
      <c r="N50" s="72">
        <f t="shared" si="1"/>
        <v>0</v>
      </c>
      <c r="O50" s="72">
        <f t="shared" si="2"/>
        <v>40.200000000000003</v>
      </c>
      <c r="P50" s="72">
        <f t="shared" si="3"/>
        <v>0</v>
      </c>
      <c r="Q50" s="72">
        <f t="shared" si="4"/>
        <v>0</v>
      </c>
      <c r="R50" s="72">
        <f t="shared" si="5"/>
        <v>0</v>
      </c>
    </row>
    <row r="51" spans="1:18" x14ac:dyDescent="0.25">
      <c r="A51" s="26"/>
      <c r="B51" s="25" t="s">
        <v>434</v>
      </c>
      <c r="C51" s="15">
        <v>8</v>
      </c>
      <c r="D51" s="16">
        <v>100</v>
      </c>
      <c r="E51" s="15">
        <v>1</v>
      </c>
      <c r="F51" s="11">
        <v>2</v>
      </c>
      <c r="G51" s="11">
        <f>+ROUND(2.345/0.1,0)</f>
        <v>23</v>
      </c>
      <c r="H51" s="12"/>
      <c r="I51" s="12">
        <f t="shared" ref="I51:I52" si="53">2*(0.14+0.39)+24*C51/1000</f>
        <v>1.252</v>
      </c>
      <c r="J51" s="22"/>
      <c r="K51" s="47"/>
      <c r="L51" s="72">
        <f>SUM(H51:J51)+K51</f>
        <v>1.252</v>
      </c>
      <c r="M51" s="72">
        <f t="shared" si="0"/>
        <v>57.59</v>
      </c>
      <c r="N51" s="72">
        <f t="shared" si="1"/>
        <v>0</v>
      </c>
      <c r="O51" s="72">
        <f t="shared" si="2"/>
        <v>0</v>
      </c>
      <c r="P51" s="72">
        <f t="shared" si="3"/>
        <v>0</v>
      </c>
      <c r="Q51" s="72">
        <f t="shared" si="4"/>
        <v>0</v>
      </c>
      <c r="R51" s="72">
        <f t="shared" si="5"/>
        <v>0</v>
      </c>
    </row>
    <row r="52" spans="1:18" x14ac:dyDescent="0.25">
      <c r="A52" s="26"/>
      <c r="B52" s="25"/>
      <c r="C52" s="15">
        <v>8</v>
      </c>
      <c r="D52" s="16">
        <v>150</v>
      </c>
      <c r="E52" s="15">
        <v>1</v>
      </c>
      <c r="F52" s="11">
        <v>2</v>
      </c>
      <c r="G52" s="11">
        <f>+ROUND(2.345/0.15+1,0)</f>
        <v>17</v>
      </c>
      <c r="H52" s="12"/>
      <c r="I52" s="12">
        <f t="shared" si="53"/>
        <v>1.252</v>
      </c>
      <c r="J52" s="22"/>
      <c r="K52" s="22"/>
      <c r="L52" s="72">
        <f t="shared" si="8"/>
        <v>1.252</v>
      </c>
      <c r="M52" s="72">
        <f t="shared" si="0"/>
        <v>42.57</v>
      </c>
      <c r="N52" s="72">
        <f t="shared" si="1"/>
        <v>0</v>
      </c>
      <c r="O52" s="72">
        <f t="shared" si="2"/>
        <v>0</v>
      </c>
      <c r="P52" s="72">
        <f t="shared" si="3"/>
        <v>0</v>
      </c>
      <c r="Q52" s="72">
        <f t="shared" si="4"/>
        <v>0</v>
      </c>
      <c r="R52" s="72">
        <f t="shared" si="5"/>
        <v>0</v>
      </c>
    </row>
    <row r="53" spans="1:18" x14ac:dyDescent="0.25">
      <c r="A53" s="26"/>
      <c r="B53" s="25" t="s">
        <v>434</v>
      </c>
      <c r="C53" s="15">
        <v>8</v>
      </c>
      <c r="D53" s="16">
        <v>100</v>
      </c>
      <c r="E53" s="15">
        <v>1</v>
      </c>
      <c r="F53" s="11">
        <v>2</v>
      </c>
      <c r="G53" s="11">
        <f>+ROUND(3.15/0.1,0)</f>
        <v>32</v>
      </c>
      <c r="H53" s="12"/>
      <c r="I53" s="12">
        <f t="shared" ref="I53:I54" si="54">2*(0.14+0.39)+24*C53/1000</f>
        <v>1.252</v>
      </c>
      <c r="J53" s="22"/>
      <c r="K53" s="47"/>
      <c r="L53" s="72">
        <f>SUM(H53:J53)+K53</f>
        <v>1.252</v>
      </c>
      <c r="M53" s="72">
        <f t="shared" ref="M53:M54" si="55">+ROUND(IF(C53=8,PRODUCT(E53,F53,G53,L53),0),2)</f>
        <v>80.13</v>
      </c>
      <c r="N53" s="72">
        <f t="shared" ref="N53:N54" si="56">+ROUND(IF(C53=10,PRODUCT(E53,F53,G53,L53),0),2)</f>
        <v>0</v>
      </c>
      <c r="O53" s="72">
        <f t="shared" ref="O53:O54" si="57">+ROUND(IF(C53=12,PRODUCT(E53,F53,G53,L53),0),2)</f>
        <v>0</v>
      </c>
      <c r="P53" s="72">
        <f t="shared" ref="P53:P54" si="58">+ROUND(IF(C53=16,PRODUCT(E53,F53,G53,L53),0),2)</f>
        <v>0</v>
      </c>
      <c r="Q53" s="72">
        <f t="shared" ref="Q53:Q54" si="59">+ROUND(IF(C53=20,PRODUCT(E53,F53,G53,L53),0),2)</f>
        <v>0</v>
      </c>
      <c r="R53" s="72">
        <f t="shared" ref="R53:R54" si="60">+ROUND(IF(C53=25,PRODUCT(E53,F53,G53,L53),0),2)</f>
        <v>0</v>
      </c>
    </row>
    <row r="54" spans="1:18" x14ac:dyDescent="0.25">
      <c r="A54" s="26"/>
      <c r="B54" s="25"/>
      <c r="C54" s="15">
        <v>8</v>
      </c>
      <c r="D54" s="16">
        <v>150</v>
      </c>
      <c r="E54" s="15">
        <v>1</v>
      </c>
      <c r="F54" s="11">
        <v>2</v>
      </c>
      <c r="G54" s="11">
        <f>+ROUND(3.15/0.15+1,0)</f>
        <v>22</v>
      </c>
      <c r="H54" s="12"/>
      <c r="I54" s="12">
        <f t="shared" si="54"/>
        <v>1.252</v>
      </c>
      <c r="J54" s="22"/>
      <c r="K54" s="22"/>
      <c r="L54" s="72">
        <f t="shared" ref="L54" si="61">SUM(H54:J54)+K54</f>
        <v>1.252</v>
      </c>
      <c r="M54" s="72">
        <f t="shared" si="55"/>
        <v>55.09</v>
      </c>
      <c r="N54" s="72">
        <f t="shared" si="56"/>
        <v>0</v>
      </c>
      <c r="O54" s="72">
        <f t="shared" si="57"/>
        <v>0</v>
      </c>
      <c r="P54" s="72">
        <f t="shared" si="58"/>
        <v>0</v>
      </c>
      <c r="Q54" s="72">
        <f t="shared" si="59"/>
        <v>0</v>
      </c>
      <c r="R54" s="72">
        <f t="shared" si="60"/>
        <v>0</v>
      </c>
    </row>
    <row r="55" spans="1:18" x14ac:dyDescent="0.25">
      <c r="A55" s="26"/>
      <c r="B55" s="25"/>
      <c r="C55" s="15"/>
      <c r="D55" s="16"/>
      <c r="E55" s="15"/>
      <c r="F55" s="11"/>
      <c r="G55" s="11"/>
      <c r="H55" s="12"/>
      <c r="I55" s="12"/>
      <c r="J55" s="22"/>
      <c r="K55" s="22"/>
      <c r="L55" s="72"/>
      <c r="M55" s="72"/>
      <c r="N55" s="72"/>
      <c r="O55" s="72"/>
      <c r="P55" s="72"/>
      <c r="Q55" s="72"/>
      <c r="R55" s="72"/>
    </row>
    <row r="56" spans="1:18" x14ac:dyDescent="0.25">
      <c r="A56" s="26"/>
      <c r="B56" s="25"/>
      <c r="C56" s="15"/>
      <c r="D56" s="16"/>
      <c r="E56" s="15"/>
      <c r="F56" s="11"/>
      <c r="G56" s="11"/>
      <c r="H56" s="12"/>
      <c r="I56" s="12"/>
      <c r="J56" s="22"/>
      <c r="K56" s="22"/>
      <c r="L56" s="72"/>
      <c r="M56" s="72"/>
      <c r="N56" s="72"/>
      <c r="O56" s="72"/>
      <c r="P56" s="72"/>
      <c r="Q56" s="72"/>
      <c r="R56" s="72"/>
    </row>
    <row r="57" spans="1:18" x14ac:dyDescent="0.25">
      <c r="A57" s="26" t="s">
        <v>442</v>
      </c>
      <c r="B57" s="45" t="s">
        <v>601</v>
      </c>
      <c r="C57" s="15"/>
      <c r="D57" s="16"/>
      <c r="E57" s="15"/>
      <c r="F57" s="11"/>
      <c r="G57" s="11"/>
      <c r="H57" s="12"/>
      <c r="I57" s="12"/>
      <c r="J57" s="22"/>
      <c r="K57" s="22"/>
      <c r="L57" s="72">
        <f t="shared" ref="L57" si="62">SUM(H57:J57)+K57</f>
        <v>0</v>
      </c>
      <c r="M57" s="72">
        <f t="shared" si="0"/>
        <v>0</v>
      </c>
      <c r="N57" s="72">
        <f t="shared" si="1"/>
        <v>0</v>
      </c>
      <c r="O57" s="72">
        <f t="shared" si="2"/>
        <v>0</v>
      </c>
      <c r="P57" s="72">
        <f t="shared" si="3"/>
        <v>0</v>
      </c>
      <c r="Q57" s="72">
        <f t="shared" si="4"/>
        <v>0</v>
      </c>
      <c r="R57" s="72">
        <f t="shared" si="5"/>
        <v>0</v>
      </c>
    </row>
    <row r="58" spans="1:18" x14ac:dyDescent="0.25">
      <c r="A58" s="26"/>
      <c r="B58" s="25" t="s">
        <v>385</v>
      </c>
      <c r="C58" s="15">
        <v>16</v>
      </c>
      <c r="D58" s="16"/>
      <c r="E58" s="15">
        <v>2</v>
      </c>
      <c r="F58" s="11">
        <v>1</v>
      </c>
      <c r="G58" s="11">
        <v>2</v>
      </c>
      <c r="H58" s="12">
        <v>0.3</v>
      </c>
      <c r="I58" s="12">
        <f>7.205-0.06</f>
        <v>7.1450000000000005</v>
      </c>
      <c r="J58" s="22">
        <v>0.3</v>
      </c>
      <c r="K58" s="22"/>
      <c r="L58" s="72">
        <f>SUM(H58:J58)+K58</f>
        <v>7.7450000000000001</v>
      </c>
      <c r="M58" s="72">
        <f t="shared" si="0"/>
        <v>0</v>
      </c>
      <c r="N58" s="72">
        <f t="shared" si="1"/>
        <v>0</v>
      </c>
      <c r="O58" s="72">
        <f t="shared" si="2"/>
        <v>0</v>
      </c>
      <c r="P58" s="72">
        <f t="shared" si="3"/>
        <v>30.98</v>
      </c>
      <c r="Q58" s="72">
        <f t="shared" si="4"/>
        <v>0</v>
      </c>
      <c r="R58" s="72">
        <f t="shared" si="5"/>
        <v>0</v>
      </c>
    </row>
    <row r="59" spans="1:18" x14ac:dyDescent="0.25">
      <c r="A59" s="26"/>
      <c r="B59" s="25" t="s">
        <v>432</v>
      </c>
      <c r="C59" s="15">
        <v>16</v>
      </c>
      <c r="D59" s="16"/>
      <c r="E59" s="15">
        <v>2</v>
      </c>
      <c r="F59" s="11">
        <v>1</v>
      </c>
      <c r="G59" s="11">
        <v>2</v>
      </c>
      <c r="H59" s="12">
        <v>0.3</v>
      </c>
      <c r="I59" s="12">
        <f>7.205-0.06</f>
        <v>7.1450000000000005</v>
      </c>
      <c r="J59" s="22">
        <v>0.3</v>
      </c>
      <c r="K59" s="22"/>
      <c r="L59" s="72">
        <f t="shared" ref="L59" si="63">SUM(H59:J59)+K59</f>
        <v>7.7450000000000001</v>
      </c>
      <c r="M59" s="72">
        <f t="shared" si="0"/>
        <v>0</v>
      </c>
      <c r="N59" s="72">
        <f t="shared" si="1"/>
        <v>0</v>
      </c>
      <c r="O59" s="72">
        <f t="shared" si="2"/>
        <v>0</v>
      </c>
      <c r="P59" s="72">
        <f t="shared" si="3"/>
        <v>30.98</v>
      </c>
      <c r="Q59" s="72">
        <f t="shared" si="4"/>
        <v>0</v>
      </c>
      <c r="R59" s="72">
        <f t="shared" si="5"/>
        <v>0</v>
      </c>
    </row>
    <row r="60" spans="1:18" x14ac:dyDescent="0.25">
      <c r="A60" s="26"/>
      <c r="B60" s="25" t="s">
        <v>453</v>
      </c>
      <c r="C60" s="15">
        <v>8</v>
      </c>
      <c r="D60" s="16">
        <v>100</v>
      </c>
      <c r="E60" s="15">
        <v>2</v>
      </c>
      <c r="F60" s="11">
        <v>1</v>
      </c>
      <c r="G60" s="11">
        <f>+ROUND(1.8/0.1,0)</f>
        <v>18</v>
      </c>
      <c r="H60" s="12"/>
      <c r="I60" s="12">
        <f t="shared" ref="I60:I63" si="64">2*(0.14+0.39)+24*C60/1000</f>
        <v>1.252</v>
      </c>
      <c r="J60" s="22"/>
      <c r="K60" s="47"/>
      <c r="L60" s="72">
        <f>SUM(H60:J60)+K60</f>
        <v>1.252</v>
      </c>
      <c r="M60" s="72">
        <f t="shared" si="0"/>
        <v>45.07</v>
      </c>
      <c r="N60" s="72">
        <f t="shared" si="1"/>
        <v>0</v>
      </c>
      <c r="O60" s="72">
        <f t="shared" si="2"/>
        <v>0</v>
      </c>
      <c r="P60" s="72">
        <f t="shared" si="3"/>
        <v>0</v>
      </c>
      <c r="Q60" s="72">
        <f t="shared" si="4"/>
        <v>0</v>
      </c>
      <c r="R60" s="72">
        <f t="shared" si="5"/>
        <v>0</v>
      </c>
    </row>
    <row r="61" spans="1:18" x14ac:dyDescent="0.25">
      <c r="A61" s="26"/>
      <c r="B61" s="25"/>
      <c r="C61" s="15">
        <v>8</v>
      </c>
      <c r="D61" s="16">
        <v>150</v>
      </c>
      <c r="E61" s="15">
        <v>2</v>
      </c>
      <c r="F61" s="11">
        <v>1</v>
      </c>
      <c r="G61" s="11">
        <f>+ROUND(1.075/0.15+1,0)</f>
        <v>8</v>
      </c>
      <c r="H61" s="12"/>
      <c r="I61" s="12">
        <f t="shared" si="64"/>
        <v>1.252</v>
      </c>
      <c r="J61" s="22"/>
      <c r="K61" s="22"/>
      <c r="L61" s="72">
        <f t="shared" ref="L61" si="65">SUM(H61:J61)+K61</f>
        <v>1.252</v>
      </c>
      <c r="M61" s="72">
        <f t="shared" si="0"/>
        <v>20.03</v>
      </c>
      <c r="N61" s="72">
        <f t="shared" si="1"/>
        <v>0</v>
      </c>
      <c r="O61" s="72">
        <f t="shared" si="2"/>
        <v>0</v>
      </c>
      <c r="P61" s="72">
        <f t="shared" si="3"/>
        <v>0</v>
      </c>
      <c r="Q61" s="72">
        <f t="shared" si="4"/>
        <v>0</v>
      </c>
      <c r="R61" s="72">
        <f t="shared" si="5"/>
        <v>0</v>
      </c>
    </row>
    <row r="62" spans="1:18" x14ac:dyDescent="0.25">
      <c r="A62" s="26"/>
      <c r="B62" s="25" t="s">
        <v>453</v>
      </c>
      <c r="C62" s="15">
        <v>8</v>
      </c>
      <c r="D62" s="16">
        <v>100</v>
      </c>
      <c r="E62" s="15">
        <v>2</v>
      </c>
      <c r="F62" s="11">
        <v>1</v>
      </c>
      <c r="G62" s="11">
        <f>+ROUND(1.8/0.1,0)</f>
        <v>18</v>
      </c>
      <c r="H62" s="12"/>
      <c r="I62" s="12">
        <f t="shared" si="64"/>
        <v>1.252</v>
      </c>
      <c r="J62" s="22"/>
      <c r="K62" s="47"/>
      <c r="L62" s="72">
        <f>SUM(H62:J62)+K62</f>
        <v>1.252</v>
      </c>
      <c r="M62" s="72">
        <f t="shared" si="0"/>
        <v>45.07</v>
      </c>
      <c r="N62" s="72">
        <f t="shared" si="1"/>
        <v>0</v>
      </c>
      <c r="O62" s="72">
        <f t="shared" si="2"/>
        <v>0</v>
      </c>
      <c r="P62" s="72">
        <f t="shared" si="3"/>
        <v>0</v>
      </c>
      <c r="Q62" s="72">
        <f t="shared" si="4"/>
        <v>0</v>
      </c>
      <c r="R62" s="72">
        <f t="shared" si="5"/>
        <v>0</v>
      </c>
    </row>
    <row r="63" spans="1:18" x14ac:dyDescent="0.25">
      <c r="A63" s="26"/>
      <c r="B63" s="25"/>
      <c r="C63" s="15">
        <v>8</v>
      </c>
      <c r="D63" s="16">
        <v>150</v>
      </c>
      <c r="E63" s="15">
        <v>2</v>
      </c>
      <c r="F63" s="11">
        <v>1</v>
      </c>
      <c r="G63" s="11">
        <f>+ROUND(1.13/0.15+1,0)</f>
        <v>9</v>
      </c>
      <c r="H63" s="12"/>
      <c r="I63" s="12">
        <f t="shared" si="64"/>
        <v>1.252</v>
      </c>
      <c r="J63" s="22"/>
      <c r="K63" s="22"/>
      <c r="L63" s="72">
        <f t="shared" ref="L63:L64" si="66">SUM(H63:J63)+K63</f>
        <v>1.252</v>
      </c>
      <c r="M63" s="72">
        <f t="shared" si="0"/>
        <v>22.54</v>
      </c>
      <c r="N63" s="72">
        <f t="shared" si="1"/>
        <v>0</v>
      </c>
      <c r="O63" s="72">
        <f t="shared" si="2"/>
        <v>0</v>
      </c>
      <c r="P63" s="72">
        <f t="shared" si="3"/>
        <v>0</v>
      </c>
      <c r="Q63" s="72">
        <f t="shared" si="4"/>
        <v>0</v>
      </c>
      <c r="R63" s="72">
        <f t="shared" si="5"/>
        <v>0</v>
      </c>
    </row>
    <row r="64" spans="1:18" x14ac:dyDescent="0.25">
      <c r="A64" s="26" t="s">
        <v>442</v>
      </c>
      <c r="B64" s="45" t="s">
        <v>602</v>
      </c>
      <c r="C64" s="15"/>
      <c r="D64" s="16"/>
      <c r="E64" s="15"/>
      <c r="F64" s="11"/>
      <c r="G64" s="11"/>
      <c r="H64" s="12"/>
      <c r="I64" s="12"/>
      <c r="J64" s="22"/>
      <c r="K64" s="22"/>
      <c r="L64" s="72">
        <f t="shared" si="66"/>
        <v>0</v>
      </c>
      <c r="M64" s="72">
        <f t="shared" si="0"/>
        <v>0</v>
      </c>
      <c r="N64" s="72">
        <f t="shared" si="1"/>
        <v>0</v>
      </c>
      <c r="O64" s="72">
        <f t="shared" si="2"/>
        <v>0</v>
      </c>
      <c r="P64" s="72">
        <f t="shared" si="3"/>
        <v>0</v>
      </c>
      <c r="Q64" s="72">
        <f t="shared" si="4"/>
        <v>0</v>
      </c>
      <c r="R64" s="72">
        <f t="shared" si="5"/>
        <v>0</v>
      </c>
    </row>
    <row r="65" spans="1:18" x14ac:dyDescent="0.25">
      <c r="A65" s="26"/>
      <c r="B65" s="25" t="s">
        <v>385</v>
      </c>
      <c r="C65" s="15">
        <v>16</v>
      </c>
      <c r="D65" s="16"/>
      <c r="E65" s="15">
        <v>2</v>
      </c>
      <c r="F65" s="11">
        <v>1</v>
      </c>
      <c r="G65" s="11">
        <v>2</v>
      </c>
      <c r="H65" s="12">
        <v>0.3</v>
      </c>
      <c r="I65" s="12">
        <v>4.0599999999999996</v>
      </c>
      <c r="J65" s="22">
        <v>0.3</v>
      </c>
      <c r="K65" s="22"/>
      <c r="L65" s="72">
        <f>SUM(H65:J65)+K65</f>
        <v>4.6599999999999993</v>
      </c>
      <c r="M65" s="72">
        <f t="shared" si="0"/>
        <v>0</v>
      </c>
      <c r="N65" s="72">
        <f t="shared" si="1"/>
        <v>0</v>
      </c>
      <c r="O65" s="72">
        <f t="shared" si="2"/>
        <v>0</v>
      </c>
      <c r="P65" s="72">
        <f t="shared" si="3"/>
        <v>18.64</v>
      </c>
      <c r="Q65" s="72">
        <f t="shared" si="4"/>
        <v>0</v>
      </c>
      <c r="R65" s="72">
        <f t="shared" si="5"/>
        <v>0</v>
      </c>
    </row>
    <row r="66" spans="1:18" x14ac:dyDescent="0.25">
      <c r="A66" s="26"/>
      <c r="B66" s="25" t="s">
        <v>432</v>
      </c>
      <c r="C66" s="15">
        <v>16</v>
      </c>
      <c r="D66" s="16"/>
      <c r="E66" s="15">
        <v>2</v>
      </c>
      <c r="F66" s="11">
        <v>1</v>
      </c>
      <c r="G66" s="11">
        <v>2</v>
      </c>
      <c r="H66" s="12">
        <v>0.3</v>
      </c>
      <c r="I66" s="12">
        <v>4.0599999999999996</v>
      </c>
      <c r="J66" s="22">
        <v>0.3</v>
      </c>
      <c r="K66" s="22"/>
      <c r="L66" s="72">
        <f t="shared" ref="L66" si="67">SUM(H66:J66)+K66</f>
        <v>4.6599999999999993</v>
      </c>
      <c r="M66" s="72">
        <f t="shared" si="0"/>
        <v>0</v>
      </c>
      <c r="N66" s="72">
        <f t="shared" si="1"/>
        <v>0</v>
      </c>
      <c r="O66" s="72">
        <f t="shared" si="2"/>
        <v>0</v>
      </c>
      <c r="P66" s="72">
        <f t="shared" si="3"/>
        <v>18.64</v>
      </c>
      <c r="Q66" s="72">
        <f t="shared" si="4"/>
        <v>0</v>
      </c>
      <c r="R66" s="72">
        <f t="shared" si="5"/>
        <v>0</v>
      </c>
    </row>
    <row r="67" spans="1:18" x14ac:dyDescent="0.25">
      <c r="A67" s="26"/>
      <c r="B67" s="25" t="s">
        <v>434</v>
      </c>
      <c r="C67" s="15">
        <v>8</v>
      </c>
      <c r="D67" s="16">
        <v>100</v>
      </c>
      <c r="E67" s="15">
        <v>2</v>
      </c>
      <c r="F67" s="11">
        <v>1</v>
      </c>
      <c r="G67" s="11">
        <f>+ROUND(1.8/0.1,0)</f>
        <v>18</v>
      </c>
      <c r="H67" s="12"/>
      <c r="I67" s="12">
        <f t="shared" ref="I67:I68" si="68">2*(0.14+0.39)+24*C67/1000</f>
        <v>1.252</v>
      </c>
      <c r="J67" s="22"/>
      <c r="K67" s="47"/>
      <c r="L67" s="72">
        <f>SUM(H67:J67)+K67</f>
        <v>1.252</v>
      </c>
      <c r="M67" s="72">
        <f t="shared" si="0"/>
        <v>45.07</v>
      </c>
      <c r="N67" s="72">
        <f t="shared" si="1"/>
        <v>0</v>
      </c>
      <c r="O67" s="72">
        <f t="shared" si="2"/>
        <v>0</v>
      </c>
      <c r="P67" s="72">
        <f t="shared" si="3"/>
        <v>0</v>
      </c>
      <c r="Q67" s="72">
        <f t="shared" si="4"/>
        <v>0</v>
      </c>
      <c r="R67" s="72">
        <f t="shared" si="5"/>
        <v>0</v>
      </c>
    </row>
    <row r="68" spans="1:18" x14ac:dyDescent="0.25">
      <c r="A68" s="26"/>
      <c r="B68" s="25"/>
      <c r="C68" s="15">
        <v>8</v>
      </c>
      <c r="D68" s="16">
        <v>150</v>
      </c>
      <c r="E68" s="15">
        <v>2</v>
      </c>
      <c r="F68" s="11">
        <v>1</v>
      </c>
      <c r="G68" s="11">
        <f>+ROUND(1.36/0.15+1,0)</f>
        <v>10</v>
      </c>
      <c r="H68" s="12"/>
      <c r="I68" s="12">
        <f t="shared" si="68"/>
        <v>1.252</v>
      </c>
      <c r="J68" s="22"/>
      <c r="K68" s="22"/>
      <c r="L68" s="72">
        <f t="shared" ref="L68" si="69">SUM(H68:J68)+K68</f>
        <v>1.252</v>
      </c>
      <c r="M68" s="72">
        <f t="shared" si="0"/>
        <v>25.04</v>
      </c>
      <c r="N68" s="72">
        <f t="shared" si="1"/>
        <v>0</v>
      </c>
      <c r="O68" s="72">
        <f t="shared" si="2"/>
        <v>0</v>
      </c>
      <c r="P68" s="72">
        <f t="shared" si="3"/>
        <v>0</v>
      </c>
      <c r="Q68" s="72">
        <f t="shared" si="4"/>
        <v>0</v>
      </c>
      <c r="R68" s="72">
        <f t="shared" si="5"/>
        <v>0</v>
      </c>
    </row>
    <row r="69" spans="1:18" x14ac:dyDescent="0.25">
      <c r="A69" s="26" t="s">
        <v>442</v>
      </c>
      <c r="B69" s="45" t="s">
        <v>603</v>
      </c>
      <c r="C69" s="15"/>
      <c r="D69" s="16"/>
      <c r="E69" s="15"/>
      <c r="F69" s="11"/>
      <c r="G69" s="11"/>
      <c r="H69" s="12"/>
      <c r="I69" s="12"/>
      <c r="J69" s="22"/>
      <c r="K69" s="22"/>
      <c r="L69" s="72">
        <f>SUM(H69:J69)+K69</f>
        <v>0</v>
      </c>
      <c r="M69" s="72">
        <f t="shared" ref="M69:M74" si="70">+ROUND(IF(C69=8,PRODUCT(E69,F69,G69,L69),0),2)</f>
        <v>0</v>
      </c>
      <c r="N69" s="72">
        <f t="shared" ref="N69:N74" si="71">+ROUND(IF(C69=10,PRODUCT(E69,F69,G69,L69),0),2)</f>
        <v>0</v>
      </c>
      <c r="O69" s="72">
        <f t="shared" ref="O69:O74" si="72">+ROUND(IF(C69=12,PRODUCT(E69,F69,G69,L69),0),2)</f>
        <v>0</v>
      </c>
      <c r="P69" s="72">
        <f t="shared" ref="P69:P74" si="73">+ROUND(IF(C69=16,PRODUCT(E69,F69,G69,L69),0),2)</f>
        <v>0</v>
      </c>
      <c r="Q69" s="72">
        <f t="shared" ref="Q69:Q74" si="74">+ROUND(IF(C69=20,PRODUCT(E69,F69,G69,L69),0),2)</f>
        <v>0</v>
      </c>
      <c r="R69" s="72">
        <f t="shared" ref="R69:R74" si="75">+ROUND(IF(C69=25,PRODUCT(E69,F69,G69,L69),0),2)</f>
        <v>0</v>
      </c>
    </row>
    <row r="70" spans="1:18" x14ac:dyDescent="0.25">
      <c r="A70" s="26"/>
      <c r="B70" s="25" t="s">
        <v>385</v>
      </c>
      <c r="C70" s="15">
        <v>16</v>
      </c>
      <c r="D70" s="16"/>
      <c r="E70" s="15">
        <v>2</v>
      </c>
      <c r="F70" s="11">
        <v>1</v>
      </c>
      <c r="G70" s="11">
        <v>2</v>
      </c>
      <c r="H70" s="12">
        <v>0.3</v>
      </c>
      <c r="I70" s="12">
        <f>6.365-0.06</f>
        <v>6.3050000000000006</v>
      </c>
      <c r="J70" s="22">
        <v>0.3</v>
      </c>
      <c r="K70" s="22"/>
      <c r="L70" s="72">
        <f>SUM(H70:J70)+K70</f>
        <v>6.9050000000000002</v>
      </c>
      <c r="M70" s="72">
        <f t="shared" si="70"/>
        <v>0</v>
      </c>
      <c r="N70" s="72">
        <f t="shared" si="71"/>
        <v>0</v>
      </c>
      <c r="O70" s="72">
        <f t="shared" si="72"/>
        <v>0</v>
      </c>
      <c r="P70" s="72">
        <f t="shared" si="73"/>
        <v>27.62</v>
      </c>
      <c r="Q70" s="72">
        <f t="shared" si="74"/>
        <v>0</v>
      </c>
      <c r="R70" s="72">
        <f t="shared" si="75"/>
        <v>0</v>
      </c>
    </row>
    <row r="71" spans="1:18" x14ac:dyDescent="0.25">
      <c r="A71" s="26"/>
      <c r="B71" s="25" t="s">
        <v>432</v>
      </c>
      <c r="C71" s="15">
        <v>16</v>
      </c>
      <c r="D71" s="16"/>
      <c r="E71" s="15">
        <v>2</v>
      </c>
      <c r="F71" s="11">
        <v>1</v>
      </c>
      <c r="G71" s="11">
        <v>2</v>
      </c>
      <c r="H71" s="12">
        <v>0.3</v>
      </c>
      <c r="I71" s="12">
        <f>6.365-0.06</f>
        <v>6.3050000000000006</v>
      </c>
      <c r="J71" s="22">
        <v>0.3</v>
      </c>
      <c r="K71" s="22"/>
      <c r="L71" s="72">
        <f t="shared" ref="L71" si="76">SUM(H71:J71)+K71</f>
        <v>6.9050000000000002</v>
      </c>
      <c r="M71" s="72">
        <f t="shared" si="70"/>
        <v>0</v>
      </c>
      <c r="N71" s="72">
        <f t="shared" si="71"/>
        <v>0</v>
      </c>
      <c r="O71" s="72">
        <f t="shared" si="72"/>
        <v>0</v>
      </c>
      <c r="P71" s="72">
        <f t="shared" si="73"/>
        <v>27.62</v>
      </c>
      <c r="Q71" s="72">
        <f t="shared" si="74"/>
        <v>0</v>
      </c>
      <c r="R71" s="72">
        <f t="shared" si="75"/>
        <v>0</v>
      </c>
    </row>
    <row r="72" spans="1:18" x14ac:dyDescent="0.25">
      <c r="A72" s="26"/>
      <c r="B72" s="25" t="s">
        <v>453</v>
      </c>
      <c r="C72" s="15">
        <v>8</v>
      </c>
      <c r="D72" s="16">
        <v>100</v>
      </c>
      <c r="E72" s="15">
        <v>2</v>
      </c>
      <c r="F72" s="11">
        <v>1</v>
      </c>
      <c r="G72" s="11">
        <f>+ROUND(2.05/0.1,0)</f>
        <v>21</v>
      </c>
      <c r="H72" s="12"/>
      <c r="I72" s="12">
        <f t="shared" ref="I72:I74" si="77">2*(0.14+0.39)+24*C72/1000</f>
        <v>1.252</v>
      </c>
      <c r="J72" s="22"/>
      <c r="K72" s="47"/>
      <c r="L72" s="72">
        <f>SUM(H72:J72)+K72</f>
        <v>1.252</v>
      </c>
      <c r="M72" s="72">
        <f t="shared" si="70"/>
        <v>52.58</v>
      </c>
      <c r="N72" s="72">
        <f t="shared" si="71"/>
        <v>0</v>
      </c>
      <c r="O72" s="72">
        <f t="shared" si="72"/>
        <v>0</v>
      </c>
      <c r="P72" s="72">
        <f t="shared" si="73"/>
        <v>0</v>
      </c>
      <c r="Q72" s="72">
        <f t="shared" si="74"/>
        <v>0</v>
      </c>
      <c r="R72" s="72">
        <f t="shared" si="75"/>
        <v>0</v>
      </c>
    </row>
    <row r="73" spans="1:18" x14ac:dyDescent="0.25">
      <c r="A73" s="26"/>
      <c r="B73" s="25"/>
      <c r="C73" s="15">
        <v>8</v>
      </c>
      <c r="D73" s="16">
        <v>150</v>
      </c>
      <c r="E73" s="15">
        <v>2</v>
      </c>
      <c r="F73" s="11">
        <v>1</v>
      </c>
      <c r="G73" s="11">
        <f>+ROUND(2.05/0.15+1,0)</f>
        <v>15</v>
      </c>
      <c r="H73" s="12"/>
      <c r="I73" s="12">
        <f t="shared" si="77"/>
        <v>1.252</v>
      </c>
      <c r="J73" s="22"/>
      <c r="K73" s="22"/>
      <c r="L73" s="72">
        <f t="shared" ref="L73" si="78">SUM(H73:J73)+K73</f>
        <v>1.252</v>
      </c>
      <c r="M73" s="72">
        <f t="shared" si="70"/>
        <v>37.56</v>
      </c>
      <c r="N73" s="72">
        <f t="shared" si="71"/>
        <v>0</v>
      </c>
      <c r="O73" s="72">
        <f t="shared" si="72"/>
        <v>0</v>
      </c>
      <c r="P73" s="72">
        <f t="shared" si="73"/>
        <v>0</v>
      </c>
      <c r="Q73" s="72">
        <f t="shared" si="74"/>
        <v>0</v>
      </c>
      <c r="R73" s="72">
        <f t="shared" si="75"/>
        <v>0</v>
      </c>
    </row>
    <row r="74" spans="1:18" x14ac:dyDescent="0.25">
      <c r="A74" s="26"/>
      <c r="B74" s="25" t="s">
        <v>453</v>
      </c>
      <c r="C74" s="15">
        <v>8</v>
      </c>
      <c r="D74" s="16">
        <v>100</v>
      </c>
      <c r="E74" s="15">
        <v>2</v>
      </c>
      <c r="F74" s="11">
        <v>1</v>
      </c>
      <c r="G74" s="11">
        <f>+ROUND(1.6/0.1,0)</f>
        <v>16</v>
      </c>
      <c r="H74" s="12"/>
      <c r="I74" s="12">
        <f t="shared" si="77"/>
        <v>1.252</v>
      </c>
      <c r="J74" s="22"/>
      <c r="K74" s="47"/>
      <c r="L74" s="72">
        <f>SUM(H74:J74)+K74</f>
        <v>1.252</v>
      </c>
      <c r="M74" s="72">
        <f t="shared" si="70"/>
        <v>40.06</v>
      </c>
      <c r="N74" s="72">
        <f t="shared" si="71"/>
        <v>0</v>
      </c>
      <c r="O74" s="72">
        <f t="shared" si="72"/>
        <v>0</v>
      </c>
      <c r="P74" s="72">
        <f t="shared" si="73"/>
        <v>0</v>
      </c>
      <c r="Q74" s="72">
        <f t="shared" si="74"/>
        <v>0</v>
      </c>
      <c r="R74" s="72">
        <f t="shared" si="75"/>
        <v>0</v>
      </c>
    </row>
    <row r="75" spans="1:18" x14ac:dyDescent="0.25">
      <c r="A75" s="26" t="s">
        <v>442</v>
      </c>
      <c r="B75" s="45" t="s">
        <v>604</v>
      </c>
      <c r="C75" s="15"/>
      <c r="D75" s="16"/>
      <c r="E75" s="15"/>
      <c r="F75" s="11"/>
      <c r="G75" s="11"/>
      <c r="H75" s="12"/>
      <c r="I75" s="12"/>
      <c r="J75" s="22"/>
      <c r="K75" s="22"/>
      <c r="L75" s="72">
        <f t="shared" ref="L75" si="79">SUM(H75:J75)+K75</f>
        <v>0</v>
      </c>
      <c r="M75" s="72">
        <f t="shared" si="0"/>
        <v>0</v>
      </c>
      <c r="N75" s="72">
        <f t="shared" si="1"/>
        <v>0</v>
      </c>
      <c r="O75" s="72">
        <f t="shared" si="2"/>
        <v>0</v>
      </c>
      <c r="P75" s="72">
        <f t="shared" si="3"/>
        <v>0</v>
      </c>
      <c r="Q75" s="72">
        <f t="shared" si="4"/>
        <v>0</v>
      </c>
      <c r="R75" s="72">
        <f t="shared" si="5"/>
        <v>0</v>
      </c>
    </row>
    <row r="76" spans="1:18" x14ac:dyDescent="0.25">
      <c r="A76" s="26"/>
      <c r="B76" s="25" t="s">
        <v>385</v>
      </c>
      <c r="C76" s="15">
        <v>16</v>
      </c>
      <c r="D76" s="16"/>
      <c r="E76" s="15">
        <v>2</v>
      </c>
      <c r="F76" s="11">
        <v>1</v>
      </c>
      <c r="G76" s="11">
        <v>2</v>
      </c>
      <c r="H76" s="12">
        <v>0.3</v>
      </c>
      <c r="I76" s="12">
        <f>5.89-0.06</f>
        <v>5.83</v>
      </c>
      <c r="J76" s="22">
        <v>0.3</v>
      </c>
      <c r="K76" s="22"/>
      <c r="L76" s="72">
        <f>SUM(H76:J76)+K76</f>
        <v>6.43</v>
      </c>
      <c r="M76" s="72">
        <f t="shared" si="0"/>
        <v>0</v>
      </c>
      <c r="N76" s="72">
        <f t="shared" si="1"/>
        <v>0</v>
      </c>
      <c r="O76" s="72">
        <f t="shared" si="2"/>
        <v>0</v>
      </c>
      <c r="P76" s="72">
        <f t="shared" si="3"/>
        <v>25.72</v>
      </c>
      <c r="Q76" s="72">
        <f t="shared" si="4"/>
        <v>0</v>
      </c>
      <c r="R76" s="72">
        <f t="shared" si="5"/>
        <v>0</v>
      </c>
    </row>
    <row r="77" spans="1:18" x14ac:dyDescent="0.25">
      <c r="A77" s="26"/>
      <c r="B77" s="25" t="s">
        <v>432</v>
      </c>
      <c r="C77" s="15">
        <v>16</v>
      </c>
      <c r="D77" s="16"/>
      <c r="E77" s="15">
        <v>2</v>
      </c>
      <c r="F77" s="11">
        <v>1</v>
      </c>
      <c r="G77" s="11">
        <v>2</v>
      </c>
      <c r="H77" s="12">
        <v>0.3</v>
      </c>
      <c r="I77" s="12">
        <f>5.89-0.06</f>
        <v>5.83</v>
      </c>
      <c r="J77" s="22">
        <v>0.3</v>
      </c>
      <c r="K77" s="22"/>
      <c r="L77" s="72">
        <f t="shared" ref="L77" si="80">SUM(H77:J77)+K77</f>
        <v>6.43</v>
      </c>
      <c r="M77" s="72">
        <f t="shared" si="0"/>
        <v>0</v>
      </c>
      <c r="N77" s="72">
        <f t="shared" si="1"/>
        <v>0</v>
      </c>
      <c r="O77" s="72">
        <f t="shared" si="2"/>
        <v>0</v>
      </c>
      <c r="P77" s="72">
        <f t="shared" si="3"/>
        <v>25.72</v>
      </c>
      <c r="Q77" s="72">
        <f t="shared" si="4"/>
        <v>0</v>
      </c>
      <c r="R77" s="72">
        <f t="shared" si="5"/>
        <v>0</v>
      </c>
    </row>
    <row r="78" spans="1:18" x14ac:dyDescent="0.25">
      <c r="A78" s="26"/>
      <c r="B78" s="25" t="s">
        <v>434</v>
      </c>
      <c r="C78" s="15">
        <v>8</v>
      </c>
      <c r="D78" s="16">
        <v>100</v>
      </c>
      <c r="E78" s="15">
        <v>2</v>
      </c>
      <c r="F78" s="11">
        <v>1</v>
      </c>
      <c r="G78" s="11">
        <f>+ROUND(2.345/0.1,0)</f>
        <v>23</v>
      </c>
      <c r="H78" s="12"/>
      <c r="I78" s="12">
        <f t="shared" ref="I78:I79" si="81">2*(0.14+0.39)+24*C78/1000</f>
        <v>1.252</v>
      </c>
      <c r="J78" s="22"/>
      <c r="K78" s="47"/>
      <c r="L78" s="72">
        <f>SUM(H78:J78)+K78</f>
        <v>1.252</v>
      </c>
      <c r="M78" s="72">
        <f t="shared" si="0"/>
        <v>57.59</v>
      </c>
      <c r="N78" s="72">
        <f t="shared" si="1"/>
        <v>0</v>
      </c>
      <c r="O78" s="72">
        <f t="shared" si="2"/>
        <v>0</v>
      </c>
      <c r="P78" s="72">
        <f t="shared" si="3"/>
        <v>0</v>
      </c>
      <c r="Q78" s="72">
        <f t="shared" si="4"/>
        <v>0</v>
      </c>
      <c r="R78" s="72">
        <f t="shared" si="5"/>
        <v>0</v>
      </c>
    </row>
    <row r="79" spans="1:18" x14ac:dyDescent="0.25">
      <c r="A79" s="26"/>
      <c r="B79" s="25"/>
      <c r="C79" s="15">
        <v>8</v>
      </c>
      <c r="D79" s="16">
        <v>150</v>
      </c>
      <c r="E79" s="15">
        <v>2</v>
      </c>
      <c r="F79" s="11">
        <v>1</v>
      </c>
      <c r="G79" s="11">
        <f>+ROUND(2.345/0.15+1,0)</f>
        <v>17</v>
      </c>
      <c r="H79" s="12"/>
      <c r="I79" s="12">
        <f t="shared" si="81"/>
        <v>1.252</v>
      </c>
      <c r="J79" s="22"/>
      <c r="K79" s="22"/>
      <c r="L79" s="72">
        <f t="shared" ref="L79" si="82">SUM(H79:J79)+K79</f>
        <v>1.252</v>
      </c>
      <c r="M79" s="72">
        <f t="shared" si="0"/>
        <v>42.57</v>
      </c>
      <c r="N79" s="72">
        <f t="shared" si="1"/>
        <v>0</v>
      </c>
      <c r="O79" s="72">
        <f t="shared" si="2"/>
        <v>0</v>
      </c>
      <c r="P79" s="72">
        <f t="shared" si="3"/>
        <v>0</v>
      </c>
      <c r="Q79" s="72">
        <f t="shared" si="4"/>
        <v>0</v>
      </c>
      <c r="R79" s="72">
        <f t="shared" si="5"/>
        <v>0</v>
      </c>
    </row>
    <row r="80" spans="1:18" x14ac:dyDescent="0.25">
      <c r="A80" s="26" t="s">
        <v>442</v>
      </c>
      <c r="B80" s="45" t="s">
        <v>605</v>
      </c>
      <c r="C80" s="15"/>
      <c r="D80" s="16"/>
      <c r="E80" s="15"/>
      <c r="F80" s="11"/>
      <c r="G80" s="11"/>
      <c r="H80" s="12"/>
      <c r="I80" s="12"/>
      <c r="J80" s="22"/>
      <c r="K80" s="22"/>
      <c r="L80" s="72">
        <f t="shared" ref="L80" si="83">SUM(H80:J80)+K80</f>
        <v>0</v>
      </c>
      <c r="M80" s="72">
        <f t="shared" si="0"/>
        <v>0</v>
      </c>
      <c r="N80" s="72">
        <f t="shared" si="1"/>
        <v>0</v>
      </c>
      <c r="O80" s="72">
        <f t="shared" si="2"/>
        <v>0</v>
      </c>
      <c r="P80" s="72">
        <f t="shared" si="3"/>
        <v>0</v>
      </c>
      <c r="Q80" s="72">
        <f t="shared" si="4"/>
        <v>0</v>
      </c>
      <c r="R80" s="72">
        <f t="shared" si="5"/>
        <v>0</v>
      </c>
    </row>
    <row r="81" spans="1:18" x14ac:dyDescent="0.25">
      <c r="A81" s="26"/>
      <c r="B81" s="25" t="s">
        <v>385</v>
      </c>
      <c r="C81" s="15">
        <v>16</v>
      </c>
      <c r="D81" s="16"/>
      <c r="E81" s="15">
        <v>1</v>
      </c>
      <c r="F81" s="11">
        <v>1</v>
      </c>
      <c r="G81" s="11">
        <v>2</v>
      </c>
      <c r="H81" s="12">
        <v>0.3</v>
      </c>
      <c r="I81" s="12">
        <f>12.95-0.06</f>
        <v>12.889999999999999</v>
      </c>
      <c r="J81" s="22">
        <v>0.3</v>
      </c>
      <c r="K81" s="22">
        <f>49*C81/1000</f>
        <v>0.78400000000000003</v>
      </c>
      <c r="L81" s="72">
        <f>SUM(H81:J81)+K81</f>
        <v>14.274000000000001</v>
      </c>
      <c r="M81" s="72">
        <f t="shared" si="0"/>
        <v>0</v>
      </c>
      <c r="N81" s="72">
        <f t="shared" si="1"/>
        <v>0</v>
      </c>
      <c r="O81" s="72">
        <f t="shared" si="2"/>
        <v>0</v>
      </c>
      <c r="P81" s="72">
        <f t="shared" si="3"/>
        <v>28.55</v>
      </c>
      <c r="Q81" s="72">
        <f t="shared" si="4"/>
        <v>0</v>
      </c>
      <c r="R81" s="72">
        <f t="shared" si="5"/>
        <v>0</v>
      </c>
    </row>
    <row r="82" spans="1:18" x14ac:dyDescent="0.25">
      <c r="A82" s="26"/>
      <c r="B82" s="25" t="s">
        <v>432</v>
      </c>
      <c r="C82" s="15">
        <v>16</v>
      </c>
      <c r="D82" s="16"/>
      <c r="E82" s="15">
        <v>1</v>
      </c>
      <c r="F82" s="11">
        <v>1</v>
      </c>
      <c r="G82" s="11">
        <v>2</v>
      </c>
      <c r="H82" s="12">
        <v>0.3</v>
      </c>
      <c r="I82" s="12">
        <f>12.95-0.06</f>
        <v>12.889999999999999</v>
      </c>
      <c r="J82" s="22">
        <v>0.3</v>
      </c>
      <c r="K82" s="22">
        <f>49*C82/1000</f>
        <v>0.78400000000000003</v>
      </c>
      <c r="L82" s="72">
        <f t="shared" ref="L82" si="84">SUM(H82:J82)+K82</f>
        <v>14.274000000000001</v>
      </c>
      <c r="M82" s="72">
        <f t="shared" si="0"/>
        <v>0</v>
      </c>
      <c r="N82" s="72">
        <f t="shared" si="1"/>
        <v>0</v>
      </c>
      <c r="O82" s="72">
        <f t="shared" si="2"/>
        <v>0</v>
      </c>
      <c r="P82" s="72">
        <f t="shared" si="3"/>
        <v>28.55</v>
      </c>
      <c r="Q82" s="72">
        <f t="shared" si="4"/>
        <v>0</v>
      </c>
      <c r="R82" s="72">
        <f t="shared" si="5"/>
        <v>0</v>
      </c>
    </row>
    <row r="83" spans="1:18" x14ac:dyDescent="0.25">
      <c r="A83" s="26"/>
      <c r="B83" s="25" t="s">
        <v>450</v>
      </c>
      <c r="C83" s="15">
        <v>12</v>
      </c>
      <c r="D83" s="16"/>
      <c r="E83" s="15">
        <v>1</v>
      </c>
      <c r="F83" s="11">
        <v>2</v>
      </c>
      <c r="G83" s="11">
        <v>2</v>
      </c>
      <c r="H83" s="12"/>
      <c r="I83" s="12">
        <v>4.3600000000000003</v>
      </c>
      <c r="J83" s="22"/>
      <c r="K83" s="22"/>
      <c r="L83" s="72">
        <f t="shared" ref="L83" si="85">SUM(H83:J83)+K83</f>
        <v>4.3600000000000003</v>
      </c>
      <c r="M83" s="72">
        <f t="shared" si="0"/>
        <v>0</v>
      </c>
      <c r="N83" s="72">
        <f t="shared" si="1"/>
        <v>0</v>
      </c>
      <c r="O83" s="72">
        <f t="shared" si="2"/>
        <v>17.440000000000001</v>
      </c>
      <c r="P83" s="72">
        <f t="shared" si="3"/>
        <v>0</v>
      </c>
      <c r="Q83" s="72">
        <f t="shared" si="4"/>
        <v>0</v>
      </c>
      <c r="R83" s="72">
        <f t="shared" si="5"/>
        <v>0</v>
      </c>
    </row>
    <row r="84" spans="1:18" x14ac:dyDescent="0.25">
      <c r="A84" s="26"/>
      <c r="B84" s="25" t="s">
        <v>433</v>
      </c>
      <c r="C84" s="15">
        <v>12</v>
      </c>
      <c r="D84" s="16"/>
      <c r="E84" s="15">
        <v>1</v>
      </c>
      <c r="F84" s="11">
        <v>1</v>
      </c>
      <c r="G84" s="11">
        <v>2</v>
      </c>
      <c r="H84" s="12"/>
      <c r="I84" s="12">
        <v>3.83</v>
      </c>
      <c r="J84" s="22"/>
      <c r="K84" s="22"/>
      <c r="L84" s="72">
        <f t="shared" ref="L84" si="86">SUM(H84:J84)+K84</f>
        <v>3.83</v>
      </c>
      <c r="M84" s="72">
        <f t="shared" si="0"/>
        <v>0</v>
      </c>
      <c r="N84" s="72">
        <f t="shared" si="1"/>
        <v>0</v>
      </c>
      <c r="O84" s="72">
        <f t="shared" si="2"/>
        <v>7.66</v>
      </c>
      <c r="P84" s="72">
        <f t="shared" si="3"/>
        <v>0</v>
      </c>
      <c r="Q84" s="72">
        <f t="shared" si="4"/>
        <v>0</v>
      </c>
      <c r="R84" s="72">
        <f t="shared" si="5"/>
        <v>0</v>
      </c>
    </row>
    <row r="85" spans="1:18" x14ac:dyDescent="0.25">
      <c r="A85" s="26"/>
      <c r="B85" s="25" t="s">
        <v>433</v>
      </c>
      <c r="C85" s="15">
        <v>12</v>
      </c>
      <c r="D85" s="16"/>
      <c r="E85" s="15">
        <v>1</v>
      </c>
      <c r="F85" s="11">
        <v>2</v>
      </c>
      <c r="G85" s="11">
        <v>2</v>
      </c>
      <c r="H85" s="12">
        <v>0.3</v>
      </c>
      <c r="I85" s="12">
        <f>2.4-0.03</f>
        <v>2.37</v>
      </c>
      <c r="J85" s="22"/>
      <c r="K85" s="22"/>
      <c r="L85" s="72">
        <f t="shared" ref="L85" si="87">SUM(H85:J85)+K85</f>
        <v>2.67</v>
      </c>
      <c r="M85" s="72">
        <f t="shared" si="0"/>
        <v>0</v>
      </c>
      <c r="N85" s="72">
        <f t="shared" si="1"/>
        <v>0</v>
      </c>
      <c r="O85" s="72">
        <f t="shared" si="2"/>
        <v>10.68</v>
      </c>
      <c r="P85" s="72">
        <f t="shared" si="3"/>
        <v>0</v>
      </c>
      <c r="Q85" s="72">
        <f t="shared" si="4"/>
        <v>0</v>
      </c>
      <c r="R85" s="72">
        <f t="shared" si="5"/>
        <v>0</v>
      </c>
    </row>
    <row r="86" spans="1:18" x14ac:dyDescent="0.25">
      <c r="A86" s="26"/>
      <c r="B86" s="25" t="s">
        <v>434</v>
      </c>
      <c r="C86" s="15">
        <v>8</v>
      </c>
      <c r="D86" s="16">
        <v>100</v>
      </c>
      <c r="E86" s="15">
        <v>1</v>
      </c>
      <c r="F86" s="11">
        <v>2</v>
      </c>
      <c r="G86" s="11">
        <f>+ROUND(2.89/0.1,0)</f>
        <v>29</v>
      </c>
      <c r="H86" s="12"/>
      <c r="I86" s="12">
        <f t="shared" ref="I86:I87" si="88">2*(0.14+0.39)+24*C86/1000</f>
        <v>1.252</v>
      </c>
      <c r="J86" s="22"/>
      <c r="K86" s="47"/>
      <c r="L86" s="72">
        <f>SUM(H86:J86)+K86</f>
        <v>1.252</v>
      </c>
      <c r="M86" s="72">
        <f t="shared" si="0"/>
        <v>72.62</v>
      </c>
      <c r="N86" s="72">
        <f t="shared" si="1"/>
        <v>0</v>
      </c>
      <c r="O86" s="72">
        <f t="shared" si="2"/>
        <v>0</v>
      </c>
      <c r="P86" s="72">
        <f t="shared" si="3"/>
        <v>0</v>
      </c>
      <c r="Q86" s="72">
        <f t="shared" si="4"/>
        <v>0</v>
      </c>
      <c r="R86" s="72">
        <f t="shared" si="5"/>
        <v>0</v>
      </c>
    </row>
    <row r="87" spans="1:18" x14ac:dyDescent="0.25">
      <c r="A87" s="26"/>
      <c r="B87" s="25"/>
      <c r="C87" s="15">
        <v>8</v>
      </c>
      <c r="D87" s="16">
        <v>150</v>
      </c>
      <c r="E87" s="15">
        <v>1</v>
      </c>
      <c r="F87" s="11">
        <v>2</v>
      </c>
      <c r="G87" s="11">
        <f>+ROUND(2.89/0.15+1,0)</f>
        <v>20</v>
      </c>
      <c r="H87" s="12"/>
      <c r="I87" s="12">
        <f t="shared" si="88"/>
        <v>1.252</v>
      </c>
      <c r="J87" s="22"/>
      <c r="K87" s="22"/>
      <c r="L87" s="72">
        <f t="shared" ref="L87" si="89">SUM(H87:J87)+K87</f>
        <v>1.252</v>
      </c>
      <c r="M87" s="72">
        <f t="shared" si="0"/>
        <v>50.08</v>
      </c>
      <c r="N87" s="72">
        <f t="shared" si="1"/>
        <v>0</v>
      </c>
      <c r="O87" s="72">
        <f t="shared" si="2"/>
        <v>0</v>
      </c>
      <c r="P87" s="72">
        <f t="shared" si="3"/>
        <v>0</v>
      </c>
      <c r="Q87" s="72">
        <f t="shared" si="4"/>
        <v>0</v>
      </c>
      <c r="R87" s="72">
        <f t="shared" si="5"/>
        <v>0</v>
      </c>
    </row>
    <row r="88" spans="1:18" x14ac:dyDescent="0.25">
      <c r="A88" s="26" t="s">
        <v>442</v>
      </c>
      <c r="B88" s="45" t="s">
        <v>606</v>
      </c>
      <c r="C88" s="15"/>
      <c r="D88" s="16"/>
      <c r="E88" s="15"/>
      <c r="F88" s="11"/>
      <c r="G88" s="11"/>
      <c r="H88" s="12"/>
      <c r="I88" s="12"/>
      <c r="J88" s="22"/>
      <c r="K88" s="22"/>
      <c r="L88" s="72">
        <f t="shared" ref="L88" si="90">SUM(H88:J88)+K88</f>
        <v>0</v>
      </c>
      <c r="M88" s="72">
        <f t="shared" si="0"/>
        <v>0</v>
      </c>
      <c r="N88" s="72">
        <f t="shared" si="1"/>
        <v>0</v>
      </c>
      <c r="O88" s="72">
        <f t="shared" si="2"/>
        <v>0</v>
      </c>
      <c r="P88" s="72">
        <f t="shared" si="3"/>
        <v>0</v>
      </c>
      <c r="Q88" s="72">
        <f t="shared" si="4"/>
        <v>0</v>
      </c>
      <c r="R88" s="72">
        <f t="shared" si="5"/>
        <v>0</v>
      </c>
    </row>
    <row r="89" spans="1:18" x14ac:dyDescent="0.25">
      <c r="A89" s="26"/>
      <c r="B89" s="25" t="s">
        <v>385</v>
      </c>
      <c r="C89" s="15">
        <v>16</v>
      </c>
      <c r="D89" s="16"/>
      <c r="E89" s="15">
        <v>2</v>
      </c>
      <c r="F89" s="11">
        <v>1</v>
      </c>
      <c r="G89" s="11">
        <v>2</v>
      </c>
      <c r="H89" s="12">
        <v>0.3</v>
      </c>
      <c r="I89" s="12">
        <f>3.705-0.06</f>
        <v>3.645</v>
      </c>
      <c r="J89" s="22">
        <v>0.3</v>
      </c>
      <c r="K89" s="22"/>
      <c r="L89" s="72">
        <f>SUM(H89:J89)+K89</f>
        <v>4.2450000000000001</v>
      </c>
      <c r="M89" s="72">
        <f t="shared" si="0"/>
        <v>0</v>
      </c>
      <c r="N89" s="72">
        <f t="shared" si="1"/>
        <v>0</v>
      </c>
      <c r="O89" s="72">
        <f t="shared" si="2"/>
        <v>0</v>
      </c>
      <c r="P89" s="72">
        <f t="shared" si="3"/>
        <v>16.98</v>
      </c>
      <c r="Q89" s="72">
        <f t="shared" si="4"/>
        <v>0</v>
      </c>
      <c r="R89" s="72">
        <f t="shared" si="5"/>
        <v>0</v>
      </c>
    </row>
    <row r="90" spans="1:18" x14ac:dyDescent="0.25">
      <c r="A90" s="26"/>
      <c r="B90" s="25" t="s">
        <v>432</v>
      </c>
      <c r="C90" s="15">
        <v>16</v>
      </c>
      <c r="D90" s="16"/>
      <c r="E90" s="15">
        <v>2</v>
      </c>
      <c r="F90" s="11">
        <v>1</v>
      </c>
      <c r="G90" s="11">
        <v>2</v>
      </c>
      <c r="H90" s="12">
        <v>0.3</v>
      </c>
      <c r="I90" s="12">
        <f>3.705-0.06</f>
        <v>3.645</v>
      </c>
      <c r="J90" s="22">
        <v>0.3</v>
      </c>
      <c r="K90" s="22"/>
      <c r="L90" s="72">
        <f t="shared" ref="L90" si="91">SUM(H90:J90)+K90</f>
        <v>4.2450000000000001</v>
      </c>
      <c r="M90" s="72">
        <f t="shared" si="0"/>
        <v>0</v>
      </c>
      <c r="N90" s="72">
        <f t="shared" si="1"/>
        <v>0</v>
      </c>
      <c r="O90" s="72">
        <f t="shared" si="2"/>
        <v>0</v>
      </c>
      <c r="P90" s="72">
        <f t="shared" si="3"/>
        <v>16.98</v>
      </c>
      <c r="Q90" s="72">
        <f t="shared" si="4"/>
        <v>0</v>
      </c>
      <c r="R90" s="72">
        <f t="shared" si="5"/>
        <v>0</v>
      </c>
    </row>
    <row r="91" spans="1:18" x14ac:dyDescent="0.25">
      <c r="A91" s="26"/>
      <c r="B91" s="25" t="s">
        <v>453</v>
      </c>
      <c r="C91" s="15">
        <v>8</v>
      </c>
      <c r="D91" s="16">
        <v>100</v>
      </c>
      <c r="E91" s="15">
        <v>2</v>
      </c>
      <c r="F91" s="11">
        <v>1</v>
      </c>
      <c r="G91" s="11">
        <f>+ROUND(2.22/0.1+1,0)</f>
        <v>23</v>
      </c>
      <c r="H91" s="12"/>
      <c r="I91" s="12">
        <f t="shared" ref="I91" si="92">2*(0.14+0.39)+24*C91/1000</f>
        <v>1.252</v>
      </c>
      <c r="J91" s="22"/>
      <c r="K91" s="47"/>
      <c r="L91" s="72">
        <f>SUM(H91:J91)+K91</f>
        <v>1.252</v>
      </c>
      <c r="M91" s="72">
        <f t="shared" si="0"/>
        <v>57.59</v>
      </c>
      <c r="N91" s="72">
        <f t="shared" si="1"/>
        <v>0</v>
      </c>
      <c r="O91" s="72">
        <f t="shared" si="2"/>
        <v>0</v>
      </c>
      <c r="P91" s="72">
        <f t="shared" si="3"/>
        <v>0</v>
      </c>
      <c r="Q91" s="72">
        <f t="shared" si="4"/>
        <v>0</v>
      </c>
      <c r="R91" s="72">
        <f t="shared" si="5"/>
        <v>0</v>
      </c>
    </row>
    <row r="92" spans="1:18" x14ac:dyDescent="0.25">
      <c r="A92" s="26" t="s">
        <v>442</v>
      </c>
      <c r="B92" s="45" t="s">
        <v>612</v>
      </c>
      <c r="C92" s="15"/>
      <c r="D92" s="16"/>
      <c r="E92" s="15"/>
      <c r="F92" s="11"/>
      <c r="G92" s="11"/>
      <c r="H92" s="12"/>
      <c r="I92" s="12"/>
      <c r="J92" s="22"/>
      <c r="K92" s="22"/>
      <c r="L92" s="72">
        <f t="shared" ref="L92" si="93">SUM(H92:J92)+K92</f>
        <v>0</v>
      </c>
      <c r="M92" s="72">
        <f t="shared" si="0"/>
        <v>0</v>
      </c>
      <c r="N92" s="72">
        <f t="shared" si="1"/>
        <v>0</v>
      </c>
      <c r="O92" s="72">
        <f t="shared" si="2"/>
        <v>0</v>
      </c>
      <c r="P92" s="72">
        <f t="shared" si="3"/>
        <v>0</v>
      </c>
      <c r="Q92" s="72">
        <f t="shared" si="4"/>
        <v>0</v>
      </c>
      <c r="R92" s="72">
        <f t="shared" si="5"/>
        <v>0</v>
      </c>
    </row>
    <row r="93" spans="1:18" x14ac:dyDescent="0.25">
      <c r="A93" s="26"/>
      <c r="B93" s="25" t="s">
        <v>385</v>
      </c>
      <c r="C93" s="15">
        <v>16</v>
      </c>
      <c r="D93" s="16"/>
      <c r="E93" s="15">
        <v>2</v>
      </c>
      <c r="F93" s="11">
        <v>1</v>
      </c>
      <c r="G93" s="11">
        <v>2</v>
      </c>
      <c r="H93" s="12">
        <v>0.3</v>
      </c>
      <c r="I93" s="12">
        <v>4</v>
      </c>
      <c r="J93" s="22">
        <v>0.3</v>
      </c>
      <c r="K93" s="22"/>
      <c r="L93" s="72">
        <f>SUM(H93:J93)+K93</f>
        <v>4.5999999999999996</v>
      </c>
      <c r="M93" s="72">
        <f t="shared" si="0"/>
        <v>0</v>
      </c>
      <c r="N93" s="72">
        <f t="shared" si="1"/>
        <v>0</v>
      </c>
      <c r="O93" s="72">
        <f t="shared" si="2"/>
        <v>0</v>
      </c>
      <c r="P93" s="72">
        <f t="shared" si="3"/>
        <v>18.399999999999999</v>
      </c>
      <c r="Q93" s="72">
        <f t="shared" si="4"/>
        <v>0</v>
      </c>
      <c r="R93" s="72">
        <f t="shared" si="5"/>
        <v>0</v>
      </c>
    </row>
    <row r="94" spans="1:18" x14ac:dyDescent="0.25">
      <c r="A94" s="26"/>
      <c r="B94" s="25" t="s">
        <v>432</v>
      </c>
      <c r="C94" s="15">
        <v>16</v>
      </c>
      <c r="D94" s="16"/>
      <c r="E94" s="15">
        <v>2</v>
      </c>
      <c r="F94" s="11">
        <v>1</v>
      </c>
      <c r="G94" s="11">
        <v>2</v>
      </c>
      <c r="H94" s="12">
        <v>0.3</v>
      </c>
      <c r="I94" s="12">
        <v>4</v>
      </c>
      <c r="J94" s="22">
        <v>0.3</v>
      </c>
      <c r="K94" s="22"/>
      <c r="L94" s="72">
        <f t="shared" ref="L94" si="94">SUM(H94:J94)+K94</f>
        <v>4.5999999999999996</v>
      </c>
      <c r="M94" s="72">
        <f t="shared" si="0"/>
        <v>0</v>
      </c>
      <c r="N94" s="72">
        <f t="shared" si="1"/>
        <v>0</v>
      </c>
      <c r="O94" s="72">
        <f t="shared" si="2"/>
        <v>0</v>
      </c>
      <c r="P94" s="72">
        <f t="shared" si="3"/>
        <v>18.399999999999999</v>
      </c>
      <c r="Q94" s="72">
        <f t="shared" si="4"/>
        <v>0</v>
      </c>
      <c r="R94" s="72">
        <f t="shared" si="5"/>
        <v>0</v>
      </c>
    </row>
    <row r="95" spans="1:18" x14ac:dyDescent="0.25">
      <c r="A95" s="26"/>
      <c r="B95" s="25" t="s">
        <v>453</v>
      </c>
      <c r="C95" s="15">
        <v>8</v>
      </c>
      <c r="D95" s="16">
        <v>100</v>
      </c>
      <c r="E95" s="15">
        <v>2</v>
      </c>
      <c r="F95" s="11">
        <v>1</v>
      </c>
      <c r="G95" s="11">
        <f>+ROUND(3.115/0.1,0)</f>
        <v>31</v>
      </c>
      <c r="H95" s="12"/>
      <c r="I95" s="12">
        <f t="shared" ref="I95" si="95">2*(0.14+0.39)+24*C95/1000</f>
        <v>1.252</v>
      </c>
      <c r="J95" s="22"/>
      <c r="K95" s="47"/>
      <c r="L95" s="72">
        <f>SUM(H95:J95)+K95</f>
        <v>1.252</v>
      </c>
      <c r="M95" s="72">
        <f t="shared" si="0"/>
        <v>77.62</v>
      </c>
      <c r="N95" s="72">
        <f t="shared" si="1"/>
        <v>0</v>
      </c>
      <c r="O95" s="72">
        <f t="shared" si="2"/>
        <v>0</v>
      </c>
      <c r="P95" s="72">
        <f t="shared" si="3"/>
        <v>0</v>
      </c>
      <c r="Q95" s="72">
        <f t="shared" si="4"/>
        <v>0</v>
      </c>
      <c r="R95" s="72">
        <f t="shared" si="5"/>
        <v>0</v>
      </c>
    </row>
    <row r="96" spans="1:18" x14ac:dyDescent="0.25">
      <c r="A96" s="26" t="s">
        <v>442</v>
      </c>
      <c r="B96" s="45" t="s">
        <v>613</v>
      </c>
      <c r="C96" s="15"/>
      <c r="D96" s="16"/>
      <c r="E96" s="15"/>
      <c r="F96" s="11"/>
      <c r="G96" s="11"/>
      <c r="H96" s="12"/>
      <c r="I96" s="12"/>
      <c r="J96" s="22"/>
      <c r="K96" s="22"/>
      <c r="L96" s="72">
        <f t="shared" ref="L96" si="96">SUM(H96:J96)+K96</f>
        <v>0</v>
      </c>
      <c r="M96" s="72">
        <f t="shared" si="0"/>
        <v>0</v>
      </c>
      <c r="N96" s="72">
        <f t="shared" si="1"/>
        <v>0</v>
      </c>
      <c r="O96" s="72">
        <f t="shared" si="2"/>
        <v>0</v>
      </c>
      <c r="P96" s="72">
        <f t="shared" si="3"/>
        <v>0</v>
      </c>
      <c r="Q96" s="72">
        <f t="shared" si="4"/>
        <v>0</v>
      </c>
      <c r="R96" s="72">
        <f t="shared" si="5"/>
        <v>0</v>
      </c>
    </row>
    <row r="97" spans="1:18" x14ac:dyDescent="0.25">
      <c r="A97" s="26"/>
      <c r="B97" s="25" t="s">
        <v>385</v>
      </c>
      <c r="C97" s="15">
        <v>16</v>
      </c>
      <c r="D97" s="16"/>
      <c r="E97" s="15">
        <v>6</v>
      </c>
      <c r="F97" s="11">
        <v>1</v>
      </c>
      <c r="G97" s="11">
        <v>2</v>
      </c>
      <c r="H97" s="12">
        <v>0.3</v>
      </c>
      <c r="I97" s="12">
        <f>8.855-0.06</f>
        <v>8.7949999999999999</v>
      </c>
      <c r="J97" s="22">
        <v>0.3</v>
      </c>
      <c r="K97" s="22"/>
      <c r="L97" s="72">
        <f>SUM(H97:J97)+K97</f>
        <v>9.3950000000000014</v>
      </c>
      <c r="M97" s="72">
        <f t="shared" si="0"/>
        <v>0</v>
      </c>
      <c r="N97" s="72">
        <f t="shared" si="1"/>
        <v>0</v>
      </c>
      <c r="O97" s="72">
        <f t="shared" si="2"/>
        <v>0</v>
      </c>
      <c r="P97" s="72">
        <f t="shared" si="3"/>
        <v>112.74</v>
      </c>
      <c r="Q97" s="72">
        <f t="shared" si="4"/>
        <v>0</v>
      </c>
      <c r="R97" s="72">
        <f t="shared" si="5"/>
        <v>0</v>
      </c>
    </row>
    <row r="98" spans="1:18" x14ac:dyDescent="0.25">
      <c r="A98" s="26"/>
      <c r="B98" s="25" t="s">
        <v>432</v>
      </c>
      <c r="C98" s="15">
        <v>16</v>
      </c>
      <c r="D98" s="16"/>
      <c r="E98" s="15">
        <v>6</v>
      </c>
      <c r="F98" s="11">
        <v>1</v>
      </c>
      <c r="G98" s="11">
        <v>2</v>
      </c>
      <c r="H98" s="12">
        <v>0.3</v>
      </c>
      <c r="I98" s="12">
        <f>8.855-0.06</f>
        <v>8.7949999999999999</v>
      </c>
      <c r="J98" s="22">
        <v>0.3</v>
      </c>
      <c r="K98" s="22"/>
      <c r="L98" s="72">
        <f t="shared" ref="L98" si="97">SUM(H98:J98)+K98</f>
        <v>9.3950000000000014</v>
      </c>
      <c r="M98" s="72">
        <f t="shared" si="0"/>
        <v>0</v>
      </c>
      <c r="N98" s="72">
        <f t="shared" si="1"/>
        <v>0</v>
      </c>
      <c r="O98" s="72">
        <f t="shared" si="2"/>
        <v>0</v>
      </c>
      <c r="P98" s="72">
        <f t="shared" si="3"/>
        <v>112.74</v>
      </c>
      <c r="Q98" s="72">
        <f t="shared" si="4"/>
        <v>0</v>
      </c>
      <c r="R98" s="72">
        <f t="shared" si="5"/>
        <v>0</v>
      </c>
    </row>
    <row r="99" spans="1:18" x14ac:dyDescent="0.25">
      <c r="A99" s="26"/>
      <c r="B99" s="25" t="s">
        <v>453</v>
      </c>
      <c r="C99" s="15">
        <v>8</v>
      </c>
      <c r="D99" s="16">
        <v>100</v>
      </c>
      <c r="E99" s="15">
        <v>6</v>
      </c>
      <c r="F99" s="11">
        <v>1</v>
      </c>
      <c r="G99" s="11">
        <f>+ROUND(2.185/0.1,0)</f>
        <v>22</v>
      </c>
      <c r="H99" s="12"/>
      <c r="I99" s="12">
        <f t="shared" ref="I99:I100" si="98">2*(0.14+0.39)+24*C99/1000</f>
        <v>1.252</v>
      </c>
      <c r="J99" s="22"/>
      <c r="K99" s="47"/>
      <c r="L99" s="72">
        <f>SUM(H99:J99)+K99</f>
        <v>1.252</v>
      </c>
      <c r="M99" s="72">
        <f t="shared" si="0"/>
        <v>165.26</v>
      </c>
      <c r="N99" s="72">
        <f t="shared" si="1"/>
        <v>0</v>
      </c>
      <c r="O99" s="72">
        <f t="shared" si="2"/>
        <v>0</v>
      </c>
      <c r="P99" s="72">
        <f t="shared" si="3"/>
        <v>0</v>
      </c>
      <c r="Q99" s="72">
        <f t="shared" si="4"/>
        <v>0</v>
      </c>
      <c r="R99" s="72">
        <f t="shared" si="5"/>
        <v>0</v>
      </c>
    </row>
    <row r="100" spans="1:18" x14ac:dyDescent="0.25">
      <c r="A100" s="26"/>
      <c r="B100" s="25"/>
      <c r="C100" s="15">
        <v>8</v>
      </c>
      <c r="D100" s="16">
        <v>150</v>
      </c>
      <c r="E100" s="15">
        <v>6</v>
      </c>
      <c r="F100" s="11">
        <v>1</v>
      </c>
      <c r="G100" s="11">
        <f>+ROUND(2.185/0.15+1,0)</f>
        <v>16</v>
      </c>
      <c r="H100" s="12"/>
      <c r="I100" s="12">
        <f t="shared" si="98"/>
        <v>1.252</v>
      </c>
      <c r="J100" s="22"/>
      <c r="K100" s="47"/>
      <c r="L100" s="72">
        <f t="shared" ref="L100" si="99">SUM(H100:J100)+K100</f>
        <v>1.252</v>
      </c>
      <c r="M100" s="72">
        <f t="shared" si="0"/>
        <v>120.19</v>
      </c>
      <c r="N100" s="72">
        <f t="shared" si="1"/>
        <v>0</v>
      </c>
      <c r="O100" s="72">
        <f t="shared" si="2"/>
        <v>0</v>
      </c>
      <c r="P100" s="72">
        <f t="shared" si="3"/>
        <v>0</v>
      </c>
      <c r="Q100" s="72">
        <f t="shared" si="4"/>
        <v>0</v>
      </c>
      <c r="R100" s="72">
        <f t="shared" si="5"/>
        <v>0</v>
      </c>
    </row>
    <row r="101" spans="1:18" x14ac:dyDescent="0.25">
      <c r="A101" s="26"/>
      <c r="B101" s="25" t="s">
        <v>453</v>
      </c>
      <c r="C101" s="15">
        <v>8</v>
      </c>
      <c r="D101" s="16">
        <v>100</v>
      </c>
      <c r="E101" s="15">
        <v>6</v>
      </c>
      <c r="F101" s="11">
        <v>1</v>
      </c>
      <c r="G101" s="11">
        <f>+ROUND(1.8/0.1,0)</f>
        <v>18</v>
      </c>
      <c r="H101" s="12"/>
      <c r="I101" s="12">
        <f t="shared" ref="I101:I102" si="100">2*(0.14+0.39)+24*C101/1000</f>
        <v>1.252</v>
      </c>
      <c r="J101" s="22"/>
      <c r="K101" s="47"/>
      <c r="L101" s="72">
        <f>SUM(H101:J101)+K101</f>
        <v>1.252</v>
      </c>
      <c r="M101" s="72">
        <f t="shared" ref="M101:M102" si="101">+ROUND(IF(C101=8,PRODUCT(E101,F101,G101,L101),0),2)</f>
        <v>135.22</v>
      </c>
      <c r="N101" s="72">
        <f t="shared" ref="N101:N102" si="102">+ROUND(IF(C101=10,PRODUCT(E101,F101,G101,L101),0),2)</f>
        <v>0</v>
      </c>
      <c r="O101" s="72">
        <f t="shared" ref="O101:O102" si="103">+ROUND(IF(C101=12,PRODUCT(E101,F101,G101,L101),0),2)</f>
        <v>0</v>
      </c>
      <c r="P101" s="72">
        <f t="shared" ref="P101:P102" si="104">+ROUND(IF(C101=16,PRODUCT(E101,F101,G101,L101),0),2)</f>
        <v>0</v>
      </c>
      <c r="Q101" s="72">
        <f t="shared" ref="Q101:Q102" si="105">+ROUND(IF(C101=20,PRODUCT(E101,F101,G101,L101),0),2)</f>
        <v>0</v>
      </c>
      <c r="R101" s="72">
        <f t="shared" ref="R101:R102" si="106">+ROUND(IF(C101=25,PRODUCT(E101,F101,G101,L101),0),2)</f>
        <v>0</v>
      </c>
    </row>
    <row r="102" spans="1:18" x14ac:dyDescent="0.25">
      <c r="A102" s="26"/>
      <c r="B102" s="25"/>
      <c r="C102" s="15">
        <v>8</v>
      </c>
      <c r="D102" s="16">
        <v>150</v>
      </c>
      <c r="E102" s="15">
        <v>6</v>
      </c>
      <c r="F102" s="11">
        <v>1</v>
      </c>
      <c r="G102" s="11">
        <f>+ROUND(1.435/0.15+1,0)</f>
        <v>11</v>
      </c>
      <c r="H102" s="12"/>
      <c r="I102" s="12">
        <f t="shared" si="100"/>
        <v>1.252</v>
      </c>
      <c r="J102" s="22"/>
      <c r="K102" s="47"/>
      <c r="L102" s="72">
        <f t="shared" ref="L102" si="107">SUM(H102:J102)+K102</f>
        <v>1.252</v>
      </c>
      <c r="M102" s="72">
        <f t="shared" si="101"/>
        <v>82.63</v>
      </c>
      <c r="N102" s="72">
        <f t="shared" si="102"/>
        <v>0</v>
      </c>
      <c r="O102" s="72">
        <f t="shared" si="103"/>
        <v>0</v>
      </c>
      <c r="P102" s="72">
        <f t="shared" si="104"/>
        <v>0</v>
      </c>
      <c r="Q102" s="72">
        <f t="shared" si="105"/>
        <v>0</v>
      </c>
      <c r="R102" s="72">
        <f t="shared" si="106"/>
        <v>0</v>
      </c>
    </row>
    <row r="103" spans="1:18" x14ac:dyDescent="0.25">
      <c r="A103" s="26" t="s">
        <v>442</v>
      </c>
      <c r="B103" s="45" t="s">
        <v>614</v>
      </c>
      <c r="C103" s="15"/>
      <c r="D103" s="16"/>
      <c r="E103" s="15"/>
      <c r="F103" s="11"/>
      <c r="G103" s="11"/>
      <c r="H103" s="12"/>
      <c r="I103" s="12"/>
      <c r="J103" s="22"/>
      <c r="K103" s="22"/>
      <c r="L103" s="72">
        <f t="shared" ref="L103" si="108">SUM(H103:J103)+K103</f>
        <v>0</v>
      </c>
      <c r="M103" s="72">
        <f t="shared" si="0"/>
        <v>0</v>
      </c>
      <c r="N103" s="72">
        <f t="shared" si="1"/>
        <v>0</v>
      </c>
      <c r="O103" s="72">
        <f t="shared" si="2"/>
        <v>0</v>
      </c>
      <c r="P103" s="72">
        <f t="shared" si="3"/>
        <v>0</v>
      </c>
      <c r="Q103" s="72">
        <f t="shared" si="4"/>
        <v>0</v>
      </c>
      <c r="R103" s="72">
        <f t="shared" si="5"/>
        <v>0</v>
      </c>
    </row>
    <row r="104" spans="1:18" x14ac:dyDescent="0.25">
      <c r="A104" s="26"/>
      <c r="B104" s="25" t="s">
        <v>385</v>
      </c>
      <c r="C104" s="15">
        <v>12</v>
      </c>
      <c r="D104" s="16"/>
      <c r="E104" s="15">
        <v>2</v>
      </c>
      <c r="F104" s="11">
        <v>1</v>
      </c>
      <c r="G104" s="11">
        <v>2</v>
      </c>
      <c r="H104" s="12">
        <v>0.3</v>
      </c>
      <c r="I104" s="12">
        <f>3.715-0.06</f>
        <v>3.6549999999999998</v>
      </c>
      <c r="J104" s="22">
        <v>0.3</v>
      </c>
      <c r="K104" s="22"/>
      <c r="L104" s="72">
        <f>SUM(H104:J104)+K104</f>
        <v>4.2549999999999999</v>
      </c>
      <c r="M104" s="72">
        <f t="shared" si="0"/>
        <v>0</v>
      </c>
      <c r="N104" s="72">
        <f t="shared" si="1"/>
        <v>0</v>
      </c>
      <c r="O104" s="72">
        <f t="shared" si="2"/>
        <v>17.02</v>
      </c>
      <c r="P104" s="72">
        <f t="shared" si="3"/>
        <v>0</v>
      </c>
      <c r="Q104" s="72">
        <f t="shared" si="4"/>
        <v>0</v>
      </c>
      <c r="R104" s="72">
        <f t="shared" si="5"/>
        <v>0</v>
      </c>
    </row>
    <row r="105" spans="1:18" x14ac:dyDescent="0.25">
      <c r="A105" s="26"/>
      <c r="B105" s="25" t="s">
        <v>432</v>
      </c>
      <c r="C105" s="15">
        <v>12</v>
      </c>
      <c r="D105" s="16"/>
      <c r="E105" s="15">
        <v>2</v>
      </c>
      <c r="F105" s="11">
        <v>1</v>
      </c>
      <c r="G105" s="11">
        <v>2</v>
      </c>
      <c r="H105" s="12">
        <v>0.3</v>
      </c>
      <c r="I105" s="12">
        <f>3.715-0.06</f>
        <v>3.6549999999999998</v>
      </c>
      <c r="J105" s="22">
        <v>0.3</v>
      </c>
      <c r="K105" s="22"/>
      <c r="L105" s="72">
        <f t="shared" ref="L105" si="109">SUM(H105:J105)+K105</f>
        <v>4.2549999999999999</v>
      </c>
      <c r="M105" s="72">
        <f t="shared" si="0"/>
        <v>0</v>
      </c>
      <c r="N105" s="72">
        <f t="shared" si="1"/>
        <v>0</v>
      </c>
      <c r="O105" s="72">
        <f t="shared" si="2"/>
        <v>17.02</v>
      </c>
      <c r="P105" s="72">
        <f t="shared" si="3"/>
        <v>0</v>
      </c>
      <c r="Q105" s="72">
        <f t="shared" si="4"/>
        <v>0</v>
      </c>
      <c r="R105" s="72">
        <f t="shared" si="5"/>
        <v>0</v>
      </c>
    </row>
    <row r="106" spans="1:18" x14ac:dyDescent="0.25">
      <c r="A106" s="26"/>
      <c r="B106" s="25" t="s">
        <v>453</v>
      </c>
      <c r="C106" s="15">
        <v>8</v>
      </c>
      <c r="D106" s="16">
        <v>100</v>
      </c>
      <c r="E106" s="15">
        <v>2</v>
      </c>
      <c r="F106" s="11">
        <v>1</v>
      </c>
      <c r="G106" s="11">
        <f>+ROUND(1.8/0.1,0)</f>
        <v>18</v>
      </c>
      <c r="H106" s="12"/>
      <c r="I106" s="12">
        <f t="shared" ref="I106:I107" si="110">2*(0.14+0.39)+24*C106/1000</f>
        <v>1.252</v>
      </c>
      <c r="J106" s="22"/>
      <c r="K106" s="47"/>
      <c r="L106" s="72">
        <f>SUM(H106:J106)+K106</f>
        <v>1.252</v>
      </c>
      <c r="M106" s="72">
        <f t="shared" si="0"/>
        <v>45.07</v>
      </c>
      <c r="N106" s="72">
        <f t="shared" si="1"/>
        <v>0</v>
      </c>
      <c r="O106" s="72">
        <f t="shared" si="2"/>
        <v>0</v>
      </c>
      <c r="P106" s="72">
        <f t="shared" si="3"/>
        <v>0</v>
      </c>
      <c r="Q106" s="72">
        <f t="shared" si="4"/>
        <v>0</v>
      </c>
      <c r="R106" s="72">
        <f t="shared" si="5"/>
        <v>0</v>
      </c>
    </row>
    <row r="107" spans="1:18" x14ac:dyDescent="0.25">
      <c r="A107" s="26"/>
      <c r="B107" s="25"/>
      <c r="C107" s="15">
        <v>8</v>
      </c>
      <c r="D107" s="16">
        <v>150</v>
      </c>
      <c r="E107" s="15">
        <v>2</v>
      </c>
      <c r="F107" s="11">
        <v>1</v>
      </c>
      <c r="G107" s="11">
        <f>+ROUND(1.42/0.15+1,0)</f>
        <v>10</v>
      </c>
      <c r="H107" s="12"/>
      <c r="I107" s="12">
        <f t="shared" si="110"/>
        <v>1.252</v>
      </c>
      <c r="J107" s="22"/>
      <c r="K107" s="22"/>
      <c r="L107" s="72">
        <f t="shared" ref="L107:L108" si="111">SUM(H107:J107)+K107</f>
        <v>1.252</v>
      </c>
      <c r="M107" s="72">
        <f t="shared" si="0"/>
        <v>25.04</v>
      </c>
      <c r="N107" s="72">
        <f t="shared" si="1"/>
        <v>0</v>
      </c>
      <c r="O107" s="72">
        <f t="shared" si="2"/>
        <v>0</v>
      </c>
      <c r="P107" s="72">
        <f t="shared" si="3"/>
        <v>0</v>
      </c>
      <c r="Q107" s="72">
        <f t="shared" si="4"/>
        <v>0</v>
      </c>
      <c r="R107" s="72">
        <f t="shared" si="5"/>
        <v>0</v>
      </c>
    </row>
    <row r="108" spans="1:18" x14ac:dyDescent="0.25">
      <c r="A108" s="26" t="s">
        <v>498</v>
      </c>
      <c r="B108" s="45" t="s">
        <v>615</v>
      </c>
      <c r="C108" s="15"/>
      <c r="D108" s="16"/>
      <c r="E108" s="15"/>
      <c r="F108" s="11"/>
      <c r="G108" s="11"/>
      <c r="H108" s="12"/>
      <c r="I108" s="12"/>
      <c r="J108" s="22"/>
      <c r="K108" s="22"/>
      <c r="L108" s="72">
        <f t="shared" si="111"/>
        <v>0</v>
      </c>
      <c r="M108" s="72">
        <f t="shared" si="0"/>
        <v>0</v>
      </c>
      <c r="N108" s="72">
        <f t="shared" si="1"/>
        <v>0</v>
      </c>
      <c r="O108" s="72">
        <f t="shared" si="2"/>
        <v>0</v>
      </c>
      <c r="P108" s="72">
        <f t="shared" si="3"/>
        <v>0</v>
      </c>
      <c r="Q108" s="72">
        <f t="shared" si="4"/>
        <v>0</v>
      </c>
      <c r="R108" s="72">
        <f t="shared" si="5"/>
        <v>0</v>
      </c>
    </row>
    <row r="109" spans="1:18" x14ac:dyDescent="0.25">
      <c r="A109" s="26"/>
      <c r="B109" s="25" t="s">
        <v>385</v>
      </c>
      <c r="C109" s="15">
        <v>16</v>
      </c>
      <c r="D109" s="16"/>
      <c r="E109" s="15">
        <v>2</v>
      </c>
      <c r="F109" s="11">
        <v>1</v>
      </c>
      <c r="G109" s="11">
        <v>2</v>
      </c>
      <c r="H109" s="12">
        <v>0.3</v>
      </c>
      <c r="I109" s="12">
        <v>6.1</v>
      </c>
      <c r="J109" s="22">
        <v>0.3</v>
      </c>
      <c r="K109" s="22"/>
      <c r="L109" s="72">
        <f>SUM(H109:J109)+K109</f>
        <v>6.6999999999999993</v>
      </c>
      <c r="M109" s="72">
        <f t="shared" si="0"/>
        <v>0</v>
      </c>
      <c r="N109" s="72">
        <f t="shared" si="1"/>
        <v>0</v>
      </c>
      <c r="O109" s="72">
        <f t="shared" si="2"/>
        <v>0</v>
      </c>
      <c r="P109" s="72">
        <f t="shared" si="3"/>
        <v>26.8</v>
      </c>
      <c r="Q109" s="72">
        <f t="shared" si="4"/>
        <v>0</v>
      </c>
      <c r="R109" s="72">
        <f t="shared" si="5"/>
        <v>0</v>
      </c>
    </row>
    <row r="110" spans="1:18" x14ac:dyDescent="0.25">
      <c r="A110" s="26"/>
      <c r="B110" s="25" t="s">
        <v>432</v>
      </c>
      <c r="C110" s="15">
        <v>20</v>
      </c>
      <c r="D110" s="16"/>
      <c r="E110" s="15">
        <v>2</v>
      </c>
      <c r="F110" s="11">
        <v>1</v>
      </c>
      <c r="G110" s="11">
        <v>3</v>
      </c>
      <c r="H110" s="12">
        <v>0.3</v>
      </c>
      <c r="I110" s="12">
        <v>6.1</v>
      </c>
      <c r="J110" s="22">
        <v>0.3</v>
      </c>
      <c r="K110" s="22"/>
      <c r="L110" s="72">
        <f t="shared" ref="L110" si="112">SUM(H110:J110)+K110</f>
        <v>6.6999999999999993</v>
      </c>
      <c r="M110" s="72">
        <f t="shared" si="0"/>
        <v>0</v>
      </c>
      <c r="N110" s="72">
        <f t="shared" si="1"/>
        <v>0</v>
      </c>
      <c r="O110" s="72">
        <f t="shared" si="2"/>
        <v>0</v>
      </c>
      <c r="P110" s="72">
        <f t="shared" si="3"/>
        <v>0</v>
      </c>
      <c r="Q110" s="72">
        <f t="shared" si="4"/>
        <v>40.200000000000003</v>
      </c>
      <c r="R110" s="72">
        <f t="shared" si="5"/>
        <v>0</v>
      </c>
    </row>
    <row r="111" spans="1:18" x14ac:dyDescent="0.25">
      <c r="A111" s="26"/>
      <c r="B111" s="25" t="s">
        <v>453</v>
      </c>
      <c r="C111" s="15">
        <v>8</v>
      </c>
      <c r="D111" s="16">
        <v>100</v>
      </c>
      <c r="E111" s="15">
        <v>2</v>
      </c>
      <c r="F111" s="11">
        <v>1</v>
      </c>
      <c r="G111" s="11">
        <f>+ROUND(1.8/0.1,0)</f>
        <v>18</v>
      </c>
      <c r="H111" s="12"/>
      <c r="I111" s="12">
        <f t="shared" ref="I111:I112" si="113">2*(0.14+0.39)+24*C111/1000</f>
        <v>1.252</v>
      </c>
      <c r="J111" s="22"/>
      <c r="K111" s="47"/>
      <c r="L111" s="72">
        <f>SUM(H111:J111)+K111</f>
        <v>1.252</v>
      </c>
      <c r="M111" s="72">
        <f t="shared" si="0"/>
        <v>45.07</v>
      </c>
      <c r="N111" s="72">
        <f t="shared" si="1"/>
        <v>0</v>
      </c>
      <c r="O111" s="72">
        <f t="shared" si="2"/>
        <v>0</v>
      </c>
      <c r="P111" s="72">
        <f t="shared" si="3"/>
        <v>0</v>
      </c>
      <c r="Q111" s="72">
        <f t="shared" si="4"/>
        <v>0</v>
      </c>
      <c r="R111" s="72">
        <f t="shared" si="5"/>
        <v>0</v>
      </c>
    </row>
    <row r="112" spans="1:18" x14ac:dyDescent="0.25">
      <c r="A112" s="26"/>
      <c r="B112" s="25"/>
      <c r="C112" s="15">
        <v>8</v>
      </c>
      <c r="D112" s="16">
        <v>150</v>
      </c>
      <c r="E112" s="15">
        <v>2</v>
      </c>
      <c r="F112" s="11">
        <v>1</v>
      </c>
      <c r="G112" s="11">
        <f>+ROUND(0.96/0.15+1,0)</f>
        <v>7</v>
      </c>
      <c r="H112" s="12"/>
      <c r="I112" s="12">
        <f t="shared" si="113"/>
        <v>1.252</v>
      </c>
      <c r="J112" s="22"/>
      <c r="K112" s="22"/>
      <c r="L112" s="72">
        <f t="shared" ref="L112:L113" si="114">SUM(H112:J112)+K112</f>
        <v>1.252</v>
      </c>
      <c r="M112" s="72">
        <f t="shared" si="0"/>
        <v>17.53</v>
      </c>
      <c r="N112" s="72">
        <f t="shared" si="1"/>
        <v>0</v>
      </c>
      <c r="O112" s="72">
        <f t="shared" si="2"/>
        <v>0</v>
      </c>
      <c r="P112" s="72">
        <f t="shared" si="3"/>
        <v>0</v>
      </c>
      <c r="Q112" s="72">
        <f t="shared" si="4"/>
        <v>0</v>
      </c>
      <c r="R112" s="72">
        <f t="shared" si="5"/>
        <v>0</v>
      </c>
    </row>
    <row r="113" spans="1:18" x14ac:dyDescent="0.25">
      <c r="A113" s="26" t="s">
        <v>442</v>
      </c>
      <c r="B113" s="45" t="s">
        <v>616</v>
      </c>
      <c r="C113" s="15"/>
      <c r="D113" s="16"/>
      <c r="E113" s="15"/>
      <c r="F113" s="11"/>
      <c r="G113" s="11"/>
      <c r="H113" s="12"/>
      <c r="I113" s="12"/>
      <c r="J113" s="22"/>
      <c r="K113" s="22"/>
      <c r="L113" s="72">
        <f t="shared" si="114"/>
        <v>0</v>
      </c>
      <c r="M113" s="72">
        <f t="shared" si="0"/>
        <v>0</v>
      </c>
      <c r="N113" s="72">
        <f t="shared" si="1"/>
        <v>0</v>
      </c>
      <c r="O113" s="72">
        <f t="shared" si="2"/>
        <v>0</v>
      </c>
      <c r="P113" s="72">
        <f t="shared" si="3"/>
        <v>0</v>
      </c>
      <c r="Q113" s="72">
        <f t="shared" si="4"/>
        <v>0</v>
      </c>
      <c r="R113" s="72">
        <f t="shared" si="5"/>
        <v>0</v>
      </c>
    </row>
    <row r="114" spans="1:18" x14ac:dyDescent="0.25">
      <c r="A114" s="26"/>
      <c r="B114" s="25" t="s">
        <v>385</v>
      </c>
      <c r="C114" s="15">
        <v>16</v>
      </c>
      <c r="D114" s="16"/>
      <c r="E114" s="15">
        <v>1</v>
      </c>
      <c r="F114" s="11">
        <v>1</v>
      </c>
      <c r="G114" s="11">
        <v>2</v>
      </c>
      <c r="H114" s="12">
        <v>0.3</v>
      </c>
      <c r="I114" s="12">
        <v>35.549999999999997</v>
      </c>
      <c r="J114" s="22">
        <v>0.3</v>
      </c>
      <c r="K114" s="22">
        <f>3*49*C114/1000</f>
        <v>2.3519999999999999</v>
      </c>
      <c r="L114" s="72">
        <f>SUM(H114:J114)+K114</f>
        <v>38.501999999999988</v>
      </c>
      <c r="M114" s="72">
        <f t="shared" si="0"/>
        <v>0</v>
      </c>
      <c r="N114" s="72">
        <f t="shared" si="1"/>
        <v>0</v>
      </c>
      <c r="O114" s="72">
        <f t="shared" si="2"/>
        <v>0</v>
      </c>
      <c r="P114" s="72">
        <f t="shared" si="3"/>
        <v>77</v>
      </c>
      <c r="Q114" s="72">
        <f t="shared" si="4"/>
        <v>0</v>
      </c>
      <c r="R114" s="72">
        <f t="shared" si="5"/>
        <v>0</v>
      </c>
    </row>
    <row r="115" spans="1:18" x14ac:dyDescent="0.25">
      <c r="A115" s="26"/>
      <c r="B115" s="25" t="s">
        <v>432</v>
      </c>
      <c r="C115" s="15">
        <v>16</v>
      </c>
      <c r="D115" s="16"/>
      <c r="E115" s="15">
        <v>1</v>
      </c>
      <c r="F115" s="11">
        <v>1</v>
      </c>
      <c r="G115" s="11">
        <v>2</v>
      </c>
      <c r="H115" s="12">
        <v>0.3</v>
      </c>
      <c r="I115" s="12">
        <v>35.549999999999997</v>
      </c>
      <c r="J115" s="22">
        <v>0.3</v>
      </c>
      <c r="K115" s="22">
        <f>3*49*C115/1000</f>
        <v>2.3519999999999999</v>
      </c>
      <c r="L115" s="72">
        <f t="shared" ref="L115" si="115">SUM(H115:J115)+K115</f>
        <v>38.501999999999988</v>
      </c>
      <c r="M115" s="72">
        <f t="shared" si="0"/>
        <v>0</v>
      </c>
      <c r="N115" s="72">
        <f t="shared" si="1"/>
        <v>0</v>
      </c>
      <c r="O115" s="72">
        <f t="shared" si="2"/>
        <v>0</v>
      </c>
      <c r="P115" s="72">
        <f t="shared" si="3"/>
        <v>77</v>
      </c>
      <c r="Q115" s="72">
        <f t="shared" si="4"/>
        <v>0</v>
      </c>
      <c r="R115" s="72">
        <f t="shared" si="5"/>
        <v>0</v>
      </c>
    </row>
    <row r="116" spans="1:18" x14ac:dyDescent="0.25">
      <c r="A116" s="26"/>
      <c r="B116" s="25" t="s">
        <v>450</v>
      </c>
      <c r="C116" s="15">
        <v>12</v>
      </c>
      <c r="D116" s="16"/>
      <c r="E116" s="15">
        <v>1</v>
      </c>
      <c r="F116" s="11">
        <v>2</v>
      </c>
      <c r="G116" s="11">
        <v>2</v>
      </c>
      <c r="H116" s="12"/>
      <c r="I116" s="12">
        <v>4.165</v>
      </c>
      <c r="J116" s="22"/>
      <c r="K116" s="22"/>
      <c r="L116" s="72">
        <f t="shared" ref="L116" si="116">SUM(H116:J116)+K116</f>
        <v>4.165</v>
      </c>
      <c r="M116" s="72">
        <f t="shared" si="0"/>
        <v>0</v>
      </c>
      <c r="N116" s="72">
        <f t="shared" si="1"/>
        <v>0</v>
      </c>
      <c r="O116" s="72">
        <f t="shared" si="2"/>
        <v>16.66</v>
      </c>
      <c r="P116" s="72">
        <f t="shared" si="3"/>
        <v>0</v>
      </c>
      <c r="Q116" s="72">
        <f t="shared" si="4"/>
        <v>0</v>
      </c>
      <c r="R116" s="72">
        <f t="shared" si="5"/>
        <v>0</v>
      </c>
    </row>
    <row r="117" spans="1:18" x14ac:dyDescent="0.25">
      <c r="A117" s="26"/>
      <c r="B117" s="25" t="s">
        <v>450</v>
      </c>
      <c r="C117" s="15">
        <v>12</v>
      </c>
      <c r="D117" s="16"/>
      <c r="E117" s="15">
        <v>1</v>
      </c>
      <c r="F117" s="11">
        <v>2</v>
      </c>
      <c r="G117" s="11">
        <v>2</v>
      </c>
      <c r="H117" s="12"/>
      <c r="I117" s="12">
        <v>4.0599999999999996</v>
      </c>
      <c r="J117" s="22"/>
      <c r="K117" s="22"/>
      <c r="L117" s="72">
        <f t="shared" ref="L117" si="117">SUM(H117:J117)+K117</f>
        <v>4.0599999999999996</v>
      </c>
      <c r="M117" s="72">
        <f t="shared" ref="M117" si="118">+ROUND(IF(C117=8,PRODUCT(E117,F117,G117,L117),0),2)</f>
        <v>0</v>
      </c>
      <c r="N117" s="72">
        <f t="shared" ref="N117" si="119">+ROUND(IF(C117=10,PRODUCT(E117,F117,G117,L117),0),2)</f>
        <v>0</v>
      </c>
      <c r="O117" s="72">
        <f t="shared" ref="O117" si="120">+ROUND(IF(C117=12,PRODUCT(E117,F117,G117,L117),0),2)</f>
        <v>16.239999999999998</v>
      </c>
      <c r="P117" s="72">
        <f t="shared" ref="P117" si="121">+ROUND(IF(C117=16,PRODUCT(E117,F117,G117,L117),0),2)</f>
        <v>0</v>
      </c>
      <c r="Q117" s="72">
        <f t="shared" ref="Q117" si="122">+ROUND(IF(C117=20,PRODUCT(E117,F117,G117,L117),0),2)</f>
        <v>0</v>
      </c>
      <c r="R117" s="72">
        <f t="shared" ref="R117" si="123">+ROUND(IF(C117=25,PRODUCT(E117,F117,G117,L117),0),2)</f>
        <v>0</v>
      </c>
    </row>
    <row r="118" spans="1:18" x14ac:dyDescent="0.25">
      <c r="A118" s="26"/>
      <c r="B118" s="25" t="s">
        <v>433</v>
      </c>
      <c r="C118" s="15">
        <v>16</v>
      </c>
      <c r="D118" s="16"/>
      <c r="E118" s="15">
        <v>1</v>
      </c>
      <c r="F118" s="11">
        <v>1</v>
      </c>
      <c r="G118" s="11">
        <v>2</v>
      </c>
      <c r="H118" s="12"/>
      <c r="I118" s="12">
        <v>3.63</v>
      </c>
      <c r="J118" s="22">
        <v>0.3</v>
      </c>
      <c r="K118" s="22"/>
      <c r="L118" s="72">
        <f t="shared" ref="L118" si="124">SUM(H118:J118)+K118</f>
        <v>3.9299999999999997</v>
      </c>
      <c r="M118" s="72">
        <f t="shared" si="0"/>
        <v>0</v>
      </c>
      <c r="N118" s="72">
        <f t="shared" si="1"/>
        <v>0</v>
      </c>
      <c r="O118" s="72">
        <f t="shared" si="2"/>
        <v>0</v>
      </c>
      <c r="P118" s="72">
        <f t="shared" si="3"/>
        <v>7.86</v>
      </c>
      <c r="Q118" s="72">
        <f t="shared" si="4"/>
        <v>0</v>
      </c>
      <c r="R118" s="72">
        <f t="shared" si="5"/>
        <v>0</v>
      </c>
    </row>
    <row r="119" spans="1:18" x14ac:dyDescent="0.25">
      <c r="A119" s="26"/>
      <c r="B119" s="25" t="s">
        <v>433</v>
      </c>
      <c r="C119" s="15">
        <v>16</v>
      </c>
      <c r="D119" s="16"/>
      <c r="E119" s="15">
        <v>1</v>
      </c>
      <c r="F119" s="11">
        <v>2</v>
      </c>
      <c r="G119" s="11">
        <v>2</v>
      </c>
      <c r="H119" s="12"/>
      <c r="I119" s="12">
        <v>4</v>
      </c>
      <c r="J119" s="22">
        <v>0.3</v>
      </c>
      <c r="K119" s="22"/>
      <c r="L119" s="72">
        <f t="shared" ref="L119" si="125">SUM(H119:J119)+K119</f>
        <v>4.3</v>
      </c>
      <c r="M119" s="72">
        <f t="shared" ref="M119" si="126">+ROUND(IF(C119=8,PRODUCT(E119,F119,G119,L119),0),2)</f>
        <v>0</v>
      </c>
      <c r="N119" s="72">
        <f t="shared" ref="N119" si="127">+ROUND(IF(C119=10,PRODUCT(E119,F119,G119,L119),0),2)</f>
        <v>0</v>
      </c>
      <c r="O119" s="72">
        <f t="shared" ref="O119" si="128">+ROUND(IF(C119=12,PRODUCT(E119,F119,G119,L119),0),2)</f>
        <v>0</v>
      </c>
      <c r="P119" s="72">
        <f t="shared" ref="P119" si="129">+ROUND(IF(C119=16,PRODUCT(E119,F119,G119,L119),0),2)</f>
        <v>17.2</v>
      </c>
      <c r="Q119" s="72">
        <f t="shared" ref="Q119" si="130">+ROUND(IF(C119=20,PRODUCT(E119,F119,G119,L119),0),2)</f>
        <v>0</v>
      </c>
      <c r="R119" s="72">
        <f t="shared" ref="R119" si="131">+ROUND(IF(C119=25,PRODUCT(E119,F119,G119,L119),0),2)</f>
        <v>0</v>
      </c>
    </row>
    <row r="120" spans="1:18" x14ac:dyDescent="0.25">
      <c r="A120" s="26"/>
      <c r="B120" s="25" t="s">
        <v>433</v>
      </c>
      <c r="C120" s="15">
        <v>16</v>
      </c>
      <c r="D120" s="16"/>
      <c r="E120" s="15">
        <v>1</v>
      </c>
      <c r="F120" s="11">
        <v>2</v>
      </c>
      <c r="G120" s="11">
        <v>2</v>
      </c>
      <c r="H120" s="12"/>
      <c r="I120" s="12">
        <v>2.7</v>
      </c>
      <c r="J120" s="22">
        <v>0.3</v>
      </c>
      <c r="K120" s="22"/>
      <c r="L120" s="72">
        <f t="shared" ref="L120" si="132">SUM(H120:J120)+K120</f>
        <v>3</v>
      </c>
      <c r="M120" s="72">
        <f t="shared" ref="M120" si="133">+ROUND(IF(C120=8,PRODUCT(E120,F120,G120,L120),0),2)</f>
        <v>0</v>
      </c>
      <c r="N120" s="72">
        <f t="shared" ref="N120" si="134">+ROUND(IF(C120=10,PRODUCT(E120,F120,G120,L120),0),2)</f>
        <v>0</v>
      </c>
      <c r="O120" s="72">
        <f t="shared" ref="O120" si="135">+ROUND(IF(C120=12,PRODUCT(E120,F120,G120,L120),0),2)</f>
        <v>0</v>
      </c>
      <c r="P120" s="72">
        <f t="shared" ref="P120" si="136">+ROUND(IF(C120=16,PRODUCT(E120,F120,G120,L120),0),2)</f>
        <v>12</v>
      </c>
      <c r="Q120" s="72">
        <f t="shared" ref="Q120" si="137">+ROUND(IF(C120=20,PRODUCT(E120,F120,G120,L120),0),2)</f>
        <v>0</v>
      </c>
      <c r="R120" s="72">
        <f t="shared" ref="R120" si="138">+ROUND(IF(C120=25,PRODUCT(E120,F120,G120,L120),0),2)</f>
        <v>0</v>
      </c>
    </row>
    <row r="121" spans="1:18" x14ac:dyDescent="0.25">
      <c r="A121" s="26"/>
      <c r="B121" s="25" t="s">
        <v>453</v>
      </c>
      <c r="C121" s="15">
        <v>8</v>
      </c>
      <c r="D121" s="16">
        <v>100</v>
      </c>
      <c r="E121" s="15">
        <v>1</v>
      </c>
      <c r="F121" s="11">
        <v>2</v>
      </c>
      <c r="G121" s="11">
        <f>+ROUND(3.72/0.1+2,0)</f>
        <v>39</v>
      </c>
      <c r="H121" s="12"/>
      <c r="I121" s="12">
        <f t="shared" ref="I121" si="139">2*(0.14+0.39)+24*C121/1000</f>
        <v>1.252</v>
      </c>
      <c r="J121" s="22"/>
      <c r="K121" s="47"/>
      <c r="L121" s="72">
        <f>SUM(H121:J121)+K121</f>
        <v>1.252</v>
      </c>
      <c r="M121" s="72">
        <f t="shared" si="0"/>
        <v>97.66</v>
      </c>
      <c r="N121" s="72">
        <f t="shared" si="1"/>
        <v>0</v>
      </c>
      <c r="O121" s="72">
        <f t="shared" si="2"/>
        <v>0</v>
      </c>
      <c r="P121" s="72">
        <f t="shared" si="3"/>
        <v>0</v>
      </c>
      <c r="Q121" s="72">
        <f t="shared" si="4"/>
        <v>0</v>
      </c>
      <c r="R121" s="72">
        <f t="shared" si="5"/>
        <v>0</v>
      </c>
    </row>
    <row r="122" spans="1:18" x14ac:dyDescent="0.25">
      <c r="A122" s="26"/>
      <c r="B122" s="25" t="s">
        <v>453</v>
      </c>
      <c r="C122" s="15">
        <v>8</v>
      </c>
      <c r="D122" s="16">
        <v>100</v>
      </c>
      <c r="E122" s="15">
        <v>1</v>
      </c>
      <c r="F122" s="11">
        <v>2</v>
      </c>
      <c r="G122" s="11">
        <f>+ROUND(2.932/0.1,0)</f>
        <v>29</v>
      </c>
      <c r="H122" s="12"/>
      <c r="I122" s="12">
        <f t="shared" ref="I122" si="140">2*(0.14+0.39)+24*C122/1000</f>
        <v>1.252</v>
      </c>
      <c r="J122" s="22"/>
      <c r="K122" s="47"/>
      <c r="L122" s="72">
        <f>SUM(H122:J122)+K122</f>
        <v>1.252</v>
      </c>
      <c r="M122" s="72">
        <f t="shared" ref="M122" si="141">+ROUND(IF(C122=8,PRODUCT(E122,F122,G122,L122),0),2)</f>
        <v>72.62</v>
      </c>
      <c r="N122" s="72">
        <f t="shared" ref="N122" si="142">+ROUND(IF(C122=10,PRODUCT(E122,F122,G122,L122),0),2)</f>
        <v>0</v>
      </c>
      <c r="O122" s="72">
        <f t="shared" ref="O122" si="143">+ROUND(IF(C122=12,PRODUCT(E122,F122,G122,L122),0),2)</f>
        <v>0</v>
      </c>
      <c r="P122" s="72">
        <f t="shared" ref="P122" si="144">+ROUND(IF(C122=16,PRODUCT(E122,F122,G122,L122),0),2)</f>
        <v>0</v>
      </c>
      <c r="Q122" s="72">
        <f t="shared" ref="Q122" si="145">+ROUND(IF(C122=20,PRODUCT(E122,F122,G122,L122),0),2)</f>
        <v>0</v>
      </c>
      <c r="R122" s="72">
        <f t="shared" ref="R122" si="146">+ROUND(IF(C122=25,PRODUCT(E122,F122,G122,L122),0),2)</f>
        <v>0</v>
      </c>
    </row>
    <row r="123" spans="1:18" x14ac:dyDescent="0.25">
      <c r="A123" s="26"/>
      <c r="B123" s="25"/>
      <c r="C123" s="15">
        <v>8</v>
      </c>
      <c r="D123" s="16">
        <v>150</v>
      </c>
      <c r="E123" s="15">
        <v>1</v>
      </c>
      <c r="F123" s="11">
        <v>2</v>
      </c>
      <c r="G123" s="11">
        <f>+ROUND(2.932/0.15+1,0)</f>
        <v>21</v>
      </c>
      <c r="H123" s="12"/>
      <c r="I123" s="12">
        <f t="shared" ref="I123:I124" si="147">2*(0.14+0.39)+24*C123/1000</f>
        <v>1.252</v>
      </c>
      <c r="J123" s="22"/>
      <c r="K123" s="47"/>
      <c r="L123" s="72">
        <f>SUM(H123:J123)+K123</f>
        <v>1.252</v>
      </c>
      <c r="M123" s="72">
        <f t="shared" ref="M123:M124" si="148">+ROUND(IF(C123=8,PRODUCT(E123,F123,G123,L123),0),2)</f>
        <v>52.58</v>
      </c>
      <c r="N123" s="72">
        <f t="shared" ref="N123:N124" si="149">+ROUND(IF(C123=10,PRODUCT(E123,F123,G123,L123),0),2)</f>
        <v>0</v>
      </c>
      <c r="O123" s="72">
        <f t="shared" ref="O123:O124" si="150">+ROUND(IF(C123=12,PRODUCT(E123,F123,G123,L123),0),2)</f>
        <v>0</v>
      </c>
      <c r="P123" s="72">
        <f t="shared" ref="P123:P124" si="151">+ROUND(IF(C123=16,PRODUCT(E123,F123,G123,L123),0),2)</f>
        <v>0</v>
      </c>
      <c r="Q123" s="72">
        <f t="shared" ref="Q123:Q124" si="152">+ROUND(IF(C123=20,PRODUCT(E123,F123,G123,L123),0),2)</f>
        <v>0</v>
      </c>
      <c r="R123" s="72">
        <f t="shared" ref="R123:R124" si="153">+ROUND(IF(C123=25,PRODUCT(E123,F123,G123,L123),0),2)</f>
        <v>0</v>
      </c>
    </row>
    <row r="124" spans="1:18" x14ac:dyDescent="0.25">
      <c r="A124" s="26"/>
      <c r="B124" s="25" t="s">
        <v>453</v>
      </c>
      <c r="C124" s="15">
        <v>8</v>
      </c>
      <c r="D124" s="16">
        <v>100</v>
      </c>
      <c r="E124" s="15">
        <v>1</v>
      </c>
      <c r="F124" s="11">
        <v>2</v>
      </c>
      <c r="G124" s="11">
        <f>+ROUND(2.88/0.1,0)</f>
        <v>29</v>
      </c>
      <c r="H124" s="12"/>
      <c r="I124" s="12">
        <f t="shared" si="147"/>
        <v>1.252</v>
      </c>
      <c r="J124" s="22"/>
      <c r="K124" s="47"/>
      <c r="L124" s="72">
        <f>SUM(H124:J124)+K124</f>
        <v>1.252</v>
      </c>
      <c r="M124" s="72">
        <f t="shared" si="148"/>
        <v>72.62</v>
      </c>
      <c r="N124" s="72">
        <f t="shared" si="149"/>
        <v>0</v>
      </c>
      <c r="O124" s="72">
        <f t="shared" si="150"/>
        <v>0</v>
      </c>
      <c r="P124" s="72">
        <f t="shared" si="151"/>
        <v>0</v>
      </c>
      <c r="Q124" s="72">
        <f t="shared" si="152"/>
        <v>0</v>
      </c>
      <c r="R124" s="72">
        <f t="shared" si="153"/>
        <v>0</v>
      </c>
    </row>
    <row r="125" spans="1:18" x14ac:dyDescent="0.25">
      <c r="A125" s="26"/>
      <c r="B125" s="25"/>
      <c r="C125" s="15">
        <v>8</v>
      </c>
      <c r="D125" s="16">
        <v>150</v>
      </c>
      <c r="E125" s="15">
        <v>1</v>
      </c>
      <c r="F125" s="11">
        <v>2</v>
      </c>
      <c r="G125" s="11">
        <f>+ROUND(2.88/0.15+1,0)</f>
        <v>20</v>
      </c>
      <c r="H125" s="12"/>
      <c r="I125" s="12">
        <f t="shared" ref="I125" si="154">2*(0.14+0.39)+24*C125/1000</f>
        <v>1.252</v>
      </c>
      <c r="J125" s="22"/>
      <c r="K125" s="47"/>
      <c r="L125" s="72">
        <f>SUM(H125:J125)+K125</f>
        <v>1.252</v>
      </c>
      <c r="M125" s="72">
        <f t="shared" ref="M125" si="155">+ROUND(IF(C125=8,PRODUCT(E125,F125,G125,L125),0),2)</f>
        <v>50.08</v>
      </c>
      <c r="N125" s="72">
        <f t="shared" ref="N125" si="156">+ROUND(IF(C125=10,PRODUCT(E125,F125,G125,L125),0),2)</f>
        <v>0</v>
      </c>
      <c r="O125" s="72">
        <f t="shared" ref="O125" si="157">+ROUND(IF(C125=12,PRODUCT(E125,F125,G125,L125),0),2)</f>
        <v>0</v>
      </c>
      <c r="P125" s="72">
        <f t="shared" ref="P125" si="158">+ROUND(IF(C125=16,PRODUCT(E125,F125,G125,L125),0),2)</f>
        <v>0</v>
      </c>
      <c r="Q125" s="72">
        <f t="shared" ref="Q125" si="159">+ROUND(IF(C125=20,PRODUCT(E125,F125,G125,L125),0),2)</f>
        <v>0</v>
      </c>
      <c r="R125" s="72">
        <f t="shared" ref="R125" si="160">+ROUND(IF(C125=25,PRODUCT(E125,F125,G125,L125),0),2)</f>
        <v>0</v>
      </c>
    </row>
    <row r="126" spans="1:18" x14ac:dyDescent="0.25">
      <c r="A126" s="26" t="s">
        <v>442</v>
      </c>
      <c r="B126" s="45" t="s">
        <v>617</v>
      </c>
      <c r="C126" s="15"/>
      <c r="D126" s="16"/>
      <c r="E126" s="15"/>
      <c r="F126" s="11"/>
      <c r="G126" s="11"/>
      <c r="H126" s="12"/>
      <c r="I126" s="12"/>
      <c r="J126" s="22"/>
      <c r="K126" s="22"/>
      <c r="L126" s="72">
        <f t="shared" ref="L126" si="161">SUM(H126:J126)+K126</f>
        <v>0</v>
      </c>
      <c r="M126" s="72">
        <f t="shared" si="0"/>
        <v>0</v>
      </c>
      <c r="N126" s="72">
        <f t="shared" si="1"/>
        <v>0</v>
      </c>
      <c r="O126" s="72">
        <f t="shared" si="2"/>
        <v>0</v>
      </c>
      <c r="P126" s="72">
        <f t="shared" si="3"/>
        <v>0</v>
      </c>
      <c r="Q126" s="72">
        <f t="shared" si="4"/>
        <v>0</v>
      </c>
      <c r="R126" s="72">
        <f t="shared" si="5"/>
        <v>0</v>
      </c>
    </row>
    <row r="127" spans="1:18" x14ac:dyDescent="0.25">
      <c r="A127" s="26"/>
      <c r="B127" s="25" t="s">
        <v>385</v>
      </c>
      <c r="C127" s="15">
        <v>16</v>
      </c>
      <c r="D127" s="16"/>
      <c r="E127" s="15">
        <v>2</v>
      </c>
      <c r="F127" s="11">
        <v>1</v>
      </c>
      <c r="G127" s="11">
        <v>2</v>
      </c>
      <c r="H127" s="12">
        <v>0.3</v>
      </c>
      <c r="I127" s="12">
        <f>9.42-0.06</f>
        <v>9.36</v>
      </c>
      <c r="J127" s="22">
        <v>0.3</v>
      </c>
      <c r="K127" s="22"/>
      <c r="L127" s="72">
        <f>SUM(H127:J127)+K127</f>
        <v>9.9600000000000009</v>
      </c>
      <c r="M127" s="72">
        <f t="shared" si="0"/>
        <v>0</v>
      </c>
      <c r="N127" s="72">
        <f t="shared" si="1"/>
        <v>0</v>
      </c>
      <c r="O127" s="72">
        <f t="shared" si="2"/>
        <v>0</v>
      </c>
      <c r="P127" s="72">
        <f t="shared" si="3"/>
        <v>39.840000000000003</v>
      </c>
      <c r="Q127" s="72">
        <f t="shared" si="4"/>
        <v>0</v>
      </c>
      <c r="R127" s="72">
        <f t="shared" si="5"/>
        <v>0</v>
      </c>
    </row>
    <row r="128" spans="1:18" x14ac:dyDescent="0.25">
      <c r="A128" s="26"/>
      <c r="B128" s="25" t="s">
        <v>432</v>
      </c>
      <c r="C128" s="15">
        <v>16</v>
      </c>
      <c r="D128" s="16"/>
      <c r="E128" s="15">
        <v>2</v>
      </c>
      <c r="F128" s="11">
        <v>1</v>
      </c>
      <c r="G128" s="11">
        <v>2</v>
      </c>
      <c r="H128" s="12">
        <v>0.3</v>
      </c>
      <c r="I128" s="12">
        <f>9.42-0.06</f>
        <v>9.36</v>
      </c>
      <c r="J128" s="22">
        <v>0.3</v>
      </c>
      <c r="K128" s="22"/>
      <c r="L128" s="72">
        <f t="shared" ref="L128" si="162">SUM(H128:J128)+K128</f>
        <v>9.9600000000000009</v>
      </c>
      <c r="M128" s="72">
        <f t="shared" si="0"/>
        <v>0</v>
      </c>
      <c r="N128" s="72">
        <f t="shared" si="1"/>
        <v>0</v>
      </c>
      <c r="O128" s="72">
        <f t="shared" si="2"/>
        <v>0</v>
      </c>
      <c r="P128" s="72">
        <f t="shared" si="3"/>
        <v>39.840000000000003</v>
      </c>
      <c r="Q128" s="72">
        <f t="shared" si="4"/>
        <v>0</v>
      </c>
      <c r="R128" s="72">
        <f t="shared" si="5"/>
        <v>0</v>
      </c>
    </row>
    <row r="129" spans="1:18" x14ac:dyDescent="0.25">
      <c r="A129" s="26"/>
      <c r="B129" s="25" t="s">
        <v>450</v>
      </c>
      <c r="C129" s="15">
        <v>12</v>
      </c>
      <c r="D129" s="16"/>
      <c r="E129" s="15">
        <v>2</v>
      </c>
      <c r="F129" s="11">
        <v>1</v>
      </c>
      <c r="G129" s="11">
        <v>2</v>
      </c>
      <c r="H129" s="12"/>
      <c r="I129" s="12">
        <v>3.54</v>
      </c>
      <c r="J129" s="22"/>
      <c r="K129" s="22"/>
      <c r="L129" s="72">
        <f t="shared" ref="L129" si="163">SUM(H129:J129)+K129</f>
        <v>3.54</v>
      </c>
      <c r="M129" s="72">
        <f t="shared" ref="M129" si="164">+ROUND(IF(C129=8,PRODUCT(E129,F129,G129,L129),0),2)</f>
        <v>0</v>
      </c>
      <c r="N129" s="72">
        <f t="shared" ref="N129" si="165">+ROUND(IF(C129=10,PRODUCT(E129,F129,G129,L129),0),2)</f>
        <v>0</v>
      </c>
      <c r="O129" s="72">
        <f t="shared" ref="O129" si="166">+ROUND(IF(C129=12,PRODUCT(E129,F129,G129,L129),0),2)</f>
        <v>14.16</v>
      </c>
      <c r="P129" s="72">
        <f t="shared" ref="P129" si="167">+ROUND(IF(C129=16,PRODUCT(E129,F129,G129,L129),0),2)</f>
        <v>0</v>
      </c>
      <c r="Q129" s="72">
        <f t="shared" ref="Q129" si="168">+ROUND(IF(C129=20,PRODUCT(E129,F129,G129,L129),0),2)</f>
        <v>0</v>
      </c>
      <c r="R129" s="72">
        <f t="shared" ref="R129" si="169">+ROUND(IF(C129=25,PRODUCT(E129,F129,G129,L129),0),2)</f>
        <v>0</v>
      </c>
    </row>
    <row r="130" spans="1:18" x14ac:dyDescent="0.25">
      <c r="A130" s="26"/>
      <c r="B130" s="25" t="s">
        <v>433</v>
      </c>
      <c r="C130" s="15">
        <v>12</v>
      </c>
      <c r="D130" s="16"/>
      <c r="E130" s="15">
        <v>2</v>
      </c>
      <c r="F130" s="11">
        <v>1</v>
      </c>
      <c r="G130" s="11">
        <v>2</v>
      </c>
      <c r="H130" s="12"/>
      <c r="I130" s="12">
        <v>2.9</v>
      </c>
      <c r="J130" s="22"/>
      <c r="K130" s="22"/>
      <c r="L130" s="72">
        <f t="shared" ref="L130" si="170">SUM(H130:J130)+K130</f>
        <v>2.9</v>
      </c>
      <c r="M130" s="72">
        <f t="shared" ref="M130" si="171">+ROUND(IF(C130=8,PRODUCT(E130,F130,G130,L130),0),2)</f>
        <v>0</v>
      </c>
      <c r="N130" s="72">
        <f t="shared" ref="N130" si="172">+ROUND(IF(C130=10,PRODUCT(E130,F130,G130,L130),0),2)</f>
        <v>0</v>
      </c>
      <c r="O130" s="72">
        <f t="shared" ref="O130" si="173">+ROUND(IF(C130=12,PRODUCT(E130,F130,G130,L130),0),2)</f>
        <v>11.6</v>
      </c>
      <c r="P130" s="72">
        <f t="shared" ref="P130" si="174">+ROUND(IF(C130=16,PRODUCT(E130,F130,G130,L130),0),2)</f>
        <v>0</v>
      </c>
      <c r="Q130" s="72">
        <f t="shared" ref="Q130" si="175">+ROUND(IF(C130=20,PRODUCT(E130,F130,G130,L130),0),2)</f>
        <v>0</v>
      </c>
      <c r="R130" s="72">
        <f t="shared" ref="R130" si="176">+ROUND(IF(C130=25,PRODUCT(E130,F130,G130,L130),0),2)</f>
        <v>0</v>
      </c>
    </row>
    <row r="131" spans="1:18" x14ac:dyDescent="0.25">
      <c r="A131" s="26"/>
      <c r="B131" s="25" t="s">
        <v>433</v>
      </c>
      <c r="C131" s="15">
        <v>12</v>
      </c>
      <c r="D131" s="16"/>
      <c r="E131" s="15">
        <v>2</v>
      </c>
      <c r="F131" s="11">
        <v>1</v>
      </c>
      <c r="G131" s="11">
        <v>2</v>
      </c>
      <c r="H131" s="12"/>
      <c r="I131" s="12">
        <f>1.4+0.6-0.03</f>
        <v>1.97</v>
      </c>
      <c r="J131" s="22">
        <v>0.3</v>
      </c>
      <c r="K131" s="22"/>
      <c r="L131" s="72">
        <f t="shared" ref="L131" si="177">SUM(H131:J131)+K131</f>
        <v>2.27</v>
      </c>
      <c r="M131" s="72">
        <f t="shared" ref="M131" si="178">+ROUND(IF(C131=8,PRODUCT(E131,F131,G131,L131),0),2)</f>
        <v>0</v>
      </c>
      <c r="N131" s="72">
        <f t="shared" ref="N131" si="179">+ROUND(IF(C131=10,PRODUCT(E131,F131,G131,L131),0),2)</f>
        <v>0</v>
      </c>
      <c r="O131" s="72">
        <f t="shared" ref="O131" si="180">+ROUND(IF(C131=12,PRODUCT(E131,F131,G131,L131),0),2)</f>
        <v>9.08</v>
      </c>
      <c r="P131" s="72">
        <f t="shared" ref="P131" si="181">+ROUND(IF(C131=16,PRODUCT(E131,F131,G131,L131),0),2)</f>
        <v>0</v>
      </c>
      <c r="Q131" s="72">
        <f t="shared" ref="Q131" si="182">+ROUND(IF(C131=20,PRODUCT(E131,F131,G131,L131),0),2)</f>
        <v>0</v>
      </c>
      <c r="R131" s="72">
        <f t="shared" ref="R131" si="183">+ROUND(IF(C131=25,PRODUCT(E131,F131,G131,L131),0),2)</f>
        <v>0</v>
      </c>
    </row>
    <row r="132" spans="1:18" x14ac:dyDescent="0.25">
      <c r="A132" s="26"/>
      <c r="B132" s="25" t="s">
        <v>462</v>
      </c>
      <c r="C132" s="15">
        <v>8</v>
      </c>
      <c r="D132" s="16">
        <v>100</v>
      </c>
      <c r="E132" s="15">
        <v>2</v>
      </c>
      <c r="F132" s="11">
        <v>1</v>
      </c>
      <c r="G132" s="11">
        <f>+ROUND(1.8/0.1,0)</f>
        <v>18</v>
      </c>
      <c r="H132" s="12"/>
      <c r="I132" s="12">
        <f t="shared" ref="I132" si="184">2*(0.14+0.39)+24*C132/1000</f>
        <v>1.252</v>
      </c>
      <c r="J132" s="22"/>
      <c r="K132" s="47"/>
      <c r="L132" s="72">
        <f>SUM(H132:J132)+K132</f>
        <v>1.252</v>
      </c>
      <c r="M132" s="72">
        <f t="shared" si="0"/>
        <v>45.07</v>
      </c>
      <c r="N132" s="72">
        <f t="shared" si="1"/>
        <v>0</v>
      </c>
      <c r="O132" s="72">
        <f t="shared" si="2"/>
        <v>0</v>
      </c>
      <c r="P132" s="72">
        <f t="shared" si="3"/>
        <v>0</v>
      </c>
      <c r="Q132" s="72">
        <f t="shared" si="4"/>
        <v>0</v>
      </c>
      <c r="R132" s="72">
        <f t="shared" si="5"/>
        <v>0</v>
      </c>
    </row>
    <row r="133" spans="1:18" x14ac:dyDescent="0.25">
      <c r="A133" s="26"/>
      <c r="B133" s="25"/>
      <c r="C133" s="15">
        <v>8</v>
      </c>
      <c r="D133" s="16">
        <v>150</v>
      </c>
      <c r="E133" s="15">
        <v>2</v>
      </c>
      <c r="F133" s="11">
        <v>1</v>
      </c>
      <c r="G133" s="11">
        <f>+ROUND(1.53/0.15+1,0)</f>
        <v>11</v>
      </c>
      <c r="H133" s="12"/>
      <c r="I133" s="12">
        <f t="shared" ref="I133:I134" si="185">2*(0.14+0.39)+24*C133/1000</f>
        <v>1.252</v>
      </c>
      <c r="J133" s="22"/>
      <c r="K133" s="47"/>
      <c r="L133" s="72">
        <f>SUM(H133:J133)+K133</f>
        <v>1.252</v>
      </c>
      <c r="M133" s="72">
        <f t="shared" ref="M133:M134" si="186">+ROUND(IF(C133=8,PRODUCT(E133,F133,G133,L133),0),2)</f>
        <v>27.54</v>
      </c>
      <c r="N133" s="72">
        <f t="shared" ref="N133:N134" si="187">+ROUND(IF(C133=10,PRODUCT(E133,F133,G133,L133),0),2)</f>
        <v>0</v>
      </c>
      <c r="O133" s="72">
        <f t="shared" ref="O133:O134" si="188">+ROUND(IF(C133=12,PRODUCT(E133,F133,G133,L133),0),2)</f>
        <v>0</v>
      </c>
      <c r="P133" s="72">
        <f t="shared" ref="P133:P134" si="189">+ROUND(IF(C133=16,PRODUCT(E133,F133,G133,L133),0),2)</f>
        <v>0</v>
      </c>
      <c r="Q133" s="72">
        <f t="shared" ref="Q133:Q134" si="190">+ROUND(IF(C133=20,PRODUCT(E133,F133,G133,L133),0),2)</f>
        <v>0</v>
      </c>
      <c r="R133" s="72">
        <f t="shared" ref="R133:R134" si="191">+ROUND(IF(C133=25,PRODUCT(E133,F133,G133,L133),0),2)</f>
        <v>0</v>
      </c>
    </row>
    <row r="134" spans="1:18" x14ac:dyDescent="0.25">
      <c r="A134" s="26"/>
      <c r="B134" s="25" t="s">
        <v>462</v>
      </c>
      <c r="C134" s="15">
        <v>8</v>
      </c>
      <c r="D134" s="16">
        <v>100</v>
      </c>
      <c r="E134" s="15">
        <v>2</v>
      </c>
      <c r="F134" s="11">
        <v>1</v>
      </c>
      <c r="G134" s="11">
        <f>+ROUND(2.345/0.1,0)</f>
        <v>23</v>
      </c>
      <c r="H134" s="12"/>
      <c r="I134" s="12">
        <f t="shared" si="185"/>
        <v>1.252</v>
      </c>
      <c r="J134" s="22"/>
      <c r="K134" s="47"/>
      <c r="L134" s="72">
        <f>SUM(H134:J134)+K134</f>
        <v>1.252</v>
      </c>
      <c r="M134" s="72">
        <f t="shared" si="186"/>
        <v>57.59</v>
      </c>
      <c r="N134" s="72">
        <f t="shared" si="187"/>
        <v>0</v>
      </c>
      <c r="O134" s="72">
        <f t="shared" si="188"/>
        <v>0</v>
      </c>
      <c r="P134" s="72">
        <f t="shared" si="189"/>
        <v>0</v>
      </c>
      <c r="Q134" s="72">
        <f t="shared" si="190"/>
        <v>0</v>
      </c>
      <c r="R134" s="72">
        <f t="shared" si="191"/>
        <v>0</v>
      </c>
    </row>
    <row r="135" spans="1:18" x14ac:dyDescent="0.25">
      <c r="A135" s="26"/>
      <c r="B135" s="25"/>
      <c r="C135" s="15">
        <v>8</v>
      </c>
      <c r="D135" s="16">
        <v>150</v>
      </c>
      <c r="E135" s="15">
        <v>2</v>
      </c>
      <c r="F135" s="11">
        <v>1</v>
      </c>
      <c r="G135" s="11">
        <f>+ROUND(2.345/0.15+1,0)</f>
        <v>17</v>
      </c>
      <c r="H135" s="12"/>
      <c r="I135" s="12">
        <f t="shared" ref="I135" si="192">2*(0.14+0.39)+24*C135/1000</f>
        <v>1.252</v>
      </c>
      <c r="J135" s="22"/>
      <c r="K135" s="47"/>
      <c r="L135" s="72">
        <f>SUM(H135:J135)+K135</f>
        <v>1.252</v>
      </c>
      <c r="M135" s="72">
        <f t="shared" ref="M135" si="193">+ROUND(IF(C135=8,PRODUCT(E135,F135,G135,L135),0),2)</f>
        <v>42.57</v>
      </c>
      <c r="N135" s="72">
        <f t="shared" ref="N135" si="194">+ROUND(IF(C135=10,PRODUCT(E135,F135,G135,L135),0),2)</f>
        <v>0</v>
      </c>
      <c r="O135" s="72">
        <f t="shared" ref="O135" si="195">+ROUND(IF(C135=12,PRODUCT(E135,F135,G135,L135),0),2)</f>
        <v>0</v>
      </c>
      <c r="P135" s="72">
        <f t="shared" ref="P135" si="196">+ROUND(IF(C135=16,PRODUCT(E135,F135,G135,L135),0),2)</f>
        <v>0</v>
      </c>
      <c r="Q135" s="72">
        <f t="shared" ref="Q135" si="197">+ROUND(IF(C135=20,PRODUCT(E135,F135,G135,L135),0),2)</f>
        <v>0</v>
      </c>
      <c r="R135" s="72">
        <f t="shared" ref="R135" si="198">+ROUND(IF(C135=25,PRODUCT(E135,F135,G135,L135),0),2)</f>
        <v>0</v>
      </c>
    </row>
    <row r="136" spans="1:18" x14ac:dyDescent="0.25">
      <c r="A136" s="26" t="s">
        <v>442</v>
      </c>
      <c r="B136" s="45" t="s">
        <v>618</v>
      </c>
      <c r="C136" s="15"/>
      <c r="D136" s="16"/>
      <c r="E136" s="15"/>
      <c r="F136" s="11"/>
      <c r="G136" s="11"/>
      <c r="H136" s="12"/>
      <c r="I136" s="12"/>
      <c r="J136" s="22"/>
      <c r="K136" s="22"/>
      <c r="L136" s="72">
        <f t="shared" ref="L136" si="199">SUM(H136:J136)+K136</f>
        <v>0</v>
      </c>
      <c r="M136" s="72">
        <f t="shared" si="0"/>
        <v>0</v>
      </c>
      <c r="N136" s="72">
        <f t="shared" si="1"/>
        <v>0</v>
      </c>
      <c r="O136" s="72">
        <f t="shared" si="2"/>
        <v>0</v>
      </c>
      <c r="P136" s="72">
        <f t="shared" si="3"/>
        <v>0</v>
      </c>
      <c r="Q136" s="72">
        <f t="shared" si="4"/>
        <v>0</v>
      </c>
      <c r="R136" s="72">
        <f t="shared" si="5"/>
        <v>0</v>
      </c>
    </row>
    <row r="137" spans="1:18" x14ac:dyDescent="0.25">
      <c r="A137" s="26"/>
      <c r="B137" s="25" t="s">
        <v>385</v>
      </c>
      <c r="C137" s="15">
        <v>16</v>
      </c>
      <c r="D137" s="16"/>
      <c r="E137" s="15">
        <v>2</v>
      </c>
      <c r="F137" s="11">
        <v>1</v>
      </c>
      <c r="G137" s="11">
        <v>2</v>
      </c>
      <c r="H137" s="12">
        <v>0.3</v>
      </c>
      <c r="I137" s="12">
        <f>6.23-0.06</f>
        <v>6.1700000000000008</v>
      </c>
      <c r="J137" s="22">
        <v>0.3</v>
      </c>
      <c r="K137" s="22"/>
      <c r="L137" s="72">
        <f>SUM(H137:J137)+K137</f>
        <v>6.7700000000000005</v>
      </c>
      <c r="M137" s="72">
        <f t="shared" si="0"/>
        <v>0</v>
      </c>
      <c r="N137" s="72">
        <f t="shared" si="1"/>
        <v>0</v>
      </c>
      <c r="O137" s="72">
        <f t="shared" si="2"/>
        <v>0</v>
      </c>
      <c r="P137" s="72">
        <f t="shared" si="3"/>
        <v>27.08</v>
      </c>
      <c r="Q137" s="72">
        <f t="shared" si="4"/>
        <v>0</v>
      </c>
      <c r="R137" s="72">
        <f t="shared" si="5"/>
        <v>0</v>
      </c>
    </row>
    <row r="138" spans="1:18" x14ac:dyDescent="0.25">
      <c r="A138" s="26"/>
      <c r="B138" s="25" t="s">
        <v>432</v>
      </c>
      <c r="C138" s="15">
        <v>16</v>
      </c>
      <c r="D138" s="16"/>
      <c r="E138" s="15">
        <v>2</v>
      </c>
      <c r="F138" s="11">
        <v>1</v>
      </c>
      <c r="G138" s="11">
        <v>2</v>
      </c>
      <c r="H138" s="12">
        <v>0.3</v>
      </c>
      <c r="I138" s="12">
        <f>6.23-0.06</f>
        <v>6.1700000000000008</v>
      </c>
      <c r="J138" s="22">
        <v>0.3</v>
      </c>
      <c r="K138" s="22"/>
      <c r="L138" s="72">
        <f t="shared" ref="L138" si="200">SUM(H138:J138)+K138</f>
        <v>6.7700000000000005</v>
      </c>
      <c r="M138" s="72">
        <f t="shared" si="0"/>
        <v>0</v>
      </c>
      <c r="N138" s="72">
        <f t="shared" si="1"/>
        <v>0</v>
      </c>
      <c r="O138" s="72">
        <f t="shared" si="2"/>
        <v>0</v>
      </c>
      <c r="P138" s="72">
        <f t="shared" si="3"/>
        <v>27.08</v>
      </c>
      <c r="Q138" s="72">
        <f t="shared" si="4"/>
        <v>0</v>
      </c>
      <c r="R138" s="72">
        <f t="shared" si="5"/>
        <v>0</v>
      </c>
    </row>
    <row r="139" spans="1:18" x14ac:dyDescent="0.25">
      <c r="A139" s="26"/>
      <c r="B139" s="25" t="s">
        <v>450</v>
      </c>
      <c r="C139" s="15">
        <v>12</v>
      </c>
      <c r="D139" s="16"/>
      <c r="E139" s="15">
        <v>2</v>
      </c>
      <c r="F139" s="11">
        <v>1</v>
      </c>
      <c r="G139" s="11">
        <v>2</v>
      </c>
      <c r="H139" s="12"/>
      <c r="I139" s="12">
        <v>4.53</v>
      </c>
      <c r="J139" s="22"/>
      <c r="K139" s="22"/>
      <c r="L139" s="72">
        <f t="shared" ref="L139:L140" si="201">SUM(H139:J139)+K139</f>
        <v>4.53</v>
      </c>
      <c r="M139" s="72">
        <f t="shared" si="0"/>
        <v>0</v>
      </c>
      <c r="N139" s="72">
        <f t="shared" si="1"/>
        <v>0</v>
      </c>
      <c r="O139" s="72">
        <f t="shared" si="2"/>
        <v>18.12</v>
      </c>
      <c r="P139" s="72">
        <f t="shared" si="3"/>
        <v>0</v>
      </c>
      <c r="Q139" s="72">
        <f t="shared" si="4"/>
        <v>0</v>
      </c>
      <c r="R139" s="72">
        <f t="shared" si="5"/>
        <v>0</v>
      </c>
    </row>
    <row r="140" spans="1:18" x14ac:dyDescent="0.25">
      <c r="A140" s="26"/>
      <c r="B140" s="25" t="s">
        <v>433</v>
      </c>
      <c r="C140" s="15">
        <v>12</v>
      </c>
      <c r="D140" s="16"/>
      <c r="E140" s="15">
        <v>2</v>
      </c>
      <c r="F140" s="11">
        <v>2</v>
      </c>
      <c r="G140" s="11">
        <v>2</v>
      </c>
      <c r="H140" s="12"/>
      <c r="I140" s="12">
        <f>1.6+0.27</f>
        <v>1.87</v>
      </c>
      <c r="J140" s="22">
        <v>0.3</v>
      </c>
      <c r="K140" s="22"/>
      <c r="L140" s="72">
        <f t="shared" si="201"/>
        <v>2.17</v>
      </c>
      <c r="M140" s="72">
        <f t="shared" si="0"/>
        <v>0</v>
      </c>
      <c r="N140" s="72">
        <f t="shared" si="1"/>
        <v>0</v>
      </c>
      <c r="O140" s="72">
        <f t="shared" si="2"/>
        <v>17.36</v>
      </c>
      <c r="P140" s="72">
        <f t="shared" si="3"/>
        <v>0</v>
      </c>
      <c r="Q140" s="72">
        <f t="shared" si="4"/>
        <v>0</v>
      </c>
      <c r="R140" s="72">
        <f t="shared" si="5"/>
        <v>0</v>
      </c>
    </row>
    <row r="141" spans="1:18" x14ac:dyDescent="0.25">
      <c r="A141" s="26"/>
      <c r="B141" s="25" t="s">
        <v>462</v>
      </c>
      <c r="C141" s="15">
        <v>8</v>
      </c>
      <c r="D141" s="16">
        <v>100</v>
      </c>
      <c r="E141" s="15">
        <v>2</v>
      </c>
      <c r="F141" s="11">
        <v>1</v>
      </c>
      <c r="G141" s="11">
        <f>+ROUND(2.82/0.1,0)</f>
        <v>28</v>
      </c>
      <c r="H141" s="12"/>
      <c r="I141" s="12">
        <f t="shared" ref="I141:I142" si="202">2*(0.14+0.39)+24*C141/1000</f>
        <v>1.252</v>
      </c>
      <c r="J141" s="22"/>
      <c r="K141" s="47"/>
      <c r="L141" s="72">
        <f>SUM(H141:J141)+K141</f>
        <v>1.252</v>
      </c>
      <c r="M141" s="72">
        <f t="shared" si="0"/>
        <v>70.11</v>
      </c>
      <c r="N141" s="72">
        <f t="shared" si="1"/>
        <v>0</v>
      </c>
      <c r="O141" s="72">
        <f t="shared" si="2"/>
        <v>0</v>
      </c>
      <c r="P141" s="72">
        <f t="shared" si="3"/>
        <v>0</v>
      </c>
      <c r="Q141" s="72">
        <f t="shared" si="4"/>
        <v>0</v>
      </c>
      <c r="R141" s="72">
        <f t="shared" si="5"/>
        <v>0</v>
      </c>
    </row>
    <row r="142" spans="1:18" x14ac:dyDescent="0.25">
      <c r="A142" s="26"/>
      <c r="B142" s="25"/>
      <c r="C142" s="15">
        <v>8</v>
      </c>
      <c r="D142" s="16">
        <v>150</v>
      </c>
      <c r="E142" s="15">
        <v>2</v>
      </c>
      <c r="F142" s="11">
        <v>1</v>
      </c>
      <c r="G142" s="11">
        <f>+ROUND(2.82/0.15+1,0)</f>
        <v>20</v>
      </c>
      <c r="H142" s="12"/>
      <c r="I142" s="12">
        <f t="shared" si="202"/>
        <v>1.252</v>
      </c>
      <c r="J142" s="22"/>
      <c r="K142" s="47"/>
      <c r="L142" s="72">
        <f t="shared" ref="L142" si="203">SUM(H142:J142)+K142</f>
        <v>1.252</v>
      </c>
      <c r="M142" s="72">
        <f t="shared" si="0"/>
        <v>50.08</v>
      </c>
      <c r="N142" s="72">
        <f t="shared" si="1"/>
        <v>0</v>
      </c>
      <c r="O142" s="72">
        <f t="shared" si="2"/>
        <v>0</v>
      </c>
      <c r="P142" s="72">
        <f t="shared" si="3"/>
        <v>0</v>
      </c>
      <c r="Q142" s="72">
        <f t="shared" si="4"/>
        <v>0</v>
      </c>
      <c r="R142" s="72">
        <f t="shared" si="5"/>
        <v>0</v>
      </c>
    </row>
    <row r="143" spans="1:18" x14ac:dyDescent="0.25">
      <c r="A143" s="26" t="s">
        <v>442</v>
      </c>
      <c r="B143" s="45" t="s">
        <v>619</v>
      </c>
      <c r="C143" s="15"/>
      <c r="D143" s="16"/>
      <c r="E143" s="15"/>
      <c r="F143" s="11"/>
      <c r="G143" s="11"/>
      <c r="H143" s="12"/>
      <c r="I143" s="12"/>
      <c r="J143" s="22"/>
      <c r="K143" s="22"/>
      <c r="L143" s="72">
        <f t="shared" ref="L143" si="204">SUM(H143:J143)+K143</f>
        <v>0</v>
      </c>
      <c r="M143" s="72">
        <f t="shared" si="0"/>
        <v>0</v>
      </c>
      <c r="N143" s="72">
        <f t="shared" si="1"/>
        <v>0</v>
      </c>
      <c r="O143" s="72">
        <f t="shared" si="2"/>
        <v>0</v>
      </c>
      <c r="P143" s="72">
        <f t="shared" si="3"/>
        <v>0</v>
      </c>
      <c r="Q143" s="72">
        <f t="shared" si="4"/>
        <v>0</v>
      </c>
      <c r="R143" s="72">
        <f t="shared" si="5"/>
        <v>0</v>
      </c>
    </row>
    <row r="144" spans="1:18" x14ac:dyDescent="0.25">
      <c r="A144" s="26"/>
      <c r="B144" s="25" t="s">
        <v>385</v>
      </c>
      <c r="C144" s="15">
        <v>16</v>
      </c>
      <c r="D144" s="16"/>
      <c r="E144" s="15">
        <v>2</v>
      </c>
      <c r="F144" s="11">
        <v>1</v>
      </c>
      <c r="G144" s="11">
        <v>2</v>
      </c>
      <c r="H144" s="12">
        <v>0.3</v>
      </c>
      <c r="I144" s="12">
        <f>8.6-0.06</f>
        <v>8.5399999999999991</v>
      </c>
      <c r="J144" s="22">
        <v>0.3</v>
      </c>
      <c r="K144" s="22"/>
      <c r="L144" s="72">
        <f>SUM(H144:J144)+K144</f>
        <v>9.14</v>
      </c>
      <c r="M144" s="72">
        <f t="shared" si="0"/>
        <v>0</v>
      </c>
      <c r="N144" s="72">
        <f t="shared" si="1"/>
        <v>0</v>
      </c>
      <c r="O144" s="72">
        <f t="shared" si="2"/>
        <v>0</v>
      </c>
      <c r="P144" s="72">
        <f t="shared" si="3"/>
        <v>36.56</v>
      </c>
      <c r="Q144" s="72">
        <f t="shared" si="4"/>
        <v>0</v>
      </c>
      <c r="R144" s="72">
        <f t="shared" si="5"/>
        <v>0</v>
      </c>
    </row>
    <row r="145" spans="1:18" x14ac:dyDescent="0.25">
      <c r="A145" s="26"/>
      <c r="B145" s="25" t="s">
        <v>432</v>
      </c>
      <c r="C145" s="15">
        <v>16</v>
      </c>
      <c r="D145" s="16"/>
      <c r="E145" s="15">
        <v>2</v>
      </c>
      <c r="F145" s="11">
        <v>1</v>
      </c>
      <c r="G145" s="11">
        <v>2</v>
      </c>
      <c r="H145" s="12">
        <v>0.3</v>
      </c>
      <c r="I145" s="12">
        <f>8.6-0.06</f>
        <v>8.5399999999999991</v>
      </c>
      <c r="J145" s="22">
        <v>0.3</v>
      </c>
      <c r="K145" s="22"/>
      <c r="L145" s="72">
        <f t="shared" ref="L145" si="205">SUM(H145:J145)+K145</f>
        <v>9.14</v>
      </c>
      <c r="M145" s="72">
        <f t="shared" si="0"/>
        <v>0</v>
      </c>
      <c r="N145" s="72">
        <f t="shared" si="1"/>
        <v>0</v>
      </c>
      <c r="O145" s="72">
        <f t="shared" si="2"/>
        <v>0</v>
      </c>
      <c r="P145" s="72">
        <f t="shared" si="3"/>
        <v>36.56</v>
      </c>
      <c r="Q145" s="72">
        <f t="shared" si="4"/>
        <v>0</v>
      </c>
      <c r="R145" s="72">
        <f t="shared" si="5"/>
        <v>0</v>
      </c>
    </row>
    <row r="146" spans="1:18" x14ac:dyDescent="0.25">
      <c r="A146" s="26"/>
      <c r="B146" s="25" t="s">
        <v>450</v>
      </c>
      <c r="C146" s="15">
        <v>12</v>
      </c>
      <c r="D146" s="16"/>
      <c r="E146" s="15">
        <v>2</v>
      </c>
      <c r="F146" s="11">
        <v>1</v>
      </c>
      <c r="G146" s="11">
        <v>2</v>
      </c>
      <c r="H146" s="12"/>
      <c r="I146" s="12">
        <v>4.28</v>
      </c>
      <c r="J146" s="22"/>
      <c r="K146" s="22"/>
      <c r="L146" s="72">
        <f t="shared" ref="L146:L147" si="206">SUM(H146:J146)+K146</f>
        <v>4.28</v>
      </c>
      <c r="M146" s="72">
        <f t="shared" si="0"/>
        <v>0</v>
      </c>
      <c r="N146" s="72">
        <f t="shared" si="1"/>
        <v>0</v>
      </c>
      <c r="O146" s="72">
        <f t="shared" si="2"/>
        <v>17.12</v>
      </c>
      <c r="P146" s="72">
        <f t="shared" si="3"/>
        <v>0</v>
      </c>
      <c r="Q146" s="72">
        <f t="shared" si="4"/>
        <v>0</v>
      </c>
      <c r="R146" s="72">
        <f t="shared" si="5"/>
        <v>0</v>
      </c>
    </row>
    <row r="147" spans="1:18" x14ac:dyDescent="0.25">
      <c r="A147" s="26"/>
      <c r="B147" s="25" t="s">
        <v>433</v>
      </c>
      <c r="C147" s="15">
        <v>12</v>
      </c>
      <c r="D147" s="16"/>
      <c r="E147" s="15">
        <v>2</v>
      </c>
      <c r="F147" s="11">
        <v>1</v>
      </c>
      <c r="G147" s="11">
        <v>2</v>
      </c>
      <c r="H147" s="12"/>
      <c r="I147" s="12">
        <v>1.97</v>
      </c>
      <c r="J147" s="22">
        <v>0.3</v>
      </c>
      <c r="K147" s="22"/>
      <c r="L147" s="72">
        <f t="shared" si="206"/>
        <v>2.27</v>
      </c>
      <c r="M147" s="72">
        <f t="shared" si="0"/>
        <v>0</v>
      </c>
      <c r="N147" s="72">
        <f t="shared" si="1"/>
        <v>0</v>
      </c>
      <c r="O147" s="72">
        <f t="shared" si="2"/>
        <v>9.08</v>
      </c>
      <c r="P147" s="72">
        <f t="shared" si="3"/>
        <v>0</v>
      </c>
      <c r="Q147" s="72">
        <f t="shared" si="4"/>
        <v>0</v>
      </c>
      <c r="R147" s="72">
        <f t="shared" si="5"/>
        <v>0</v>
      </c>
    </row>
    <row r="148" spans="1:18" x14ac:dyDescent="0.25">
      <c r="A148" s="26"/>
      <c r="B148" s="25"/>
      <c r="C148" s="15">
        <v>12</v>
      </c>
      <c r="D148" s="16"/>
      <c r="E148" s="15">
        <v>2</v>
      </c>
      <c r="F148" s="11">
        <v>1</v>
      </c>
      <c r="G148" s="11">
        <v>2</v>
      </c>
      <c r="H148" s="12"/>
      <c r="I148" s="12">
        <v>2.5</v>
      </c>
      <c r="J148" s="22"/>
      <c r="K148" s="22"/>
      <c r="L148" s="72">
        <f t="shared" ref="L148" si="207">SUM(H148:J148)+K148</f>
        <v>2.5</v>
      </c>
      <c r="M148" s="72">
        <f t="shared" si="0"/>
        <v>0</v>
      </c>
      <c r="N148" s="72">
        <f t="shared" si="1"/>
        <v>0</v>
      </c>
      <c r="O148" s="72">
        <f t="shared" si="2"/>
        <v>10</v>
      </c>
      <c r="P148" s="72">
        <f t="shared" si="3"/>
        <v>0</v>
      </c>
      <c r="Q148" s="72">
        <f t="shared" si="4"/>
        <v>0</v>
      </c>
      <c r="R148" s="72">
        <f t="shared" si="5"/>
        <v>0</v>
      </c>
    </row>
    <row r="149" spans="1:18" x14ac:dyDescent="0.25">
      <c r="A149" s="26"/>
      <c r="B149" s="25" t="s">
        <v>453</v>
      </c>
      <c r="C149" s="15">
        <v>8</v>
      </c>
      <c r="D149" s="16">
        <v>100</v>
      </c>
      <c r="E149" s="15">
        <v>2</v>
      </c>
      <c r="F149" s="11">
        <v>1</v>
      </c>
      <c r="G149" s="11">
        <f>+ROUND(2.14/0.1+1,0)</f>
        <v>22</v>
      </c>
      <c r="H149" s="12"/>
      <c r="I149" s="12">
        <f t="shared" ref="I149:I151" si="208">2*(0.14+0.39)+24*C149/1000</f>
        <v>1.252</v>
      </c>
      <c r="J149" s="22"/>
      <c r="K149" s="47"/>
      <c r="L149" s="72">
        <f>SUM(H149:J149)+K149</f>
        <v>1.252</v>
      </c>
      <c r="M149" s="72">
        <f t="shared" si="0"/>
        <v>55.09</v>
      </c>
      <c r="N149" s="72">
        <f t="shared" si="1"/>
        <v>0</v>
      </c>
      <c r="O149" s="72">
        <f t="shared" si="2"/>
        <v>0</v>
      </c>
      <c r="P149" s="72">
        <f t="shared" si="3"/>
        <v>0</v>
      </c>
      <c r="Q149" s="72">
        <f t="shared" si="4"/>
        <v>0</v>
      </c>
      <c r="R149" s="72">
        <f t="shared" si="5"/>
        <v>0</v>
      </c>
    </row>
    <row r="150" spans="1:18" x14ac:dyDescent="0.25">
      <c r="A150" s="26"/>
      <c r="B150" s="25" t="s">
        <v>453</v>
      </c>
      <c r="C150" s="15">
        <v>8</v>
      </c>
      <c r="D150" s="16">
        <v>100</v>
      </c>
      <c r="E150" s="15">
        <v>2</v>
      </c>
      <c r="F150" s="11">
        <v>1</v>
      </c>
      <c r="G150" s="11">
        <f>+ROUND(2.82/0.1,0)</f>
        <v>28</v>
      </c>
      <c r="H150" s="12"/>
      <c r="I150" s="12">
        <f t="shared" si="208"/>
        <v>1.252</v>
      </c>
      <c r="J150" s="22"/>
      <c r="K150" s="47"/>
      <c r="L150" s="72">
        <f t="shared" ref="L150:L151" si="209">SUM(H150:J150)+K150</f>
        <v>1.252</v>
      </c>
      <c r="M150" s="72">
        <f t="shared" si="0"/>
        <v>70.11</v>
      </c>
      <c r="N150" s="72">
        <f t="shared" si="1"/>
        <v>0</v>
      </c>
      <c r="O150" s="72">
        <f t="shared" si="2"/>
        <v>0</v>
      </c>
      <c r="P150" s="72">
        <f t="shared" si="3"/>
        <v>0</v>
      </c>
      <c r="Q150" s="72">
        <f t="shared" si="4"/>
        <v>0</v>
      </c>
      <c r="R150" s="72">
        <f t="shared" si="5"/>
        <v>0</v>
      </c>
    </row>
    <row r="151" spans="1:18" x14ac:dyDescent="0.25">
      <c r="A151" s="26"/>
      <c r="B151" s="25"/>
      <c r="C151" s="15">
        <v>8</v>
      </c>
      <c r="D151" s="16">
        <v>150</v>
      </c>
      <c r="E151" s="15">
        <v>2</v>
      </c>
      <c r="F151" s="11">
        <v>1</v>
      </c>
      <c r="G151" s="11">
        <f>+ROUND(2.82/0.15+1,0)</f>
        <v>20</v>
      </c>
      <c r="H151" s="12"/>
      <c r="I151" s="12">
        <f t="shared" si="208"/>
        <v>1.252</v>
      </c>
      <c r="J151" s="22"/>
      <c r="K151" s="47"/>
      <c r="L151" s="72">
        <f t="shared" si="209"/>
        <v>1.252</v>
      </c>
      <c r="M151" s="72">
        <f t="shared" si="0"/>
        <v>50.08</v>
      </c>
      <c r="N151" s="72">
        <f t="shared" si="1"/>
        <v>0</v>
      </c>
      <c r="O151" s="72">
        <f t="shared" si="2"/>
        <v>0</v>
      </c>
      <c r="P151" s="72">
        <f t="shared" si="3"/>
        <v>0</v>
      </c>
      <c r="Q151" s="72">
        <f t="shared" si="4"/>
        <v>0</v>
      </c>
      <c r="R151" s="72">
        <f t="shared" si="5"/>
        <v>0</v>
      </c>
    </row>
    <row r="152" spans="1:18" x14ac:dyDescent="0.25">
      <c r="A152" s="26" t="s">
        <v>442</v>
      </c>
      <c r="B152" s="45" t="s">
        <v>620</v>
      </c>
      <c r="C152" s="15"/>
      <c r="D152" s="16"/>
      <c r="E152" s="15"/>
      <c r="F152" s="11"/>
      <c r="G152" s="11"/>
      <c r="H152" s="12"/>
      <c r="I152" s="12"/>
      <c r="J152" s="22"/>
      <c r="K152" s="22"/>
      <c r="L152" s="72">
        <f t="shared" ref="L152" si="210">SUM(H152:J152)+K152</f>
        <v>0</v>
      </c>
      <c r="M152" s="72">
        <f t="shared" si="0"/>
        <v>0</v>
      </c>
      <c r="N152" s="72">
        <f t="shared" si="1"/>
        <v>0</v>
      </c>
      <c r="O152" s="72">
        <f t="shared" si="2"/>
        <v>0</v>
      </c>
      <c r="P152" s="72">
        <f t="shared" si="3"/>
        <v>0</v>
      </c>
      <c r="Q152" s="72">
        <f t="shared" si="4"/>
        <v>0</v>
      </c>
      <c r="R152" s="72">
        <f t="shared" si="5"/>
        <v>0</v>
      </c>
    </row>
    <row r="153" spans="1:18" x14ac:dyDescent="0.25">
      <c r="A153" s="26"/>
      <c r="B153" s="25" t="s">
        <v>385</v>
      </c>
      <c r="C153" s="15">
        <v>16</v>
      </c>
      <c r="D153" s="16"/>
      <c r="E153" s="15">
        <v>6</v>
      </c>
      <c r="F153" s="11">
        <v>1</v>
      </c>
      <c r="G153" s="11">
        <v>2</v>
      </c>
      <c r="H153" s="12">
        <v>0.3</v>
      </c>
      <c r="I153" s="12">
        <f>8.855-0.06</f>
        <v>8.7949999999999999</v>
      </c>
      <c r="J153" s="22">
        <v>0.3</v>
      </c>
      <c r="K153" s="22"/>
      <c r="L153" s="72">
        <f>SUM(H153:J153)+K153</f>
        <v>9.3950000000000014</v>
      </c>
      <c r="M153" s="72">
        <f t="shared" si="0"/>
        <v>0</v>
      </c>
      <c r="N153" s="72">
        <f t="shared" si="1"/>
        <v>0</v>
      </c>
      <c r="O153" s="72">
        <f t="shared" si="2"/>
        <v>0</v>
      </c>
      <c r="P153" s="72">
        <f t="shared" si="3"/>
        <v>112.74</v>
      </c>
      <c r="Q153" s="72">
        <f t="shared" si="4"/>
        <v>0</v>
      </c>
      <c r="R153" s="72">
        <f t="shared" si="5"/>
        <v>0</v>
      </c>
    </row>
    <row r="154" spans="1:18" x14ac:dyDescent="0.25">
      <c r="A154" s="26"/>
      <c r="B154" s="25" t="s">
        <v>432</v>
      </c>
      <c r="C154" s="15">
        <v>16</v>
      </c>
      <c r="D154" s="16"/>
      <c r="E154" s="15">
        <v>6</v>
      </c>
      <c r="F154" s="11">
        <v>1</v>
      </c>
      <c r="G154" s="11">
        <v>2</v>
      </c>
      <c r="H154" s="12">
        <v>0.3</v>
      </c>
      <c r="I154" s="12">
        <f>8.855-0.06</f>
        <v>8.7949999999999999</v>
      </c>
      <c r="J154" s="22">
        <v>0.3</v>
      </c>
      <c r="K154" s="22"/>
      <c r="L154" s="72">
        <f t="shared" ref="L154" si="211">SUM(H154:J154)+K154</f>
        <v>9.3950000000000014</v>
      </c>
      <c r="M154" s="72">
        <f t="shared" si="0"/>
        <v>0</v>
      </c>
      <c r="N154" s="72">
        <f t="shared" si="1"/>
        <v>0</v>
      </c>
      <c r="O154" s="72">
        <f t="shared" si="2"/>
        <v>0</v>
      </c>
      <c r="P154" s="72">
        <f t="shared" si="3"/>
        <v>112.74</v>
      </c>
      <c r="Q154" s="72">
        <f t="shared" si="4"/>
        <v>0</v>
      </c>
      <c r="R154" s="72">
        <f t="shared" si="5"/>
        <v>0</v>
      </c>
    </row>
    <row r="155" spans="1:18" x14ac:dyDescent="0.25">
      <c r="A155" s="26"/>
      <c r="B155" s="25" t="s">
        <v>450</v>
      </c>
      <c r="C155" s="15">
        <v>12</v>
      </c>
      <c r="D155" s="16"/>
      <c r="E155" s="15">
        <v>6</v>
      </c>
      <c r="F155" s="11">
        <v>1</v>
      </c>
      <c r="G155" s="11">
        <v>2</v>
      </c>
      <c r="H155" s="12"/>
      <c r="I155" s="12">
        <v>3.57</v>
      </c>
      <c r="J155" s="22"/>
      <c r="K155" s="22"/>
      <c r="L155" s="72">
        <f t="shared" ref="L155:L156" si="212">SUM(H155:J155)+K155</f>
        <v>3.57</v>
      </c>
      <c r="M155" s="72">
        <f t="shared" si="0"/>
        <v>0</v>
      </c>
      <c r="N155" s="72">
        <f t="shared" si="1"/>
        <v>0</v>
      </c>
      <c r="O155" s="72">
        <f t="shared" si="2"/>
        <v>42.84</v>
      </c>
      <c r="P155" s="72">
        <f t="shared" si="3"/>
        <v>0</v>
      </c>
      <c r="Q155" s="72">
        <f t="shared" si="4"/>
        <v>0</v>
      </c>
      <c r="R155" s="72">
        <f t="shared" si="5"/>
        <v>0</v>
      </c>
    </row>
    <row r="156" spans="1:18" x14ac:dyDescent="0.25">
      <c r="A156" s="26"/>
      <c r="B156" s="25" t="s">
        <v>433</v>
      </c>
      <c r="C156" s="15">
        <v>16</v>
      </c>
      <c r="D156" s="16"/>
      <c r="E156" s="15">
        <v>6</v>
      </c>
      <c r="F156" s="11">
        <v>1</v>
      </c>
      <c r="G156" s="11">
        <v>2</v>
      </c>
      <c r="H156" s="12"/>
      <c r="I156" s="12">
        <v>2.6</v>
      </c>
      <c r="J156" s="22"/>
      <c r="K156" s="22"/>
      <c r="L156" s="72">
        <f t="shared" si="212"/>
        <v>2.6</v>
      </c>
      <c r="M156" s="72">
        <f t="shared" si="0"/>
        <v>0</v>
      </c>
      <c r="N156" s="72">
        <f t="shared" si="1"/>
        <v>0</v>
      </c>
      <c r="O156" s="72">
        <f t="shared" si="2"/>
        <v>0</v>
      </c>
      <c r="P156" s="72">
        <f t="shared" si="3"/>
        <v>31.2</v>
      </c>
      <c r="Q156" s="72">
        <f t="shared" si="4"/>
        <v>0</v>
      </c>
      <c r="R156" s="72">
        <f t="shared" si="5"/>
        <v>0</v>
      </c>
    </row>
    <row r="157" spans="1:18" x14ac:dyDescent="0.25">
      <c r="A157" s="26"/>
      <c r="B157" s="25"/>
      <c r="C157" s="15">
        <v>16</v>
      </c>
      <c r="D157" s="16"/>
      <c r="E157" s="15">
        <v>6</v>
      </c>
      <c r="F157" s="11">
        <v>1</v>
      </c>
      <c r="G157" s="11">
        <v>2</v>
      </c>
      <c r="H157" s="12">
        <v>0.3</v>
      </c>
      <c r="I157" s="12">
        <f>1.7-0.03</f>
        <v>1.67</v>
      </c>
      <c r="J157" s="22"/>
      <c r="K157" s="22"/>
      <c r="L157" s="72">
        <f t="shared" ref="L157:L158" si="213">SUM(H157:J157)+K157</f>
        <v>1.97</v>
      </c>
      <c r="M157" s="72">
        <f t="shared" si="0"/>
        <v>0</v>
      </c>
      <c r="N157" s="72">
        <f t="shared" si="1"/>
        <v>0</v>
      </c>
      <c r="O157" s="72">
        <f t="shared" si="2"/>
        <v>0</v>
      </c>
      <c r="P157" s="72">
        <f t="shared" si="3"/>
        <v>23.64</v>
      </c>
      <c r="Q157" s="72">
        <f t="shared" si="4"/>
        <v>0</v>
      </c>
      <c r="R157" s="72">
        <f t="shared" si="5"/>
        <v>0</v>
      </c>
    </row>
    <row r="158" spans="1:18" x14ac:dyDescent="0.25">
      <c r="A158" s="26"/>
      <c r="B158" s="25"/>
      <c r="C158" s="15">
        <v>12</v>
      </c>
      <c r="D158" s="16"/>
      <c r="E158" s="15">
        <v>6</v>
      </c>
      <c r="F158" s="11">
        <v>1</v>
      </c>
      <c r="G158" s="11">
        <v>2</v>
      </c>
      <c r="H158" s="12"/>
      <c r="I158" s="12">
        <f>1.2-0.03</f>
        <v>1.17</v>
      </c>
      <c r="J158" s="22">
        <v>0.3</v>
      </c>
      <c r="K158" s="22"/>
      <c r="L158" s="72">
        <f t="shared" si="213"/>
        <v>1.47</v>
      </c>
      <c r="M158" s="72">
        <f t="shared" si="0"/>
        <v>0</v>
      </c>
      <c r="N158" s="72">
        <f t="shared" si="1"/>
        <v>0</v>
      </c>
      <c r="O158" s="72">
        <f t="shared" si="2"/>
        <v>17.64</v>
      </c>
      <c r="P158" s="72">
        <f t="shared" si="3"/>
        <v>0</v>
      </c>
      <c r="Q158" s="72">
        <f t="shared" si="4"/>
        <v>0</v>
      </c>
      <c r="R158" s="72">
        <f t="shared" si="5"/>
        <v>0</v>
      </c>
    </row>
    <row r="159" spans="1:18" x14ac:dyDescent="0.25">
      <c r="A159" s="26"/>
      <c r="B159" s="25" t="s">
        <v>453</v>
      </c>
      <c r="C159" s="15">
        <v>8</v>
      </c>
      <c r="D159" s="16">
        <v>100</v>
      </c>
      <c r="E159" s="15">
        <v>6</v>
      </c>
      <c r="F159" s="11">
        <v>1</v>
      </c>
      <c r="G159" s="11">
        <f>+ROUND(2.36/0.1,0)</f>
        <v>24</v>
      </c>
      <c r="H159" s="12"/>
      <c r="I159" s="12">
        <f t="shared" ref="I159:I162" si="214">2*(0.14+0.39)+24*C159/1000</f>
        <v>1.252</v>
      </c>
      <c r="J159" s="22"/>
      <c r="K159" s="47"/>
      <c r="L159" s="72">
        <f t="shared" ref="L159:L160" si="215">SUM(H159:J159)+K159</f>
        <v>1.252</v>
      </c>
      <c r="M159" s="72">
        <f t="shared" si="0"/>
        <v>180.29</v>
      </c>
      <c r="N159" s="72">
        <f t="shared" si="1"/>
        <v>0</v>
      </c>
      <c r="O159" s="72">
        <f t="shared" si="2"/>
        <v>0</v>
      </c>
      <c r="P159" s="72">
        <f t="shared" si="3"/>
        <v>0</v>
      </c>
      <c r="Q159" s="72">
        <f t="shared" si="4"/>
        <v>0</v>
      </c>
      <c r="R159" s="72">
        <f t="shared" si="5"/>
        <v>0</v>
      </c>
    </row>
    <row r="160" spans="1:18" x14ac:dyDescent="0.25">
      <c r="A160" s="26"/>
      <c r="B160" s="25"/>
      <c r="C160" s="15">
        <v>8</v>
      </c>
      <c r="D160" s="16">
        <v>150</v>
      </c>
      <c r="E160" s="15">
        <v>6</v>
      </c>
      <c r="F160" s="11">
        <v>1</v>
      </c>
      <c r="G160" s="11">
        <f>+ROUND(2.36/0.15+1,0)</f>
        <v>17</v>
      </c>
      <c r="H160" s="12"/>
      <c r="I160" s="12">
        <f t="shared" si="214"/>
        <v>1.252</v>
      </c>
      <c r="J160" s="22"/>
      <c r="K160" s="47"/>
      <c r="L160" s="72">
        <f t="shared" si="215"/>
        <v>1.252</v>
      </c>
      <c r="M160" s="72">
        <f t="shared" si="0"/>
        <v>127.7</v>
      </c>
      <c r="N160" s="72">
        <f t="shared" si="1"/>
        <v>0</v>
      </c>
      <c r="O160" s="72">
        <f t="shared" si="2"/>
        <v>0</v>
      </c>
      <c r="P160" s="72">
        <f t="shared" si="3"/>
        <v>0</v>
      </c>
      <c r="Q160" s="72">
        <f t="shared" si="4"/>
        <v>0</v>
      </c>
      <c r="R160" s="72">
        <f t="shared" si="5"/>
        <v>0</v>
      </c>
    </row>
    <row r="161" spans="1:18" x14ac:dyDescent="0.25">
      <c r="A161" s="26"/>
      <c r="B161" s="25" t="s">
        <v>453</v>
      </c>
      <c r="C161" s="15">
        <v>8</v>
      </c>
      <c r="D161" s="16">
        <v>100</v>
      </c>
      <c r="E161" s="15">
        <v>6</v>
      </c>
      <c r="F161" s="11">
        <v>1</v>
      </c>
      <c r="G161" s="11">
        <f>+ROUND(1.8/0.1,0)</f>
        <v>18</v>
      </c>
      <c r="H161" s="12"/>
      <c r="I161" s="12">
        <f t="shared" si="214"/>
        <v>1.252</v>
      </c>
      <c r="J161" s="22"/>
      <c r="K161" s="47"/>
      <c r="L161" s="72">
        <f>SUM(H161:J161)+K161</f>
        <v>1.252</v>
      </c>
      <c r="M161" s="72">
        <f t="shared" si="0"/>
        <v>135.22</v>
      </c>
      <c r="N161" s="72">
        <f t="shared" si="1"/>
        <v>0</v>
      </c>
      <c r="O161" s="72">
        <f t="shared" si="2"/>
        <v>0</v>
      </c>
      <c r="P161" s="72">
        <f t="shared" si="3"/>
        <v>0</v>
      </c>
      <c r="Q161" s="72">
        <f t="shared" si="4"/>
        <v>0</v>
      </c>
      <c r="R161" s="72">
        <f t="shared" si="5"/>
        <v>0</v>
      </c>
    </row>
    <row r="162" spans="1:18" x14ac:dyDescent="0.25">
      <c r="A162" s="26"/>
      <c r="B162" s="25"/>
      <c r="C162" s="15">
        <v>8</v>
      </c>
      <c r="D162" s="16">
        <v>100</v>
      </c>
      <c r="E162" s="15">
        <v>6</v>
      </c>
      <c r="F162" s="11">
        <v>1</v>
      </c>
      <c r="G162" s="11">
        <f>+ROUND(1.435/0.15+1,0)</f>
        <v>11</v>
      </c>
      <c r="H162" s="12"/>
      <c r="I162" s="12">
        <f t="shared" si="214"/>
        <v>1.252</v>
      </c>
      <c r="J162" s="22"/>
      <c r="K162" s="47"/>
      <c r="L162" s="72">
        <f t="shared" ref="L162:L202" si="216">SUM(H162:J162)+K162</f>
        <v>1.252</v>
      </c>
      <c r="M162" s="72">
        <f t="shared" si="0"/>
        <v>82.63</v>
      </c>
      <c r="N162" s="72">
        <f t="shared" si="1"/>
        <v>0</v>
      </c>
      <c r="O162" s="72">
        <f t="shared" si="2"/>
        <v>0</v>
      </c>
      <c r="P162" s="72">
        <f t="shared" si="3"/>
        <v>0</v>
      </c>
      <c r="Q162" s="72">
        <f t="shared" si="4"/>
        <v>0</v>
      </c>
      <c r="R162" s="72">
        <f t="shared" si="5"/>
        <v>0</v>
      </c>
    </row>
    <row r="163" spans="1:18" x14ac:dyDescent="0.25">
      <c r="A163" s="26" t="s">
        <v>442</v>
      </c>
      <c r="B163" s="45" t="s">
        <v>621</v>
      </c>
      <c r="C163" s="15"/>
      <c r="D163" s="16"/>
      <c r="E163" s="15"/>
      <c r="F163" s="11"/>
      <c r="G163" s="11"/>
      <c r="H163" s="12"/>
      <c r="I163" s="12"/>
      <c r="J163" s="22"/>
      <c r="K163" s="22"/>
      <c r="L163" s="72">
        <f t="shared" ref="L163" si="217">SUM(H163:J163)+K163</f>
        <v>0</v>
      </c>
      <c r="M163" s="72">
        <f t="shared" si="0"/>
        <v>0</v>
      </c>
      <c r="N163" s="72">
        <f t="shared" si="1"/>
        <v>0</v>
      </c>
      <c r="O163" s="72">
        <f t="shared" si="2"/>
        <v>0</v>
      </c>
      <c r="P163" s="72">
        <f t="shared" si="3"/>
        <v>0</v>
      </c>
      <c r="Q163" s="72">
        <f t="shared" si="4"/>
        <v>0</v>
      </c>
      <c r="R163" s="72">
        <f t="shared" si="5"/>
        <v>0</v>
      </c>
    </row>
    <row r="164" spans="1:18" x14ac:dyDescent="0.25">
      <c r="A164" s="26"/>
      <c r="B164" s="25" t="s">
        <v>385</v>
      </c>
      <c r="C164" s="15">
        <v>16</v>
      </c>
      <c r="D164" s="16"/>
      <c r="E164" s="15">
        <v>6</v>
      </c>
      <c r="F164" s="11">
        <v>1</v>
      </c>
      <c r="G164" s="11">
        <v>2</v>
      </c>
      <c r="H164" s="12">
        <v>0.3</v>
      </c>
      <c r="I164" s="12">
        <f>6.945-0.06</f>
        <v>6.8850000000000007</v>
      </c>
      <c r="J164" s="22">
        <v>0.3</v>
      </c>
      <c r="K164" s="22"/>
      <c r="L164" s="72">
        <f>SUM(H164:J164)+K164</f>
        <v>7.4850000000000003</v>
      </c>
      <c r="M164" s="72">
        <f t="shared" si="0"/>
        <v>0</v>
      </c>
      <c r="N164" s="72">
        <f t="shared" si="1"/>
        <v>0</v>
      </c>
      <c r="O164" s="72">
        <f t="shared" si="2"/>
        <v>0</v>
      </c>
      <c r="P164" s="72">
        <f t="shared" si="3"/>
        <v>89.82</v>
      </c>
      <c r="Q164" s="72">
        <f t="shared" si="4"/>
        <v>0</v>
      </c>
      <c r="R164" s="72">
        <f t="shared" si="5"/>
        <v>0</v>
      </c>
    </row>
    <row r="165" spans="1:18" x14ac:dyDescent="0.25">
      <c r="A165" s="26"/>
      <c r="B165" s="25" t="s">
        <v>432</v>
      </c>
      <c r="C165" s="15">
        <v>16</v>
      </c>
      <c r="D165" s="16"/>
      <c r="E165" s="15">
        <v>6</v>
      </c>
      <c r="F165" s="11">
        <v>1</v>
      </c>
      <c r="G165" s="11">
        <v>2</v>
      </c>
      <c r="H165" s="12">
        <v>0.3</v>
      </c>
      <c r="I165" s="12">
        <f>6.945-0.06</f>
        <v>6.8850000000000007</v>
      </c>
      <c r="J165" s="22">
        <v>0.3</v>
      </c>
      <c r="K165" s="22"/>
      <c r="L165" s="72">
        <f t="shared" ref="L165" si="218">SUM(H165:J165)+K165</f>
        <v>7.4850000000000003</v>
      </c>
      <c r="M165" s="72">
        <f t="shared" si="0"/>
        <v>0</v>
      </c>
      <c r="N165" s="72">
        <f t="shared" si="1"/>
        <v>0</v>
      </c>
      <c r="O165" s="72">
        <f t="shared" si="2"/>
        <v>0</v>
      </c>
      <c r="P165" s="72">
        <f t="shared" si="3"/>
        <v>89.82</v>
      </c>
      <c r="Q165" s="72">
        <f t="shared" si="4"/>
        <v>0</v>
      </c>
      <c r="R165" s="72">
        <f t="shared" si="5"/>
        <v>0</v>
      </c>
    </row>
    <row r="166" spans="1:18" x14ac:dyDescent="0.25">
      <c r="A166" s="26"/>
      <c r="B166" s="25" t="s">
        <v>453</v>
      </c>
      <c r="C166" s="15">
        <v>8</v>
      </c>
      <c r="D166" s="16">
        <v>100</v>
      </c>
      <c r="E166" s="15">
        <v>6</v>
      </c>
      <c r="F166" s="11">
        <v>1</v>
      </c>
      <c r="G166" s="11">
        <f>+ROUND(1.8/0.1,0)</f>
        <v>18</v>
      </c>
      <c r="H166" s="12"/>
      <c r="I166" s="12">
        <f t="shared" ref="I166:I169" si="219">2*(0.14+0.39)+24*C166/1000</f>
        <v>1.252</v>
      </c>
      <c r="J166" s="22"/>
      <c r="K166" s="47"/>
      <c r="L166" s="72">
        <f t="shared" ref="L166:L167" si="220">SUM(H166:J166)+K166</f>
        <v>1.252</v>
      </c>
      <c r="M166" s="72">
        <f t="shared" si="0"/>
        <v>135.22</v>
      </c>
      <c r="N166" s="72">
        <f t="shared" si="1"/>
        <v>0</v>
      </c>
      <c r="O166" s="72">
        <f t="shared" si="2"/>
        <v>0</v>
      </c>
      <c r="P166" s="72">
        <f t="shared" si="3"/>
        <v>0</v>
      </c>
      <c r="Q166" s="72">
        <f t="shared" si="4"/>
        <v>0</v>
      </c>
      <c r="R166" s="72">
        <f t="shared" si="5"/>
        <v>0</v>
      </c>
    </row>
    <row r="167" spans="1:18" x14ac:dyDescent="0.25">
      <c r="A167" s="26"/>
      <c r="B167" s="25"/>
      <c r="C167" s="15">
        <v>8</v>
      </c>
      <c r="D167" s="16">
        <v>150</v>
      </c>
      <c r="E167" s="15">
        <v>6</v>
      </c>
      <c r="F167" s="11">
        <v>1</v>
      </c>
      <c r="G167" s="11">
        <f>+ROUND(1.365/0.15+1,0)</f>
        <v>10</v>
      </c>
      <c r="H167" s="12"/>
      <c r="I167" s="12">
        <f t="shared" si="219"/>
        <v>1.252</v>
      </c>
      <c r="J167" s="22"/>
      <c r="K167" s="47"/>
      <c r="L167" s="72">
        <f t="shared" si="220"/>
        <v>1.252</v>
      </c>
      <c r="M167" s="72">
        <f t="shared" si="0"/>
        <v>75.12</v>
      </c>
      <c r="N167" s="72">
        <f t="shared" si="1"/>
        <v>0</v>
      </c>
      <c r="O167" s="72">
        <f t="shared" si="2"/>
        <v>0</v>
      </c>
      <c r="P167" s="72">
        <f t="shared" si="3"/>
        <v>0</v>
      </c>
      <c r="Q167" s="72">
        <f t="shared" si="4"/>
        <v>0</v>
      </c>
      <c r="R167" s="72">
        <f t="shared" si="5"/>
        <v>0</v>
      </c>
    </row>
    <row r="168" spans="1:18" x14ac:dyDescent="0.25">
      <c r="A168" s="26"/>
      <c r="B168" s="25" t="s">
        <v>453</v>
      </c>
      <c r="C168" s="15">
        <v>8</v>
      </c>
      <c r="D168" s="16">
        <v>100</v>
      </c>
      <c r="E168" s="15">
        <v>6</v>
      </c>
      <c r="F168" s="11">
        <v>1</v>
      </c>
      <c r="G168" s="11">
        <f>+ROUND(1.8/0.1,0)</f>
        <v>18</v>
      </c>
      <c r="H168" s="12"/>
      <c r="I168" s="12">
        <f t="shared" si="219"/>
        <v>1.252</v>
      </c>
      <c r="J168" s="22"/>
      <c r="K168" s="47"/>
      <c r="L168" s="72">
        <f>SUM(H168:J168)+K168</f>
        <v>1.252</v>
      </c>
      <c r="M168" s="72">
        <f t="shared" si="0"/>
        <v>135.22</v>
      </c>
      <c r="N168" s="72">
        <f t="shared" si="1"/>
        <v>0</v>
      </c>
      <c r="O168" s="72">
        <f t="shared" si="2"/>
        <v>0</v>
      </c>
      <c r="P168" s="72">
        <f t="shared" si="3"/>
        <v>0</v>
      </c>
      <c r="Q168" s="72">
        <f t="shared" si="4"/>
        <v>0</v>
      </c>
      <c r="R168" s="72">
        <f t="shared" si="5"/>
        <v>0</v>
      </c>
    </row>
    <row r="169" spans="1:18" x14ac:dyDescent="0.25">
      <c r="A169" s="26"/>
      <c r="B169" s="25"/>
      <c r="C169" s="15">
        <v>8</v>
      </c>
      <c r="D169" s="16">
        <v>100</v>
      </c>
      <c r="E169" s="15">
        <v>6</v>
      </c>
      <c r="F169" s="11">
        <v>1</v>
      </c>
      <c r="G169" s="11">
        <f>+ROUND(0.78/0.15+1,0)</f>
        <v>6</v>
      </c>
      <c r="H169" s="12"/>
      <c r="I169" s="12">
        <f t="shared" si="219"/>
        <v>1.252</v>
      </c>
      <c r="J169" s="22"/>
      <c r="K169" s="47"/>
      <c r="L169" s="72">
        <f t="shared" ref="L169" si="221">SUM(H169:J169)+K169</f>
        <v>1.252</v>
      </c>
      <c r="M169" s="72">
        <f t="shared" si="0"/>
        <v>45.07</v>
      </c>
      <c r="N169" s="72">
        <f t="shared" si="1"/>
        <v>0</v>
      </c>
      <c r="O169" s="72">
        <f t="shared" si="2"/>
        <v>0</v>
      </c>
      <c r="P169" s="72">
        <f t="shared" si="3"/>
        <v>0</v>
      </c>
      <c r="Q169" s="72">
        <f t="shared" si="4"/>
        <v>0</v>
      </c>
      <c r="R169" s="72">
        <f t="shared" si="5"/>
        <v>0</v>
      </c>
    </row>
    <row r="170" spans="1:18" x14ac:dyDescent="0.25">
      <c r="A170" s="26" t="s">
        <v>442</v>
      </c>
      <c r="B170" s="45" t="s">
        <v>622</v>
      </c>
      <c r="C170" s="15"/>
      <c r="D170" s="16"/>
      <c r="E170" s="15"/>
      <c r="F170" s="11"/>
      <c r="G170" s="11"/>
      <c r="H170" s="12"/>
      <c r="I170" s="12"/>
      <c r="J170" s="22"/>
      <c r="K170" s="22"/>
      <c r="L170" s="72">
        <f t="shared" ref="L170" si="222">SUM(H170:J170)+K170</f>
        <v>0</v>
      </c>
      <c r="M170" s="72">
        <f t="shared" si="0"/>
        <v>0</v>
      </c>
      <c r="N170" s="72">
        <f t="shared" si="1"/>
        <v>0</v>
      </c>
      <c r="O170" s="72">
        <f t="shared" si="2"/>
        <v>0</v>
      </c>
      <c r="P170" s="72">
        <f t="shared" si="3"/>
        <v>0</v>
      </c>
      <c r="Q170" s="72">
        <f t="shared" si="4"/>
        <v>0</v>
      </c>
      <c r="R170" s="72">
        <f t="shared" si="5"/>
        <v>0</v>
      </c>
    </row>
    <row r="171" spans="1:18" x14ac:dyDescent="0.25">
      <c r="A171" s="26"/>
      <c r="B171" s="25" t="s">
        <v>385</v>
      </c>
      <c r="C171" s="15">
        <v>16</v>
      </c>
      <c r="D171" s="16"/>
      <c r="E171" s="15">
        <v>2</v>
      </c>
      <c r="F171" s="11">
        <v>1</v>
      </c>
      <c r="G171" s="11">
        <v>2</v>
      </c>
      <c r="H171" s="12">
        <v>0.3</v>
      </c>
      <c r="I171" s="12">
        <f>5.725-0.06</f>
        <v>5.665</v>
      </c>
      <c r="J171" s="22">
        <v>0.3</v>
      </c>
      <c r="K171" s="22"/>
      <c r="L171" s="72">
        <f>SUM(H171:J171)+K171</f>
        <v>6.2649999999999997</v>
      </c>
      <c r="M171" s="72">
        <f t="shared" si="0"/>
        <v>0</v>
      </c>
      <c r="N171" s="72">
        <f t="shared" si="1"/>
        <v>0</v>
      </c>
      <c r="O171" s="72">
        <f t="shared" si="2"/>
        <v>0</v>
      </c>
      <c r="P171" s="72">
        <f t="shared" si="3"/>
        <v>25.06</v>
      </c>
      <c r="Q171" s="72">
        <f t="shared" si="4"/>
        <v>0</v>
      </c>
      <c r="R171" s="72">
        <f t="shared" si="5"/>
        <v>0</v>
      </c>
    </row>
    <row r="172" spans="1:18" x14ac:dyDescent="0.25">
      <c r="A172" s="26"/>
      <c r="B172" s="25" t="s">
        <v>432</v>
      </c>
      <c r="C172" s="15">
        <v>16</v>
      </c>
      <c r="D172" s="16"/>
      <c r="E172" s="15">
        <v>2</v>
      </c>
      <c r="F172" s="11">
        <v>1</v>
      </c>
      <c r="G172" s="11">
        <v>2</v>
      </c>
      <c r="H172" s="12">
        <v>0.3</v>
      </c>
      <c r="I172" s="12">
        <f>5.725-0.06</f>
        <v>5.665</v>
      </c>
      <c r="J172" s="22">
        <v>0.3</v>
      </c>
      <c r="K172" s="22"/>
      <c r="L172" s="72">
        <f t="shared" ref="L172" si="223">SUM(H172:J172)+K172</f>
        <v>6.2649999999999997</v>
      </c>
      <c r="M172" s="72">
        <f t="shared" si="0"/>
        <v>0</v>
      </c>
      <c r="N172" s="72">
        <f t="shared" si="1"/>
        <v>0</v>
      </c>
      <c r="O172" s="72">
        <f t="shared" si="2"/>
        <v>0</v>
      </c>
      <c r="P172" s="72">
        <f t="shared" si="3"/>
        <v>25.06</v>
      </c>
      <c r="Q172" s="72">
        <f t="shared" si="4"/>
        <v>0</v>
      </c>
      <c r="R172" s="72">
        <f t="shared" si="5"/>
        <v>0</v>
      </c>
    </row>
    <row r="173" spans="1:18" x14ac:dyDescent="0.25">
      <c r="A173" s="26"/>
      <c r="B173" s="25" t="s">
        <v>450</v>
      </c>
      <c r="C173" s="15">
        <v>12</v>
      </c>
      <c r="D173" s="16"/>
      <c r="E173" s="15">
        <v>2</v>
      </c>
      <c r="F173" s="11">
        <v>1</v>
      </c>
      <c r="G173" s="11">
        <v>2</v>
      </c>
      <c r="H173" s="12"/>
      <c r="I173" s="12">
        <v>4.1399999999999997</v>
      </c>
      <c r="J173" s="22"/>
      <c r="K173" s="22"/>
      <c r="L173" s="72">
        <f t="shared" ref="L173:L174" si="224">SUM(H173:J173)+K173</f>
        <v>4.1399999999999997</v>
      </c>
      <c r="M173" s="72">
        <f t="shared" si="0"/>
        <v>0</v>
      </c>
      <c r="N173" s="72">
        <f t="shared" si="1"/>
        <v>0</v>
      </c>
      <c r="O173" s="72">
        <f t="shared" si="2"/>
        <v>16.559999999999999</v>
      </c>
      <c r="P173" s="72">
        <f t="shared" si="3"/>
        <v>0</v>
      </c>
      <c r="Q173" s="72">
        <f t="shared" si="4"/>
        <v>0</v>
      </c>
      <c r="R173" s="72">
        <f t="shared" si="5"/>
        <v>0</v>
      </c>
    </row>
    <row r="174" spans="1:18" x14ac:dyDescent="0.25">
      <c r="A174" s="26"/>
      <c r="B174" s="25" t="s">
        <v>433</v>
      </c>
      <c r="C174" s="15">
        <v>16</v>
      </c>
      <c r="D174" s="16"/>
      <c r="E174" s="15">
        <v>2</v>
      </c>
      <c r="F174" s="11">
        <v>2</v>
      </c>
      <c r="G174" s="11">
        <v>2</v>
      </c>
      <c r="H174" s="12">
        <v>0.3</v>
      </c>
      <c r="I174" s="12">
        <f>1.8-0.03</f>
        <v>1.77</v>
      </c>
      <c r="J174" s="22"/>
      <c r="K174" s="22"/>
      <c r="L174" s="72">
        <f t="shared" si="224"/>
        <v>2.0699999999999998</v>
      </c>
      <c r="M174" s="72">
        <f t="shared" si="0"/>
        <v>0</v>
      </c>
      <c r="N174" s="72">
        <f t="shared" si="1"/>
        <v>0</v>
      </c>
      <c r="O174" s="72">
        <f t="shared" si="2"/>
        <v>0</v>
      </c>
      <c r="P174" s="72">
        <f t="shared" si="3"/>
        <v>16.559999999999999</v>
      </c>
      <c r="Q174" s="72">
        <f t="shared" si="4"/>
        <v>0</v>
      </c>
      <c r="R174" s="72">
        <f t="shared" si="5"/>
        <v>0</v>
      </c>
    </row>
    <row r="175" spans="1:18" x14ac:dyDescent="0.25">
      <c r="A175" s="26"/>
      <c r="B175" s="25" t="s">
        <v>453</v>
      </c>
      <c r="C175" s="15">
        <v>8</v>
      </c>
      <c r="D175" s="16">
        <v>100</v>
      </c>
      <c r="E175" s="15">
        <v>2</v>
      </c>
      <c r="F175" s="11">
        <v>1</v>
      </c>
      <c r="G175" s="11">
        <f>+ROUND(1.8/0.1,0)</f>
        <v>18</v>
      </c>
      <c r="H175" s="12"/>
      <c r="I175" s="12">
        <f t="shared" ref="I175:I176" si="225">2*(0.14+0.39)+24*C175/1000</f>
        <v>1.252</v>
      </c>
      <c r="J175" s="22"/>
      <c r="K175" s="47"/>
      <c r="L175" s="72">
        <f t="shared" ref="L175:L177" si="226">SUM(H175:J175)+K175</f>
        <v>1.252</v>
      </c>
      <c r="M175" s="72">
        <f t="shared" si="0"/>
        <v>45.07</v>
      </c>
      <c r="N175" s="72">
        <f t="shared" si="1"/>
        <v>0</v>
      </c>
      <c r="O175" s="72">
        <f t="shared" si="2"/>
        <v>0</v>
      </c>
      <c r="P175" s="72">
        <f t="shared" si="3"/>
        <v>0</v>
      </c>
      <c r="Q175" s="72">
        <f t="shared" si="4"/>
        <v>0</v>
      </c>
      <c r="R175" s="72">
        <f t="shared" si="5"/>
        <v>0</v>
      </c>
    </row>
    <row r="176" spans="1:18" x14ac:dyDescent="0.25">
      <c r="A176" s="26"/>
      <c r="B176" s="25"/>
      <c r="C176" s="15">
        <v>8</v>
      </c>
      <c r="D176" s="16">
        <v>150</v>
      </c>
      <c r="E176" s="15">
        <v>2</v>
      </c>
      <c r="F176" s="11">
        <v>1</v>
      </c>
      <c r="G176" s="11">
        <f>+ROUND(3.325/0.15+1,0)</f>
        <v>23</v>
      </c>
      <c r="H176" s="12"/>
      <c r="I176" s="12">
        <f t="shared" si="225"/>
        <v>1.252</v>
      </c>
      <c r="J176" s="22"/>
      <c r="K176" s="47"/>
      <c r="L176" s="72">
        <f t="shared" si="226"/>
        <v>1.252</v>
      </c>
      <c r="M176" s="72">
        <f t="shared" si="0"/>
        <v>57.59</v>
      </c>
      <c r="N176" s="72">
        <f t="shared" si="1"/>
        <v>0</v>
      </c>
      <c r="O176" s="72">
        <f t="shared" si="2"/>
        <v>0</v>
      </c>
      <c r="P176" s="72">
        <f t="shared" si="3"/>
        <v>0</v>
      </c>
      <c r="Q176" s="72">
        <f t="shared" si="4"/>
        <v>0</v>
      </c>
      <c r="R176" s="72">
        <f t="shared" si="5"/>
        <v>0</v>
      </c>
    </row>
    <row r="177" spans="1:18" x14ac:dyDescent="0.25">
      <c r="A177" s="26" t="s">
        <v>442</v>
      </c>
      <c r="B177" s="45" t="s">
        <v>623</v>
      </c>
      <c r="C177" s="15"/>
      <c r="D177" s="16"/>
      <c r="E177" s="15"/>
      <c r="F177" s="11"/>
      <c r="G177" s="11"/>
      <c r="H177" s="12"/>
      <c r="I177" s="12"/>
      <c r="J177" s="22"/>
      <c r="K177" s="22"/>
      <c r="L177" s="72">
        <f t="shared" si="226"/>
        <v>0</v>
      </c>
      <c r="M177" s="72">
        <f t="shared" si="0"/>
        <v>0</v>
      </c>
      <c r="N177" s="72">
        <f t="shared" si="1"/>
        <v>0</v>
      </c>
      <c r="O177" s="72">
        <f t="shared" si="2"/>
        <v>0</v>
      </c>
      <c r="P177" s="72">
        <f t="shared" si="3"/>
        <v>0</v>
      </c>
      <c r="Q177" s="72">
        <f t="shared" si="4"/>
        <v>0</v>
      </c>
      <c r="R177" s="72">
        <f t="shared" si="5"/>
        <v>0</v>
      </c>
    </row>
    <row r="178" spans="1:18" x14ac:dyDescent="0.25">
      <c r="A178" s="26"/>
      <c r="B178" s="25" t="s">
        <v>385</v>
      </c>
      <c r="C178" s="15">
        <v>20</v>
      </c>
      <c r="D178" s="16"/>
      <c r="E178" s="15">
        <v>2</v>
      </c>
      <c r="F178" s="11">
        <v>1</v>
      </c>
      <c r="G178" s="11">
        <v>2</v>
      </c>
      <c r="H178" s="12">
        <v>0.3</v>
      </c>
      <c r="I178" s="12">
        <f>1.93-0.06</f>
        <v>1.8699999999999999</v>
      </c>
      <c r="J178" s="22">
        <v>0.3</v>
      </c>
      <c r="K178" s="22"/>
      <c r="L178" s="72">
        <f>SUM(H178:J178)+K178</f>
        <v>2.4699999999999998</v>
      </c>
      <c r="M178" s="72">
        <f t="shared" si="0"/>
        <v>0</v>
      </c>
      <c r="N178" s="72">
        <f t="shared" si="1"/>
        <v>0</v>
      </c>
      <c r="O178" s="72">
        <f t="shared" si="2"/>
        <v>0</v>
      </c>
      <c r="P178" s="72">
        <f t="shared" si="3"/>
        <v>0</v>
      </c>
      <c r="Q178" s="72">
        <f t="shared" si="4"/>
        <v>9.8800000000000008</v>
      </c>
      <c r="R178" s="72">
        <f t="shared" si="5"/>
        <v>0</v>
      </c>
    </row>
    <row r="179" spans="1:18" x14ac:dyDescent="0.25">
      <c r="A179" s="26"/>
      <c r="B179" s="25" t="s">
        <v>432</v>
      </c>
      <c r="C179" s="15">
        <v>20</v>
      </c>
      <c r="D179" s="16"/>
      <c r="E179" s="15">
        <v>2</v>
      </c>
      <c r="F179" s="11">
        <v>1</v>
      </c>
      <c r="G179" s="11">
        <v>2</v>
      </c>
      <c r="H179" s="12">
        <v>0.3</v>
      </c>
      <c r="I179" s="12">
        <f>1.93-0.06</f>
        <v>1.8699999999999999</v>
      </c>
      <c r="J179" s="22">
        <v>0.3</v>
      </c>
      <c r="K179" s="22"/>
      <c r="L179" s="72">
        <f t="shared" ref="L179" si="227">SUM(H179:J179)+K179</f>
        <v>2.4699999999999998</v>
      </c>
      <c r="M179" s="72">
        <f t="shared" si="0"/>
        <v>0</v>
      </c>
      <c r="N179" s="72">
        <f t="shared" si="1"/>
        <v>0</v>
      </c>
      <c r="O179" s="72">
        <f t="shared" si="2"/>
        <v>0</v>
      </c>
      <c r="P179" s="72">
        <f t="shared" si="3"/>
        <v>0</v>
      </c>
      <c r="Q179" s="72">
        <f t="shared" si="4"/>
        <v>9.8800000000000008</v>
      </c>
      <c r="R179" s="72">
        <f t="shared" si="5"/>
        <v>0</v>
      </c>
    </row>
    <row r="180" spans="1:18" x14ac:dyDescent="0.25">
      <c r="A180" s="26"/>
      <c r="B180" s="25" t="s">
        <v>453</v>
      </c>
      <c r="C180" s="15">
        <v>8</v>
      </c>
      <c r="D180" s="16">
        <v>125</v>
      </c>
      <c r="E180" s="15">
        <v>2</v>
      </c>
      <c r="F180" s="11">
        <v>1</v>
      </c>
      <c r="G180" s="11">
        <f>+ROUND(1.4/0.125+1,0)</f>
        <v>12</v>
      </c>
      <c r="H180" s="12"/>
      <c r="I180" s="12">
        <f t="shared" ref="I180" si="228">2*(0.14+0.39)+24*C180/1000</f>
        <v>1.252</v>
      </c>
      <c r="J180" s="22"/>
      <c r="K180" s="47"/>
      <c r="L180" s="72">
        <f t="shared" ref="L180" si="229">SUM(H180:J180)+K180</f>
        <v>1.252</v>
      </c>
      <c r="M180" s="72">
        <f t="shared" si="0"/>
        <v>30.05</v>
      </c>
      <c r="N180" s="72">
        <f t="shared" si="1"/>
        <v>0</v>
      </c>
      <c r="O180" s="72">
        <f t="shared" si="2"/>
        <v>0</v>
      </c>
      <c r="P180" s="72">
        <f t="shared" si="3"/>
        <v>0</v>
      </c>
      <c r="Q180" s="72">
        <f t="shared" si="4"/>
        <v>0</v>
      </c>
      <c r="R180" s="72">
        <f t="shared" si="5"/>
        <v>0</v>
      </c>
    </row>
    <row r="181" spans="1:18" x14ac:dyDescent="0.25">
      <c r="A181" s="26" t="s">
        <v>442</v>
      </c>
      <c r="B181" s="45" t="s">
        <v>624</v>
      </c>
      <c r="C181" s="15"/>
      <c r="D181" s="16"/>
      <c r="E181" s="15"/>
      <c r="F181" s="11"/>
      <c r="G181" s="11"/>
      <c r="H181" s="12"/>
      <c r="I181" s="12"/>
      <c r="J181" s="22"/>
      <c r="K181" s="22"/>
      <c r="L181" s="72">
        <f t="shared" ref="L181" si="230">SUM(H181:J181)+K181</f>
        <v>0</v>
      </c>
      <c r="M181" s="72">
        <f t="shared" si="0"/>
        <v>0</v>
      </c>
      <c r="N181" s="72">
        <f t="shared" si="1"/>
        <v>0</v>
      </c>
      <c r="O181" s="72">
        <f t="shared" si="2"/>
        <v>0</v>
      </c>
      <c r="P181" s="72">
        <f t="shared" si="3"/>
        <v>0</v>
      </c>
      <c r="Q181" s="72">
        <f t="shared" si="4"/>
        <v>0</v>
      </c>
      <c r="R181" s="72">
        <f t="shared" si="5"/>
        <v>0</v>
      </c>
    </row>
    <row r="182" spans="1:18" x14ac:dyDescent="0.25">
      <c r="A182" s="26"/>
      <c r="B182" s="25" t="s">
        <v>385</v>
      </c>
      <c r="C182" s="15">
        <v>16</v>
      </c>
      <c r="D182" s="16"/>
      <c r="E182" s="15">
        <v>2</v>
      </c>
      <c r="F182" s="11">
        <v>1</v>
      </c>
      <c r="G182" s="11">
        <v>2</v>
      </c>
      <c r="H182" s="12">
        <v>0.3</v>
      </c>
      <c r="I182" s="12">
        <f>11.355-0.06</f>
        <v>11.295</v>
      </c>
      <c r="J182" s="22">
        <v>0.3</v>
      </c>
      <c r="K182" s="22"/>
      <c r="L182" s="72">
        <f>SUM(H182:J182)+K182</f>
        <v>11.895000000000001</v>
      </c>
      <c r="M182" s="72">
        <f t="shared" si="0"/>
        <v>0</v>
      </c>
      <c r="N182" s="72">
        <f t="shared" si="1"/>
        <v>0</v>
      </c>
      <c r="O182" s="72">
        <f t="shared" si="2"/>
        <v>0</v>
      </c>
      <c r="P182" s="72">
        <f t="shared" si="3"/>
        <v>47.58</v>
      </c>
      <c r="Q182" s="72">
        <f t="shared" si="4"/>
        <v>0</v>
      </c>
      <c r="R182" s="72">
        <f t="shared" si="5"/>
        <v>0</v>
      </c>
    </row>
    <row r="183" spans="1:18" x14ac:dyDescent="0.25">
      <c r="A183" s="26"/>
      <c r="B183" s="25" t="s">
        <v>432</v>
      </c>
      <c r="C183" s="15">
        <v>16</v>
      </c>
      <c r="D183" s="16"/>
      <c r="E183" s="15">
        <v>2</v>
      </c>
      <c r="F183" s="11">
        <v>1</v>
      </c>
      <c r="G183" s="11">
        <v>2</v>
      </c>
      <c r="H183" s="12">
        <v>0.3</v>
      </c>
      <c r="I183" s="12">
        <f>11.355-0.06</f>
        <v>11.295</v>
      </c>
      <c r="J183" s="22">
        <v>0.3</v>
      </c>
      <c r="K183" s="22"/>
      <c r="L183" s="72">
        <f t="shared" ref="L183" si="231">SUM(H183:J183)+K183</f>
        <v>11.895000000000001</v>
      </c>
      <c r="M183" s="72">
        <f t="shared" si="0"/>
        <v>0</v>
      </c>
      <c r="N183" s="72">
        <f t="shared" si="1"/>
        <v>0</v>
      </c>
      <c r="O183" s="72">
        <f t="shared" si="2"/>
        <v>0</v>
      </c>
      <c r="P183" s="72">
        <f t="shared" si="3"/>
        <v>47.58</v>
      </c>
      <c r="Q183" s="72">
        <f t="shared" si="4"/>
        <v>0</v>
      </c>
      <c r="R183" s="72">
        <f t="shared" si="5"/>
        <v>0</v>
      </c>
    </row>
    <row r="184" spans="1:18" x14ac:dyDescent="0.25">
      <c r="A184" s="26"/>
      <c r="B184" s="25" t="s">
        <v>453</v>
      </c>
      <c r="C184" s="15">
        <v>8</v>
      </c>
      <c r="D184" s="16">
        <v>100</v>
      </c>
      <c r="E184" s="15">
        <v>2</v>
      </c>
      <c r="F184" s="11">
        <v>1</v>
      </c>
      <c r="G184" s="11">
        <f>+ROUND(3.95/0.1+1,0)</f>
        <v>41</v>
      </c>
      <c r="H184" s="12"/>
      <c r="I184" s="12">
        <f t="shared" ref="I184:I185" si="232">2*(0.14+0.39)+24*C184/1000</f>
        <v>1.252</v>
      </c>
      <c r="J184" s="22"/>
      <c r="K184" s="47"/>
      <c r="L184" s="72">
        <f t="shared" ref="L184" si="233">SUM(H184:J184)+K184</f>
        <v>1.252</v>
      </c>
      <c r="M184" s="72">
        <f t="shared" si="0"/>
        <v>102.66</v>
      </c>
      <c r="N184" s="72">
        <f t="shared" si="1"/>
        <v>0</v>
      </c>
      <c r="O184" s="72">
        <f t="shared" si="2"/>
        <v>0</v>
      </c>
      <c r="P184" s="72">
        <f t="shared" si="3"/>
        <v>0</v>
      </c>
      <c r="Q184" s="72">
        <f t="shared" si="4"/>
        <v>0</v>
      </c>
      <c r="R184" s="72">
        <f t="shared" si="5"/>
        <v>0</v>
      </c>
    </row>
    <row r="185" spans="1:18" x14ac:dyDescent="0.25">
      <c r="A185" s="26"/>
      <c r="B185" s="25" t="s">
        <v>453</v>
      </c>
      <c r="C185" s="15">
        <v>8</v>
      </c>
      <c r="D185" s="16">
        <v>100</v>
      </c>
      <c r="E185" s="15">
        <v>2</v>
      </c>
      <c r="F185" s="11">
        <v>1</v>
      </c>
      <c r="G185" s="11">
        <f>+ROUND(2.875/0.1+1,0)</f>
        <v>30</v>
      </c>
      <c r="H185" s="12"/>
      <c r="I185" s="12">
        <f t="shared" si="232"/>
        <v>1.252</v>
      </c>
      <c r="J185" s="22"/>
      <c r="K185" s="47"/>
      <c r="L185" s="72">
        <f t="shared" ref="L185" si="234">SUM(H185:J185)+K185</f>
        <v>1.252</v>
      </c>
      <c r="M185" s="72">
        <f t="shared" si="0"/>
        <v>75.12</v>
      </c>
      <c r="N185" s="72">
        <f t="shared" si="1"/>
        <v>0</v>
      </c>
      <c r="O185" s="72">
        <f t="shared" si="2"/>
        <v>0</v>
      </c>
      <c r="P185" s="72">
        <f t="shared" si="3"/>
        <v>0</v>
      </c>
      <c r="Q185" s="72">
        <f t="shared" si="4"/>
        <v>0</v>
      </c>
      <c r="R185" s="72">
        <f t="shared" si="5"/>
        <v>0</v>
      </c>
    </row>
    <row r="186" spans="1:18" x14ac:dyDescent="0.25">
      <c r="A186" s="26"/>
      <c r="B186" s="25" t="s">
        <v>481</v>
      </c>
      <c r="C186" s="15">
        <v>8</v>
      </c>
      <c r="D186" s="16">
        <v>100</v>
      </c>
      <c r="E186" s="15">
        <v>2</v>
      </c>
      <c r="F186" s="11">
        <v>1</v>
      </c>
      <c r="G186" s="11">
        <f>+ROUND(1.8/0.1,0)</f>
        <v>18</v>
      </c>
      <c r="H186" s="12"/>
      <c r="I186" s="12">
        <f>2*(0.17+0.39)+24*C186/1000</f>
        <v>1.3120000000000001</v>
      </c>
      <c r="J186" s="22"/>
      <c r="K186" s="47"/>
      <c r="L186" s="72">
        <f t="shared" ref="L186" si="235">SUM(H186:J186)+K186</f>
        <v>1.3120000000000001</v>
      </c>
      <c r="M186" s="72">
        <f t="shared" si="0"/>
        <v>47.23</v>
      </c>
      <c r="N186" s="72">
        <f t="shared" si="1"/>
        <v>0</v>
      </c>
      <c r="O186" s="72">
        <f t="shared" si="2"/>
        <v>0</v>
      </c>
      <c r="P186" s="72">
        <f t="shared" si="3"/>
        <v>0</v>
      </c>
      <c r="Q186" s="72">
        <f t="shared" si="4"/>
        <v>0</v>
      </c>
      <c r="R186" s="72">
        <f t="shared" si="5"/>
        <v>0</v>
      </c>
    </row>
    <row r="187" spans="1:18" x14ac:dyDescent="0.25">
      <c r="A187" s="26"/>
      <c r="B187" s="25" t="s">
        <v>481</v>
      </c>
      <c r="C187" s="15">
        <v>8</v>
      </c>
      <c r="D187" s="16">
        <v>150</v>
      </c>
      <c r="E187" s="15">
        <v>2</v>
      </c>
      <c r="F187" s="11">
        <v>1</v>
      </c>
      <c r="G187" s="11">
        <f>+ROUND(1.13/0.15+1,0)</f>
        <v>9</v>
      </c>
      <c r="H187" s="12"/>
      <c r="I187" s="12">
        <f>2*(0.17+0.39)+24*C187/1000</f>
        <v>1.3120000000000001</v>
      </c>
      <c r="J187" s="22"/>
      <c r="K187" s="47"/>
      <c r="L187" s="72">
        <f t="shared" ref="L187" si="236">SUM(H187:J187)+K187</f>
        <v>1.3120000000000001</v>
      </c>
      <c r="M187" s="72">
        <f t="shared" ref="M187" si="237">+ROUND(IF(C187=8,PRODUCT(E187,F187,G187,L187),0),2)</f>
        <v>23.62</v>
      </c>
      <c r="N187" s="72">
        <f t="shared" ref="N187" si="238">+ROUND(IF(C187=10,PRODUCT(E187,F187,G187,L187),0),2)</f>
        <v>0</v>
      </c>
      <c r="O187" s="72">
        <f t="shared" ref="O187" si="239">+ROUND(IF(C187=12,PRODUCT(E187,F187,G187,L187),0),2)</f>
        <v>0</v>
      </c>
      <c r="P187" s="72">
        <f t="shared" ref="P187" si="240">+ROUND(IF(C187=16,PRODUCT(E187,F187,G187,L187),0),2)</f>
        <v>0</v>
      </c>
      <c r="Q187" s="72">
        <f t="shared" ref="Q187" si="241">+ROUND(IF(C187=20,PRODUCT(E187,F187,G187,L187),0),2)</f>
        <v>0</v>
      </c>
      <c r="R187" s="72">
        <f t="shared" ref="R187" si="242">+ROUND(IF(C187=25,PRODUCT(E187,F187,G187,L187),0),2)</f>
        <v>0</v>
      </c>
    </row>
    <row r="188" spans="1:18" x14ac:dyDescent="0.25">
      <c r="A188" s="26" t="s">
        <v>498</v>
      </c>
      <c r="B188" s="45" t="s">
        <v>626</v>
      </c>
      <c r="C188" s="15"/>
      <c r="D188" s="16"/>
      <c r="E188" s="15"/>
      <c r="F188" s="11"/>
      <c r="G188" s="11"/>
      <c r="H188" s="12"/>
      <c r="I188" s="12"/>
      <c r="J188" s="22"/>
      <c r="K188" s="22"/>
      <c r="L188" s="72">
        <f t="shared" ref="L188" si="243">SUM(H188:J188)+K188</f>
        <v>0</v>
      </c>
      <c r="M188" s="72">
        <f t="shared" si="0"/>
        <v>0</v>
      </c>
      <c r="N188" s="72">
        <f t="shared" si="1"/>
        <v>0</v>
      </c>
      <c r="O188" s="72">
        <f t="shared" si="2"/>
        <v>0</v>
      </c>
      <c r="P188" s="72">
        <f t="shared" si="3"/>
        <v>0</v>
      </c>
      <c r="Q188" s="72">
        <f t="shared" si="4"/>
        <v>0</v>
      </c>
      <c r="R188" s="72">
        <f t="shared" si="5"/>
        <v>0</v>
      </c>
    </row>
    <row r="189" spans="1:18" x14ac:dyDescent="0.25">
      <c r="A189" s="26"/>
      <c r="B189" s="25" t="s">
        <v>385</v>
      </c>
      <c r="C189" s="15">
        <v>16</v>
      </c>
      <c r="D189" s="16"/>
      <c r="E189" s="15">
        <v>1</v>
      </c>
      <c r="F189" s="11">
        <v>1</v>
      </c>
      <c r="G189" s="11">
        <v>2</v>
      </c>
      <c r="H189" s="12">
        <v>0.3</v>
      </c>
      <c r="I189" s="12">
        <f>18.91-0.06</f>
        <v>18.850000000000001</v>
      </c>
      <c r="J189" s="22">
        <v>0.3</v>
      </c>
      <c r="K189" s="22">
        <f>49*C189/1000</f>
        <v>0.78400000000000003</v>
      </c>
      <c r="L189" s="72">
        <f>SUM(H189:J189)+K189</f>
        <v>20.234000000000002</v>
      </c>
      <c r="M189" s="72">
        <f t="shared" si="0"/>
        <v>0</v>
      </c>
      <c r="N189" s="72">
        <f t="shared" si="1"/>
        <v>0</v>
      </c>
      <c r="O189" s="72">
        <f t="shared" si="2"/>
        <v>0</v>
      </c>
      <c r="P189" s="72">
        <f t="shared" si="3"/>
        <v>40.47</v>
      </c>
      <c r="Q189" s="72">
        <f t="shared" si="4"/>
        <v>0</v>
      </c>
      <c r="R189" s="72">
        <f t="shared" si="5"/>
        <v>0</v>
      </c>
    </row>
    <row r="190" spans="1:18" x14ac:dyDescent="0.25">
      <c r="A190" s="26"/>
      <c r="B190" s="25" t="s">
        <v>432</v>
      </c>
      <c r="C190" s="15">
        <v>16</v>
      </c>
      <c r="D190" s="16"/>
      <c r="E190" s="15">
        <v>1</v>
      </c>
      <c r="F190" s="11">
        <v>1</v>
      </c>
      <c r="G190" s="11">
        <v>2</v>
      </c>
      <c r="H190" s="12">
        <v>0.3</v>
      </c>
      <c r="I190" s="12">
        <f>18.91-0.06</f>
        <v>18.850000000000001</v>
      </c>
      <c r="J190" s="22">
        <v>0.3</v>
      </c>
      <c r="K190" s="22">
        <f>49*C190/1000</f>
        <v>0.78400000000000003</v>
      </c>
      <c r="L190" s="72">
        <f t="shared" ref="L190" si="244">SUM(H190:J190)+K190</f>
        <v>20.234000000000002</v>
      </c>
      <c r="M190" s="72">
        <f t="shared" si="0"/>
        <v>0</v>
      </c>
      <c r="N190" s="72">
        <f t="shared" si="1"/>
        <v>0</v>
      </c>
      <c r="O190" s="72">
        <f t="shared" si="2"/>
        <v>0</v>
      </c>
      <c r="P190" s="72">
        <f t="shared" si="3"/>
        <v>40.47</v>
      </c>
      <c r="Q190" s="72">
        <f t="shared" si="4"/>
        <v>0</v>
      </c>
      <c r="R190" s="72">
        <f t="shared" si="5"/>
        <v>0</v>
      </c>
    </row>
    <row r="191" spans="1:18" x14ac:dyDescent="0.25">
      <c r="A191" s="26"/>
      <c r="B191" s="25" t="s">
        <v>481</v>
      </c>
      <c r="C191" s="15">
        <v>8</v>
      </c>
      <c r="D191" s="16">
        <v>100</v>
      </c>
      <c r="E191" s="15">
        <v>1</v>
      </c>
      <c r="F191" s="11">
        <v>2</v>
      </c>
      <c r="G191" s="11">
        <f>+ROUND(0.315/0.1+1,0)</f>
        <v>4</v>
      </c>
      <c r="H191" s="12"/>
      <c r="I191" s="12">
        <f>2*(0.17+0.39)+24*C191/1000</f>
        <v>1.3120000000000001</v>
      </c>
      <c r="J191" s="22"/>
      <c r="K191" s="47"/>
      <c r="L191" s="72">
        <f t="shared" ref="L191" si="245">SUM(H191:J191)+K191</f>
        <v>1.3120000000000001</v>
      </c>
      <c r="M191" s="72">
        <f t="shared" si="0"/>
        <v>10.5</v>
      </c>
      <c r="N191" s="72">
        <f t="shared" si="1"/>
        <v>0</v>
      </c>
      <c r="O191" s="72">
        <f t="shared" si="2"/>
        <v>0</v>
      </c>
      <c r="P191" s="72">
        <f t="shared" si="3"/>
        <v>0</v>
      </c>
      <c r="Q191" s="72">
        <f t="shared" si="4"/>
        <v>0</v>
      </c>
      <c r="R191" s="72">
        <f t="shared" si="5"/>
        <v>0</v>
      </c>
    </row>
    <row r="192" spans="1:18" x14ac:dyDescent="0.25">
      <c r="A192" s="26"/>
      <c r="B192" s="25" t="s">
        <v>481</v>
      </c>
      <c r="C192" s="15">
        <v>8</v>
      </c>
      <c r="D192" s="16">
        <v>100</v>
      </c>
      <c r="E192" s="15">
        <v>1</v>
      </c>
      <c r="F192" s="11">
        <v>2</v>
      </c>
      <c r="G192" s="11">
        <f>+ROUND(2.345/0.1,0)</f>
        <v>23</v>
      </c>
      <c r="H192" s="12"/>
      <c r="I192" s="12">
        <f>2*(0.17+0.39)+24*C192/1000</f>
        <v>1.3120000000000001</v>
      </c>
      <c r="J192" s="22"/>
      <c r="K192" s="47"/>
      <c r="L192" s="72">
        <f t="shared" ref="L192" si="246">SUM(H192:J192)+K192</f>
        <v>1.3120000000000001</v>
      </c>
      <c r="M192" s="72">
        <f t="shared" ref="M192" si="247">+ROUND(IF(C192=8,PRODUCT(E192,F192,G192,L192),0),2)</f>
        <v>60.35</v>
      </c>
      <c r="N192" s="72">
        <f t="shared" ref="N192" si="248">+ROUND(IF(C192=10,PRODUCT(E192,F192,G192,L192),0),2)</f>
        <v>0</v>
      </c>
      <c r="O192" s="72">
        <f t="shared" ref="O192" si="249">+ROUND(IF(C192=12,PRODUCT(E192,F192,G192,L192),0),2)</f>
        <v>0</v>
      </c>
      <c r="P192" s="72">
        <f t="shared" ref="P192" si="250">+ROUND(IF(C192=16,PRODUCT(E192,F192,G192,L192),0),2)</f>
        <v>0</v>
      </c>
      <c r="Q192" s="72">
        <f t="shared" ref="Q192" si="251">+ROUND(IF(C192=20,PRODUCT(E192,F192,G192,L192),0),2)</f>
        <v>0</v>
      </c>
      <c r="R192" s="72">
        <f t="shared" ref="R192" si="252">+ROUND(IF(C192=25,PRODUCT(E192,F192,G192,L192),0),2)</f>
        <v>0</v>
      </c>
    </row>
    <row r="193" spans="1:18" x14ac:dyDescent="0.25">
      <c r="A193" s="26"/>
      <c r="B193" s="25" t="s">
        <v>481</v>
      </c>
      <c r="C193" s="15">
        <v>8</v>
      </c>
      <c r="D193" s="16">
        <v>150</v>
      </c>
      <c r="E193" s="15">
        <v>1</v>
      </c>
      <c r="F193" s="11">
        <v>2</v>
      </c>
      <c r="G193" s="11">
        <f>+ROUND(2.345/0.15+1,0)</f>
        <v>17</v>
      </c>
      <c r="H193" s="12"/>
      <c r="I193" s="12">
        <f>2*(0.17+0.39)+24*C193/1000</f>
        <v>1.3120000000000001</v>
      </c>
      <c r="J193" s="22"/>
      <c r="K193" s="47"/>
      <c r="L193" s="72">
        <f t="shared" ref="L193:L194" si="253">SUM(H193:J193)+K193</f>
        <v>1.3120000000000001</v>
      </c>
      <c r="M193" s="72">
        <f t="shared" ref="M193:M194" si="254">+ROUND(IF(C193=8,PRODUCT(E193,F193,G193,L193),0),2)</f>
        <v>44.61</v>
      </c>
      <c r="N193" s="72">
        <f t="shared" ref="N193:N194" si="255">+ROUND(IF(C193=10,PRODUCT(E193,F193,G193,L193),0),2)</f>
        <v>0</v>
      </c>
      <c r="O193" s="72">
        <f t="shared" ref="O193:O194" si="256">+ROUND(IF(C193=12,PRODUCT(E193,F193,G193,L193),0),2)</f>
        <v>0</v>
      </c>
      <c r="P193" s="72">
        <f t="shared" ref="P193:P194" si="257">+ROUND(IF(C193=16,PRODUCT(E193,F193,G193,L193),0),2)</f>
        <v>0</v>
      </c>
      <c r="Q193" s="72">
        <f t="shared" ref="Q193:Q194" si="258">+ROUND(IF(C193=20,PRODUCT(E193,F193,G193,L193),0),2)</f>
        <v>0</v>
      </c>
      <c r="R193" s="72">
        <f t="shared" ref="R193:R194" si="259">+ROUND(IF(C193=25,PRODUCT(E193,F193,G193,L193),0),2)</f>
        <v>0</v>
      </c>
    </row>
    <row r="194" spans="1:18" x14ac:dyDescent="0.25">
      <c r="A194" s="26"/>
      <c r="B194" s="25" t="s">
        <v>481</v>
      </c>
      <c r="C194" s="15">
        <v>8</v>
      </c>
      <c r="D194" s="16">
        <v>100</v>
      </c>
      <c r="E194" s="15">
        <v>1</v>
      </c>
      <c r="F194" s="11">
        <v>1</v>
      </c>
      <c r="G194" s="11">
        <f>+ROUND(3.15/0.1,0)</f>
        <v>32</v>
      </c>
      <c r="H194" s="12"/>
      <c r="I194" s="12">
        <f>2*(0.17+0.39)+24*C194/1000</f>
        <v>1.3120000000000001</v>
      </c>
      <c r="J194" s="22"/>
      <c r="K194" s="47"/>
      <c r="L194" s="72">
        <f t="shared" si="253"/>
        <v>1.3120000000000001</v>
      </c>
      <c r="M194" s="72">
        <f t="shared" si="254"/>
        <v>41.98</v>
      </c>
      <c r="N194" s="72">
        <f t="shared" si="255"/>
        <v>0</v>
      </c>
      <c r="O194" s="72">
        <f t="shared" si="256"/>
        <v>0</v>
      </c>
      <c r="P194" s="72">
        <f t="shared" si="257"/>
        <v>0</v>
      </c>
      <c r="Q194" s="72">
        <f t="shared" si="258"/>
        <v>0</v>
      </c>
      <c r="R194" s="72">
        <f t="shared" si="259"/>
        <v>0</v>
      </c>
    </row>
    <row r="195" spans="1:18" x14ac:dyDescent="0.25">
      <c r="A195" s="26"/>
      <c r="B195" s="25" t="s">
        <v>481</v>
      </c>
      <c r="C195" s="15">
        <v>8</v>
      </c>
      <c r="D195" s="16">
        <v>150</v>
      </c>
      <c r="E195" s="15">
        <v>1</v>
      </c>
      <c r="F195" s="11">
        <v>1</v>
      </c>
      <c r="G195" s="11">
        <f>+ROUND(3.15/0.15+1,0)</f>
        <v>22</v>
      </c>
      <c r="H195" s="12"/>
      <c r="I195" s="12">
        <f>2*(0.17+0.39)+24*C195/1000</f>
        <v>1.3120000000000001</v>
      </c>
      <c r="J195" s="22"/>
      <c r="K195" s="47"/>
      <c r="L195" s="72">
        <f t="shared" ref="L195" si="260">SUM(H195:J195)+K195</f>
        <v>1.3120000000000001</v>
      </c>
      <c r="M195" s="72">
        <f t="shared" ref="M195" si="261">+ROUND(IF(C195=8,PRODUCT(E195,F195,G195,L195),0),2)</f>
        <v>28.86</v>
      </c>
      <c r="N195" s="72">
        <f t="shared" ref="N195" si="262">+ROUND(IF(C195=10,PRODUCT(E195,F195,G195,L195),0),2)</f>
        <v>0</v>
      </c>
      <c r="O195" s="72">
        <f t="shared" ref="O195" si="263">+ROUND(IF(C195=12,PRODUCT(E195,F195,G195,L195),0),2)</f>
        <v>0</v>
      </c>
      <c r="P195" s="72">
        <f t="shared" ref="P195" si="264">+ROUND(IF(C195=16,PRODUCT(E195,F195,G195,L195),0),2)</f>
        <v>0</v>
      </c>
      <c r="Q195" s="72">
        <f t="shared" ref="Q195" si="265">+ROUND(IF(C195=20,PRODUCT(E195,F195,G195,L195),0),2)</f>
        <v>0</v>
      </c>
      <c r="R195" s="72">
        <f t="shared" ref="R195" si="266">+ROUND(IF(C195=25,PRODUCT(E195,F195,G195,L195),0),2)</f>
        <v>0</v>
      </c>
    </row>
    <row r="196" spans="1:18" x14ac:dyDescent="0.25">
      <c r="A196" s="26"/>
      <c r="B196" s="25"/>
      <c r="C196" s="15"/>
      <c r="D196" s="16"/>
      <c r="E196" s="15"/>
      <c r="F196" s="11"/>
      <c r="G196" s="11"/>
      <c r="H196" s="12"/>
      <c r="I196" s="12"/>
      <c r="J196" s="22"/>
      <c r="K196" s="47"/>
      <c r="L196" s="72"/>
      <c r="M196" s="72"/>
      <c r="N196" s="72"/>
      <c r="O196" s="72"/>
      <c r="P196" s="72"/>
      <c r="Q196" s="72"/>
      <c r="R196" s="72"/>
    </row>
    <row r="197" spans="1:18" x14ac:dyDescent="0.25">
      <c r="A197" s="26"/>
      <c r="B197" s="25"/>
      <c r="C197" s="15"/>
      <c r="D197" s="16"/>
      <c r="E197" s="15"/>
      <c r="F197" s="11"/>
      <c r="G197" s="11"/>
      <c r="H197" s="12"/>
      <c r="I197" s="12"/>
      <c r="J197" s="22"/>
      <c r="K197" s="47"/>
      <c r="L197" s="72"/>
      <c r="M197" s="72"/>
      <c r="N197" s="72"/>
      <c r="O197" s="72"/>
      <c r="P197" s="72"/>
      <c r="Q197" s="72"/>
      <c r="R197" s="72"/>
    </row>
    <row r="198" spans="1:18" x14ac:dyDescent="0.25">
      <c r="A198" s="26" t="s">
        <v>498</v>
      </c>
      <c r="B198" s="45" t="s">
        <v>627</v>
      </c>
      <c r="C198" s="15"/>
      <c r="D198" s="16"/>
      <c r="E198" s="15"/>
      <c r="F198" s="11"/>
      <c r="G198" s="11"/>
      <c r="H198" s="12"/>
      <c r="I198" s="12"/>
      <c r="J198" s="22"/>
      <c r="K198" s="22"/>
      <c r="L198" s="72">
        <f t="shared" ref="L198" si="267">SUM(H198:J198)+K198</f>
        <v>0</v>
      </c>
      <c r="M198" s="72">
        <f t="shared" si="0"/>
        <v>0</v>
      </c>
      <c r="N198" s="72">
        <f t="shared" si="1"/>
        <v>0</v>
      </c>
      <c r="O198" s="72">
        <f t="shared" si="2"/>
        <v>0</v>
      </c>
      <c r="P198" s="72">
        <f t="shared" si="3"/>
        <v>0</v>
      </c>
      <c r="Q198" s="72">
        <f t="shared" si="4"/>
        <v>0</v>
      </c>
      <c r="R198" s="72">
        <f t="shared" si="5"/>
        <v>0</v>
      </c>
    </row>
    <row r="199" spans="1:18" x14ac:dyDescent="0.25">
      <c r="A199" s="26"/>
      <c r="B199" s="25" t="s">
        <v>385</v>
      </c>
      <c r="C199" s="15">
        <v>16</v>
      </c>
      <c r="D199" s="16"/>
      <c r="E199" s="15">
        <v>2</v>
      </c>
      <c r="F199" s="11">
        <v>1</v>
      </c>
      <c r="G199" s="11">
        <v>2</v>
      </c>
      <c r="H199" s="12">
        <v>0.3</v>
      </c>
      <c r="I199" s="12">
        <f>4.41-0.06</f>
        <v>4.3500000000000005</v>
      </c>
      <c r="J199" s="22">
        <v>0.3</v>
      </c>
      <c r="K199" s="22"/>
      <c r="L199" s="72">
        <f>SUM(H199:J199)+K199</f>
        <v>4.95</v>
      </c>
      <c r="M199" s="72">
        <f t="shared" si="0"/>
        <v>0</v>
      </c>
      <c r="N199" s="72">
        <f t="shared" si="1"/>
        <v>0</v>
      </c>
      <c r="O199" s="72">
        <f t="shared" si="2"/>
        <v>0</v>
      </c>
      <c r="P199" s="72">
        <f t="shared" si="3"/>
        <v>19.8</v>
      </c>
      <c r="Q199" s="72">
        <f t="shared" si="4"/>
        <v>0</v>
      </c>
      <c r="R199" s="72">
        <f t="shared" si="5"/>
        <v>0</v>
      </c>
    </row>
    <row r="200" spans="1:18" x14ac:dyDescent="0.25">
      <c r="A200" s="26"/>
      <c r="B200" s="25" t="s">
        <v>432</v>
      </c>
      <c r="C200" s="15">
        <v>16</v>
      </c>
      <c r="D200" s="16"/>
      <c r="E200" s="15">
        <v>2</v>
      </c>
      <c r="F200" s="11">
        <v>1</v>
      </c>
      <c r="G200" s="11">
        <v>2</v>
      </c>
      <c r="H200" s="12">
        <v>0.3</v>
      </c>
      <c r="I200" s="12">
        <f>4.41-0.06</f>
        <v>4.3500000000000005</v>
      </c>
      <c r="J200" s="22">
        <v>0.3</v>
      </c>
      <c r="K200" s="22"/>
      <c r="L200" s="72">
        <f t="shared" ref="L200" si="268">SUM(H200:J200)+K200</f>
        <v>4.95</v>
      </c>
      <c r="M200" s="72">
        <f t="shared" si="0"/>
        <v>0</v>
      </c>
      <c r="N200" s="72">
        <f t="shared" si="1"/>
        <v>0</v>
      </c>
      <c r="O200" s="72">
        <f t="shared" si="2"/>
        <v>0</v>
      </c>
      <c r="P200" s="72">
        <f t="shared" si="3"/>
        <v>19.8</v>
      </c>
      <c r="Q200" s="72">
        <f t="shared" si="4"/>
        <v>0</v>
      </c>
      <c r="R200" s="72">
        <f t="shared" si="5"/>
        <v>0</v>
      </c>
    </row>
    <row r="201" spans="1:18" x14ac:dyDescent="0.25">
      <c r="A201" s="26"/>
      <c r="B201" s="25" t="s">
        <v>481</v>
      </c>
      <c r="C201" s="15">
        <v>8</v>
      </c>
      <c r="D201" s="16">
        <v>100</v>
      </c>
      <c r="E201" s="15">
        <v>2</v>
      </c>
      <c r="F201" s="11">
        <v>1</v>
      </c>
      <c r="G201" s="11">
        <f>+ROUND(1.8/0.1,0)</f>
        <v>18</v>
      </c>
      <c r="H201" s="12"/>
      <c r="I201" s="12">
        <f t="shared" ref="I201:I202" si="269">2*(0.17+0.39)+24*C201/1000</f>
        <v>1.3120000000000001</v>
      </c>
      <c r="J201" s="22"/>
      <c r="K201" s="47"/>
      <c r="L201" s="72">
        <f t="shared" ref="L201" si="270">SUM(H201:J201)+K201</f>
        <v>1.3120000000000001</v>
      </c>
      <c r="M201" s="72">
        <f t="shared" si="0"/>
        <v>47.23</v>
      </c>
      <c r="N201" s="72">
        <f t="shared" si="1"/>
        <v>0</v>
      </c>
      <c r="O201" s="72">
        <f t="shared" si="2"/>
        <v>0</v>
      </c>
      <c r="P201" s="72">
        <f t="shared" si="3"/>
        <v>0</v>
      </c>
      <c r="Q201" s="72">
        <f t="shared" si="4"/>
        <v>0</v>
      </c>
      <c r="R201" s="72">
        <f t="shared" si="5"/>
        <v>0</v>
      </c>
    </row>
    <row r="202" spans="1:18" x14ac:dyDescent="0.25">
      <c r="A202" s="26"/>
      <c r="B202" s="25"/>
      <c r="C202" s="15">
        <v>8</v>
      </c>
      <c r="D202" s="16">
        <v>150</v>
      </c>
      <c r="E202" s="15">
        <v>2</v>
      </c>
      <c r="F202" s="11">
        <v>1</v>
      </c>
      <c r="G202" s="11">
        <f>+ROUND(1.73/0.15+1,0)</f>
        <v>13</v>
      </c>
      <c r="H202" s="12"/>
      <c r="I202" s="12">
        <f t="shared" si="269"/>
        <v>1.3120000000000001</v>
      </c>
      <c r="J202" s="22"/>
      <c r="K202" s="47"/>
      <c r="L202" s="72">
        <f t="shared" si="216"/>
        <v>1.3120000000000001</v>
      </c>
      <c r="M202" s="72">
        <f t="shared" si="0"/>
        <v>34.11</v>
      </c>
      <c r="N202" s="72">
        <f t="shared" si="1"/>
        <v>0</v>
      </c>
      <c r="O202" s="72">
        <f t="shared" si="2"/>
        <v>0</v>
      </c>
      <c r="P202" s="72">
        <f t="shared" si="3"/>
        <v>0</v>
      </c>
      <c r="Q202" s="72">
        <f t="shared" si="4"/>
        <v>0</v>
      </c>
      <c r="R202" s="72">
        <f t="shared" si="5"/>
        <v>0</v>
      </c>
    </row>
    <row r="203" spans="1:18" x14ac:dyDescent="0.25">
      <c r="A203" s="26" t="s">
        <v>442</v>
      </c>
      <c r="B203" s="45" t="s">
        <v>628</v>
      </c>
      <c r="C203" s="15"/>
      <c r="D203" s="16"/>
      <c r="E203" s="15"/>
      <c r="F203" s="11"/>
      <c r="G203" s="11"/>
      <c r="H203" s="12"/>
      <c r="I203" s="12"/>
      <c r="J203" s="22"/>
      <c r="K203" s="22"/>
      <c r="L203" s="72">
        <f t="shared" ref="L203" si="271">SUM(H203:J203)+K203</f>
        <v>0</v>
      </c>
      <c r="M203" s="72">
        <f t="shared" si="0"/>
        <v>0</v>
      </c>
      <c r="N203" s="72">
        <f t="shared" si="1"/>
        <v>0</v>
      </c>
      <c r="O203" s="72">
        <f t="shared" si="2"/>
        <v>0</v>
      </c>
      <c r="P203" s="72">
        <f t="shared" si="3"/>
        <v>0</v>
      </c>
      <c r="Q203" s="72">
        <f t="shared" si="4"/>
        <v>0</v>
      </c>
      <c r="R203" s="72">
        <f t="shared" si="5"/>
        <v>0</v>
      </c>
    </row>
    <row r="204" spans="1:18" x14ac:dyDescent="0.25">
      <c r="A204" s="26"/>
      <c r="B204" s="25" t="s">
        <v>385</v>
      </c>
      <c r="C204" s="15">
        <v>12</v>
      </c>
      <c r="D204" s="16"/>
      <c r="E204" s="15">
        <v>2</v>
      </c>
      <c r="F204" s="11">
        <v>1</v>
      </c>
      <c r="G204" s="11">
        <v>2</v>
      </c>
      <c r="H204" s="12">
        <v>0.3</v>
      </c>
      <c r="I204" s="12">
        <f>3.835-0.06</f>
        <v>3.7749999999999999</v>
      </c>
      <c r="J204" s="22">
        <v>0.3</v>
      </c>
      <c r="K204" s="22"/>
      <c r="L204" s="72">
        <f>SUM(H204:J204)+K204</f>
        <v>4.375</v>
      </c>
      <c r="M204" s="72">
        <f t="shared" si="0"/>
        <v>0</v>
      </c>
      <c r="N204" s="72">
        <f t="shared" si="1"/>
        <v>0</v>
      </c>
      <c r="O204" s="72">
        <f t="shared" si="2"/>
        <v>17.5</v>
      </c>
      <c r="P204" s="72">
        <f t="shared" si="3"/>
        <v>0</v>
      </c>
      <c r="Q204" s="72">
        <f t="shared" si="4"/>
        <v>0</v>
      </c>
      <c r="R204" s="72">
        <f t="shared" si="5"/>
        <v>0</v>
      </c>
    </row>
    <row r="205" spans="1:18" x14ac:dyDescent="0.25">
      <c r="A205" s="26"/>
      <c r="B205" s="25" t="s">
        <v>432</v>
      </c>
      <c r="C205" s="15">
        <v>12</v>
      </c>
      <c r="D205" s="16"/>
      <c r="E205" s="15">
        <v>2</v>
      </c>
      <c r="F205" s="11">
        <v>1</v>
      </c>
      <c r="G205" s="11">
        <v>2</v>
      </c>
      <c r="H205" s="12">
        <v>0.3</v>
      </c>
      <c r="I205" s="12">
        <f>3.835-0.06</f>
        <v>3.7749999999999999</v>
      </c>
      <c r="J205" s="22">
        <v>0.3</v>
      </c>
      <c r="K205" s="22"/>
      <c r="L205" s="72">
        <f t="shared" ref="L205" si="272">SUM(H205:J205)+K205</f>
        <v>4.375</v>
      </c>
      <c r="M205" s="72">
        <f t="shared" si="0"/>
        <v>0</v>
      </c>
      <c r="N205" s="72">
        <f t="shared" si="1"/>
        <v>0</v>
      </c>
      <c r="O205" s="72">
        <f t="shared" si="2"/>
        <v>17.5</v>
      </c>
      <c r="P205" s="72">
        <f t="shared" si="3"/>
        <v>0</v>
      </c>
      <c r="Q205" s="72">
        <f t="shared" si="4"/>
        <v>0</v>
      </c>
      <c r="R205" s="72">
        <f t="shared" si="5"/>
        <v>0</v>
      </c>
    </row>
    <row r="206" spans="1:18" x14ac:dyDescent="0.25">
      <c r="A206" s="26"/>
      <c r="B206" s="25" t="s">
        <v>453</v>
      </c>
      <c r="C206" s="15">
        <v>8</v>
      </c>
      <c r="D206" s="16">
        <v>100</v>
      </c>
      <c r="E206" s="15">
        <v>2</v>
      </c>
      <c r="F206" s="11">
        <v>1</v>
      </c>
      <c r="G206" s="11">
        <f>+ROUND(1.8/0.1,0)</f>
        <v>18</v>
      </c>
      <c r="H206" s="12"/>
      <c r="I206" s="12">
        <f t="shared" ref="I206:I207" si="273">2*(0.14+0.39)+24*C206/1000</f>
        <v>1.252</v>
      </c>
      <c r="J206" s="22"/>
      <c r="K206" s="47"/>
      <c r="L206" s="72">
        <f t="shared" ref="L206:L207" si="274">SUM(H206:J206)+K206</f>
        <v>1.252</v>
      </c>
      <c r="M206" s="72">
        <f t="shared" si="0"/>
        <v>45.07</v>
      </c>
      <c r="N206" s="72">
        <f t="shared" si="1"/>
        <v>0</v>
      </c>
      <c r="O206" s="72">
        <f t="shared" si="2"/>
        <v>0</v>
      </c>
      <c r="P206" s="72">
        <f t="shared" si="3"/>
        <v>0</v>
      </c>
      <c r="Q206" s="72">
        <f t="shared" si="4"/>
        <v>0</v>
      </c>
      <c r="R206" s="72">
        <f t="shared" si="5"/>
        <v>0</v>
      </c>
    </row>
    <row r="207" spans="1:18" x14ac:dyDescent="0.25">
      <c r="A207" s="26"/>
      <c r="B207" s="25"/>
      <c r="C207" s="15">
        <v>8</v>
      </c>
      <c r="D207" s="16">
        <v>150</v>
      </c>
      <c r="E207" s="15">
        <v>2</v>
      </c>
      <c r="F207" s="11">
        <v>1</v>
      </c>
      <c r="G207" s="11">
        <f>+ROUND(1.235/0.15+1,0)</f>
        <v>9</v>
      </c>
      <c r="H207" s="12"/>
      <c r="I207" s="12">
        <f t="shared" si="273"/>
        <v>1.252</v>
      </c>
      <c r="J207" s="22"/>
      <c r="K207" s="47"/>
      <c r="L207" s="72">
        <f t="shared" si="274"/>
        <v>1.252</v>
      </c>
      <c r="M207" s="72">
        <f t="shared" si="0"/>
        <v>22.54</v>
      </c>
      <c r="N207" s="72">
        <f t="shared" si="1"/>
        <v>0</v>
      </c>
      <c r="O207" s="72">
        <f t="shared" si="2"/>
        <v>0</v>
      </c>
      <c r="P207" s="72">
        <f t="shared" si="3"/>
        <v>0</v>
      </c>
      <c r="Q207" s="72">
        <f t="shared" si="4"/>
        <v>0</v>
      </c>
      <c r="R207" s="72">
        <f t="shared" si="5"/>
        <v>0</v>
      </c>
    </row>
    <row r="208" spans="1:18" x14ac:dyDescent="0.25">
      <c r="A208" s="26" t="s">
        <v>442</v>
      </c>
      <c r="B208" s="45" t="s">
        <v>629</v>
      </c>
      <c r="C208" s="15"/>
      <c r="D208" s="16"/>
      <c r="E208" s="15"/>
      <c r="F208" s="11"/>
      <c r="G208" s="11"/>
      <c r="H208" s="12"/>
      <c r="I208" s="12"/>
      <c r="J208" s="22"/>
      <c r="K208" s="22"/>
      <c r="L208" s="72">
        <f t="shared" ref="L208" si="275">SUM(H208:J208)+K208</f>
        <v>0</v>
      </c>
      <c r="M208" s="72">
        <f t="shared" si="0"/>
        <v>0</v>
      </c>
      <c r="N208" s="72">
        <f t="shared" si="1"/>
        <v>0</v>
      </c>
      <c r="O208" s="72">
        <f t="shared" si="2"/>
        <v>0</v>
      </c>
      <c r="P208" s="72">
        <f t="shared" si="3"/>
        <v>0</v>
      </c>
      <c r="Q208" s="72">
        <f t="shared" si="4"/>
        <v>0</v>
      </c>
      <c r="R208" s="72">
        <f t="shared" si="5"/>
        <v>0</v>
      </c>
    </row>
    <row r="209" spans="1:18" x14ac:dyDescent="0.25">
      <c r="A209" s="26"/>
      <c r="B209" s="25" t="s">
        <v>385</v>
      </c>
      <c r="C209" s="15">
        <v>16</v>
      </c>
      <c r="D209" s="16"/>
      <c r="E209" s="15">
        <v>2</v>
      </c>
      <c r="F209" s="11">
        <v>1</v>
      </c>
      <c r="G209" s="11">
        <v>2</v>
      </c>
      <c r="H209" s="12">
        <v>0.3</v>
      </c>
      <c r="I209" s="12">
        <f>11.1-0.06</f>
        <v>11.04</v>
      </c>
      <c r="J209" s="22">
        <v>0.3</v>
      </c>
      <c r="K209" s="22"/>
      <c r="L209" s="72">
        <f>SUM(H209:J209)+K209</f>
        <v>11.64</v>
      </c>
      <c r="M209" s="72">
        <f t="shared" si="0"/>
        <v>0</v>
      </c>
      <c r="N209" s="72">
        <f t="shared" si="1"/>
        <v>0</v>
      </c>
      <c r="O209" s="72">
        <f t="shared" si="2"/>
        <v>0</v>
      </c>
      <c r="P209" s="72">
        <f t="shared" si="3"/>
        <v>46.56</v>
      </c>
      <c r="Q209" s="72">
        <f t="shared" si="4"/>
        <v>0</v>
      </c>
      <c r="R209" s="72">
        <f t="shared" si="5"/>
        <v>0</v>
      </c>
    </row>
    <row r="210" spans="1:18" x14ac:dyDescent="0.25">
      <c r="A210" s="26"/>
      <c r="B210" s="25" t="s">
        <v>432</v>
      </c>
      <c r="C210" s="15">
        <v>16</v>
      </c>
      <c r="D210" s="16"/>
      <c r="E210" s="15">
        <v>2</v>
      </c>
      <c r="F210" s="11">
        <v>1</v>
      </c>
      <c r="G210" s="11">
        <v>2</v>
      </c>
      <c r="H210" s="12">
        <v>0.3</v>
      </c>
      <c r="I210" s="12">
        <f>11.1-0.06</f>
        <v>11.04</v>
      </c>
      <c r="J210" s="22">
        <v>0.3</v>
      </c>
      <c r="K210" s="22"/>
      <c r="L210" s="72">
        <f t="shared" ref="L210:L212" si="276">SUM(H210:J210)+K210</f>
        <v>11.64</v>
      </c>
      <c r="M210" s="72">
        <f t="shared" si="0"/>
        <v>0</v>
      </c>
      <c r="N210" s="72">
        <f t="shared" si="1"/>
        <v>0</v>
      </c>
      <c r="O210" s="72">
        <f t="shared" si="2"/>
        <v>0</v>
      </c>
      <c r="P210" s="72">
        <f t="shared" si="3"/>
        <v>46.56</v>
      </c>
      <c r="Q210" s="72">
        <f t="shared" si="4"/>
        <v>0</v>
      </c>
      <c r="R210" s="72">
        <f t="shared" si="5"/>
        <v>0</v>
      </c>
    </row>
    <row r="211" spans="1:18" x14ac:dyDescent="0.25">
      <c r="A211" s="26"/>
      <c r="B211" s="25" t="s">
        <v>450</v>
      </c>
      <c r="C211" s="15">
        <v>12</v>
      </c>
      <c r="D211" s="16"/>
      <c r="E211" s="15">
        <v>2</v>
      </c>
      <c r="F211" s="11">
        <v>1</v>
      </c>
      <c r="G211" s="11">
        <v>2</v>
      </c>
      <c r="H211" s="12"/>
      <c r="I211" s="12">
        <v>3.85</v>
      </c>
      <c r="J211" s="22"/>
      <c r="K211" s="22"/>
      <c r="L211" s="72">
        <f t="shared" ref="L211" si="277">SUM(H211:J211)+K211</f>
        <v>3.85</v>
      </c>
      <c r="M211" s="72">
        <f t="shared" ref="M211" si="278">+ROUND(IF(C211=8,PRODUCT(E211,F211,G211,L211),0),2)</f>
        <v>0</v>
      </c>
      <c r="N211" s="72">
        <f t="shared" ref="N211" si="279">+ROUND(IF(C211=10,PRODUCT(E211,F211,G211,L211),0),2)</f>
        <v>0</v>
      </c>
      <c r="O211" s="72">
        <f t="shared" ref="O211" si="280">+ROUND(IF(C211=12,PRODUCT(E211,F211,G211,L211),0),2)</f>
        <v>15.4</v>
      </c>
      <c r="P211" s="72">
        <f t="shared" ref="P211" si="281">+ROUND(IF(C211=16,PRODUCT(E211,F211,G211,L211),0),2)</f>
        <v>0</v>
      </c>
      <c r="Q211" s="72">
        <f t="shared" ref="Q211" si="282">+ROUND(IF(C211=20,PRODUCT(E211,F211,G211,L211),0),2)</f>
        <v>0</v>
      </c>
      <c r="R211" s="72">
        <f t="shared" ref="R211" si="283">+ROUND(IF(C211=25,PRODUCT(E211,F211,G211,L211),0),2)</f>
        <v>0</v>
      </c>
    </row>
    <row r="212" spans="1:18" x14ac:dyDescent="0.25">
      <c r="A212" s="26"/>
      <c r="B212" s="25" t="s">
        <v>433</v>
      </c>
      <c r="C212" s="15">
        <v>12</v>
      </c>
      <c r="D212" s="16"/>
      <c r="E212" s="15">
        <v>2</v>
      </c>
      <c r="F212" s="11">
        <v>1</v>
      </c>
      <c r="G212" s="11">
        <v>2</v>
      </c>
      <c r="H212" s="12"/>
      <c r="I212" s="12">
        <v>3.3</v>
      </c>
      <c r="J212" s="22"/>
      <c r="K212" s="22"/>
      <c r="L212" s="72">
        <f t="shared" si="276"/>
        <v>3.3</v>
      </c>
      <c r="M212" s="72">
        <f t="shared" si="0"/>
        <v>0</v>
      </c>
      <c r="N212" s="72">
        <f t="shared" si="1"/>
        <v>0</v>
      </c>
      <c r="O212" s="72">
        <f t="shared" si="2"/>
        <v>13.2</v>
      </c>
      <c r="P212" s="72">
        <f t="shared" si="3"/>
        <v>0</v>
      </c>
      <c r="Q212" s="72">
        <f t="shared" si="4"/>
        <v>0</v>
      </c>
      <c r="R212" s="72">
        <f t="shared" si="5"/>
        <v>0</v>
      </c>
    </row>
    <row r="213" spans="1:18" x14ac:dyDescent="0.25">
      <c r="A213" s="26"/>
      <c r="B213" s="25" t="s">
        <v>433</v>
      </c>
      <c r="C213" s="15">
        <v>12</v>
      </c>
      <c r="D213" s="16"/>
      <c r="E213" s="15">
        <v>2</v>
      </c>
      <c r="F213" s="11">
        <v>2</v>
      </c>
      <c r="G213" s="11">
        <v>2</v>
      </c>
      <c r="H213" s="12">
        <v>0.3</v>
      </c>
      <c r="I213" s="12">
        <f>1.8-0.03</f>
        <v>1.77</v>
      </c>
      <c r="J213" s="22"/>
      <c r="K213" s="22"/>
      <c r="L213" s="72">
        <f t="shared" ref="L213" si="284">SUM(H213:J213)+K213</f>
        <v>2.0699999999999998</v>
      </c>
      <c r="M213" s="72">
        <f t="shared" ref="M213" si="285">+ROUND(IF(C213=8,PRODUCT(E213,F213,G213,L213),0),2)</f>
        <v>0</v>
      </c>
      <c r="N213" s="72">
        <f t="shared" ref="N213" si="286">+ROUND(IF(C213=10,PRODUCT(E213,F213,G213,L213),0),2)</f>
        <v>0</v>
      </c>
      <c r="O213" s="72">
        <f t="shared" ref="O213" si="287">+ROUND(IF(C213=12,PRODUCT(E213,F213,G213,L213),0),2)</f>
        <v>16.559999999999999</v>
      </c>
      <c r="P213" s="72">
        <f t="shared" ref="P213" si="288">+ROUND(IF(C213=16,PRODUCT(E213,F213,G213,L213),0),2)</f>
        <v>0</v>
      </c>
      <c r="Q213" s="72">
        <f t="shared" ref="Q213" si="289">+ROUND(IF(C213=20,PRODUCT(E213,F213,G213,L213),0),2)</f>
        <v>0</v>
      </c>
      <c r="R213" s="72">
        <f t="shared" ref="R213" si="290">+ROUND(IF(C213=25,PRODUCT(E213,F213,G213,L213),0),2)</f>
        <v>0</v>
      </c>
    </row>
    <row r="214" spans="1:18" x14ac:dyDescent="0.25">
      <c r="A214" s="26"/>
      <c r="B214" s="25" t="s">
        <v>453</v>
      </c>
      <c r="C214" s="15">
        <v>8</v>
      </c>
      <c r="D214" s="16">
        <v>100</v>
      </c>
      <c r="E214" s="15">
        <v>2</v>
      </c>
      <c r="F214" s="11">
        <v>2</v>
      </c>
      <c r="G214" s="11">
        <f>+ROUND(2.55/0.1,0)</f>
        <v>26</v>
      </c>
      <c r="H214" s="12"/>
      <c r="I214" s="12">
        <f t="shared" ref="I214:I215" si="291">2*(0.14+0.39)+24*C214/1000</f>
        <v>1.252</v>
      </c>
      <c r="J214" s="22"/>
      <c r="K214" s="47"/>
      <c r="L214" s="72">
        <f t="shared" ref="L214:L215" si="292">SUM(H214:J214)+K214</f>
        <v>1.252</v>
      </c>
      <c r="M214" s="72">
        <f t="shared" si="0"/>
        <v>130.21</v>
      </c>
      <c r="N214" s="72">
        <f t="shared" si="1"/>
        <v>0</v>
      </c>
      <c r="O214" s="72">
        <f t="shared" si="2"/>
        <v>0</v>
      </c>
      <c r="P214" s="72">
        <f t="shared" si="3"/>
        <v>0</v>
      </c>
      <c r="Q214" s="72">
        <f t="shared" si="4"/>
        <v>0</v>
      </c>
      <c r="R214" s="72">
        <f t="shared" si="5"/>
        <v>0</v>
      </c>
    </row>
    <row r="215" spans="1:18" x14ac:dyDescent="0.25">
      <c r="A215" s="26"/>
      <c r="B215" s="25"/>
      <c r="C215" s="15">
        <v>8</v>
      </c>
      <c r="D215" s="16">
        <v>150</v>
      </c>
      <c r="E215" s="15">
        <v>2</v>
      </c>
      <c r="F215" s="11">
        <v>2</v>
      </c>
      <c r="G215" s="11">
        <f>+ROUND(2.55/0.15+1,0)</f>
        <v>18</v>
      </c>
      <c r="H215" s="12"/>
      <c r="I215" s="12">
        <f t="shared" si="291"/>
        <v>1.252</v>
      </c>
      <c r="J215" s="22"/>
      <c r="K215" s="47"/>
      <c r="L215" s="72">
        <f t="shared" si="292"/>
        <v>1.252</v>
      </c>
      <c r="M215" s="72">
        <f t="shared" si="0"/>
        <v>90.14</v>
      </c>
      <c r="N215" s="72">
        <f t="shared" si="1"/>
        <v>0</v>
      </c>
      <c r="O215" s="72">
        <f t="shared" si="2"/>
        <v>0</v>
      </c>
      <c r="P215" s="72">
        <f t="shared" si="3"/>
        <v>0</v>
      </c>
      <c r="Q215" s="72">
        <f t="shared" si="4"/>
        <v>0</v>
      </c>
      <c r="R215" s="72">
        <f t="shared" si="5"/>
        <v>0</v>
      </c>
    </row>
    <row r="216" spans="1:18" x14ac:dyDescent="0.25">
      <c r="A216" s="26" t="s">
        <v>442</v>
      </c>
      <c r="B216" s="45" t="s">
        <v>630</v>
      </c>
      <c r="C216" s="15"/>
      <c r="D216" s="16"/>
      <c r="E216" s="15"/>
      <c r="F216" s="11"/>
      <c r="G216" s="11"/>
      <c r="H216" s="12"/>
      <c r="I216" s="12"/>
      <c r="J216" s="22"/>
      <c r="K216" s="22"/>
      <c r="L216" s="72">
        <f t="shared" ref="L216" si="293">SUM(H216:J216)+K216</f>
        <v>0</v>
      </c>
      <c r="M216" s="72">
        <f t="shared" si="0"/>
        <v>0</v>
      </c>
      <c r="N216" s="72">
        <f t="shared" si="1"/>
        <v>0</v>
      </c>
      <c r="O216" s="72">
        <f t="shared" si="2"/>
        <v>0</v>
      </c>
      <c r="P216" s="72">
        <f t="shared" si="3"/>
        <v>0</v>
      </c>
      <c r="Q216" s="72">
        <f t="shared" si="4"/>
        <v>0</v>
      </c>
      <c r="R216" s="72">
        <f t="shared" si="5"/>
        <v>0</v>
      </c>
    </row>
    <row r="217" spans="1:18" x14ac:dyDescent="0.25">
      <c r="A217" s="26"/>
      <c r="B217" s="25" t="s">
        <v>385</v>
      </c>
      <c r="C217" s="15">
        <v>16</v>
      </c>
      <c r="D217" s="16"/>
      <c r="E217" s="15">
        <v>2</v>
      </c>
      <c r="F217" s="11">
        <v>1</v>
      </c>
      <c r="G217" s="11">
        <v>2</v>
      </c>
      <c r="H217" s="12">
        <v>0.3</v>
      </c>
      <c r="I217" s="12">
        <f>7.08-0.06</f>
        <v>7.0200000000000005</v>
      </c>
      <c r="J217" s="22">
        <v>0.3</v>
      </c>
      <c r="K217" s="22"/>
      <c r="L217" s="72">
        <f>SUM(H217:J217)+K217</f>
        <v>7.62</v>
      </c>
      <c r="M217" s="72">
        <f t="shared" si="0"/>
        <v>0</v>
      </c>
      <c r="N217" s="72">
        <f t="shared" si="1"/>
        <v>0</v>
      </c>
      <c r="O217" s="72">
        <f t="shared" si="2"/>
        <v>0</v>
      </c>
      <c r="P217" s="72">
        <f t="shared" si="3"/>
        <v>30.48</v>
      </c>
      <c r="Q217" s="72">
        <f t="shared" si="4"/>
        <v>0</v>
      </c>
      <c r="R217" s="72">
        <f t="shared" si="5"/>
        <v>0</v>
      </c>
    </row>
    <row r="218" spans="1:18" x14ac:dyDescent="0.25">
      <c r="A218" s="26"/>
      <c r="B218" s="25" t="s">
        <v>432</v>
      </c>
      <c r="C218" s="15">
        <v>16</v>
      </c>
      <c r="D218" s="16"/>
      <c r="E218" s="15">
        <v>2</v>
      </c>
      <c r="F218" s="11">
        <v>1</v>
      </c>
      <c r="G218" s="11">
        <v>2</v>
      </c>
      <c r="H218" s="12">
        <v>0.3</v>
      </c>
      <c r="I218" s="12">
        <f>7.08-0.06</f>
        <v>7.0200000000000005</v>
      </c>
      <c r="J218" s="22">
        <v>0.3</v>
      </c>
      <c r="K218" s="22"/>
      <c r="L218" s="72">
        <f t="shared" ref="L218" si="294">SUM(H218:J218)+K218</f>
        <v>7.62</v>
      </c>
      <c r="M218" s="72">
        <f t="shared" si="0"/>
        <v>0</v>
      </c>
      <c r="N218" s="72">
        <f t="shared" si="1"/>
        <v>0</v>
      </c>
      <c r="O218" s="72">
        <f t="shared" si="2"/>
        <v>0</v>
      </c>
      <c r="P218" s="72">
        <f t="shared" si="3"/>
        <v>30.48</v>
      </c>
      <c r="Q218" s="72">
        <f t="shared" si="4"/>
        <v>0</v>
      </c>
      <c r="R218" s="72">
        <f t="shared" si="5"/>
        <v>0</v>
      </c>
    </row>
    <row r="219" spans="1:18" x14ac:dyDescent="0.25">
      <c r="A219" s="26"/>
      <c r="B219" s="25" t="s">
        <v>453</v>
      </c>
      <c r="C219" s="15">
        <v>8</v>
      </c>
      <c r="D219" s="16">
        <v>100</v>
      </c>
      <c r="E219" s="15">
        <v>2</v>
      </c>
      <c r="F219" s="11">
        <v>2</v>
      </c>
      <c r="G219" s="11">
        <f>+ROUND(1.8/0.1,0)</f>
        <v>18</v>
      </c>
      <c r="H219" s="12"/>
      <c r="I219" s="12">
        <f t="shared" ref="I219:I220" si="295">2*(0.14+0.39)+24*C219/1000</f>
        <v>1.252</v>
      </c>
      <c r="J219" s="22"/>
      <c r="K219" s="47"/>
      <c r="L219" s="72">
        <f t="shared" ref="L219:L220" si="296">SUM(H219:J219)+K219</f>
        <v>1.252</v>
      </c>
      <c r="M219" s="72">
        <f t="shared" si="0"/>
        <v>90.14</v>
      </c>
      <c r="N219" s="72">
        <f t="shared" si="1"/>
        <v>0</v>
      </c>
      <c r="O219" s="72">
        <f t="shared" si="2"/>
        <v>0</v>
      </c>
      <c r="P219" s="72">
        <f t="shared" si="3"/>
        <v>0</v>
      </c>
      <c r="Q219" s="72">
        <f t="shared" si="4"/>
        <v>0</v>
      </c>
      <c r="R219" s="72">
        <f t="shared" si="5"/>
        <v>0</v>
      </c>
    </row>
    <row r="220" spans="1:18" x14ac:dyDescent="0.25">
      <c r="A220" s="26"/>
      <c r="B220" s="25"/>
      <c r="C220" s="15">
        <v>8</v>
      </c>
      <c r="D220" s="16">
        <v>150</v>
      </c>
      <c r="E220" s="15">
        <v>2</v>
      </c>
      <c r="F220" s="11">
        <v>2</v>
      </c>
      <c r="G220" s="11">
        <f>+ROUND(1.39/0.15+1,0)</f>
        <v>10</v>
      </c>
      <c r="H220" s="12"/>
      <c r="I220" s="12">
        <f t="shared" si="295"/>
        <v>1.252</v>
      </c>
      <c r="J220" s="22"/>
      <c r="K220" s="47"/>
      <c r="L220" s="72">
        <f t="shared" si="296"/>
        <v>1.252</v>
      </c>
      <c r="M220" s="72">
        <f t="shared" si="0"/>
        <v>50.08</v>
      </c>
      <c r="N220" s="72">
        <f t="shared" si="1"/>
        <v>0</v>
      </c>
      <c r="O220" s="72">
        <f t="shared" si="2"/>
        <v>0</v>
      </c>
      <c r="P220" s="72">
        <f t="shared" si="3"/>
        <v>0</v>
      </c>
      <c r="Q220" s="72">
        <f t="shared" si="4"/>
        <v>0</v>
      </c>
      <c r="R220" s="72">
        <f t="shared" si="5"/>
        <v>0</v>
      </c>
    </row>
    <row r="221" spans="1:18" x14ac:dyDescent="0.25">
      <c r="A221" s="26" t="s">
        <v>442</v>
      </c>
      <c r="B221" s="45" t="s">
        <v>631</v>
      </c>
      <c r="C221" s="15"/>
      <c r="D221" s="16"/>
      <c r="E221" s="15"/>
      <c r="F221" s="11"/>
      <c r="G221" s="11"/>
      <c r="H221" s="12"/>
      <c r="I221" s="12"/>
      <c r="J221" s="22"/>
      <c r="K221" s="22"/>
      <c r="L221" s="72">
        <f t="shared" ref="L221" si="297">SUM(H221:J221)+K221</f>
        <v>0</v>
      </c>
      <c r="M221" s="72">
        <f t="shared" si="0"/>
        <v>0</v>
      </c>
      <c r="N221" s="72">
        <f t="shared" si="1"/>
        <v>0</v>
      </c>
      <c r="O221" s="72">
        <f t="shared" si="2"/>
        <v>0</v>
      </c>
      <c r="P221" s="72">
        <f t="shared" si="3"/>
        <v>0</v>
      </c>
      <c r="Q221" s="72">
        <f t="shared" si="4"/>
        <v>0</v>
      </c>
      <c r="R221" s="72">
        <f t="shared" si="5"/>
        <v>0</v>
      </c>
    </row>
    <row r="222" spans="1:18" x14ac:dyDescent="0.25">
      <c r="A222" s="26"/>
      <c r="B222" s="25" t="s">
        <v>385</v>
      </c>
      <c r="C222" s="15">
        <v>12</v>
      </c>
      <c r="D222" s="16"/>
      <c r="E222" s="15">
        <v>6</v>
      </c>
      <c r="F222" s="11">
        <v>1</v>
      </c>
      <c r="G222" s="11">
        <v>2</v>
      </c>
      <c r="H222" s="12">
        <v>0.3</v>
      </c>
      <c r="I222" s="12">
        <f>9.04-0.06</f>
        <v>8.9799999999999986</v>
      </c>
      <c r="J222" s="22">
        <v>0.3</v>
      </c>
      <c r="K222" s="22"/>
      <c r="L222" s="72">
        <f>SUM(H222:J222)+K222</f>
        <v>9.58</v>
      </c>
      <c r="M222" s="72">
        <f t="shared" si="0"/>
        <v>0</v>
      </c>
      <c r="N222" s="72">
        <f t="shared" si="1"/>
        <v>0</v>
      </c>
      <c r="O222" s="72">
        <f t="shared" si="2"/>
        <v>114.96</v>
      </c>
      <c r="P222" s="72">
        <f t="shared" si="3"/>
        <v>0</v>
      </c>
      <c r="Q222" s="72">
        <f t="shared" si="4"/>
        <v>0</v>
      </c>
      <c r="R222" s="72">
        <f t="shared" si="5"/>
        <v>0</v>
      </c>
    </row>
    <row r="223" spans="1:18" x14ac:dyDescent="0.25">
      <c r="A223" s="26"/>
      <c r="B223" s="25" t="s">
        <v>432</v>
      </c>
      <c r="C223" s="15">
        <v>12</v>
      </c>
      <c r="D223" s="16"/>
      <c r="E223" s="15">
        <v>6</v>
      </c>
      <c r="F223" s="11">
        <v>1</v>
      </c>
      <c r="G223" s="11">
        <v>2</v>
      </c>
      <c r="H223" s="12">
        <v>0.3</v>
      </c>
      <c r="I223" s="12">
        <f>9.04-0.06</f>
        <v>8.9799999999999986</v>
      </c>
      <c r="J223" s="22">
        <v>0.3</v>
      </c>
      <c r="K223" s="22"/>
      <c r="L223" s="72">
        <f t="shared" ref="L223" si="298">SUM(H223:J223)+K223</f>
        <v>9.58</v>
      </c>
      <c r="M223" s="72">
        <f t="shared" si="0"/>
        <v>0</v>
      </c>
      <c r="N223" s="72">
        <f t="shared" si="1"/>
        <v>0</v>
      </c>
      <c r="O223" s="72">
        <f t="shared" si="2"/>
        <v>114.96</v>
      </c>
      <c r="P223" s="72">
        <f t="shared" si="3"/>
        <v>0</v>
      </c>
      <c r="Q223" s="72">
        <f t="shared" si="4"/>
        <v>0</v>
      </c>
      <c r="R223" s="72">
        <f t="shared" si="5"/>
        <v>0</v>
      </c>
    </row>
    <row r="224" spans="1:18" x14ac:dyDescent="0.25">
      <c r="A224" s="26"/>
      <c r="B224" s="25" t="s">
        <v>453</v>
      </c>
      <c r="C224" s="15">
        <v>8</v>
      </c>
      <c r="D224" s="16">
        <v>100</v>
      </c>
      <c r="E224" s="15">
        <v>6</v>
      </c>
      <c r="F224" s="11">
        <v>1</v>
      </c>
      <c r="G224" s="11">
        <f>+ROUND(1.8/0.1,0)</f>
        <v>18</v>
      </c>
      <c r="H224" s="12"/>
      <c r="I224" s="12">
        <f t="shared" ref="I224:I226" si="299">2*(0.14+0.39)+24*C224/1000</f>
        <v>1.252</v>
      </c>
      <c r="J224" s="22"/>
      <c r="K224" s="47"/>
      <c r="L224" s="72">
        <f t="shared" ref="L224:L225" si="300">SUM(H224:J224)+K224</f>
        <v>1.252</v>
      </c>
      <c r="M224" s="72">
        <f t="shared" si="0"/>
        <v>135.22</v>
      </c>
      <c r="N224" s="72">
        <f t="shared" si="1"/>
        <v>0</v>
      </c>
      <c r="O224" s="72">
        <f t="shared" si="2"/>
        <v>0</v>
      </c>
      <c r="P224" s="72">
        <f t="shared" si="3"/>
        <v>0</v>
      </c>
      <c r="Q224" s="72">
        <f t="shared" si="4"/>
        <v>0</v>
      </c>
      <c r="R224" s="72">
        <f t="shared" si="5"/>
        <v>0</v>
      </c>
    </row>
    <row r="225" spans="1:18" x14ac:dyDescent="0.25">
      <c r="A225" s="26"/>
      <c r="B225" s="25"/>
      <c r="C225" s="15">
        <v>8</v>
      </c>
      <c r="D225" s="16">
        <v>150</v>
      </c>
      <c r="E225" s="15">
        <v>6</v>
      </c>
      <c r="F225" s="11">
        <v>1</v>
      </c>
      <c r="G225" s="11">
        <f>+ROUND(1.75/0.15+1,0)</f>
        <v>13</v>
      </c>
      <c r="H225" s="12"/>
      <c r="I225" s="12">
        <f t="shared" si="299"/>
        <v>1.252</v>
      </c>
      <c r="J225" s="22"/>
      <c r="K225" s="47"/>
      <c r="L225" s="72">
        <f t="shared" si="300"/>
        <v>1.252</v>
      </c>
      <c r="M225" s="72">
        <f t="shared" si="0"/>
        <v>97.66</v>
      </c>
      <c r="N225" s="72">
        <f t="shared" si="1"/>
        <v>0</v>
      </c>
      <c r="O225" s="72">
        <f t="shared" si="2"/>
        <v>0</v>
      </c>
      <c r="P225" s="72">
        <f t="shared" si="3"/>
        <v>0</v>
      </c>
      <c r="Q225" s="72">
        <f t="shared" si="4"/>
        <v>0</v>
      </c>
      <c r="R225" s="72">
        <f t="shared" si="5"/>
        <v>0</v>
      </c>
    </row>
    <row r="226" spans="1:18" x14ac:dyDescent="0.25">
      <c r="A226" s="26"/>
      <c r="B226" s="25" t="s">
        <v>453</v>
      </c>
      <c r="C226" s="15">
        <v>8</v>
      </c>
      <c r="D226" s="16">
        <v>100</v>
      </c>
      <c r="E226" s="15">
        <v>6</v>
      </c>
      <c r="F226" s="11">
        <v>1</v>
      </c>
      <c r="G226" s="11">
        <f>+ROUND(1.81/0.1+1,0)</f>
        <v>19</v>
      </c>
      <c r="H226" s="12"/>
      <c r="I226" s="12">
        <f t="shared" si="299"/>
        <v>1.252</v>
      </c>
      <c r="J226" s="22"/>
      <c r="K226" s="47"/>
      <c r="L226" s="72">
        <f t="shared" ref="L226" si="301">SUM(H226:J226)+K226</f>
        <v>1.252</v>
      </c>
      <c r="M226" s="72">
        <f t="shared" si="0"/>
        <v>142.72999999999999</v>
      </c>
      <c r="N226" s="72">
        <f t="shared" si="1"/>
        <v>0</v>
      </c>
      <c r="O226" s="72">
        <f t="shared" si="2"/>
        <v>0</v>
      </c>
      <c r="P226" s="72">
        <f t="shared" si="3"/>
        <v>0</v>
      </c>
      <c r="Q226" s="72">
        <f t="shared" si="4"/>
        <v>0</v>
      </c>
      <c r="R226" s="72">
        <f t="shared" si="5"/>
        <v>0</v>
      </c>
    </row>
    <row r="227" spans="1:18" x14ac:dyDescent="0.25">
      <c r="A227" s="26" t="s">
        <v>596</v>
      </c>
      <c r="B227" s="45" t="s">
        <v>633</v>
      </c>
      <c r="C227" s="15"/>
      <c r="D227" s="16"/>
      <c r="E227" s="15"/>
      <c r="F227" s="11"/>
      <c r="G227" s="11"/>
      <c r="H227" s="12"/>
      <c r="I227" s="12"/>
      <c r="J227" s="22"/>
      <c r="K227" s="22"/>
      <c r="L227" s="72">
        <f t="shared" ref="L227" si="302">SUM(H227:J227)+K227</f>
        <v>0</v>
      </c>
      <c r="M227" s="72">
        <f t="shared" ref="M227:M230" si="303">+ROUND(IF(C227=8,PRODUCT(E227,F227,G227,L227),0),2)</f>
        <v>0</v>
      </c>
      <c r="N227" s="72">
        <f t="shared" ref="N227:N230" si="304">+ROUND(IF(C227=10,PRODUCT(E227,F227,G227,L227),0),2)</f>
        <v>0</v>
      </c>
      <c r="O227" s="72">
        <f t="shared" ref="O227:O230" si="305">+ROUND(IF(C227=12,PRODUCT(E227,F227,G227,L227),0),2)</f>
        <v>0</v>
      </c>
      <c r="P227" s="72">
        <f t="shared" ref="P227:P230" si="306">+ROUND(IF(C227=16,PRODUCT(E227,F227,G227,L227),0),2)</f>
        <v>0</v>
      </c>
      <c r="Q227" s="72">
        <f t="shared" ref="Q227:Q230" si="307">+ROUND(IF(C227=20,PRODUCT(E227,F227,G227,L227),0),2)</f>
        <v>0</v>
      </c>
      <c r="R227" s="72">
        <f t="shared" ref="R227:R230" si="308">+ROUND(IF(C227=25,PRODUCT(E227,F227,G227,L227),0),2)</f>
        <v>0</v>
      </c>
    </row>
    <row r="228" spans="1:18" x14ac:dyDescent="0.25">
      <c r="A228" s="26"/>
      <c r="B228" s="25" t="s">
        <v>385</v>
      </c>
      <c r="C228" s="15">
        <v>12</v>
      </c>
      <c r="D228" s="16"/>
      <c r="E228" s="15">
        <v>18</v>
      </c>
      <c r="F228" s="11">
        <v>1</v>
      </c>
      <c r="G228" s="11">
        <v>2</v>
      </c>
      <c r="H228" s="12">
        <v>0.3</v>
      </c>
      <c r="I228" s="12">
        <f>0.715-0.06</f>
        <v>0.65500000000000003</v>
      </c>
      <c r="J228" s="22">
        <v>0.3</v>
      </c>
      <c r="K228" s="22"/>
      <c r="L228" s="72">
        <f>SUM(H228:J228)+K228</f>
        <v>1.2550000000000001</v>
      </c>
      <c r="M228" s="72">
        <f t="shared" si="303"/>
        <v>0</v>
      </c>
      <c r="N228" s="72">
        <f t="shared" si="304"/>
        <v>0</v>
      </c>
      <c r="O228" s="72">
        <f t="shared" si="305"/>
        <v>45.18</v>
      </c>
      <c r="P228" s="72">
        <f t="shared" si="306"/>
        <v>0</v>
      </c>
      <c r="Q228" s="72">
        <f t="shared" si="307"/>
        <v>0</v>
      </c>
      <c r="R228" s="72">
        <f t="shared" si="308"/>
        <v>0</v>
      </c>
    </row>
    <row r="229" spans="1:18" x14ac:dyDescent="0.25">
      <c r="A229" s="26"/>
      <c r="B229" s="25" t="s">
        <v>432</v>
      </c>
      <c r="C229" s="15">
        <v>12</v>
      </c>
      <c r="D229" s="16"/>
      <c r="E229" s="15">
        <v>18</v>
      </c>
      <c r="F229" s="11">
        <v>1</v>
      </c>
      <c r="G229" s="11">
        <v>2</v>
      </c>
      <c r="H229" s="12">
        <v>0.3</v>
      </c>
      <c r="I229" s="12">
        <f>0.715-0.06</f>
        <v>0.65500000000000003</v>
      </c>
      <c r="J229" s="22">
        <v>0.3</v>
      </c>
      <c r="K229" s="22"/>
      <c r="L229" s="72">
        <f t="shared" ref="L229" si="309">SUM(H229:J229)+K229</f>
        <v>1.2550000000000001</v>
      </c>
      <c r="M229" s="72">
        <f t="shared" si="303"/>
        <v>0</v>
      </c>
      <c r="N229" s="72">
        <f t="shared" si="304"/>
        <v>0</v>
      </c>
      <c r="O229" s="72">
        <f t="shared" si="305"/>
        <v>45.18</v>
      </c>
      <c r="P229" s="72">
        <f t="shared" si="306"/>
        <v>0</v>
      </c>
      <c r="Q229" s="72">
        <f t="shared" si="307"/>
        <v>0</v>
      </c>
      <c r="R229" s="72">
        <f t="shared" si="308"/>
        <v>0</v>
      </c>
    </row>
    <row r="230" spans="1:18" x14ac:dyDescent="0.25">
      <c r="A230" s="26"/>
      <c r="B230" s="25" t="s">
        <v>453</v>
      </c>
      <c r="C230" s="15">
        <v>8</v>
      </c>
      <c r="D230" s="16">
        <v>100</v>
      </c>
      <c r="E230" s="15">
        <v>18</v>
      </c>
      <c r="F230" s="11">
        <v>1</v>
      </c>
      <c r="G230" s="11">
        <f>+ROUND(0.415/0.1+1,0)</f>
        <v>5</v>
      </c>
      <c r="H230" s="12"/>
      <c r="I230" s="12">
        <f t="shared" ref="I230" si="310">2*(0.14+0.39)+24*C230/1000</f>
        <v>1.252</v>
      </c>
      <c r="J230" s="22"/>
      <c r="K230" s="47"/>
      <c r="L230" s="72">
        <f t="shared" ref="L230" si="311">SUM(H230:J230)+K230</f>
        <v>1.252</v>
      </c>
      <c r="M230" s="72">
        <f t="shared" si="303"/>
        <v>112.68</v>
      </c>
      <c r="N230" s="72">
        <f t="shared" si="304"/>
        <v>0</v>
      </c>
      <c r="O230" s="72">
        <f t="shared" si="305"/>
        <v>0</v>
      </c>
      <c r="P230" s="72">
        <f t="shared" si="306"/>
        <v>0</v>
      </c>
      <c r="Q230" s="72">
        <f t="shared" si="307"/>
        <v>0</v>
      </c>
      <c r="R230" s="72">
        <f t="shared" si="308"/>
        <v>0</v>
      </c>
    </row>
    <row r="231" spans="1:18" x14ac:dyDescent="0.25">
      <c r="A231" s="26" t="s">
        <v>442</v>
      </c>
      <c r="B231" s="45" t="s">
        <v>634</v>
      </c>
      <c r="C231" s="15"/>
      <c r="D231" s="16"/>
      <c r="E231" s="15"/>
      <c r="F231" s="11"/>
      <c r="G231" s="11"/>
      <c r="H231" s="12"/>
      <c r="I231" s="12"/>
      <c r="J231" s="22"/>
      <c r="K231" s="22"/>
      <c r="L231" s="72">
        <f t="shared" ref="L231" si="312">SUM(H231:J231)+K231</f>
        <v>0</v>
      </c>
      <c r="M231" s="72">
        <f t="shared" si="0"/>
        <v>0</v>
      </c>
      <c r="N231" s="72">
        <f t="shared" si="1"/>
        <v>0</v>
      </c>
      <c r="O231" s="72">
        <f t="shared" si="2"/>
        <v>0</v>
      </c>
      <c r="P231" s="72">
        <f t="shared" si="3"/>
        <v>0</v>
      </c>
      <c r="Q231" s="72">
        <f t="shared" si="4"/>
        <v>0</v>
      </c>
      <c r="R231" s="72">
        <f t="shared" si="5"/>
        <v>0</v>
      </c>
    </row>
    <row r="232" spans="1:18" x14ac:dyDescent="0.25">
      <c r="A232" s="26"/>
      <c r="B232" s="25" t="s">
        <v>385</v>
      </c>
      <c r="C232" s="15">
        <v>12</v>
      </c>
      <c r="D232" s="16"/>
      <c r="E232" s="15">
        <v>6</v>
      </c>
      <c r="F232" s="11">
        <v>1</v>
      </c>
      <c r="G232" s="11">
        <v>2</v>
      </c>
      <c r="H232" s="12">
        <v>0.3</v>
      </c>
      <c r="I232" s="12">
        <f>3.95-0.06</f>
        <v>3.89</v>
      </c>
      <c r="J232" s="22">
        <v>0.3</v>
      </c>
      <c r="K232" s="22"/>
      <c r="L232" s="72">
        <f>SUM(H232:J232)+K232</f>
        <v>4.49</v>
      </c>
      <c r="M232" s="72">
        <f t="shared" si="0"/>
        <v>0</v>
      </c>
      <c r="N232" s="72">
        <f t="shared" si="1"/>
        <v>0</v>
      </c>
      <c r="O232" s="72">
        <f t="shared" si="2"/>
        <v>53.88</v>
      </c>
      <c r="P232" s="72">
        <f t="shared" si="3"/>
        <v>0</v>
      </c>
      <c r="Q232" s="72">
        <f t="shared" si="4"/>
        <v>0</v>
      </c>
      <c r="R232" s="72">
        <f t="shared" si="5"/>
        <v>0</v>
      </c>
    </row>
    <row r="233" spans="1:18" x14ac:dyDescent="0.25">
      <c r="A233" s="26"/>
      <c r="B233" s="25" t="s">
        <v>432</v>
      </c>
      <c r="C233" s="15">
        <v>12</v>
      </c>
      <c r="D233" s="16"/>
      <c r="E233" s="15">
        <v>6</v>
      </c>
      <c r="F233" s="11">
        <v>1</v>
      </c>
      <c r="G233" s="11">
        <v>2</v>
      </c>
      <c r="H233" s="12">
        <v>0.3</v>
      </c>
      <c r="I233" s="12">
        <f>3.95-0.06</f>
        <v>3.89</v>
      </c>
      <c r="J233" s="22">
        <v>0.3</v>
      </c>
      <c r="K233" s="22"/>
      <c r="L233" s="72">
        <f>SUM(H233:J233)+K233</f>
        <v>4.49</v>
      </c>
      <c r="M233" s="72">
        <f t="shared" si="0"/>
        <v>0</v>
      </c>
      <c r="N233" s="72">
        <f t="shared" si="1"/>
        <v>0</v>
      </c>
      <c r="O233" s="72">
        <f t="shared" si="2"/>
        <v>53.88</v>
      </c>
      <c r="P233" s="72">
        <f t="shared" si="3"/>
        <v>0</v>
      </c>
      <c r="Q233" s="72">
        <f t="shared" si="4"/>
        <v>0</v>
      </c>
      <c r="R233" s="72">
        <f t="shared" si="5"/>
        <v>0</v>
      </c>
    </row>
    <row r="234" spans="1:18" x14ac:dyDescent="0.25">
      <c r="A234" s="26"/>
      <c r="B234" s="25" t="s">
        <v>453</v>
      </c>
      <c r="C234" s="15">
        <v>8</v>
      </c>
      <c r="D234" s="16">
        <v>100</v>
      </c>
      <c r="E234" s="15">
        <v>6</v>
      </c>
      <c r="F234" s="11">
        <v>2</v>
      </c>
      <c r="G234" s="11">
        <f>+ROUND(1.8/0.1,0)</f>
        <v>18</v>
      </c>
      <c r="H234" s="12"/>
      <c r="I234" s="12">
        <f t="shared" ref="I234:I235" si="313">2*(0.14+0.39)+24*C234/1000</f>
        <v>1.252</v>
      </c>
      <c r="J234" s="22"/>
      <c r="K234" s="47"/>
      <c r="L234" s="72">
        <f t="shared" ref="L234:L235" si="314">SUM(H234:J234)+K234</f>
        <v>1.252</v>
      </c>
      <c r="M234" s="72">
        <f t="shared" si="0"/>
        <v>270.43</v>
      </c>
      <c r="N234" s="72">
        <f t="shared" si="1"/>
        <v>0</v>
      </c>
      <c r="O234" s="72">
        <f t="shared" si="2"/>
        <v>0</v>
      </c>
      <c r="P234" s="72">
        <f t="shared" si="3"/>
        <v>0</v>
      </c>
      <c r="Q234" s="72">
        <f t="shared" si="4"/>
        <v>0</v>
      </c>
      <c r="R234" s="72">
        <f t="shared" si="5"/>
        <v>0</v>
      </c>
    </row>
    <row r="235" spans="1:18" x14ac:dyDescent="0.25">
      <c r="A235" s="26"/>
      <c r="B235" s="25"/>
      <c r="C235" s="15">
        <v>8</v>
      </c>
      <c r="D235" s="16">
        <v>150</v>
      </c>
      <c r="E235" s="15">
        <v>6</v>
      </c>
      <c r="F235" s="11">
        <v>2</v>
      </c>
      <c r="G235" s="11">
        <f>+ROUND(1.72/0.15+1,0)</f>
        <v>12</v>
      </c>
      <c r="H235" s="12"/>
      <c r="I235" s="12">
        <f t="shared" si="313"/>
        <v>1.252</v>
      </c>
      <c r="J235" s="22"/>
      <c r="K235" s="47"/>
      <c r="L235" s="72">
        <f t="shared" si="314"/>
        <v>1.252</v>
      </c>
      <c r="M235" s="72">
        <f t="shared" si="0"/>
        <v>180.29</v>
      </c>
      <c r="N235" s="72">
        <f t="shared" si="1"/>
        <v>0</v>
      </c>
      <c r="O235" s="72">
        <f t="shared" si="2"/>
        <v>0</v>
      </c>
      <c r="P235" s="72">
        <f t="shared" si="3"/>
        <v>0</v>
      </c>
      <c r="Q235" s="72">
        <f t="shared" si="4"/>
        <v>0</v>
      </c>
      <c r="R235" s="72">
        <f t="shared" si="5"/>
        <v>0</v>
      </c>
    </row>
    <row r="236" spans="1:18" x14ac:dyDescent="0.25">
      <c r="A236" s="26" t="s">
        <v>442</v>
      </c>
      <c r="B236" s="45" t="s">
        <v>632</v>
      </c>
      <c r="C236" s="15"/>
      <c r="D236" s="16"/>
      <c r="E236" s="15"/>
      <c r="F236" s="11"/>
      <c r="G236" s="11"/>
      <c r="H236" s="12"/>
      <c r="I236" s="12"/>
      <c r="J236" s="22"/>
      <c r="K236" s="22"/>
      <c r="L236" s="72">
        <f t="shared" ref="L236" si="315">SUM(H236:J236)+K236</f>
        <v>0</v>
      </c>
      <c r="M236" s="72">
        <f t="shared" si="0"/>
        <v>0</v>
      </c>
      <c r="N236" s="72">
        <f t="shared" si="1"/>
        <v>0</v>
      </c>
      <c r="O236" s="72">
        <f t="shared" si="2"/>
        <v>0</v>
      </c>
      <c r="P236" s="72">
        <f t="shared" si="3"/>
        <v>0</v>
      </c>
      <c r="Q236" s="72">
        <f t="shared" si="4"/>
        <v>0</v>
      </c>
      <c r="R236" s="72">
        <f t="shared" si="5"/>
        <v>0</v>
      </c>
    </row>
    <row r="237" spans="1:18" x14ac:dyDescent="0.25">
      <c r="A237" s="26"/>
      <c r="B237" s="25" t="s">
        <v>385</v>
      </c>
      <c r="C237" s="15">
        <v>16</v>
      </c>
      <c r="D237" s="16"/>
      <c r="E237" s="15">
        <v>6</v>
      </c>
      <c r="F237" s="11">
        <v>1</v>
      </c>
      <c r="G237" s="11">
        <v>2</v>
      </c>
      <c r="H237" s="12">
        <v>0.3</v>
      </c>
      <c r="I237" s="12">
        <f>4.26-0.06</f>
        <v>4.2</v>
      </c>
      <c r="J237" s="22">
        <v>0.3</v>
      </c>
      <c r="K237" s="22"/>
      <c r="L237" s="72">
        <f>SUM(H237:J237)+K237</f>
        <v>4.8</v>
      </c>
      <c r="M237" s="72">
        <f t="shared" si="0"/>
        <v>0</v>
      </c>
      <c r="N237" s="72">
        <f t="shared" si="1"/>
        <v>0</v>
      </c>
      <c r="O237" s="72">
        <f t="shared" si="2"/>
        <v>0</v>
      </c>
      <c r="P237" s="72">
        <f t="shared" si="3"/>
        <v>57.6</v>
      </c>
      <c r="Q237" s="72">
        <f t="shared" si="4"/>
        <v>0</v>
      </c>
      <c r="R237" s="72">
        <f t="shared" si="5"/>
        <v>0</v>
      </c>
    </row>
    <row r="238" spans="1:18" x14ac:dyDescent="0.25">
      <c r="A238" s="26"/>
      <c r="B238" s="25" t="s">
        <v>432</v>
      </c>
      <c r="C238" s="15">
        <v>16</v>
      </c>
      <c r="D238" s="16"/>
      <c r="E238" s="15">
        <v>6</v>
      </c>
      <c r="F238" s="11">
        <v>1</v>
      </c>
      <c r="G238" s="11">
        <v>2</v>
      </c>
      <c r="H238" s="12">
        <v>0.3</v>
      </c>
      <c r="I238" s="12">
        <f>4.26-0.06</f>
        <v>4.2</v>
      </c>
      <c r="J238" s="22">
        <v>0.3</v>
      </c>
      <c r="K238" s="22"/>
      <c r="L238" s="72">
        <f>SUM(H238:J238)+K238</f>
        <v>4.8</v>
      </c>
      <c r="M238" s="72">
        <f t="shared" si="0"/>
        <v>0</v>
      </c>
      <c r="N238" s="72">
        <f t="shared" si="1"/>
        <v>0</v>
      </c>
      <c r="O238" s="72">
        <f t="shared" si="2"/>
        <v>0</v>
      </c>
      <c r="P238" s="72">
        <f t="shared" si="3"/>
        <v>57.6</v>
      </c>
      <c r="Q238" s="72">
        <f t="shared" si="4"/>
        <v>0</v>
      </c>
      <c r="R238" s="72">
        <f t="shared" si="5"/>
        <v>0</v>
      </c>
    </row>
    <row r="239" spans="1:18" x14ac:dyDescent="0.25">
      <c r="A239" s="26"/>
      <c r="B239" s="25" t="s">
        <v>453</v>
      </c>
      <c r="C239" s="15">
        <v>8</v>
      </c>
      <c r="D239" s="16">
        <v>100</v>
      </c>
      <c r="E239" s="15">
        <v>6</v>
      </c>
      <c r="F239" s="11">
        <v>1</v>
      </c>
      <c r="G239" s="11">
        <f>+ROUND(1.8/0.1,0)</f>
        <v>18</v>
      </c>
      <c r="H239" s="12"/>
      <c r="I239" s="12">
        <f t="shared" ref="I239:I240" si="316">2*(0.14+0.39)+24*C239/1000</f>
        <v>1.252</v>
      </c>
      <c r="J239" s="22"/>
      <c r="K239" s="47"/>
      <c r="L239" s="72">
        <f t="shared" ref="L239:L240" si="317">SUM(H239:J239)+K239</f>
        <v>1.252</v>
      </c>
      <c r="M239" s="72">
        <f t="shared" si="0"/>
        <v>135.22</v>
      </c>
      <c r="N239" s="72">
        <f t="shared" si="1"/>
        <v>0</v>
      </c>
      <c r="O239" s="72">
        <f t="shared" si="2"/>
        <v>0</v>
      </c>
      <c r="P239" s="72">
        <f t="shared" si="3"/>
        <v>0</v>
      </c>
      <c r="Q239" s="72">
        <f t="shared" si="4"/>
        <v>0</v>
      </c>
      <c r="R239" s="72">
        <f t="shared" si="5"/>
        <v>0</v>
      </c>
    </row>
    <row r="240" spans="1:18" x14ac:dyDescent="0.25">
      <c r="A240" s="26"/>
      <c r="B240" s="25"/>
      <c r="C240" s="15">
        <v>8</v>
      </c>
      <c r="D240" s="16">
        <v>150</v>
      </c>
      <c r="E240" s="15">
        <v>6</v>
      </c>
      <c r="F240" s="11">
        <v>1</v>
      </c>
      <c r="G240" s="11">
        <f>+ROUND(1.125/0.15+1,0)</f>
        <v>9</v>
      </c>
      <c r="H240" s="12"/>
      <c r="I240" s="12">
        <f t="shared" si="316"/>
        <v>1.252</v>
      </c>
      <c r="J240" s="22"/>
      <c r="K240" s="47"/>
      <c r="L240" s="72">
        <f t="shared" si="317"/>
        <v>1.252</v>
      </c>
      <c r="M240" s="72">
        <f t="shared" si="0"/>
        <v>67.61</v>
      </c>
      <c r="N240" s="72">
        <f t="shared" si="1"/>
        <v>0</v>
      </c>
      <c r="O240" s="72">
        <f t="shared" si="2"/>
        <v>0</v>
      </c>
      <c r="P240" s="72">
        <f t="shared" si="3"/>
        <v>0</v>
      </c>
      <c r="Q240" s="72">
        <f t="shared" si="4"/>
        <v>0</v>
      </c>
      <c r="R240" s="72">
        <f t="shared" si="5"/>
        <v>0</v>
      </c>
    </row>
    <row r="241" spans="1:18" x14ac:dyDescent="0.25">
      <c r="A241" s="26" t="s">
        <v>442</v>
      </c>
      <c r="B241" s="45" t="s">
        <v>635</v>
      </c>
      <c r="C241" s="15"/>
      <c r="D241" s="16"/>
      <c r="E241" s="15"/>
      <c r="F241" s="11"/>
      <c r="G241" s="11"/>
      <c r="H241" s="12"/>
      <c r="I241" s="12"/>
      <c r="J241" s="22"/>
      <c r="K241" s="22"/>
      <c r="L241" s="72">
        <f t="shared" ref="L241" si="318">SUM(H241:J241)+K241</f>
        <v>0</v>
      </c>
      <c r="M241" s="72">
        <f t="shared" si="0"/>
        <v>0</v>
      </c>
      <c r="N241" s="72">
        <f t="shared" si="1"/>
        <v>0</v>
      </c>
      <c r="O241" s="72">
        <f t="shared" si="2"/>
        <v>0</v>
      </c>
      <c r="P241" s="72">
        <f t="shared" si="3"/>
        <v>0</v>
      </c>
      <c r="Q241" s="72">
        <f t="shared" si="4"/>
        <v>0</v>
      </c>
      <c r="R241" s="72">
        <f t="shared" si="5"/>
        <v>0</v>
      </c>
    </row>
    <row r="242" spans="1:18" x14ac:dyDescent="0.25">
      <c r="A242" s="26"/>
      <c r="B242" s="25" t="s">
        <v>385</v>
      </c>
      <c r="C242" s="15">
        <v>16</v>
      </c>
      <c r="D242" s="16"/>
      <c r="E242" s="15">
        <v>2</v>
      </c>
      <c r="F242" s="11">
        <v>2</v>
      </c>
      <c r="G242" s="11">
        <v>2</v>
      </c>
      <c r="H242" s="12">
        <v>0.3</v>
      </c>
      <c r="I242" s="12">
        <f>12.03-0.06</f>
        <v>11.969999999999999</v>
      </c>
      <c r="J242" s="22">
        <v>0.3</v>
      </c>
      <c r="K242" s="22">
        <f>49*C242/1000</f>
        <v>0.78400000000000003</v>
      </c>
      <c r="L242" s="72">
        <f>SUM(H242:J242)+K242</f>
        <v>13.354000000000001</v>
      </c>
      <c r="M242" s="72">
        <f t="shared" si="0"/>
        <v>0</v>
      </c>
      <c r="N242" s="72">
        <f t="shared" si="1"/>
        <v>0</v>
      </c>
      <c r="O242" s="72">
        <f t="shared" si="2"/>
        <v>0</v>
      </c>
      <c r="P242" s="72">
        <f t="shared" si="3"/>
        <v>106.83</v>
      </c>
      <c r="Q242" s="72">
        <f t="shared" si="4"/>
        <v>0</v>
      </c>
      <c r="R242" s="72">
        <f t="shared" si="5"/>
        <v>0</v>
      </c>
    </row>
    <row r="243" spans="1:18" x14ac:dyDescent="0.25">
      <c r="A243" s="26"/>
      <c r="B243" s="25" t="s">
        <v>432</v>
      </c>
      <c r="C243" s="15">
        <v>16</v>
      </c>
      <c r="D243" s="16"/>
      <c r="E243" s="15">
        <v>2</v>
      </c>
      <c r="F243" s="11">
        <v>1</v>
      </c>
      <c r="G243" s="11">
        <v>2</v>
      </c>
      <c r="H243" s="12">
        <v>0.3</v>
      </c>
      <c r="I243" s="12">
        <f>12.03-0.06</f>
        <v>11.969999999999999</v>
      </c>
      <c r="J243" s="22">
        <v>0.3</v>
      </c>
      <c r="K243" s="22">
        <f>49*C243/1000</f>
        <v>0.78400000000000003</v>
      </c>
      <c r="L243" s="72">
        <f>SUM(H243:J243)+K243</f>
        <v>13.354000000000001</v>
      </c>
      <c r="M243" s="72">
        <f t="shared" si="0"/>
        <v>0</v>
      </c>
      <c r="N243" s="72">
        <f t="shared" si="1"/>
        <v>0</v>
      </c>
      <c r="O243" s="72">
        <f t="shared" si="2"/>
        <v>0</v>
      </c>
      <c r="P243" s="72">
        <f t="shared" si="3"/>
        <v>53.42</v>
      </c>
      <c r="Q243" s="72">
        <f t="shared" si="4"/>
        <v>0</v>
      </c>
      <c r="R243" s="72">
        <f t="shared" si="5"/>
        <v>0</v>
      </c>
    </row>
    <row r="244" spans="1:18" x14ac:dyDescent="0.25">
      <c r="A244" s="26"/>
      <c r="B244" s="25" t="s">
        <v>450</v>
      </c>
      <c r="C244" s="15">
        <v>12</v>
      </c>
      <c r="D244" s="16"/>
      <c r="E244" s="15">
        <v>2</v>
      </c>
      <c r="F244" s="11">
        <v>1</v>
      </c>
      <c r="G244" s="11">
        <v>2</v>
      </c>
      <c r="H244" s="12"/>
      <c r="I244" s="12">
        <v>2.93</v>
      </c>
      <c r="J244" s="22"/>
      <c r="K244" s="22"/>
      <c r="L244" s="72">
        <f t="shared" ref="L244:L245" si="319">SUM(H244:J244)+K244</f>
        <v>2.93</v>
      </c>
      <c r="M244" s="72">
        <f t="shared" si="0"/>
        <v>0</v>
      </c>
      <c r="N244" s="72">
        <f t="shared" si="1"/>
        <v>0</v>
      </c>
      <c r="O244" s="72">
        <f t="shared" si="2"/>
        <v>11.72</v>
      </c>
      <c r="P244" s="72">
        <f t="shared" si="3"/>
        <v>0</v>
      </c>
      <c r="Q244" s="72">
        <f t="shared" si="4"/>
        <v>0</v>
      </c>
      <c r="R244" s="72">
        <f t="shared" si="5"/>
        <v>0</v>
      </c>
    </row>
    <row r="245" spans="1:18" x14ac:dyDescent="0.25">
      <c r="A245" s="26"/>
      <c r="B245" s="25" t="s">
        <v>433</v>
      </c>
      <c r="C245" s="15">
        <v>12</v>
      </c>
      <c r="D245" s="16"/>
      <c r="E245" s="15">
        <v>2</v>
      </c>
      <c r="F245" s="11">
        <v>2</v>
      </c>
      <c r="G245" s="11">
        <v>2</v>
      </c>
      <c r="H245" s="12"/>
      <c r="I245" s="12">
        <v>2.85</v>
      </c>
      <c r="J245" s="22"/>
      <c r="K245" s="22"/>
      <c r="L245" s="72">
        <f t="shared" si="319"/>
        <v>2.85</v>
      </c>
      <c r="M245" s="72">
        <f t="shared" si="0"/>
        <v>0</v>
      </c>
      <c r="N245" s="72">
        <f t="shared" si="1"/>
        <v>0</v>
      </c>
      <c r="O245" s="72">
        <f t="shared" si="2"/>
        <v>22.8</v>
      </c>
      <c r="P245" s="72">
        <f t="shared" si="3"/>
        <v>0</v>
      </c>
      <c r="Q245" s="72">
        <f t="shared" si="4"/>
        <v>0</v>
      </c>
      <c r="R245" s="72">
        <f t="shared" si="5"/>
        <v>0</v>
      </c>
    </row>
    <row r="246" spans="1:18" x14ac:dyDescent="0.25">
      <c r="A246" s="26"/>
      <c r="B246" s="25" t="s">
        <v>453</v>
      </c>
      <c r="C246" s="15">
        <v>8</v>
      </c>
      <c r="D246" s="16">
        <v>100</v>
      </c>
      <c r="E246" s="15">
        <v>2</v>
      </c>
      <c r="F246" s="11">
        <v>2</v>
      </c>
      <c r="G246" s="11">
        <f>+ROUND(3/0.1+1,0)</f>
        <v>31</v>
      </c>
      <c r="H246" s="12"/>
      <c r="I246" s="12">
        <f t="shared" ref="I246:I248" si="320">2*(0.14+0.39)+24*C246/1000</f>
        <v>1.252</v>
      </c>
      <c r="J246" s="22"/>
      <c r="K246" s="47"/>
      <c r="L246" s="72">
        <f t="shared" ref="L246" si="321">SUM(H246:J246)+K246</f>
        <v>1.252</v>
      </c>
      <c r="M246" s="72">
        <f t="shared" si="0"/>
        <v>155.25</v>
      </c>
      <c r="N246" s="72">
        <f t="shared" si="1"/>
        <v>0</v>
      </c>
      <c r="O246" s="72">
        <f t="shared" si="2"/>
        <v>0</v>
      </c>
      <c r="P246" s="72">
        <f t="shared" si="3"/>
        <v>0</v>
      </c>
      <c r="Q246" s="72">
        <f t="shared" si="4"/>
        <v>0</v>
      </c>
      <c r="R246" s="72">
        <f t="shared" si="5"/>
        <v>0</v>
      </c>
    </row>
    <row r="247" spans="1:18" x14ac:dyDescent="0.25">
      <c r="A247" s="26"/>
      <c r="B247" s="25" t="s">
        <v>453</v>
      </c>
      <c r="C247" s="15">
        <v>8</v>
      </c>
      <c r="D247" s="16">
        <v>100</v>
      </c>
      <c r="E247" s="15">
        <v>2</v>
      </c>
      <c r="F247" s="11">
        <v>1</v>
      </c>
      <c r="G247" s="11">
        <f>+ROUND(2.065/0.1,0)</f>
        <v>21</v>
      </c>
      <c r="H247" s="12"/>
      <c r="I247" s="12">
        <f t="shared" si="320"/>
        <v>1.252</v>
      </c>
      <c r="J247" s="22"/>
      <c r="K247" s="47"/>
      <c r="L247" s="72">
        <f t="shared" ref="L247:L248" si="322">SUM(H247:J247)+K247</f>
        <v>1.252</v>
      </c>
      <c r="M247" s="72">
        <f t="shared" si="0"/>
        <v>52.58</v>
      </c>
      <c r="N247" s="72">
        <f t="shared" si="1"/>
        <v>0</v>
      </c>
      <c r="O247" s="72">
        <f t="shared" si="2"/>
        <v>0</v>
      </c>
      <c r="P247" s="72">
        <f t="shared" si="3"/>
        <v>0</v>
      </c>
      <c r="Q247" s="72">
        <f t="shared" si="4"/>
        <v>0</v>
      </c>
      <c r="R247" s="72">
        <f t="shared" si="5"/>
        <v>0</v>
      </c>
    </row>
    <row r="248" spans="1:18" x14ac:dyDescent="0.25">
      <c r="A248" s="26"/>
      <c r="B248" s="25"/>
      <c r="C248" s="15">
        <v>8</v>
      </c>
      <c r="D248" s="16">
        <v>150</v>
      </c>
      <c r="E248" s="15">
        <v>2</v>
      </c>
      <c r="F248" s="11">
        <v>1</v>
      </c>
      <c r="G248" s="11">
        <f>+ROUND(2.065/0.15+1,0)</f>
        <v>15</v>
      </c>
      <c r="H248" s="12"/>
      <c r="I248" s="12">
        <f t="shared" si="320"/>
        <v>1.252</v>
      </c>
      <c r="J248" s="22"/>
      <c r="K248" s="47"/>
      <c r="L248" s="72">
        <f t="shared" si="322"/>
        <v>1.252</v>
      </c>
      <c r="M248" s="72">
        <f t="shared" ref="M248:M306" si="323">+ROUND(IF(C248=8,PRODUCT(E248,F248,G248,L248),0),2)</f>
        <v>37.56</v>
      </c>
      <c r="N248" s="72">
        <f t="shared" ref="N248:N306" si="324">+ROUND(IF(C248=10,PRODUCT(E248,F248,G248,L248),0),2)</f>
        <v>0</v>
      </c>
      <c r="O248" s="72">
        <f t="shared" ref="O248:O306" si="325">+ROUND(IF(C248=12,PRODUCT(E248,F248,G248,L248),0),2)</f>
        <v>0</v>
      </c>
      <c r="P248" s="72">
        <f t="shared" ref="P248:P306" si="326">+ROUND(IF(C248=16,PRODUCT(E248,F248,G248,L248),0),2)</f>
        <v>0</v>
      </c>
      <c r="Q248" s="72">
        <f t="shared" ref="Q248:Q306" si="327">+ROUND(IF(C248=20,PRODUCT(E248,F248,G248,L248),0),2)</f>
        <v>0</v>
      </c>
      <c r="R248" s="72">
        <f t="shared" ref="R248:R306" si="328">+ROUND(IF(C248=25,PRODUCT(E248,F248,G248,L248),0),2)</f>
        <v>0</v>
      </c>
    </row>
    <row r="249" spans="1:18" x14ac:dyDescent="0.25">
      <c r="A249" s="26" t="s">
        <v>442</v>
      </c>
      <c r="B249" s="45" t="s">
        <v>625</v>
      </c>
      <c r="C249" s="15"/>
      <c r="D249" s="16"/>
      <c r="E249" s="15"/>
      <c r="F249" s="11"/>
      <c r="G249" s="11"/>
      <c r="H249" s="12"/>
      <c r="I249" s="12"/>
      <c r="J249" s="22"/>
      <c r="K249" s="22"/>
      <c r="L249" s="72">
        <f t="shared" ref="L249" si="329">SUM(H249:J249)+K249</f>
        <v>0</v>
      </c>
      <c r="M249" s="72">
        <f t="shared" si="323"/>
        <v>0</v>
      </c>
      <c r="N249" s="72">
        <f t="shared" si="324"/>
        <v>0</v>
      </c>
      <c r="O249" s="72">
        <f t="shared" si="325"/>
        <v>0</v>
      </c>
      <c r="P249" s="72">
        <f t="shared" si="326"/>
        <v>0</v>
      </c>
      <c r="Q249" s="72">
        <f t="shared" si="327"/>
        <v>0</v>
      </c>
      <c r="R249" s="72">
        <f t="shared" si="328"/>
        <v>0</v>
      </c>
    </row>
    <row r="250" spans="1:18" x14ac:dyDescent="0.25">
      <c r="A250" s="26"/>
      <c r="B250" s="25" t="s">
        <v>385</v>
      </c>
      <c r="C250" s="15">
        <v>16</v>
      </c>
      <c r="D250" s="16"/>
      <c r="E250" s="15">
        <v>6</v>
      </c>
      <c r="F250" s="11">
        <v>1</v>
      </c>
      <c r="G250" s="11">
        <v>2</v>
      </c>
      <c r="H250" s="12">
        <v>0.3</v>
      </c>
      <c r="I250" s="12">
        <f>4.775-0.06</f>
        <v>4.7150000000000007</v>
      </c>
      <c r="J250" s="22">
        <v>0.3</v>
      </c>
      <c r="K250" s="22"/>
      <c r="L250" s="72">
        <f>SUM(H250:J250)+K250</f>
        <v>5.3150000000000004</v>
      </c>
      <c r="M250" s="72">
        <f t="shared" si="323"/>
        <v>0</v>
      </c>
      <c r="N250" s="72">
        <f t="shared" si="324"/>
        <v>0</v>
      </c>
      <c r="O250" s="72">
        <f t="shared" si="325"/>
        <v>0</v>
      </c>
      <c r="P250" s="72">
        <f t="shared" si="326"/>
        <v>63.78</v>
      </c>
      <c r="Q250" s="72">
        <f t="shared" si="327"/>
        <v>0</v>
      </c>
      <c r="R250" s="72">
        <f t="shared" si="328"/>
        <v>0</v>
      </c>
    </row>
    <row r="251" spans="1:18" x14ac:dyDescent="0.25">
      <c r="A251" s="26"/>
      <c r="B251" s="25" t="s">
        <v>432</v>
      </c>
      <c r="C251" s="15">
        <v>16</v>
      </c>
      <c r="D251" s="16"/>
      <c r="E251" s="15">
        <v>6</v>
      </c>
      <c r="F251" s="11">
        <v>1</v>
      </c>
      <c r="G251" s="11">
        <v>2</v>
      </c>
      <c r="H251" s="12">
        <v>0.3</v>
      </c>
      <c r="I251" s="12">
        <f>4.775-0.06</f>
        <v>4.7150000000000007</v>
      </c>
      <c r="J251" s="22">
        <v>0.3</v>
      </c>
      <c r="K251" s="22"/>
      <c r="L251" s="72">
        <f>SUM(H251:J251)+K251</f>
        <v>5.3150000000000004</v>
      </c>
      <c r="M251" s="72">
        <f t="shared" si="323"/>
        <v>0</v>
      </c>
      <c r="N251" s="72">
        <f t="shared" si="324"/>
        <v>0</v>
      </c>
      <c r="O251" s="72">
        <f t="shared" si="325"/>
        <v>0</v>
      </c>
      <c r="P251" s="72">
        <f t="shared" si="326"/>
        <v>63.78</v>
      </c>
      <c r="Q251" s="72">
        <f t="shared" si="327"/>
        <v>0</v>
      </c>
      <c r="R251" s="72">
        <f t="shared" si="328"/>
        <v>0</v>
      </c>
    </row>
    <row r="252" spans="1:18" x14ac:dyDescent="0.25">
      <c r="A252" s="26"/>
      <c r="B252" s="25" t="s">
        <v>453</v>
      </c>
      <c r="C252" s="15">
        <v>8</v>
      </c>
      <c r="D252" s="16">
        <v>100</v>
      </c>
      <c r="E252" s="15">
        <v>6</v>
      </c>
      <c r="F252" s="11">
        <v>1</v>
      </c>
      <c r="G252" s="11">
        <f>+ROUND(2/0.1,0)</f>
        <v>20</v>
      </c>
      <c r="H252" s="12"/>
      <c r="I252" s="12">
        <f t="shared" ref="I252:I253" si="330">2*(0.14+0.39)+24*C252/1000</f>
        <v>1.252</v>
      </c>
      <c r="J252" s="22"/>
      <c r="K252" s="47"/>
      <c r="L252" s="72">
        <f t="shared" ref="L252:L253" si="331">SUM(H252:J252)+K252</f>
        <v>1.252</v>
      </c>
      <c r="M252" s="72">
        <f t="shared" si="323"/>
        <v>150.24</v>
      </c>
      <c r="N252" s="72">
        <f t="shared" si="324"/>
        <v>0</v>
      </c>
      <c r="O252" s="72">
        <f t="shared" si="325"/>
        <v>0</v>
      </c>
      <c r="P252" s="72">
        <f t="shared" si="326"/>
        <v>0</v>
      </c>
      <c r="Q252" s="72">
        <f t="shared" si="327"/>
        <v>0</v>
      </c>
      <c r="R252" s="72">
        <f t="shared" si="328"/>
        <v>0</v>
      </c>
    </row>
    <row r="253" spans="1:18" x14ac:dyDescent="0.25">
      <c r="A253" s="26"/>
      <c r="B253" s="25"/>
      <c r="C253" s="15">
        <v>8</v>
      </c>
      <c r="D253" s="16">
        <v>150</v>
      </c>
      <c r="E253" s="15">
        <v>6</v>
      </c>
      <c r="F253" s="11">
        <v>1</v>
      </c>
      <c r="G253" s="11">
        <f>+ROUND(1.31/0.15+1,0)</f>
        <v>10</v>
      </c>
      <c r="H253" s="12"/>
      <c r="I253" s="12">
        <f t="shared" si="330"/>
        <v>1.252</v>
      </c>
      <c r="J253" s="22"/>
      <c r="K253" s="47"/>
      <c r="L253" s="72">
        <f t="shared" si="331"/>
        <v>1.252</v>
      </c>
      <c r="M253" s="72">
        <f t="shared" si="323"/>
        <v>75.12</v>
      </c>
      <c r="N253" s="72">
        <f t="shared" si="324"/>
        <v>0</v>
      </c>
      <c r="O253" s="72">
        <f t="shared" si="325"/>
        <v>0</v>
      </c>
      <c r="P253" s="72">
        <f t="shared" si="326"/>
        <v>0</v>
      </c>
      <c r="Q253" s="72">
        <f t="shared" si="327"/>
        <v>0</v>
      </c>
      <c r="R253" s="72">
        <f t="shared" si="328"/>
        <v>0</v>
      </c>
    </row>
    <row r="254" spans="1:18" x14ac:dyDescent="0.25">
      <c r="A254" s="26" t="s">
        <v>442</v>
      </c>
      <c r="B254" s="45" t="s">
        <v>636</v>
      </c>
      <c r="C254" s="15"/>
      <c r="D254" s="16"/>
      <c r="E254" s="15"/>
      <c r="F254" s="11"/>
      <c r="G254" s="11"/>
      <c r="H254" s="12"/>
      <c r="I254" s="12"/>
      <c r="J254" s="22"/>
      <c r="K254" s="22"/>
      <c r="L254" s="72">
        <f t="shared" ref="L254" si="332">SUM(H254:J254)+K254</f>
        <v>0</v>
      </c>
      <c r="M254" s="72">
        <f t="shared" si="323"/>
        <v>0</v>
      </c>
      <c r="N254" s="72">
        <f t="shared" si="324"/>
        <v>0</v>
      </c>
      <c r="O254" s="72">
        <f t="shared" si="325"/>
        <v>0</v>
      </c>
      <c r="P254" s="72">
        <f t="shared" si="326"/>
        <v>0</v>
      </c>
      <c r="Q254" s="72">
        <f t="shared" si="327"/>
        <v>0</v>
      </c>
      <c r="R254" s="72">
        <f t="shared" si="328"/>
        <v>0</v>
      </c>
    </row>
    <row r="255" spans="1:18" x14ac:dyDescent="0.25">
      <c r="A255" s="26"/>
      <c r="B255" s="25" t="s">
        <v>385</v>
      </c>
      <c r="C255" s="15">
        <v>12</v>
      </c>
      <c r="D255" s="16"/>
      <c r="E255" s="15">
        <v>6</v>
      </c>
      <c r="F255" s="11">
        <v>1</v>
      </c>
      <c r="G255" s="11">
        <v>2</v>
      </c>
      <c r="H255" s="12">
        <v>0.3</v>
      </c>
      <c r="I255" s="12">
        <f>5.19-0.06</f>
        <v>5.1300000000000008</v>
      </c>
      <c r="J255" s="22">
        <v>0.3</v>
      </c>
      <c r="K255" s="22"/>
      <c r="L255" s="72">
        <f>SUM(H255:J255)+K255</f>
        <v>5.73</v>
      </c>
      <c r="M255" s="72">
        <f t="shared" si="323"/>
        <v>0</v>
      </c>
      <c r="N255" s="72">
        <f t="shared" si="324"/>
        <v>0</v>
      </c>
      <c r="O255" s="72">
        <f t="shared" si="325"/>
        <v>68.760000000000005</v>
      </c>
      <c r="P255" s="72">
        <f t="shared" si="326"/>
        <v>0</v>
      </c>
      <c r="Q255" s="72">
        <f t="shared" si="327"/>
        <v>0</v>
      </c>
      <c r="R255" s="72">
        <f t="shared" si="328"/>
        <v>0</v>
      </c>
    </row>
    <row r="256" spans="1:18" x14ac:dyDescent="0.25">
      <c r="A256" s="26"/>
      <c r="B256" s="25" t="s">
        <v>432</v>
      </c>
      <c r="C256" s="15">
        <v>12</v>
      </c>
      <c r="D256" s="16"/>
      <c r="E256" s="15">
        <v>6</v>
      </c>
      <c r="F256" s="11">
        <v>1</v>
      </c>
      <c r="G256" s="11">
        <v>2</v>
      </c>
      <c r="H256" s="12">
        <v>0.3</v>
      </c>
      <c r="I256" s="12">
        <f>5.19-0.06</f>
        <v>5.1300000000000008</v>
      </c>
      <c r="J256" s="22">
        <v>0.3</v>
      </c>
      <c r="K256" s="22"/>
      <c r="L256" s="72">
        <f>SUM(H256:J256)+K256</f>
        <v>5.73</v>
      </c>
      <c r="M256" s="72">
        <f t="shared" si="323"/>
        <v>0</v>
      </c>
      <c r="N256" s="72">
        <f t="shared" si="324"/>
        <v>0</v>
      </c>
      <c r="O256" s="72">
        <f t="shared" si="325"/>
        <v>68.760000000000005</v>
      </c>
      <c r="P256" s="72">
        <f t="shared" si="326"/>
        <v>0</v>
      </c>
      <c r="Q256" s="72">
        <f t="shared" si="327"/>
        <v>0</v>
      </c>
      <c r="R256" s="72">
        <f t="shared" si="328"/>
        <v>0</v>
      </c>
    </row>
    <row r="257" spans="1:18" x14ac:dyDescent="0.25">
      <c r="A257" s="26"/>
      <c r="B257" s="25" t="s">
        <v>453</v>
      </c>
      <c r="C257" s="15">
        <v>8</v>
      </c>
      <c r="D257" s="16">
        <v>100</v>
      </c>
      <c r="E257" s="15">
        <v>6</v>
      </c>
      <c r="F257" s="11">
        <v>1</v>
      </c>
      <c r="G257" s="11">
        <f>+ROUND(4.49/0.1+2,0)</f>
        <v>47</v>
      </c>
      <c r="H257" s="12"/>
      <c r="I257" s="12">
        <f t="shared" ref="I257" si="333">2*(0.14+0.39)+24*C257/1000</f>
        <v>1.252</v>
      </c>
      <c r="J257" s="22"/>
      <c r="K257" s="47"/>
      <c r="L257" s="72">
        <f t="shared" ref="L257" si="334">SUM(H257:J257)+K257</f>
        <v>1.252</v>
      </c>
      <c r="M257" s="72">
        <f t="shared" si="323"/>
        <v>353.06</v>
      </c>
      <c r="N257" s="72">
        <f t="shared" si="324"/>
        <v>0</v>
      </c>
      <c r="O257" s="72">
        <f t="shared" si="325"/>
        <v>0</v>
      </c>
      <c r="P257" s="72">
        <f t="shared" si="326"/>
        <v>0</v>
      </c>
      <c r="Q257" s="72">
        <f t="shared" si="327"/>
        <v>0</v>
      </c>
      <c r="R257" s="72">
        <f t="shared" si="328"/>
        <v>0</v>
      </c>
    </row>
    <row r="258" spans="1:18" x14ac:dyDescent="0.25">
      <c r="A258" s="26" t="s">
        <v>442</v>
      </c>
      <c r="B258" s="45" t="s">
        <v>637</v>
      </c>
      <c r="C258" s="15"/>
      <c r="D258" s="16"/>
      <c r="E258" s="15"/>
      <c r="F258" s="11"/>
      <c r="G258" s="11"/>
      <c r="H258" s="12"/>
      <c r="I258" s="12"/>
      <c r="J258" s="22"/>
      <c r="K258" s="22"/>
      <c r="L258" s="72">
        <f t="shared" ref="L258" si="335">SUM(H258:J258)+K258</f>
        <v>0</v>
      </c>
      <c r="M258" s="72">
        <f t="shared" si="323"/>
        <v>0</v>
      </c>
      <c r="N258" s="72">
        <f t="shared" si="324"/>
        <v>0</v>
      </c>
      <c r="O258" s="72">
        <f t="shared" si="325"/>
        <v>0</v>
      </c>
      <c r="P258" s="72">
        <f t="shared" si="326"/>
        <v>0</v>
      </c>
      <c r="Q258" s="72">
        <f t="shared" si="327"/>
        <v>0</v>
      </c>
      <c r="R258" s="72">
        <f t="shared" si="328"/>
        <v>0</v>
      </c>
    </row>
    <row r="259" spans="1:18" x14ac:dyDescent="0.25">
      <c r="A259" s="26"/>
      <c r="B259" s="25" t="s">
        <v>385</v>
      </c>
      <c r="C259" s="15">
        <v>12</v>
      </c>
      <c r="D259" s="16"/>
      <c r="E259" s="15">
        <v>2</v>
      </c>
      <c r="F259" s="11">
        <v>1</v>
      </c>
      <c r="G259" s="11">
        <v>2</v>
      </c>
      <c r="H259" s="12">
        <v>0.3</v>
      </c>
      <c r="I259" s="12">
        <f>6.745-0.06</f>
        <v>6.6850000000000005</v>
      </c>
      <c r="J259" s="22">
        <v>0.3</v>
      </c>
      <c r="K259" s="22"/>
      <c r="L259" s="72">
        <f>SUM(H259:J259)+K259</f>
        <v>7.2850000000000001</v>
      </c>
      <c r="M259" s="72">
        <f t="shared" si="323"/>
        <v>0</v>
      </c>
      <c r="N259" s="72">
        <f t="shared" si="324"/>
        <v>0</v>
      </c>
      <c r="O259" s="72">
        <f t="shared" si="325"/>
        <v>29.14</v>
      </c>
      <c r="P259" s="72">
        <f t="shared" si="326"/>
        <v>0</v>
      </c>
      <c r="Q259" s="72">
        <f t="shared" si="327"/>
        <v>0</v>
      </c>
      <c r="R259" s="72">
        <f t="shared" si="328"/>
        <v>0</v>
      </c>
    </row>
    <row r="260" spans="1:18" x14ac:dyDescent="0.25">
      <c r="A260" s="26"/>
      <c r="B260" s="25" t="s">
        <v>432</v>
      </c>
      <c r="C260" s="15">
        <v>12</v>
      </c>
      <c r="D260" s="16"/>
      <c r="E260" s="15">
        <v>2</v>
      </c>
      <c r="F260" s="11">
        <v>1</v>
      </c>
      <c r="G260" s="11">
        <v>2</v>
      </c>
      <c r="H260" s="12">
        <v>0.3</v>
      </c>
      <c r="I260" s="12">
        <f>6.745-0.06</f>
        <v>6.6850000000000005</v>
      </c>
      <c r="J260" s="22">
        <v>0.3</v>
      </c>
      <c r="K260" s="22"/>
      <c r="L260" s="72">
        <f>SUM(H260:J260)+K260</f>
        <v>7.2850000000000001</v>
      </c>
      <c r="M260" s="72">
        <f t="shared" si="323"/>
        <v>0</v>
      </c>
      <c r="N260" s="72">
        <f t="shared" si="324"/>
        <v>0</v>
      </c>
      <c r="O260" s="72">
        <f t="shared" si="325"/>
        <v>29.14</v>
      </c>
      <c r="P260" s="72">
        <f t="shared" si="326"/>
        <v>0</v>
      </c>
      <c r="Q260" s="72">
        <f t="shared" si="327"/>
        <v>0</v>
      </c>
      <c r="R260" s="72">
        <f t="shared" si="328"/>
        <v>0</v>
      </c>
    </row>
    <row r="261" spans="1:18" x14ac:dyDescent="0.25">
      <c r="A261" s="26"/>
      <c r="B261" s="25" t="s">
        <v>450</v>
      </c>
      <c r="C261" s="15">
        <v>12</v>
      </c>
      <c r="D261" s="16"/>
      <c r="E261" s="15">
        <v>2</v>
      </c>
      <c r="F261" s="11">
        <v>1</v>
      </c>
      <c r="G261" s="11">
        <v>2</v>
      </c>
      <c r="H261" s="12"/>
      <c r="I261" s="12">
        <v>4.2450000000000001</v>
      </c>
      <c r="J261" s="22"/>
      <c r="K261" s="22"/>
      <c r="L261" s="72">
        <f t="shared" ref="L261" si="336">SUM(H261:J261)+K261</f>
        <v>4.2450000000000001</v>
      </c>
      <c r="M261" s="72">
        <f t="shared" si="323"/>
        <v>0</v>
      </c>
      <c r="N261" s="72">
        <f t="shared" si="324"/>
        <v>0</v>
      </c>
      <c r="O261" s="72">
        <f t="shared" si="325"/>
        <v>16.98</v>
      </c>
      <c r="P261" s="72">
        <f t="shared" si="326"/>
        <v>0</v>
      </c>
      <c r="Q261" s="72">
        <f t="shared" si="327"/>
        <v>0</v>
      </c>
      <c r="R261" s="72">
        <f t="shared" si="328"/>
        <v>0</v>
      </c>
    </row>
    <row r="262" spans="1:18" x14ac:dyDescent="0.25">
      <c r="A262" s="26"/>
      <c r="B262" s="25" t="s">
        <v>433</v>
      </c>
      <c r="C262" s="15">
        <v>12</v>
      </c>
      <c r="D262" s="16"/>
      <c r="E262" s="15">
        <v>2</v>
      </c>
      <c r="F262" s="11">
        <v>2</v>
      </c>
      <c r="G262" s="11">
        <v>2</v>
      </c>
      <c r="H262" s="12"/>
      <c r="I262" s="12">
        <f>1.5+0.75-0.03</f>
        <v>2.2200000000000002</v>
      </c>
      <c r="J262" s="22">
        <v>0.3</v>
      </c>
      <c r="K262" s="22"/>
      <c r="L262" s="72">
        <f t="shared" ref="L262" si="337">SUM(H262:J262)+K262</f>
        <v>2.52</v>
      </c>
      <c r="M262" s="72">
        <f t="shared" si="323"/>
        <v>0</v>
      </c>
      <c r="N262" s="72">
        <f t="shared" si="324"/>
        <v>0</v>
      </c>
      <c r="O262" s="72">
        <f t="shared" si="325"/>
        <v>20.16</v>
      </c>
      <c r="P262" s="72">
        <f t="shared" si="326"/>
        <v>0</v>
      </c>
      <c r="Q262" s="72">
        <f t="shared" si="327"/>
        <v>0</v>
      </c>
      <c r="R262" s="72">
        <f t="shared" si="328"/>
        <v>0</v>
      </c>
    </row>
    <row r="263" spans="1:18" x14ac:dyDescent="0.25">
      <c r="A263" s="26"/>
      <c r="B263" s="25" t="s">
        <v>453</v>
      </c>
      <c r="C263" s="15">
        <v>8</v>
      </c>
      <c r="D263" s="16">
        <v>100</v>
      </c>
      <c r="E263" s="15">
        <v>2</v>
      </c>
      <c r="F263" s="11">
        <v>1</v>
      </c>
      <c r="G263" s="11">
        <f>+ROUND(2.622/0.1,0)</f>
        <v>26</v>
      </c>
      <c r="H263" s="12"/>
      <c r="I263" s="12">
        <f t="shared" ref="I263:I264" si="338">2*(0.14+0.39)+24*C263/1000</f>
        <v>1.252</v>
      </c>
      <c r="J263" s="22"/>
      <c r="K263" s="47"/>
      <c r="L263" s="72">
        <f t="shared" ref="L263" si="339">SUM(H263:J263)+K263</f>
        <v>1.252</v>
      </c>
      <c r="M263" s="72">
        <f t="shared" si="323"/>
        <v>65.099999999999994</v>
      </c>
      <c r="N263" s="72">
        <f t="shared" si="324"/>
        <v>0</v>
      </c>
      <c r="O263" s="72">
        <f t="shared" si="325"/>
        <v>0</v>
      </c>
      <c r="P263" s="72">
        <f t="shared" si="326"/>
        <v>0</v>
      </c>
      <c r="Q263" s="72">
        <f t="shared" si="327"/>
        <v>0</v>
      </c>
      <c r="R263" s="72">
        <f t="shared" si="328"/>
        <v>0</v>
      </c>
    </row>
    <row r="264" spans="1:18" x14ac:dyDescent="0.25">
      <c r="A264" s="26"/>
      <c r="B264" s="25"/>
      <c r="C264" s="15">
        <v>8</v>
      </c>
      <c r="D264" s="16">
        <v>150</v>
      </c>
      <c r="E264" s="15">
        <v>2</v>
      </c>
      <c r="F264" s="11">
        <v>1</v>
      </c>
      <c r="G264" s="11">
        <f>+ROUND(2.622/0.15+1,0)</f>
        <v>18</v>
      </c>
      <c r="H264" s="12"/>
      <c r="I264" s="12">
        <f t="shared" si="338"/>
        <v>1.252</v>
      </c>
      <c r="J264" s="22"/>
      <c r="K264" s="22"/>
      <c r="L264" s="72">
        <f>SUM(H264:J264)+K264</f>
        <v>1.252</v>
      </c>
      <c r="M264" s="72">
        <f t="shared" si="323"/>
        <v>45.07</v>
      </c>
      <c r="N264" s="72">
        <f t="shared" si="324"/>
        <v>0</v>
      </c>
      <c r="O264" s="72">
        <f t="shared" si="325"/>
        <v>0</v>
      </c>
      <c r="P264" s="72">
        <f t="shared" si="326"/>
        <v>0</v>
      </c>
      <c r="Q264" s="72">
        <f t="shared" si="327"/>
        <v>0</v>
      </c>
      <c r="R264" s="72">
        <f t="shared" si="328"/>
        <v>0</v>
      </c>
    </row>
    <row r="265" spans="1:18" x14ac:dyDescent="0.25">
      <c r="A265" s="26" t="s">
        <v>442</v>
      </c>
      <c r="B265" s="45" t="s">
        <v>638</v>
      </c>
      <c r="C265" s="15"/>
      <c r="D265" s="16"/>
      <c r="E265" s="15"/>
      <c r="F265" s="11"/>
      <c r="G265" s="11"/>
      <c r="H265" s="12"/>
      <c r="I265" s="12"/>
      <c r="J265" s="22"/>
      <c r="K265" s="22"/>
      <c r="L265" s="72">
        <f t="shared" ref="L265" si="340">SUM(H265:J265)+K265</f>
        <v>0</v>
      </c>
      <c r="M265" s="72">
        <f t="shared" si="323"/>
        <v>0</v>
      </c>
      <c r="N265" s="72">
        <f t="shared" si="324"/>
        <v>0</v>
      </c>
      <c r="O265" s="72">
        <f t="shared" si="325"/>
        <v>0</v>
      </c>
      <c r="P265" s="72">
        <f t="shared" si="326"/>
        <v>0</v>
      </c>
      <c r="Q265" s="72">
        <f t="shared" si="327"/>
        <v>0</v>
      </c>
      <c r="R265" s="72">
        <f t="shared" si="328"/>
        <v>0</v>
      </c>
    </row>
    <row r="266" spans="1:18" x14ac:dyDescent="0.25">
      <c r="A266" s="26"/>
      <c r="B266" s="25" t="s">
        <v>385</v>
      </c>
      <c r="C266" s="15">
        <v>12</v>
      </c>
      <c r="D266" s="16"/>
      <c r="E266" s="15">
        <v>2</v>
      </c>
      <c r="F266" s="11">
        <v>1</v>
      </c>
      <c r="G266" s="11">
        <v>2</v>
      </c>
      <c r="H266" s="12">
        <v>0.3</v>
      </c>
      <c r="I266" s="12">
        <f>2.43-0.03</f>
        <v>2.4000000000000004</v>
      </c>
      <c r="J266" s="22">
        <f>49*0.016+10*0.016</f>
        <v>0.94400000000000006</v>
      </c>
      <c r="K266" s="22"/>
      <c r="L266" s="72">
        <f>SUM(H266:J266)+K266</f>
        <v>3.6440000000000001</v>
      </c>
      <c r="M266" s="72">
        <f t="shared" si="323"/>
        <v>0</v>
      </c>
      <c r="N266" s="72">
        <f t="shared" si="324"/>
        <v>0</v>
      </c>
      <c r="O266" s="72">
        <f t="shared" si="325"/>
        <v>14.58</v>
      </c>
      <c r="P266" s="72">
        <f t="shared" si="326"/>
        <v>0</v>
      </c>
      <c r="Q266" s="72">
        <f t="shared" si="327"/>
        <v>0</v>
      </c>
      <c r="R266" s="72">
        <f t="shared" si="328"/>
        <v>0</v>
      </c>
    </row>
    <row r="267" spans="1:18" x14ac:dyDescent="0.25">
      <c r="A267" s="26"/>
      <c r="B267" s="25" t="s">
        <v>432</v>
      </c>
      <c r="C267" s="15">
        <v>12</v>
      </c>
      <c r="D267" s="16"/>
      <c r="E267" s="15">
        <v>2</v>
      </c>
      <c r="F267" s="11">
        <v>1</v>
      </c>
      <c r="G267" s="11">
        <v>2</v>
      </c>
      <c r="H267" s="12">
        <v>0.3</v>
      </c>
      <c r="I267" s="12">
        <f>2.43-0.03</f>
        <v>2.4000000000000004</v>
      </c>
      <c r="J267" s="22">
        <f>49*0.016+10*0.016</f>
        <v>0.94400000000000006</v>
      </c>
      <c r="K267" s="22"/>
      <c r="L267" s="72">
        <f>SUM(H267:J267)+K267</f>
        <v>3.6440000000000001</v>
      </c>
      <c r="M267" s="72">
        <f t="shared" si="323"/>
        <v>0</v>
      </c>
      <c r="N267" s="72">
        <f t="shared" si="324"/>
        <v>0</v>
      </c>
      <c r="O267" s="72">
        <f t="shared" si="325"/>
        <v>14.58</v>
      </c>
      <c r="P267" s="72">
        <f t="shared" si="326"/>
        <v>0</v>
      </c>
      <c r="Q267" s="72">
        <f t="shared" si="327"/>
        <v>0</v>
      </c>
      <c r="R267" s="72">
        <f t="shared" si="328"/>
        <v>0</v>
      </c>
    </row>
    <row r="268" spans="1:18" x14ac:dyDescent="0.25">
      <c r="A268" s="26"/>
      <c r="B268" s="25" t="s">
        <v>453</v>
      </c>
      <c r="C268" s="15">
        <v>8</v>
      </c>
      <c r="D268" s="16">
        <v>100</v>
      </c>
      <c r="E268" s="15">
        <v>2</v>
      </c>
      <c r="F268" s="11">
        <v>1</v>
      </c>
      <c r="G268" s="11">
        <f>+ROUND(2.23/0.1+1,0)</f>
        <v>23</v>
      </c>
      <c r="H268" s="12"/>
      <c r="I268" s="12">
        <f t="shared" ref="I268" si="341">2*(0.14+0.39)+24*C268/1000</f>
        <v>1.252</v>
      </c>
      <c r="J268" s="22"/>
      <c r="K268" s="47"/>
      <c r="L268" s="72">
        <f t="shared" ref="L268" si="342">SUM(H268:J268)+K268</f>
        <v>1.252</v>
      </c>
      <c r="M268" s="72">
        <f t="shared" si="323"/>
        <v>57.59</v>
      </c>
      <c r="N268" s="72">
        <f t="shared" si="324"/>
        <v>0</v>
      </c>
      <c r="O268" s="72">
        <f t="shared" si="325"/>
        <v>0</v>
      </c>
      <c r="P268" s="72">
        <f t="shared" si="326"/>
        <v>0</v>
      </c>
      <c r="Q268" s="72">
        <f t="shared" si="327"/>
        <v>0</v>
      </c>
      <c r="R268" s="72">
        <f t="shared" si="328"/>
        <v>0</v>
      </c>
    </row>
    <row r="269" spans="1:18" x14ac:dyDescent="0.25">
      <c r="A269" s="26" t="s">
        <v>442</v>
      </c>
      <c r="B269" s="45" t="s">
        <v>639</v>
      </c>
      <c r="C269" s="15"/>
      <c r="D269" s="16"/>
      <c r="E269" s="15"/>
      <c r="F269" s="11"/>
      <c r="G269" s="11"/>
      <c r="H269" s="12"/>
      <c r="I269" s="12"/>
      <c r="J269" s="22"/>
      <c r="K269" s="22"/>
      <c r="L269" s="72">
        <f t="shared" ref="L269" si="343">SUM(H269:J269)+K269</f>
        <v>0</v>
      </c>
      <c r="M269" s="72">
        <f t="shared" ref="M269:M272" si="344">+ROUND(IF(C269=8,PRODUCT(E269,F269,G269,L269),0),2)</f>
        <v>0</v>
      </c>
      <c r="N269" s="72">
        <f t="shared" ref="N269:N272" si="345">+ROUND(IF(C269=10,PRODUCT(E269,F269,G269,L269),0),2)</f>
        <v>0</v>
      </c>
      <c r="O269" s="72">
        <f t="shared" ref="O269:O272" si="346">+ROUND(IF(C269=12,PRODUCT(E269,F269,G269,L269),0),2)</f>
        <v>0</v>
      </c>
      <c r="P269" s="72">
        <f t="shared" ref="P269:P272" si="347">+ROUND(IF(C269=16,PRODUCT(E269,F269,G269,L269),0),2)</f>
        <v>0</v>
      </c>
      <c r="Q269" s="72">
        <f t="shared" ref="Q269:Q272" si="348">+ROUND(IF(C269=20,PRODUCT(E269,F269,G269,L269),0),2)</f>
        <v>0</v>
      </c>
      <c r="R269" s="72">
        <f t="shared" ref="R269:R272" si="349">+ROUND(IF(C269=25,PRODUCT(E269,F269,G269,L269),0),2)</f>
        <v>0</v>
      </c>
    </row>
    <row r="270" spans="1:18" x14ac:dyDescent="0.25">
      <c r="A270" s="26"/>
      <c r="B270" s="25" t="s">
        <v>385</v>
      </c>
      <c r="C270" s="15">
        <v>16</v>
      </c>
      <c r="D270" s="16"/>
      <c r="E270" s="15">
        <v>2</v>
      </c>
      <c r="F270" s="11">
        <v>1</v>
      </c>
      <c r="G270" s="11">
        <v>2</v>
      </c>
      <c r="H270" s="12">
        <v>0.3</v>
      </c>
      <c r="I270" s="12">
        <f>6.13-0.06</f>
        <v>6.07</v>
      </c>
      <c r="J270" s="22">
        <v>0.3</v>
      </c>
      <c r="K270" s="22"/>
      <c r="L270" s="72">
        <f>SUM(H270:J270)+K270</f>
        <v>6.67</v>
      </c>
      <c r="M270" s="72">
        <f t="shared" si="344"/>
        <v>0</v>
      </c>
      <c r="N270" s="72">
        <f t="shared" si="345"/>
        <v>0</v>
      </c>
      <c r="O270" s="72">
        <f t="shared" si="346"/>
        <v>0</v>
      </c>
      <c r="P270" s="72">
        <f t="shared" si="347"/>
        <v>26.68</v>
      </c>
      <c r="Q270" s="72">
        <f t="shared" si="348"/>
        <v>0</v>
      </c>
      <c r="R270" s="72">
        <f t="shared" si="349"/>
        <v>0</v>
      </c>
    </row>
    <row r="271" spans="1:18" x14ac:dyDescent="0.25">
      <c r="A271" s="26"/>
      <c r="B271" s="25" t="s">
        <v>432</v>
      </c>
      <c r="C271" s="15">
        <v>16</v>
      </c>
      <c r="D271" s="16"/>
      <c r="E271" s="15">
        <v>2</v>
      </c>
      <c r="F271" s="11">
        <v>1</v>
      </c>
      <c r="G271" s="11">
        <v>2</v>
      </c>
      <c r="H271" s="12">
        <v>0.3</v>
      </c>
      <c r="I271" s="12">
        <f>6.13-0.06</f>
        <v>6.07</v>
      </c>
      <c r="J271" s="22">
        <v>0.3</v>
      </c>
      <c r="K271" s="22"/>
      <c r="L271" s="72">
        <f>SUM(H271:J271)+K271</f>
        <v>6.67</v>
      </c>
      <c r="M271" s="72">
        <f t="shared" si="344"/>
        <v>0</v>
      </c>
      <c r="N271" s="72">
        <f t="shared" si="345"/>
        <v>0</v>
      </c>
      <c r="O271" s="72">
        <f t="shared" si="346"/>
        <v>0</v>
      </c>
      <c r="P271" s="72">
        <f t="shared" si="347"/>
        <v>26.68</v>
      </c>
      <c r="Q271" s="72">
        <f t="shared" si="348"/>
        <v>0</v>
      </c>
      <c r="R271" s="72">
        <f t="shared" si="349"/>
        <v>0</v>
      </c>
    </row>
    <row r="272" spans="1:18" x14ac:dyDescent="0.25">
      <c r="A272" s="26"/>
      <c r="B272" s="25" t="s">
        <v>453</v>
      </c>
      <c r="C272" s="15">
        <v>8</v>
      </c>
      <c r="D272" s="16">
        <v>100</v>
      </c>
      <c r="E272" s="15">
        <v>2</v>
      </c>
      <c r="F272" s="11">
        <v>1</v>
      </c>
      <c r="G272" s="11">
        <f>+ROUND(4.95/0.1+1,0)</f>
        <v>51</v>
      </c>
      <c r="H272" s="12"/>
      <c r="I272" s="12">
        <f t="shared" ref="I272" si="350">2*(0.14+0.39)+24*C272/1000</f>
        <v>1.252</v>
      </c>
      <c r="J272" s="22"/>
      <c r="K272" s="47"/>
      <c r="L272" s="72">
        <f t="shared" ref="L272" si="351">SUM(H272:J272)+K272</f>
        <v>1.252</v>
      </c>
      <c r="M272" s="72">
        <f t="shared" si="344"/>
        <v>127.7</v>
      </c>
      <c r="N272" s="72">
        <f t="shared" si="345"/>
        <v>0</v>
      </c>
      <c r="O272" s="72">
        <f t="shared" si="346"/>
        <v>0</v>
      </c>
      <c r="P272" s="72">
        <f t="shared" si="347"/>
        <v>0</v>
      </c>
      <c r="Q272" s="72">
        <f t="shared" si="348"/>
        <v>0</v>
      </c>
      <c r="R272" s="72">
        <f t="shared" si="349"/>
        <v>0</v>
      </c>
    </row>
    <row r="273" spans="1:18" x14ac:dyDescent="0.25">
      <c r="A273" s="26" t="s">
        <v>442</v>
      </c>
      <c r="B273" s="45" t="s">
        <v>640</v>
      </c>
      <c r="C273" s="15"/>
      <c r="D273" s="16"/>
      <c r="E273" s="15"/>
      <c r="F273" s="11"/>
      <c r="G273" s="11"/>
      <c r="H273" s="12"/>
      <c r="I273" s="12"/>
      <c r="J273" s="22"/>
      <c r="K273" s="22"/>
      <c r="L273" s="72">
        <f t="shared" ref="L273" si="352">SUM(H273:J273)+K273</f>
        <v>0</v>
      </c>
      <c r="M273" s="72">
        <f t="shared" si="323"/>
        <v>0</v>
      </c>
      <c r="N273" s="72">
        <f t="shared" si="324"/>
        <v>0</v>
      </c>
      <c r="O273" s="72">
        <f t="shared" si="325"/>
        <v>0</v>
      </c>
      <c r="P273" s="72">
        <f t="shared" si="326"/>
        <v>0</v>
      </c>
      <c r="Q273" s="72">
        <f t="shared" si="327"/>
        <v>0</v>
      </c>
      <c r="R273" s="72">
        <f t="shared" si="328"/>
        <v>0</v>
      </c>
    </row>
    <row r="274" spans="1:18" x14ac:dyDescent="0.25">
      <c r="A274" s="26"/>
      <c r="B274" s="25" t="s">
        <v>385</v>
      </c>
      <c r="C274" s="15">
        <v>16</v>
      </c>
      <c r="D274" s="16"/>
      <c r="E274" s="15">
        <v>2</v>
      </c>
      <c r="F274" s="11">
        <v>1</v>
      </c>
      <c r="G274" s="11">
        <v>2</v>
      </c>
      <c r="H274" s="12">
        <v>0.3</v>
      </c>
      <c r="I274" s="12">
        <f>6.645-0.06</f>
        <v>6.585</v>
      </c>
      <c r="J274" s="22">
        <v>0.3</v>
      </c>
      <c r="K274" s="22"/>
      <c r="L274" s="72">
        <f>SUM(H274:J274)+K274</f>
        <v>7.1849999999999996</v>
      </c>
      <c r="M274" s="72">
        <f t="shared" si="323"/>
        <v>0</v>
      </c>
      <c r="N274" s="72">
        <f t="shared" si="324"/>
        <v>0</v>
      </c>
      <c r="O274" s="72">
        <f t="shared" si="325"/>
        <v>0</v>
      </c>
      <c r="P274" s="72">
        <f t="shared" si="326"/>
        <v>28.74</v>
      </c>
      <c r="Q274" s="72">
        <f t="shared" si="327"/>
        <v>0</v>
      </c>
      <c r="R274" s="72">
        <f t="shared" si="328"/>
        <v>0</v>
      </c>
    </row>
    <row r="275" spans="1:18" x14ac:dyDescent="0.25">
      <c r="A275" s="26"/>
      <c r="B275" s="25" t="s">
        <v>432</v>
      </c>
      <c r="C275" s="15">
        <v>16</v>
      </c>
      <c r="D275" s="16"/>
      <c r="E275" s="15">
        <v>2</v>
      </c>
      <c r="F275" s="11">
        <v>1</v>
      </c>
      <c r="G275" s="11">
        <v>2</v>
      </c>
      <c r="H275" s="12">
        <v>0.3</v>
      </c>
      <c r="I275" s="12">
        <f>6.645-0.06</f>
        <v>6.585</v>
      </c>
      <c r="J275" s="22">
        <v>0.3</v>
      </c>
      <c r="K275" s="22"/>
      <c r="L275" s="72">
        <f>SUM(H275:J275)+K275</f>
        <v>7.1849999999999996</v>
      </c>
      <c r="M275" s="72">
        <f t="shared" si="323"/>
        <v>0</v>
      </c>
      <c r="N275" s="72">
        <f t="shared" si="324"/>
        <v>0</v>
      </c>
      <c r="O275" s="72">
        <f t="shared" si="325"/>
        <v>0</v>
      </c>
      <c r="P275" s="72">
        <f t="shared" si="326"/>
        <v>28.74</v>
      </c>
      <c r="Q275" s="72">
        <f t="shared" si="327"/>
        <v>0</v>
      </c>
      <c r="R275" s="72">
        <f t="shared" si="328"/>
        <v>0</v>
      </c>
    </row>
    <row r="276" spans="1:18" x14ac:dyDescent="0.25">
      <c r="A276" s="26"/>
      <c r="B276" s="25" t="s">
        <v>450</v>
      </c>
      <c r="C276" s="15">
        <v>12</v>
      </c>
      <c r="D276" s="16"/>
      <c r="E276" s="15">
        <v>2</v>
      </c>
      <c r="F276" s="11">
        <v>1</v>
      </c>
      <c r="G276" s="11">
        <v>2</v>
      </c>
      <c r="H276" s="12"/>
      <c r="I276" s="12">
        <v>4.2450000000000001</v>
      </c>
      <c r="J276" s="22"/>
      <c r="K276" s="22"/>
      <c r="L276" s="72">
        <f t="shared" ref="L276" si="353">SUM(H276:J276)+K276</f>
        <v>4.2450000000000001</v>
      </c>
      <c r="M276" s="72">
        <f t="shared" si="323"/>
        <v>0</v>
      </c>
      <c r="N276" s="72">
        <f t="shared" si="324"/>
        <v>0</v>
      </c>
      <c r="O276" s="72">
        <f t="shared" si="325"/>
        <v>16.98</v>
      </c>
      <c r="P276" s="72">
        <f t="shared" si="326"/>
        <v>0</v>
      </c>
      <c r="Q276" s="72">
        <f t="shared" si="327"/>
        <v>0</v>
      </c>
      <c r="R276" s="72">
        <f t="shared" si="328"/>
        <v>0</v>
      </c>
    </row>
    <row r="277" spans="1:18" x14ac:dyDescent="0.25">
      <c r="A277" s="26"/>
      <c r="B277" s="25" t="s">
        <v>433</v>
      </c>
      <c r="C277" s="15">
        <v>12</v>
      </c>
      <c r="D277" s="16"/>
      <c r="E277" s="15">
        <v>2</v>
      </c>
      <c r="F277" s="11">
        <v>2</v>
      </c>
      <c r="G277" s="11">
        <v>2</v>
      </c>
      <c r="H277" s="12"/>
      <c r="I277" s="12">
        <f>1.5+0.75-0.03</f>
        <v>2.2200000000000002</v>
      </c>
      <c r="J277" s="22">
        <v>0.3</v>
      </c>
      <c r="K277" s="22"/>
      <c r="L277" s="72">
        <f>SUM(H277:J277)+K277</f>
        <v>2.52</v>
      </c>
      <c r="M277" s="72">
        <f t="shared" si="323"/>
        <v>0</v>
      </c>
      <c r="N277" s="72">
        <f t="shared" si="324"/>
        <v>0</v>
      </c>
      <c r="O277" s="72">
        <f t="shared" si="325"/>
        <v>20.16</v>
      </c>
      <c r="P277" s="72">
        <f t="shared" si="326"/>
        <v>0</v>
      </c>
      <c r="Q277" s="72">
        <f t="shared" si="327"/>
        <v>0</v>
      </c>
      <c r="R277" s="72">
        <f t="shared" si="328"/>
        <v>0</v>
      </c>
    </row>
    <row r="278" spans="1:18" x14ac:dyDescent="0.25">
      <c r="A278" s="26"/>
      <c r="B278" s="25" t="s">
        <v>453</v>
      </c>
      <c r="C278" s="15">
        <v>8</v>
      </c>
      <c r="D278" s="16">
        <v>100</v>
      </c>
      <c r="E278" s="15">
        <v>2</v>
      </c>
      <c r="F278" s="11">
        <v>1</v>
      </c>
      <c r="G278" s="11">
        <f>+ROUND(2.572/0.1,0)</f>
        <v>26</v>
      </c>
      <c r="H278" s="12"/>
      <c r="I278" s="12">
        <f t="shared" ref="I278:I279" si="354">2*(0.14+0.39)+24*C278/1000</f>
        <v>1.252</v>
      </c>
      <c r="J278" s="22"/>
      <c r="K278" s="47"/>
      <c r="L278" s="72">
        <f t="shared" ref="L278:L279" si="355">SUM(H278:J278)+K278</f>
        <v>1.252</v>
      </c>
      <c r="M278" s="72">
        <f t="shared" si="323"/>
        <v>65.099999999999994</v>
      </c>
      <c r="N278" s="72">
        <f t="shared" si="324"/>
        <v>0</v>
      </c>
      <c r="O278" s="72">
        <f t="shared" si="325"/>
        <v>0</v>
      </c>
      <c r="P278" s="72">
        <f t="shared" si="326"/>
        <v>0</v>
      </c>
      <c r="Q278" s="72">
        <f t="shared" si="327"/>
        <v>0</v>
      </c>
      <c r="R278" s="72">
        <f t="shared" si="328"/>
        <v>0</v>
      </c>
    </row>
    <row r="279" spans="1:18" x14ac:dyDescent="0.25">
      <c r="A279" s="26"/>
      <c r="B279" s="25"/>
      <c r="C279" s="15">
        <v>8</v>
      </c>
      <c r="D279" s="16">
        <v>150</v>
      </c>
      <c r="E279" s="15">
        <v>2</v>
      </c>
      <c r="F279" s="11">
        <v>1</v>
      </c>
      <c r="G279" s="11">
        <f>+ROUND(2.572/0.15+1,0)</f>
        <v>18</v>
      </c>
      <c r="H279" s="12"/>
      <c r="I279" s="12">
        <f t="shared" si="354"/>
        <v>1.252</v>
      </c>
      <c r="J279" s="22"/>
      <c r="K279" s="22"/>
      <c r="L279" s="72">
        <f t="shared" si="355"/>
        <v>1.252</v>
      </c>
      <c r="M279" s="72">
        <f t="shared" si="323"/>
        <v>45.07</v>
      </c>
      <c r="N279" s="72">
        <f t="shared" si="324"/>
        <v>0</v>
      </c>
      <c r="O279" s="72">
        <f t="shared" si="325"/>
        <v>0</v>
      </c>
      <c r="P279" s="72">
        <f t="shared" si="326"/>
        <v>0</v>
      </c>
      <c r="Q279" s="72">
        <f t="shared" si="327"/>
        <v>0</v>
      </c>
      <c r="R279" s="72">
        <f t="shared" si="328"/>
        <v>0</v>
      </c>
    </row>
    <row r="280" spans="1:18" x14ac:dyDescent="0.25">
      <c r="A280" s="26" t="s">
        <v>498</v>
      </c>
      <c r="B280" s="45" t="s">
        <v>641</v>
      </c>
      <c r="C280" s="15"/>
      <c r="D280" s="16"/>
      <c r="E280" s="15"/>
      <c r="F280" s="11"/>
      <c r="G280" s="11"/>
      <c r="H280" s="12"/>
      <c r="I280" s="12"/>
      <c r="J280" s="22"/>
      <c r="K280" s="22"/>
      <c r="L280" s="72">
        <f t="shared" ref="L280" si="356">SUM(H280:J280)+K280</f>
        <v>0</v>
      </c>
      <c r="M280" s="72">
        <f t="shared" si="323"/>
        <v>0</v>
      </c>
      <c r="N280" s="72">
        <f t="shared" si="324"/>
        <v>0</v>
      </c>
      <c r="O280" s="72">
        <f t="shared" si="325"/>
        <v>0</v>
      </c>
      <c r="P280" s="72">
        <f t="shared" si="326"/>
        <v>0</v>
      </c>
      <c r="Q280" s="72">
        <f t="shared" si="327"/>
        <v>0</v>
      </c>
      <c r="R280" s="72">
        <f t="shared" si="328"/>
        <v>0</v>
      </c>
    </row>
    <row r="281" spans="1:18" x14ac:dyDescent="0.25">
      <c r="A281" s="26"/>
      <c r="B281" s="25" t="s">
        <v>385</v>
      </c>
      <c r="C281" s="15">
        <v>16</v>
      </c>
      <c r="D281" s="16"/>
      <c r="E281" s="15">
        <v>2</v>
      </c>
      <c r="F281" s="11">
        <v>1</v>
      </c>
      <c r="G281" s="11">
        <v>2</v>
      </c>
      <c r="H281" s="12">
        <v>0.3</v>
      </c>
      <c r="I281" s="12">
        <f>4.18-0.06</f>
        <v>4.12</v>
      </c>
      <c r="J281" s="22">
        <v>0.3</v>
      </c>
      <c r="K281" s="22"/>
      <c r="L281" s="72">
        <f>SUM(H281:J281)+K281</f>
        <v>4.72</v>
      </c>
      <c r="M281" s="72">
        <f t="shared" si="323"/>
        <v>0</v>
      </c>
      <c r="N281" s="72">
        <f t="shared" si="324"/>
        <v>0</v>
      </c>
      <c r="O281" s="72">
        <f t="shared" si="325"/>
        <v>0</v>
      </c>
      <c r="P281" s="72">
        <f t="shared" si="326"/>
        <v>18.88</v>
      </c>
      <c r="Q281" s="72">
        <f t="shared" si="327"/>
        <v>0</v>
      </c>
      <c r="R281" s="72">
        <f t="shared" si="328"/>
        <v>0</v>
      </c>
    </row>
    <row r="282" spans="1:18" x14ac:dyDescent="0.25">
      <c r="A282" s="26"/>
      <c r="B282" s="25" t="s">
        <v>432</v>
      </c>
      <c r="C282" s="15">
        <v>16</v>
      </c>
      <c r="D282" s="16"/>
      <c r="E282" s="15">
        <v>2</v>
      </c>
      <c r="F282" s="11">
        <v>1</v>
      </c>
      <c r="G282" s="11">
        <v>2</v>
      </c>
      <c r="H282" s="12">
        <v>0.3</v>
      </c>
      <c r="I282" s="12">
        <f>4.18-0.06</f>
        <v>4.12</v>
      </c>
      <c r="J282" s="22">
        <v>0.3</v>
      </c>
      <c r="K282" s="22"/>
      <c r="L282" s="72">
        <f>SUM(H282:J282)+K282</f>
        <v>4.72</v>
      </c>
      <c r="M282" s="72">
        <f t="shared" si="323"/>
        <v>0</v>
      </c>
      <c r="N282" s="72">
        <f t="shared" si="324"/>
        <v>0</v>
      </c>
      <c r="O282" s="72">
        <f t="shared" si="325"/>
        <v>0</v>
      </c>
      <c r="P282" s="72">
        <f t="shared" si="326"/>
        <v>18.88</v>
      </c>
      <c r="Q282" s="72">
        <f t="shared" si="327"/>
        <v>0</v>
      </c>
      <c r="R282" s="72">
        <f t="shared" si="328"/>
        <v>0</v>
      </c>
    </row>
    <row r="283" spans="1:18" x14ac:dyDescent="0.25">
      <c r="A283" s="26"/>
      <c r="B283" s="25" t="s">
        <v>453</v>
      </c>
      <c r="C283" s="15">
        <v>8</v>
      </c>
      <c r="D283" s="16">
        <v>100</v>
      </c>
      <c r="E283" s="15">
        <v>2</v>
      </c>
      <c r="F283" s="11">
        <v>1</v>
      </c>
      <c r="G283" s="11">
        <f>+ROUND(1.8/0.1,0)</f>
        <v>18</v>
      </c>
      <c r="H283" s="12"/>
      <c r="I283" s="12">
        <f t="shared" ref="I283:I284" si="357">2*(0.14+0.39)+24*C283/1000</f>
        <v>1.252</v>
      </c>
      <c r="J283" s="22"/>
      <c r="K283" s="47"/>
      <c r="L283" s="72">
        <f t="shared" ref="L283" si="358">SUM(H283:J283)+K283</f>
        <v>1.252</v>
      </c>
      <c r="M283" s="72">
        <f t="shared" si="323"/>
        <v>45.07</v>
      </c>
      <c r="N283" s="72">
        <f t="shared" si="324"/>
        <v>0</v>
      </c>
      <c r="O283" s="72">
        <f t="shared" si="325"/>
        <v>0</v>
      </c>
      <c r="P283" s="72">
        <f t="shared" si="326"/>
        <v>0</v>
      </c>
      <c r="Q283" s="72">
        <f t="shared" si="327"/>
        <v>0</v>
      </c>
      <c r="R283" s="72">
        <f t="shared" si="328"/>
        <v>0</v>
      </c>
    </row>
    <row r="284" spans="1:18" x14ac:dyDescent="0.25">
      <c r="A284" s="26"/>
      <c r="B284" s="25"/>
      <c r="C284" s="15">
        <v>8</v>
      </c>
      <c r="D284" s="16">
        <v>150</v>
      </c>
      <c r="E284" s="15">
        <v>2</v>
      </c>
      <c r="F284" s="11">
        <v>1</v>
      </c>
      <c r="G284" s="11">
        <f>+ROUND(1.4/0.15+1,0)</f>
        <v>10</v>
      </c>
      <c r="H284" s="12"/>
      <c r="I284" s="12">
        <f t="shared" si="357"/>
        <v>1.252</v>
      </c>
      <c r="J284" s="22"/>
      <c r="K284" s="22"/>
      <c r="L284" s="72">
        <f t="shared" ref="L284" si="359">SUM(H284:J284)+K284</f>
        <v>1.252</v>
      </c>
      <c r="M284" s="72">
        <f t="shared" ref="M284" si="360">+ROUND(IF(C284=8,PRODUCT(E284,F284,G284,L284),0),2)</f>
        <v>25.04</v>
      </c>
      <c r="N284" s="72">
        <f t="shared" ref="N284" si="361">+ROUND(IF(C284=10,PRODUCT(E284,F284,G284,L284),0),2)</f>
        <v>0</v>
      </c>
      <c r="O284" s="72">
        <f t="shared" ref="O284" si="362">+ROUND(IF(C284=12,PRODUCT(E284,F284,G284,L284),0),2)</f>
        <v>0</v>
      </c>
      <c r="P284" s="72">
        <f t="shared" ref="P284" si="363">+ROUND(IF(C284=16,PRODUCT(E284,F284,G284,L284),0),2)</f>
        <v>0</v>
      </c>
      <c r="Q284" s="72">
        <f t="shared" ref="Q284" si="364">+ROUND(IF(C284=20,PRODUCT(E284,F284,G284,L284),0),2)</f>
        <v>0</v>
      </c>
      <c r="R284" s="72">
        <f t="shared" ref="R284" si="365">+ROUND(IF(C284=25,PRODUCT(E284,F284,G284,L284),0),2)</f>
        <v>0</v>
      </c>
    </row>
    <row r="285" spans="1:18" x14ac:dyDescent="0.25">
      <c r="A285" s="26" t="s">
        <v>442</v>
      </c>
      <c r="B285" s="45" t="s">
        <v>642</v>
      </c>
      <c r="C285" s="15"/>
      <c r="D285" s="16"/>
      <c r="E285" s="15"/>
      <c r="F285" s="11"/>
      <c r="G285" s="11"/>
      <c r="H285" s="12"/>
      <c r="I285" s="12"/>
      <c r="J285" s="22"/>
      <c r="K285" s="22"/>
      <c r="L285" s="72">
        <f t="shared" ref="L285" si="366">SUM(H285:J285)+K285</f>
        <v>0</v>
      </c>
      <c r="M285" s="72">
        <f>+ROUND(IF(C285=8,PRODUCT(E285,F285,G285,L285),0),2)</f>
        <v>0</v>
      </c>
      <c r="N285" s="72">
        <f>+ROUND(IF(C285=10,PRODUCT(E285,F285,G285,L285),0),2)</f>
        <v>0</v>
      </c>
      <c r="O285" s="72">
        <f>+ROUND(IF(C285=12,PRODUCT(E285,F285,G285,L285),0),2)</f>
        <v>0</v>
      </c>
      <c r="P285" s="72">
        <f>+ROUND(IF(C285=16,PRODUCT(E285,F285,G285,L285),0),2)</f>
        <v>0</v>
      </c>
      <c r="Q285" s="72">
        <f>+ROUND(IF(C285=20,PRODUCT(E285,F285,G285,L285),0),2)</f>
        <v>0</v>
      </c>
      <c r="R285" s="72">
        <f>+ROUND(IF(C285=25,PRODUCT(E285,F285,G285,L285),0),2)</f>
        <v>0</v>
      </c>
    </row>
    <row r="286" spans="1:18" x14ac:dyDescent="0.25">
      <c r="A286" s="26"/>
      <c r="B286" s="25" t="s">
        <v>385</v>
      </c>
      <c r="C286" s="15">
        <v>12</v>
      </c>
      <c r="D286" s="16"/>
      <c r="E286" s="15">
        <v>2</v>
      </c>
      <c r="F286" s="11">
        <v>1</v>
      </c>
      <c r="G286" s="11">
        <v>2</v>
      </c>
      <c r="H286" s="12">
        <v>0.3</v>
      </c>
      <c r="I286" s="12">
        <f>3.45-0.06</f>
        <v>3.39</v>
      </c>
      <c r="J286" s="22">
        <v>0.3</v>
      </c>
      <c r="K286" s="22"/>
      <c r="L286" s="72">
        <f>SUM(H286:J286)+K286</f>
        <v>3.9899999999999998</v>
      </c>
      <c r="M286" s="72">
        <f>+ROUND(IF(C286=8,PRODUCT(E286,F286,G286,L286),0),2)</f>
        <v>0</v>
      </c>
      <c r="N286" s="72">
        <f>+ROUND(IF(C286=10,PRODUCT(E286,F286,G286,L286),0),2)</f>
        <v>0</v>
      </c>
      <c r="O286" s="72">
        <f>+ROUND(IF(C286=12,PRODUCT(E286,F286,G286,L286),0),2)</f>
        <v>15.96</v>
      </c>
      <c r="P286" s="72">
        <f>+ROUND(IF(C286=16,PRODUCT(E286,F286,G286,L286),0),2)</f>
        <v>0</v>
      </c>
      <c r="Q286" s="72">
        <f>+ROUND(IF(C286=20,PRODUCT(E286,F286,G286,L286),0),2)</f>
        <v>0</v>
      </c>
      <c r="R286" s="72">
        <f>+ROUND(IF(C286=25,PRODUCT(E286,F286,G286,L286),0),2)</f>
        <v>0</v>
      </c>
    </row>
    <row r="287" spans="1:18" x14ac:dyDescent="0.25">
      <c r="A287" s="26"/>
      <c r="B287" s="25" t="s">
        <v>432</v>
      </c>
      <c r="C287" s="15">
        <v>12</v>
      </c>
      <c r="D287" s="16"/>
      <c r="E287" s="15">
        <v>2</v>
      </c>
      <c r="F287" s="11">
        <v>1</v>
      </c>
      <c r="G287" s="11">
        <v>2</v>
      </c>
      <c r="H287" s="12">
        <v>0.3</v>
      </c>
      <c r="I287" s="12">
        <f>3.45-0.06</f>
        <v>3.39</v>
      </c>
      <c r="J287" s="22">
        <v>0.3</v>
      </c>
      <c r="K287" s="22"/>
      <c r="L287" s="72">
        <f>SUM(H287:J287)+K287</f>
        <v>3.9899999999999998</v>
      </c>
      <c r="M287" s="72">
        <f>+ROUND(IF(C287=8,PRODUCT(E287,F287,G287,L287),0),2)</f>
        <v>0</v>
      </c>
      <c r="N287" s="72">
        <f>+ROUND(IF(C287=10,PRODUCT(E287,F287,G287,L287),0),2)</f>
        <v>0</v>
      </c>
      <c r="O287" s="72">
        <f>+ROUND(IF(C287=12,PRODUCT(E287,F287,G287,L287),0),2)</f>
        <v>15.96</v>
      </c>
      <c r="P287" s="72">
        <f>+ROUND(IF(C287=16,PRODUCT(E287,F287,G287,L287),0),2)</f>
        <v>0</v>
      </c>
      <c r="Q287" s="72">
        <f>+ROUND(IF(C287=20,PRODUCT(E287,F287,G287,L287),0),2)</f>
        <v>0</v>
      </c>
      <c r="R287" s="72">
        <f>+ROUND(IF(C287=25,PRODUCT(E287,F287,G287,L287),0),2)</f>
        <v>0</v>
      </c>
    </row>
    <row r="288" spans="1:18" x14ac:dyDescent="0.25">
      <c r="A288" s="26"/>
      <c r="B288" s="25" t="s">
        <v>453</v>
      </c>
      <c r="C288" s="15">
        <v>8</v>
      </c>
      <c r="D288" s="16">
        <v>100</v>
      </c>
      <c r="E288" s="15">
        <v>2</v>
      </c>
      <c r="F288" s="11">
        <v>1</v>
      </c>
      <c r="G288" s="11">
        <f>+ROUND(1.8/0.1,0)</f>
        <v>18</v>
      </c>
      <c r="H288" s="12"/>
      <c r="I288" s="12">
        <f t="shared" ref="I288:I289" si="367">2*(0.14+0.39)+24*C288/1000</f>
        <v>1.252</v>
      </c>
      <c r="J288" s="22"/>
      <c r="K288" s="47"/>
      <c r="L288" s="72">
        <f t="shared" ref="L288:L289" si="368">SUM(H288:J288)+K288</f>
        <v>1.252</v>
      </c>
      <c r="M288" s="72">
        <f>+ROUND(IF(C288=8,PRODUCT(E288,F288,G288,L288),0),2)</f>
        <v>45.07</v>
      </c>
      <c r="N288" s="72">
        <f>+ROUND(IF(C288=10,PRODUCT(E288,F288,G288,L288),0),2)</f>
        <v>0</v>
      </c>
      <c r="O288" s="72">
        <f>+ROUND(IF(C288=12,PRODUCT(E288,F288,G288,L288),0),2)</f>
        <v>0</v>
      </c>
      <c r="P288" s="72">
        <f>+ROUND(IF(C288=16,PRODUCT(E288,F288,G288,L288),0),2)</f>
        <v>0</v>
      </c>
      <c r="Q288" s="72">
        <f>+ROUND(IF(C288=20,PRODUCT(E288,F288,G288,L288),0),2)</f>
        <v>0</v>
      </c>
      <c r="R288" s="72">
        <f>+ROUND(IF(C288=25,PRODUCT(E288,F288,G288,L288),0),2)</f>
        <v>0</v>
      </c>
    </row>
    <row r="289" spans="1:18" x14ac:dyDescent="0.25">
      <c r="A289" s="26"/>
      <c r="B289" s="25"/>
      <c r="C289" s="15">
        <v>8</v>
      </c>
      <c r="D289" s="16">
        <v>150</v>
      </c>
      <c r="E289" s="15">
        <v>2</v>
      </c>
      <c r="F289" s="11">
        <v>1</v>
      </c>
      <c r="G289" s="11">
        <f>+ROUND(1.15/0.15+1,0)</f>
        <v>9</v>
      </c>
      <c r="H289" s="12"/>
      <c r="I289" s="12">
        <f t="shared" si="367"/>
        <v>1.252</v>
      </c>
      <c r="J289" s="22"/>
      <c r="K289" s="22"/>
      <c r="L289" s="72">
        <f t="shared" si="368"/>
        <v>1.252</v>
      </c>
      <c r="M289" s="72">
        <f>+ROUND(IF(C289=8,PRODUCT(E289,F289,G289,L289),0),2)</f>
        <v>22.54</v>
      </c>
      <c r="N289" s="72">
        <f>+ROUND(IF(C289=10,PRODUCT(E289,F289,G289,L289),0),2)</f>
        <v>0</v>
      </c>
      <c r="O289" s="72">
        <f>+ROUND(IF(C289=12,PRODUCT(E289,F289,G289,L289),0),2)</f>
        <v>0</v>
      </c>
      <c r="P289" s="72">
        <f>+ROUND(IF(C289=16,PRODUCT(E289,F289,G289,L289),0),2)</f>
        <v>0</v>
      </c>
      <c r="Q289" s="72">
        <f>+ROUND(IF(C289=20,PRODUCT(E289,F289,G289,L289),0),2)</f>
        <v>0</v>
      </c>
      <c r="R289" s="72">
        <f>+ROUND(IF(C289=25,PRODUCT(E289,F289,G289,L289),0),2)</f>
        <v>0</v>
      </c>
    </row>
    <row r="290" spans="1:18" x14ac:dyDescent="0.25">
      <c r="A290" s="26" t="s">
        <v>442</v>
      </c>
      <c r="B290" s="45" t="s">
        <v>643</v>
      </c>
      <c r="C290" s="15"/>
      <c r="D290" s="16"/>
      <c r="E290" s="15"/>
      <c r="F290" s="11"/>
      <c r="G290" s="11"/>
      <c r="H290" s="12"/>
      <c r="I290" s="12"/>
      <c r="J290" s="22"/>
      <c r="K290" s="22"/>
      <c r="L290" s="72">
        <f t="shared" ref="L290" si="369">SUM(H290:J290)+K290</f>
        <v>0</v>
      </c>
      <c r="M290" s="72">
        <f t="shared" si="323"/>
        <v>0</v>
      </c>
      <c r="N290" s="72">
        <f t="shared" si="324"/>
        <v>0</v>
      </c>
      <c r="O290" s="72">
        <f t="shared" si="325"/>
        <v>0</v>
      </c>
      <c r="P290" s="72">
        <f t="shared" si="326"/>
        <v>0</v>
      </c>
      <c r="Q290" s="72">
        <f t="shared" si="327"/>
        <v>0</v>
      </c>
      <c r="R290" s="72">
        <f t="shared" si="328"/>
        <v>0</v>
      </c>
    </row>
    <row r="291" spans="1:18" x14ac:dyDescent="0.25">
      <c r="A291" s="26"/>
      <c r="B291" s="25" t="s">
        <v>385</v>
      </c>
      <c r="C291" s="15">
        <v>16</v>
      </c>
      <c r="D291" s="16"/>
      <c r="E291" s="15">
        <v>2</v>
      </c>
      <c r="F291" s="11">
        <v>1</v>
      </c>
      <c r="G291" s="11">
        <v>2</v>
      </c>
      <c r="H291" s="12">
        <v>0.3</v>
      </c>
      <c r="I291" s="12">
        <f>5.75-0.06</f>
        <v>5.69</v>
      </c>
      <c r="J291" s="22">
        <v>0.3</v>
      </c>
      <c r="K291" s="22"/>
      <c r="L291" s="72">
        <f>SUM(H291:J291)+K291</f>
        <v>6.29</v>
      </c>
      <c r="M291" s="72">
        <f t="shared" si="323"/>
        <v>0</v>
      </c>
      <c r="N291" s="72">
        <f t="shared" si="324"/>
        <v>0</v>
      </c>
      <c r="O291" s="72">
        <f t="shared" si="325"/>
        <v>0</v>
      </c>
      <c r="P291" s="72">
        <f t="shared" si="326"/>
        <v>25.16</v>
      </c>
      <c r="Q291" s="72">
        <f t="shared" si="327"/>
        <v>0</v>
      </c>
      <c r="R291" s="72">
        <f t="shared" si="328"/>
        <v>0</v>
      </c>
    </row>
    <row r="292" spans="1:18" x14ac:dyDescent="0.25">
      <c r="A292" s="26"/>
      <c r="B292" s="25" t="s">
        <v>432</v>
      </c>
      <c r="C292" s="15">
        <v>16</v>
      </c>
      <c r="D292" s="16"/>
      <c r="E292" s="15">
        <v>2</v>
      </c>
      <c r="F292" s="11">
        <v>1</v>
      </c>
      <c r="G292" s="11">
        <v>2</v>
      </c>
      <c r="H292" s="12">
        <v>0.3</v>
      </c>
      <c r="I292" s="12">
        <f>5.75-0.06</f>
        <v>5.69</v>
      </c>
      <c r="J292" s="22">
        <v>0.3</v>
      </c>
      <c r="K292" s="22"/>
      <c r="L292" s="72">
        <f>SUM(H292:J292)+K292</f>
        <v>6.29</v>
      </c>
      <c r="M292" s="72">
        <f t="shared" si="323"/>
        <v>0</v>
      </c>
      <c r="N292" s="72">
        <f t="shared" si="324"/>
        <v>0</v>
      </c>
      <c r="O292" s="72">
        <f t="shared" si="325"/>
        <v>0</v>
      </c>
      <c r="P292" s="72">
        <f t="shared" si="326"/>
        <v>25.16</v>
      </c>
      <c r="Q292" s="72">
        <f t="shared" si="327"/>
        <v>0</v>
      </c>
      <c r="R292" s="72">
        <f t="shared" si="328"/>
        <v>0</v>
      </c>
    </row>
    <row r="293" spans="1:18" x14ac:dyDescent="0.25">
      <c r="A293" s="26"/>
      <c r="B293" s="25" t="s">
        <v>453</v>
      </c>
      <c r="C293" s="15">
        <v>8</v>
      </c>
      <c r="D293" s="16">
        <v>100</v>
      </c>
      <c r="E293" s="15">
        <v>2</v>
      </c>
      <c r="F293" s="11">
        <v>1</v>
      </c>
      <c r="G293" s="11">
        <f>+ROUND(1.9/0.1,0)</f>
        <v>19</v>
      </c>
      <c r="H293" s="12"/>
      <c r="I293" s="12">
        <f t="shared" ref="I293:I294" si="370">2*(0.14+0.39)+24*C293/1000</f>
        <v>1.252</v>
      </c>
      <c r="J293" s="22"/>
      <c r="K293" s="47"/>
      <c r="L293" s="72">
        <f t="shared" ref="L293:L294" si="371">SUM(H293:J293)+K293</f>
        <v>1.252</v>
      </c>
      <c r="M293" s="72">
        <f t="shared" si="323"/>
        <v>47.58</v>
      </c>
      <c r="N293" s="72">
        <f t="shared" si="324"/>
        <v>0</v>
      </c>
      <c r="O293" s="72">
        <f t="shared" si="325"/>
        <v>0</v>
      </c>
      <c r="P293" s="72">
        <f t="shared" si="326"/>
        <v>0</v>
      </c>
      <c r="Q293" s="72">
        <f t="shared" si="327"/>
        <v>0</v>
      </c>
      <c r="R293" s="72">
        <f t="shared" si="328"/>
        <v>0</v>
      </c>
    </row>
    <row r="294" spans="1:18" x14ac:dyDescent="0.25">
      <c r="A294" s="26"/>
      <c r="B294" s="25"/>
      <c r="C294" s="15">
        <v>8</v>
      </c>
      <c r="D294" s="16">
        <v>150</v>
      </c>
      <c r="E294" s="15">
        <v>2</v>
      </c>
      <c r="F294" s="11">
        <v>1</v>
      </c>
      <c r="G294" s="11">
        <f>+ROUND(1.9/0.15+1,0)</f>
        <v>14</v>
      </c>
      <c r="H294" s="12"/>
      <c r="I294" s="12">
        <f t="shared" si="370"/>
        <v>1.252</v>
      </c>
      <c r="J294" s="22"/>
      <c r="K294" s="22"/>
      <c r="L294" s="72">
        <f t="shared" si="371"/>
        <v>1.252</v>
      </c>
      <c r="M294" s="72">
        <f t="shared" si="323"/>
        <v>35.06</v>
      </c>
      <c r="N294" s="72">
        <f t="shared" si="324"/>
        <v>0</v>
      </c>
      <c r="O294" s="72">
        <f t="shared" si="325"/>
        <v>0</v>
      </c>
      <c r="P294" s="72">
        <f t="shared" si="326"/>
        <v>0</v>
      </c>
      <c r="Q294" s="72">
        <f t="shared" si="327"/>
        <v>0</v>
      </c>
      <c r="R294" s="72">
        <f t="shared" si="328"/>
        <v>0</v>
      </c>
    </row>
    <row r="295" spans="1:18" x14ac:dyDescent="0.25">
      <c r="A295" s="26" t="s">
        <v>442</v>
      </c>
      <c r="B295" s="45" t="s">
        <v>644</v>
      </c>
      <c r="C295" s="15"/>
      <c r="D295" s="16"/>
      <c r="E295" s="15"/>
      <c r="F295" s="11"/>
      <c r="G295" s="11"/>
      <c r="H295" s="12"/>
      <c r="I295" s="12"/>
      <c r="J295" s="22"/>
      <c r="K295" s="22"/>
      <c r="L295" s="72">
        <f t="shared" ref="L295" si="372">SUM(H295:J295)+K295</f>
        <v>0</v>
      </c>
      <c r="M295" s="72">
        <f t="shared" si="323"/>
        <v>0</v>
      </c>
      <c r="N295" s="72">
        <f t="shared" si="324"/>
        <v>0</v>
      </c>
      <c r="O295" s="72">
        <f t="shared" si="325"/>
        <v>0</v>
      </c>
      <c r="P295" s="72">
        <f t="shared" si="326"/>
        <v>0</v>
      </c>
      <c r="Q295" s="72">
        <f t="shared" si="327"/>
        <v>0</v>
      </c>
      <c r="R295" s="72">
        <f t="shared" si="328"/>
        <v>0</v>
      </c>
    </row>
    <row r="296" spans="1:18" x14ac:dyDescent="0.25">
      <c r="A296" s="26"/>
      <c r="B296" s="25" t="s">
        <v>385</v>
      </c>
      <c r="C296" s="15">
        <v>16</v>
      </c>
      <c r="D296" s="16"/>
      <c r="E296" s="15">
        <v>2</v>
      </c>
      <c r="F296" s="11">
        <v>1</v>
      </c>
      <c r="G296" s="11">
        <v>2</v>
      </c>
      <c r="H296" s="12">
        <v>0.3</v>
      </c>
      <c r="I296" s="12">
        <f>5.75-0.06</f>
        <v>5.69</v>
      </c>
      <c r="J296" s="22">
        <v>0.3</v>
      </c>
      <c r="K296" s="22"/>
      <c r="L296" s="72">
        <f>SUM(H296:J296)+K296</f>
        <v>6.29</v>
      </c>
      <c r="M296" s="72">
        <f t="shared" si="323"/>
        <v>0</v>
      </c>
      <c r="N296" s="72">
        <f t="shared" si="324"/>
        <v>0</v>
      </c>
      <c r="O296" s="72">
        <f t="shared" si="325"/>
        <v>0</v>
      </c>
      <c r="P296" s="72">
        <f t="shared" si="326"/>
        <v>25.16</v>
      </c>
      <c r="Q296" s="72">
        <f t="shared" si="327"/>
        <v>0</v>
      </c>
      <c r="R296" s="72">
        <f t="shared" si="328"/>
        <v>0</v>
      </c>
    </row>
    <row r="297" spans="1:18" x14ac:dyDescent="0.25">
      <c r="A297" s="26"/>
      <c r="B297" s="25" t="s">
        <v>432</v>
      </c>
      <c r="C297" s="15">
        <v>16</v>
      </c>
      <c r="D297" s="16"/>
      <c r="E297" s="15">
        <v>2</v>
      </c>
      <c r="F297" s="11">
        <v>1</v>
      </c>
      <c r="G297" s="11">
        <v>2</v>
      </c>
      <c r="H297" s="12">
        <v>0.3</v>
      </c>
      <c r="I297" s="12">
        <f>5.75-0.06</f>
        <v>5.69</v>
      </c>
      <c r="J297" s="22">
        <v>0.3</v>
      </c>
      <c r="K297" s="22"/>
      <c r="L297" s="72">
        <f>SUM(H297:J297)+K297</f>
        <v>6.29</v>
      </c>
      <c r="M297" s="72">
        <f t="shared" si="323"/>
        <v>0</v>
      </c>
      <c r="N297" s="72">
        <f t="shared" si="324"/>
        <v>0</v>
      </c>
      <c r="O297" s="72">
        <f t="shared" si="325"/>
        <v>0</v>
      </c>
      <c r="P297" s="72">
        <f t="shared" si="326"/>
        <v>25.16</v>
      </c>
      <c r="Q297" s="72">
        <f t="shared" si="327"/>
        <v>0</v>
      </c>
      <c r="R297" s="72">
        <f t="shared" si="328"/>
        <v>0</v>
      </c>
    </row>
    <row r="298" spans="1:18" x14ac:dyDescent="0.25">
      <c r="A298" s="26"/>
      <c r="B298" s="25" t="s">
        <v>453</v>
      </c>
      <c r="C298" s="15">
        <v>8</v>
      </c>
      <c r="D298" s="16">
        <v>100</v>
      </c>
      <c r="E298" s="15">
        <v>2</v>
      </c>
      <c r="F298" s="11">
        <v>1</v>
      </c>
      <c r="G298" s="11">
        <f>+ROUND(2.275/0.1,0)</f>
        <v>23</v>
      </c>
      <c r="H298" s="12"/>
      <c r="I298" s="12">
        <f t="shared" ref="I298:I299" si="373">2*(0.14+0.39)+24*C298/1000</f>
        <v>1.252</v>
      </c>
      <c r="J298" s="22"/>
      <c r="K298" s="47"/>
      <c r="L298" s="72">
        <f t="shared" ref="L298:L299" si="374">SUM(H298:J298)+K298</f>
        <v>1.252</v>
      </c>
      <c r="M298" s="72">
        <f t="shared" si="323"/>
        <v>57.59</v>
      </c>
      <c r="N298" s="72">
        <f t="shared" si="324"/>
        <v>0</v>
      </c>
      <c r="O298" s="72">
        <f t="shared" si="325"/>
        <v>0</v>
      </c>
      <c r="P298" s="72">
        <f t="shared" si="326"/>
        <v>0</v>
      </c>
      <c r="Q298" s="72">
        <f t="shared" si="327"/>
        <v>0</v>
      </c>
      <c r="R298" s="72">
        <f t="shared" si="328"/>
        <v>0</v>
      </c>
    </row>
    <row r="299" spans="1:18" x14ac:dyDescent="0.25">
      <c r="A299" s="26"/>
      <c r="B299" s="25"/>
      <c r="C299" s="15">
        <v>8</v>
      </c>
      <c r="D299" s="16">
        <v>150</v>
      </c>
      <c r="E299" s="15">
        <v>2</v>
      </c>
      <c r="F299" s="11">
        <v>1</v>
      </c>
      <c r="G299" s="11">
        <f>+ROUND(2.275/0.15+1,0)</f>
        <v>16</v>
      </c>
      <c r="H299" s="12"/>
      <c r="I299" s="12">
        <f t="shared" si="373"/>
        <v>1.252</v>
      </c>
      <c r="J299" s="22"/>
      <c r="K299" s="22"/>
      <c r="L299" s="72">
        <f t="shared" si="374"/>
        <v>1.252</v>
      </c>
      <c r="M299" s="72">
        <f t="shared" si="323"/>
        <v>40.06</v>
      </c>
      <c r="N299" s="72">
        <f t="shared" si="324"/>
        <v>0</v>
      </c>
      <c r="O299" s="72">
        <f t="shared" si="325"/>
        <v>0</v>
      </c>
      <c r="P299" s="72">
        <f t="shared" si="326"/>
        <v>0</v>
      </c>
      <c r="Q299" s="72">
        <f t="shared" si="327"/>
        <v>0</v>
      </c>
      <c r="R299" s="72">
        <f t="shared" si="328"/>
        <v>0</v>
      </c>
    </row>
    <row r="300" spans="1:18" x14ac:dyDescent="0.25">
      <c r="A300" s="26" t="s">
        <v>442</v>
      </c>
      <c r="B300" s="45" t="s">
        <v>645</v>
      </c>
      <c r="C300" s="15"/>
      <c r="D300" s="16"/>
      <c r="E300" s="15"/>
      <c r="F300" s="11"/>
      <c r="G300" s="11"/>
      <c r="H300" s="12"/>
      <c r="I300" s="12"/>
      <c r="J300" s="22"/>
      <c r="K300" s="22"/>
      <c r="L300" s="72">
        <f t="shared" ref="L300" si="375">SUM(H300:J300)+K300</f>
        <v>0</v>
      </c>
      <c r="M300" s="72">
        <f t="shared" si="323"/>
        <v>0</v>
      </c>
      <c r="N300" s="72">
        <f t="shared" si="324"/>
        <v>0</v>
      </c>
      <c r="O300" s="72">
        <f t="shared" si="325"/>
        <v>0</v>
      </c>
      <c r="P300" s="72">
        <f t="shared" si="326"/>
        <v>0</v>
      </c>
      <c r="Q300" s="72">
        <f t="shared" si="327"/>
        <v>0</v>
      </c>
      <c r="R300" s="72">
        <f t="shared" si="328"/>
        <v>0</v>
      </c>
    </row>
    <row r="301" spans="1:18" x14ac:dyDescent="0.25">
      <c r="A301" s="26"/>
      <c r="B301" s="25" t="s">
        <v>385</v>
      </c>
      <c r="C301" s="15">
        <v>16</v>
      </c>
      <c r="D301" s="16"/>
      <c r="E301" s="15">
        <v>2</v>
      </c>
      <c r="F301" s="11">
        <v>1</v>
      </c>
      <c r="G301" s="11">
        <v>2</v>
      </c>
      <c r="H301" s="12">
        <v>0.3</v>
      </c>
      <c r="I301" s="12">
        <f>3.95-0.06</f>
        <v>3.89</v>
      </c>
      <c r="J301" s="22">
        <v>0.3</v>
      </c>
      <c r="K301" s="22"/>
      <c r="L301" s="72">
        <f>SUM(H301:J301)+K301</f>
        <v>4.49</v>
      </c>
      <c r="M301" s="72">
        <f t="shared" si="323"/>
        <v>0</v>
      </c>
      <c r="N301" s="72">
        <f t="shared" si="324"/>
        <v>0</v>
      </c>
      <c r="O301" s="72">
        <f t="shared" si="325"/>
        <v>0</v>
      </c>
      <c r="P301" s="72">
        <f t="shared" si="326"/>
        <v>17.96</v>
      </c>
      <c r="Q301" s="72">
        <f t="shared" si="327"/>
        <v>0</v>
      </c>
      <c r="R301" s="72">
        <f t="shared" si="328"/>
        <v>0</v>
      </c>
    </row>
    <row r="302" spans="1:18" x14ac:dyDescent="0.25">
      <c r="A302" s="26"/>
      <c r="B302" s="25" t="s">
        <v>432</v>
      </c>
      <c r="C302" s="15">
        <v>16</v>
      </c>
      <c r="D302" s="16"/>
      <c r="E302" s="15">
        <v>2</v>
      </c>
      <c r="F302" s="11">
        <v>1</v>
      </c>
      <c r="G302" s="11">
        <v>2</v>
      </c>
      <c r="H302" s="12">
        <v>0.3</v>
      </c>
      <c r="I302" s="12">
        <f>3.95-0.06</f>
        <v>3.89</v>
      </c>
      <c r="J302" s="22">
        <v>0.3</v>
      </c>
      <c r="K302" s="22"/>
      <c r="L302" s="72">
        <f>SUM(H302:J302)+K302</f>
        <v>4.49</v>
      </c>
      <c r="M302" s="72">
        <f t="shared" si="323"/>
        <v>0</v>
      </c>
      <c r="N302" s="72">
        <f t="shared" si="324"/>
        <v>0</v>
      </c>
      <c r="O302" s="72">
        <f t="shared" si="325"/>
        <v>0</v>
      </c>
      <c r="P302" s="72">
        <f t="shared" si="326"/>
        <v>17.96</v>
      </c>
      <c r="Q302" s="72">
        <f t="shared" si="327"/>
        <v>0</v>
      </c>
      <c r="R302" s="72">
        <f t="shared" si="328"/>
        <v>0</v>
      </c>
    </row>
    <row r="303" spans="1:18" x14ac:dyDescent="0.25">
      <c r="A303" s="26"/>
      <c r="B303" s="25" t="s">
        <v>453</v>
      </c>
      <c r="C303" s="15">
        <v>8</v>
      </c>
      <c r="D303" s="16">
        <v>100</v>
      </c>
      <c r="E303" s="15">
        <v>2</v>
      </c>
      <c r="F303" s="11">
        <v>1</v>
      </c>
      <c r="G303" s="11">
        <f>+ROUND(1.8/0.1,0)</f>
        <v>18</v>
      </c>
      <c r="H303" s="12"/>
      <c r="I303" s="12">
        <f t="shared" ref="I303:I304" si="376">2*(0.14+0.39)+24*C303/1000</f>
        <v>1.252</v>
      </c>
      <c r="J303" s="22"/>
      <c r="K303" s="47"/>
      <c r="L303" s="72">
        <f t="shared" ref="L303:L304" si="377">SUM(H303:J303)+K303</f>
        <v>1.252</v>
      </c>
      <c r="M303" s="72">
        <f t="shared" si="323"/>
        <v>45.07</v>
      </c>
      <c r="N303" s="72">
        <f t="shared" si="324"/>
        <v>0</v>
      </c>
      <c r="O303" s="72">
        <f t="shared" si="325"/>
        <v>0</v>
      </c>
      <c r="P303" s="72">
        <f t="shared" si="326"/>
        <v>0</v>
      </c>
      <c r="Q303" s="72">
        <f t="shared" si="327"/>
        <v>0</v>
      </c>
      <c r="R303" s="72">
        <f t="shared" si="328"/>
        <v>0</v>
      </c>
    </row>
    <row r="304" spans="1:18" x14ac:dyDescent="0.25">
      <c r="A304" s="26"/>
      <c r="B304" s="25"/>
      <c r="C304" s="15">
        <v>8</v>
      </c>
      <c r="D304" s="16">
        <v>150</v>
      </c>
      <c r="E304" s="15">
        <v>2</v>
      </c>
      <c r="F304" s="11">
        <v>1</v>
      </c>
      <c r="G304" s="11">
        <f>+ROUND(1.25/0.15+1,0)</f>
        <v>9</v>
      </c>
      <c r="H304" s="12"/>
      <c r="I304" s="12">
        <f t="shared" si="376"/>
        <v>1.252</v>
      </c>
      <c r="J304" s="22"/>
      <c r="K304" s="22"/>
      <c r="L304" s="72">
        <f t="shared" si="377"/>
        <v>1.252</v>
      </c>
      <c r="M304" s="72">
        <f t="shared" si="323"/>
        <v>22.54</v>
      </c>
      <c r="N304" s="72">
        <f t="shared" si="324"/>
        <v>0</v>
      </c>
      <c r="O304" s="72">
        <f t="shared" si="325"/>
        <v>0</v>
      </c>
      <c r="P304" s="72">
        <f t="shared" si="326"/>
        <v>0</v>
      </c>
      <c r="Q304" s="72">
        <f t="shared" si="327"/>
        <v>0</v>
      </c>
      <c r="R304" s="72">
        <f t="shared" si="328"/>
        <v>0</v>
      </c>
    </row>
    <row r="305" spans="1:18" x14ac:dyDescent="0.25">
      <c r="A305" s="26" t="s">
        <v>442</v>
      </c>
      <c r="B305" s="45" t="s">
        <v>646</v>
      </c>
      <c r="C305" s="15"/>
      <c r="D305" s="16"/>
      <c r="E305" s="15"/>
      <c r="F305" s="11"/>
      <c r="G305" s="11"/>
      <c r="H305" s="12"/>
      <c r="I305" s="12"/>
      <c r="J305" s="22"/>
      <c r="K305" s="22"/>
      <c r="L305" s="72">
        <f t="shared" ref="L305" si="378">SUM(H305:J305)+K305</f>
        <v>0</v>
      </c>
      <c r="M305" s="72">
        <f t="shared" si="323"/>
        <v>0</v>
      </c>
      <c r="N305" s="72">
        <f t="shared" si="324"/>
        <v>0</v>
      </c>
      <c r="O305" s="72">
        <f t="shared" si="325"/>
        <v>0</v>
      </c>
      <c r="P305" s="72">
        <f t="shared" si="326"/>
        <v>0</v>
      </c>
      <c r="Q305" s="72">
        <f t="shared" si="327"/>
        <v>0</v>
      </c>
      <c r="R305" s="72">
        <f t="shared" si="328"/>
        <v>0</v>
      </c>
    </row>
    <row r="306" spans="1:18" x14ac:dyDescent="0.25">
      <c r="A306" s="26"/>
      <c r="B306" s="25" t="s">
        <v>385</v>
      </c>
      <c r="C306" s="15">
        <v>12</v>
      </c>
      <c r="D306" s="16"/>
      <c r="E306" s="15">
        <v>2</v>
      </c>
      <c r="F306" s="11">
        <v>1</v>
      </c>
      <c r="G306" s="11">
        <v>2</v>
      </c>
      <c r="H306" s="12">
        <v>0.3</v>
      </c>
      <c r="I306" s="12">
        <f>4.315-0.06</f>
        <v>4.2550000000000008</v>
      </c>
      <c r="J306" s="22">
        <v>0.3</v>
      </c>
      <c r="K306" s="22"/>
      <c r="L306" s="72">
        <f>SUM(H306:J306)+K306</f>
        <v>4.8550000000000004</v>
      </c>
      <c r="M306" s="72">
        <f t="shared" si="323"/>
        <v>0</v>
      </c>
      <c r="N306" s="72">
        <f t="shared" si="324"/>
        <v>0</v>
      </c>
      <c r="O306" s="72">
        <f t="shared" si="325"/>
        <v>19.420000000000002</v>
      </c>
      <c r="P306" s="72">
        <f t="shared" si="326"/>
        <v>0</v>
      </c>
      <c r="Q306" s="72">
        <f t="shared" si="327"/>
        <v>0</v>
      </c>
      <c r="R306" s="72">
        <f t="shared" si="328"/>
        <v>0</v>
      </c>
    </row>
    <row r="307" spans="1:18" x14ac:dyDescent="0.25">
      <c r="A307" s="26"/>
      <c r="B307" s="25" t="s">
        <v>432</v>
      </c>
      <c r="C307" s="15">
        <v>12</v>
      </c>
      <c r="D307" s="16"/>
      <c r="E307" s="15">
        <v>2</v>
      </c>
      <c r="F307" s="11">
        <v>1</v>
      </c>
      <c r="G307" s="11">
        <v>2</v>
      </c>
      <c r="H307" s="12">
        <v>0.3</v>
      </c>
      <c r="I307" s="12">
        <f>4.315-0.06</f>
        <v>4.2550000000000008</v>
      </c>
      <c r="J307" s="22">
        <v>0.3</v>
      </c>
      <c r="K307" s="22"/>
      <c r="L307" s="72">
        <f>SUM(H307:J307)+K307</f>
        <v>4.8550000000000004</v>
      </c>
      <c r="M307" s="72">
        <f t="shared" ref="M307:M360" si="379">+ROUND(IF(C307=8,PRODUCT(E307,F307,G307,L307),0),2)</f>
        <v>0</v>
      </c>
      <c r="N307" s="72">
        <f t="shared" ref="N307:N360" si="380">+ROUND(IF(C307=10,PRODUCT(E307,F307,G307,L307),0),2)</f>
        <v>0</v>
      </c>
      <c r="O307" s="72">
        <f t="shared" ref="O307:O360" si="381">+ROUND(IF(C307=12,PRODUCT(E307,F307,G307,L307),0),2)</f>
        <v>19.420000000000002</v>
      </c>
      <c r="P307" s="72">
        <f t="shared" ref="P307:P360" si="382">+ROUND(IF(C307=16,PRODUCT(E307,F307,G307,L307),0),2)</f>
        <v>0</v>
      </c>
      <c r="Q307" s="72">
        <f t="shared" ref="Q307:Q360" si="383">+ROUND(IF(C307=20,PRODUCT(E307,F307,G307,L307),0),2)</f>
        <v>0</v>
      </c>
      <c r="R307" s="72">
        <f t="shared" ref="R307:R360" si="384">+ROUND(IF(C307=25,PRODUCT(E307,F307,G307,L307),0),2)</f>
        <v>0</v>
      </c>
    </row>
    <row r="308" spans="1:18" x14ac:dyDescent="0.25">
      <c r="A308" s="26"/>
      <c r="B308" s="25" t="s">
        <v>462</v>
      </c>
      <c r="C308" s="15">
        <v>8</v>
      </c>
      <c r="D308" s="16">
        <v>100</v>
      </c>
      <c r="E308" s="15">
        <v>2</v>
      </c>
      <c r="F308" s="11">
        <v>1</v>
      </c>
      <c r="G308" s="11">
        <f>+ROUND(1.8/0.1,0)</f>
        <v>18</v>
      </c>
      <c r="H308" s="12"/>
      <c r="I308" s="12">
        <f t="shared" ref="I308:I309" si="385">2*(0.14+0.39)+24*C308/1000</f>
        <v>1.252</v>
      </c>
      <c r="J308" s="22"/>
      <c r="K308" s="47"/>
      <c r="L308" s="72">
        <f t="shared" ref="L308" si="386">SUM(H308:J308)+K308</f>
        <v>1.252</v>
      </c>
      <c r="M308" s="72">
        <f t="shared" si="379"/>
        <v>45.07</v>
      </c>
      <c r="N308" s="72">
        <f t="shared" si="380"/>
        <v>0</v>
      </c>
      <c r="O308" s="72">
        <f t="shared" si="381"/>
        <v>0</v>
      </c>
      <c r="P308" s="72">
        <f t="shared" si="382"/>
        <v>0</v>
      </c>
      <c r="Q308" s="72">
        <f t="shared" si="383"/>
        <v>0</v>
      </c>
      <c r="R308" s="72">
        <f t="shared" si="384"/>
        <v>0</v>
      </c>
    </row>
    <row r="309" spans="1:18" x14ac:dyDescent="0.25">
      <c r="A309" s="26"/>
      <c r="B309" s="25"/>
      <c r="C309" s="15">
        <v>8</v>
      </c>
      <c r="D309" s="16">
        <v>150</v>
      </c>
      <c r="E309" s="15">
        <v>2</v>
      </c>
      <c r="F309" s="11">
        <v>1</v>
      </c>
      <c r="G309" s="11">
        <f>+ROUND(1.315/0.15+1,0)</f>
        <v>10</v>
      </c>
      <c r="H309" s="12"/>
      <c r="I309" s="12">
        <f t="shared" si="385"/>
        <v>1.252</v>
      </c>
      <c r="J309" s="22"/>
      <c r="K309" s="22"/>
      <c r="L309" s="72">
        <f t="shared" ref="L309" si="387">SUM(H309:J309)+K309</f>
        <v>1.252</v>
      </c>
      <c r="M309" s="72">
        <f t="shared" si="379"/>
        <v>25.04</v>
      </c>
      <c r="N309" s="72">
        <f t="shared" si="380"/>
        <v>0</v>
      </c>
      <c r="O309" s="72">
        <f t="shared" si="381"/>
        <v>0</v>
      </c>
      <c r="P309" s="72">
        <f t="shared" si="382"/>
        <v>0</v>
      </c>
      <c r="Q309" s="72">
        <f t="shared" si="383"/>
        <v>0</v>
      </c>
      <c r="R309" s="72">
        <f t="shared" si="384"/>
        <v>0</v>
      </c>
    </row>
    <row r="310" spans="1:18" x14ac:dyDescent="0.25">
      <c r="A310" s="26" t="s">
        <v>442</v>
      </c>
      <c r="B310" s="45" t="s">
        <v>647</v>
      </c>
      <c r="C310" s="15"/>
      <c r="D310" s="16"/>
      <c r="E310" s="15"/>
      <c r="F310" s="11"/>
      <c r="G310" s="11"/>
      <c r="H310" s="12"/>
      <c r="I310" s="12"/>
      <c r="J310" s="22"/>
      <c r="K310" s="22"/>
      <c r="L310" s="72">
        <f t="shared" ref="L310" si="388">SUM(H310:J310)+K310</f>
        <v>0</v>
      </c>
      <c r="M310" s="72">
        <f t="shared" si="379"/>
        <v>0</v>
      </c>
      <c r="N310" s="72">
        <f t="shared" si="380"/>
        <v>0</v>
      </c>
      <c r="O310" s="72">
        <f t="shared" si="381"/>
        <v>0</v>
      </c>
      <c r="P310" s="72">
        <f t="shared" si="382"/>
        <v>0</v>
      </c>
      <c r="Q310" s="72">
        <f t="shared" si="383"/>
        <v>0</v>
      </c>
      <c r="R310" s="72">
        <f t="shared" si="384"/>
        <v>0</v>
      </c>
    </row>
    <row r="311" spans="1:18" x14ac:dyDescent="0.25">
      <c r="A311" s="26"/>
      <c r="B311" s="25" t="s">
        <v>385</v>
      </c>
      <c r="C311" s="15">
        <v>12</v>
      </c>
      <c r="D311" s="16"/>
      <c r="E311" s="15">
        <v>2</v>
      </c>
      <c r="F311" s="11">
        <v>1</v>
      </c>
      <c r="G311" s="11">
        <v>2</v>
      </c>
      <c r="H311" s="12">
        <v>0.2</v>
      </c>
      <c r="I311" s="12">
        <f>2.775-0.06</f>
        <v>2.7149999999999999</v>
      </c>
      <c r="J311" s="22">
        <v>0.2</v>
      </c>
      <c r="K311" s="22"/>
      <c r="L311" s="72">
        <f>SUM(H311:J311)+K311</f>
        <v>3.1150000000000002</v>
      </c>
      <c r="M311" s="72">
        <f t="shared" si="379"/>
        <v>0</v>
      </c>
      <c r="N311" s="72">
        <f t="shared" si="380"/>
        <v>0</v>
      </c>
      <c r="O311" s="72">
        <f t="shared" si="381"/>
        <v>12.46</v>
      </c>
      <c r="P311" s="72">
        <f t="shared" si="382"/>
        <v>0</v>
      </c>
      <c r="Q311" s="72">
        <f t="shared" si="383"/>
        <v>0</v>
      </c>
      <c r="R311" s="72">
        <f t="shared" si="384"/>
        <v>0</v>
      </c>
    </row>
    <row r="312" spans="1:18" x14ac:dyDescent="0.25">
      <c r="A312" s="26"/>
      <c r="B312" s="25" t="s">
        <v>432</v>
      </c>
      <c r="C312" s="15">
        <v>12</v>
      </c>
      <c r="D312" s="16"/>
      <c r="E312" s="15">
        <v>2</v>
      </c>
      <c r="F312" s="11">
        <v>1</v>
      </c>
      <c r="G312" s="11">
        <v>2</v>
      </c>
      <c r="H312" s="12">
        <v>0.2</v>
      </c>
      <c r="I312" s="12">
        <f>2.775-0.06</f>
        <v>2.7149999999999999</v>
      </c>
      <c r="J312" s="22">
        <v>0.2</v>
      </c>
      <c r="K312" s="22"/>
      <c r="L312" s="72">
        <f>SUM(H312:J312)+K312</f>
        <v>3.1150000000000002</v>
      </c>
      <c r="M312" s="72">
        <f t="shared" si="379"/>
        <v>0</v>
      </c>
      <c r="N312" s="72">
        <f t="shared" si="380"/>
        <v>0</v>
      </c>
      <c r="O312" s="72">
        <f t="shared" si="381"/>
        <v>12.46</v>
      </c>
      <c r="P312" s="72">
        <f t="shared" si="382"/>
        <v>0</v>
      </c>
      <c r="Q312" s="72">
        <f t="shared" si="383"/>
        <v>0</v>
      </c>
      <c r="R312" s="72">
        <f t="shared" si="384"/>
        <v>0</v>
      </c>
    </row>
    <row r="313" spans="1:18" x14ac:dyDescent="0.25">
      <c r="A313" s="26"/>
      <c r="B313" s="25" t="s">
        <v>462</v>
      </c>
      <c r="C313" s="15">
        <v>8</v>
      </c>
      <c r="D313" s="16">
        <v>100</v>
      </c>
      <c r="E313" s="15">
        <v>2</v>
      </c>
      <c r="F313" s="11">
        <v>1</v>
      </c>
      <c r="G313" s="11">
        <f>+ROUND(1.41/0.1+1,0)</f>
        <v>15</v>
      </c>
      <c r="H313" s="12"/>
      <c r="I313" s="12">
        <f t="shared" ref="I313" si="389">2*(0.14+0.39)+24*C313/1000</f>
        <v>1.252</v>
      </c>
      <c r="J313" s="22"/>
      <c r="K313" s="47"/>
      <c r="L313" s="72">
        <f t="shared" ref="L313" si="390">SUM(H313:J313)+K313</f>
        <v>1.252</v>
      </c>
      <c r="M313" s="72">
        <f t="shared" si="379"/>
        <v>37.56</v>
      </c>
      <c r="N313" s="72">
        <f t="shared" si="380"/>
        <v>0</v>
      </c>
      <c r="O313" s="72">
        <f t="shared" si="381"/>
        <v>0</v>
      </c>
      <c r="P313" s="72">
        <f t="shared" si="382"/>
        <v>0</v>
      </c>
      <c r="Q313" s="72">
        <f t="shared" si="383"/>
        <v>0</v>
      </c>
      <c r="R313" s="72">
        <f t="shared" si="384"/>
        <v>0</v>
      </c>
    </row>
    <row r="314" spans="1:18" x14ac:dyDescent="0.25">
      <c r="A314" s="26" t="s">
        <v>498</v>
      </c>
      <c r="B314" s="45" t="s">
        <v>648</v>
      </c>
      <c r="C314" s="15"/>
      <c r="D314" s="16"/>
      <c r="E314" s="15"/>
      <c r="F314" s="11"/>
      <c r="G314" s="11"/>
      <c r="H314" s="12"/>
      <c r="I314" s="12"/>
      <c r="J314" s="22"/>
      <c r="K314" s="22"/>
      <c r="L314" s="72">
        <f t="shared" ref="L314" si="391">SUM(H314:J314)+K314</f>
        <v>0</v>
      </c>
      <c r="M314" s="72">
        <f t="shared" si="379"/>
        <v>0</v>
      </c>
      <c r="N314" s="72">
        <f t="shared" si="380"/>
        <v>0</v>
      </c>
      <c r="O314" s="72">
        <f t="shared" si="381"/>
        <v>0</v>
      </c>
      <c r="P314" s="72">
        <f t="shared" si="382"/>
        <v>0</v>
      </c>
      <c r="Q314" s="72">
        <f t="shared" si="383"/>
        <v>0</v>
      </c>
      <c r="R314" s="72">
        <f t="shared" si="384"/>
        <v>0</v>
      </c>
    </row>
    <row r="315" spans="1:18" x14ac:dyDescent="0.25">
      <c r="A315" s="26"/>
      <c r="B315" s="25" t="s">
        <v>385</v>
      </c>
      <c r="C315" s="15">
        <v>12</v>
      </c>
      <c r="D315" s="16"/>
      <c r="E315" s="15">
        <v>2</v>
      </c>
      <c r="F315" s="11">
        <v>1</v>
      </c>
      <c r="G315" s="11">
        <v>2</v>
      </c>
      <c r="H315" s="12">
        <v>0.3</v>
      </c>
      <c r="I315" s="12">
        <f>0.75-0.06</f>
        <v>0.69</v>
      </c>
      <c r="J315" s="22">
        <v>0.3</v>
      </c>
      <c r="K315" s="22"/>
      <c r="L315" s="72">
        <f>SUM(H315:J315)+K315</f>
        <v>1.29</v>
      </c>
      <c r="M315" s="72">
        <f t="shared" si="379"/>
        <v>0</v>
      </c>
      <c r="N315" s="72">
        <f t="shared" si="380"/>
        <v>0</v>
      </c>
      <c r="O315" s="72">
        <f t="shared" si="381"/>
        <v>5.16</v>
      </c>
      <c r="P315" s="72">
        <f t="shared" si="382"/>
        <v>0</v>
      </c>
      <c r="Q315" s="72">
        <f t="shared" si="383"/>
        <v>0</v>
      </c>
      <c r="R315" s="72">
        <f t="shared" si="384"/>
        <v>0</v>
      </c>
    </row>
    <row r="316" spans="1:18" x14ac:dyDescent="0.25">
      <c r="A316" s="26"/>
      <c r="B316" s="25" t="s">
        <v>432</v>
      </c>
      <c r="C316" s="15">
        <v>12</v>
      </c>
      <c r="D316" s="16"/>
      <c r="E316" s="15">
        <v>2</v>
      </c>
      <c r="F316" s="11">
        <v>1</v>
      </c>
      <c r="G316" s="11">
        <v>2</v>
      </c>
      <c r="H316" s="12">
        <v>0.3</v>
      </c>
      <c r="I316" s="12">
        <f>0.75-0.06</f>
        <v>0.69</v>
      </c>
      <c r="J316" s="22">
        <v>0.3</v>
      </c>
      <c r="K316" s="22"/>
      <c r="L316" s="72">
        <f>SUM(H316:J316)+K316</f>
        <v>1.29</v>
      </c>
      <c r="M316" s="72">
        <f t="shared" si="379"/>
        <v>0</v>
      </c>
      <c r="N316" s="72">
        <f t="shared" si="380"/>
        <v>0</v>
      </c>
      <c r="O316" s="72">
        <f t="shared" si="381"/>
        <v>5.16</v>
      </c>
      <c r="P316" s="72">
        <f t="shared" si="382"/>
        <v>0</v>
      </c>
      <c r="Q316" s="72">
        <f t="shared" si="383"/>
        <v>0</v>
      </c>
      <c r="R316" s="72">
        <f t="shared" si="384"/>
        <v>0</v>
      </c>
    </row>
    <row r="317" spans="1:18" x14ac:dyDescent="0.25">
      <c r="A317" s="26"/>
      <c r="B317" s="25" t="s">
        <v>462</v>
      </c>
      <c r="C317" s="15">
        <v>8</v>
      </c>
      <c r="D317" s="16">
        <v>100</v>
      </c>
      <c r="E317" s="15">
        <v>2</v>
      </c>
      <c r="F317" s="11">
        <v>1</v>
      </c>
      <c r="G317" s="11">
        <f>+ROUND(0.69/0.1+1,0)</f>
        <v>8</v>
      </c>
      <c r="H317" s="12"/>
      <c r="I317" s="12">
        <v>1.25</v>
      </c>
      <c r="J317" s="22"/>
      <c r="K317" s="47"/>
      <c r="L317" s="72">
        <f t="shared" ref="L317" si="392">SUM(H317:J317)+K317</f>
        <v>1.25</v>
      </c>
      <c r="M317" s="72">
        <f t="shared" si="379"/>
        <v>20</v>
      </c>
      <c r="N317" s="72">
        <f t="shared" si="380"/>
        <v>0</v>
      </c>
      <c r="O317" s="72">
        <f t="shared" si="381"/>
        <v>0</v>
      </c>
      <c r="P317" s="72">
        <f t="shared" si="382"/>
        <v>0</v>
      </c>
      <c r="Q317" s="72">
        <f t="shared" si="383"/>
        <v>0</v>
      </c>
      <c r="R317" s="72">
        <f t="shared" si="384"/>
        <v>0</v>
      </c>
    </row>
    <row r="318" spans="1:18" x14ac:dyDescent="0.25">
      <c r="A318" s="26" t="s">
        <v>498</v>
      </c>
      <c r="B318" s="45" t="s">
        <v>649</v>
      </c>
      <c r="C318" s="15"/>
      <c r="D318" s="16"/>
      <c r="E318" s="15"/>
      <c r="F318" s="11"/>
      <c r="G318" s="11"/>
      <c r="H318" s="12"/>
      <c r="I318" s="12"/>
      <c r="J318" s="22"/>
      <c r="K318" s="22"/>
      <c r="L318" s="72">
        <f t="shared" ref="L318" si="393">SUM(H318:J318)+K318</f>
        <v>0</v>
      </c>
      <c r="M318" s="72">
        <f t="shared" si="379"/>
        <v>0</v>
      </c>
      <c r="N318" s="72">
        <f t="shared" si="380"/>
        <v>0</v>
      </c>
      <c r="O318" s="72">
        <f t="shared" si="381"/>
        <v>0</v>
      </c>
      <c r="P318" s="72">
        <f t="shared" si="382"/>
        <v>0</v>
      </c>
      <c r="Q318" s="72">
        <f t="shared" si="383"/>
        <v>0</v>
      </c>
      <c r="R318" s="72">
        <f t="shared" si="384"/>
        <v>0</v>
      </c>
    </row>
    <row r="319" spans="1:18" x14ac:dyDescent="0.25">
      <c r="A319" s="26"/>
      <c r="B319" s="25" t="s">
        <v>385</v>
      </c>
      <c r="C319" s="15">
        <v>12</v>
      </c>
      <c r="D319" s="16"/>
      <c r="E319" s="15">
        <v>2</v>
      </c>
      <c r="F319" s="11">
        <v>1</v>
      </c>
      <c r="G319" s="11">
        <v>2</v>
      </c>
      <c r="H319" s="12">
        <f>49*0.016+10*0.016</f>
        <v>0.94400000000000006</v>
      </c>
      <c r="I319" s="12">
        <f>2.36-0.03</f>
        <v>2.33</v>
      </c>
      <c r="J319" s="22">
        <v>0.3</v>
      </c>
      <c r="K319" s="22"/>
      <c r="L319" s="72">
        <f>SUM(H319:J319)+K319</f>
        <v>3.5739999999999998</v>
      </c>
      <c r="M319" s="72">
        <f t="shared" si="379"/>
        <v>0</v>
      </c>
      <c r="N319" s="72">
        <f t="shared" si="380"/>
        <v>0</v>
      </c>
      <c r="O319" s="72">
        <f t="shared" si="381"/>
        <v>14.3</v>
      </c>
      <c r="P319" s="72">
        <f t="shared" si="382"/>
        <v>0</v>
      </c>
      <c r="Q319" s="72">
        <f t="shared" si="383"/>
        <v>0</v>
      </c>
      <c r="R319" s="72">
        <f t="shared" si="384"/>
        <v>0</v>
      </c>
    </row>
    <row r="320" spans="1:18" x14ac:dyDescent="0.25">
      <c r="A320" s="26"/>
      <c r="B320" s="25" t="s">
        <v>432</v>
      </c>
      <c r="C320" s="15">
        <v>16</v>
      </c>
      <c r="D320" s="16"/>
      <c r="E320" s="15">
        <v>2</v>
      </c>
      <c r="F320" s="11">
        <v>1</v>
      </c>
      <c r="G320" s="11">
        <v>2</v>
      </c>
      <c r="H320" s="12">
        <f>49*0.016+10*0.016</f>
        <v>0.94400000000000006</v>
      </c>
      <c r="I320" s="12">
        <f>2.36-0.03</f>
        <v>2.33</v>
      </c>
      <c r="J320" s="22">
        <v>0.3</v>
      </c>
      <c r="K320" s="22"/>
      <c r="L320" s="72">
        <f>SUM(H320:J320)+K320</f>
        <v>3.5739999999999998</v>
      </c>
      <c r="M320" s="72">
        <f t="shared" si="379"/>
        <v>0</v>
      </c>
      <c r="N320" s="72">
        <f t="shared" si="380"/>
        <v>0</v>
      </c>
      <c r="O320" s="72">
        <f t="shared" si="381"/>
        <v>0</v>
      </c>
      <c r="P320" s="72">
        <f t="shared" si="382"/>
        <v>14.3</v>
      </c>
      <c r="Q320" s="72">
        <f t="shared" si="383"/>
        <v>0</v>
      </c>
      <c r="R320" s="72">
        <f t="shared" si="384"/>
        <v>0</v>
      </c>
    </row>
    <row r="321" spans="1:18" x14ac:dyDescent="0.25">
      <c r="A321" s="26"/>
      <c r="B321" s="25" t="s">
        <v>462</v>
      </c>
      <c r="C321" s="15">
        <v>10</v>
      </c>
      <c r="D321" s="16">
        <v>100</v>
      </c>
      <c r="E321" s="15">
        <v>2</v>
      </c>
      <c r="F321" s="11">
        <v>1</v>
      </c>
      <c r="G321" s="11">
        <f>+ROUND(2.16/0.1+1,0)</f>
        <v>23</v>
      </c>
      <c r="H321" s="12"/>
      <c r="I321" s="12">
        <v>1.25</v>
      </c>
      <c r="J321" s="22"/>
      <c r="K321" s="47"/>
      <c r="L321" s="72">
        <f t="shared" ref="L321" si="394">SUM(H321:J321)+K321</f>
        <v>1.25</v>
      </c>
      <c r="M321" s="72">
        <f t="shared" si="379"/>
        <v>0</v>
      </c>
      <c r="N321" s="72">
        <f t="shared" si="380"/>
        <v>57.5</v>
      </c>
      <c r="O321" s="72">
        <f t="shared" si="381"/>
        <v>0</v>
      </c>
      <c r="P321" s="72">
        <f t="shared" si="382"/>
        <v>0</v>
      </c>
      <c r="Q321" s="72">
        <f t="shared" si="383"/>
        <v>0</v>
      </c>
      <c r="R321" s="72">
        <f t="shared" si="384"/>
        <v>0</v>
      </c>
    </row>
    <row r="322" spans="1:18" x14ac:dyDescent="0.25">
      <c r="A322" s="26" t="s">
        <v>498</v>
      </c>
      <c r="B322" s="45" t="s">
        <v>650</v>
      </c>
      <c r="C322" s="15"/>
      <c r="D322" s="16"/>
      <c r="E322" s="15"/>
      <c r="F322" s="11"/>
      <c r="G322" s="11"/>
      <c r="H322" s="12"/>
      <c r="I322" s="12"/>
      <c r="J322" s="22"/>
      <c r="K322" s="22"/>
      <c r="L322" s="72">
        <f t="shared" ref="L322" si="395">SUM(H322:J322)+K322</f>
        <v>0</v>
      </c>
      <c r="M322" s="72">
        <f t="shared" si="379"/>
        <v>0</v>
      </c>
      <c r="N322" s="72">
        <f t="shared" si="380"/>
        <v>0</v>
      </c>
      <c r="O322" s="72">
        <f t="shared" si="381"/>
        <v>0</v>
      </c>
      <c r="P322" s="72">
        <f t="shared" si="382"/>
        <v>0</v>
      </c>
      <c r="Q322" s="72">
        <f t="shared" si="383"/>
        <v>0</v>
      </c>
      <c r="R322" s="72">
        <f t="shared" si="384"/>
        <v>0</v>
      </c>
    </row>
    <row r="323" spans="1:18" x14ac:dyDescent="0.25">
      <c r="A323" s="26"/>
      <c r="B323" s="25" t="s">
        <v>385</v>
      </c>
      <c r="C323" s="15">
        <v>16</v>
      </c>
      <c r="D323" s="16"/>
      <c r="E323" s="15">
        <v>2</v>
      </c>
      <c r="F323" s="11">
        <v>1</v>
      </c>
      <c r="G323" s="11">
        <v>2</v>
      </c>
      <c r="H323" s="12">
        <v>0.3</v>
      </c>
      <c r="I323" s="12">
        <f>4.18-0.06</f>
        <v>4.12</v>
      </c>
      <c r="J323" s="22">
        <v>0.3</v>
      </c>
      <c r="K323" s="22"/>
      <c r="L323" s="72">
        <f>SUM(H323:J323)+K323</f>
        <v>4.72</v>
      </c>
      <c r="M323" s="72">
        <f t="shared" si="379"/>
        <v>0</v>
      </c>
      <c r="N323" s="72">
        <f t="shared" si="380"/>
        <v>0</v>
      </c>
      <c r="O323" s="72">
        <f t="shared" si="381"/>
        <v>0</v>
      </c>
      <c r="P323" s="72">
        <f t="shared" si="382"/>
        <v>18.88</v>
      </c>
      <c r="Q323" s="72">
        <f t="shared" si="383"/>
        <v>0</v>
      </c>
      <c r="R323" s="72">
        <f t="shared" si="384"/>
        <v>0</v>
      </c>
    </row>
    <row r="324" spans="1:18" x14ac:dyDescent="0.25">
      <c r="A324" s="26"/>
      <c r="B324" s="25" t="s">
        <v>432</v>
      </c>
      <c r="C324" s="15">
        <v>16</v>
      </c>
      <c r="D324" s="16"/>
      <c r="E324" s="15">
        <v>2</v>
      </c>
      <c r="F324" s="11">
        <v>1</v>
      </c>
      <c r="G324" s="11">
        <v>2</v>
      </c>
      <c r="H324" s="12">
        <v>0.3</v>
      </c>
      <c r="I324" s="12">
        <f>4.18-0.06</f>
        <v>4.12</v>
      </c>
      <c r="J324" s="22">
        <v>0.3</v>
      </c>
      <c r="K324" s="22"/>
      <c r="L324" s="72">
        <f>SUM(H324:J324)+K324</f>
        <v>4.72</v>
      </c>
      <c r="M324" s="72">
        <f t="shared" si="379"/>
        <v>0</v>
      </c>
      <c r="N324" s="72">
        <f t="shared" si="380"/>
        <v>0</v>
      </c>
      <c r="O324" s="72">
        <f t="shared" si="381"/>
        <v>0</v>
      </c>
      <c r="P324" s="72">
        <f t="shared" si="382"/>
        <v>18.88</v>
      </c>
      <c r="Q324" s="72">
        <f t="shared" si="383"/>
        <v>0</v>
      </c>
      <c r="R324" s="72">
        <f t="shared" si="384"/>
        <v>0</v>
      </c>
    </row>
    <row r="325" spans="1:18" x14ac:dyDescent="0.25">
      <c r="A325" s="26"/>
      <c r="B325" s="25" t="s">
        <v>481</v>
      </c>
      <c r="C325" s="15">
        <v>10</v>
      </c>
      <c r="D325" s="16">
        <v>100</v>
      </c>
      <c r="E325" s="15">
        <v>2</v>
      </c>
      <c r="F325" s="11">
        <v>1</v>
      </c>
      <c r="G325" s="11">
        <f>+ROUND(1.8/0.1,0)</f>
        <v>18</v>
      </c>
      <c r="H325" s="12"/>
      <c r="I325" s="12">
        <f>2*(0.17+0.39)+24*C325/1000</f>
        <v>1.36</v>
      </c>
      <c r="J325" s="22"/>
      <c r="K325" s="47"/>
      <c r="L325" s="72">
        <f t="shared" ref="L325:L327" si="396">SUM(H325:J325)+K325</f>
        <v>1.36</v>
      </c>
      <c r="M325" s="72">
        <f t="shared" si="379"/>
        <v>0</v>
      </c>
      <c r="N325" s="72">
        <f t="shared" si="380"/>
        <v>48.96</v>
      </c>
      <c r="O325" s="72">
        <f t="shared" si="381"/>
        <v>0</v>
      </c>
      <c r="P325" s="72">
        <f t="shared" si="382"/>
        <v>0</v>
      </c>
      <c r="Q325" s="72">
        <f t="shared" si="383"/>
        <v>0</v>
      </c>
      <c r="R325" s="72">
        <f t="shared" si="384"/>
        <v>0</v>
      </c>
    </row>
    <row r="326" spans="1:18" x14ac:dyDescent="0.25">
      <c r="A326" s="26"/>
      <c r="B326" s="25"/>
      <c r="C326" s="15">
        <v>10</v>
      </c>
      <c r="D326" s="16">
        <v>150</v>
      </c>
      <c r="E326" s="15">
        <v>2</v>
      </c>
      <c r="F326" s="11">
        <v>1</v>
      </c>
      <c r="G326" s="11">
        <f>+ROUND(1.4/0.15+1,0)</f>
        <v>10</v>
      </c>
      <c r="H326" s="12"/>
      <c r="I326" s="12">
        <f>2*(0.17+0.39)+24*C326/1000</f>
        <v>1.36</v>
      </c>
      <c r="J326" s="22"/>
      <c r="K326" s="47"/>
      <c r="L326" s="72">
        <f t="shared" si="396"/>
        <v>1.36</v>
      </c>
      <c r="M326" s="72">
        <f t="shared" si="379"/>
        <v>0</v>
      </c>
      <c r="N326" s="72">
        <f t="shared" si="380"/>
        <v>27.2</v>
      </c>
      <c r="O326" s="72">
        <f t="shared" si="381"/>
        <v>0</v>
      </c>
      <c r="P326" s="72">
        <f t="shared" si="382"/>
        <v>0</v>
      </c>
      <c r="Q326" s="72">
        <f t="shared" si="383"/>
        <v>0</v>
      </c>
      <c r="R326" s="72">
        <f t="shared" si="384"/>
        <v>0</v>
      </c>
    </row>
    <row r="327" spans="1:18" x14ac:dyDescent="0.25">
      <c r="A327" s="26" t="s">
        <v>498</v>
      </c>
      <c r="B327" s="45" t="s">
        <v>651</v>
      </c>
      <c r="C327" s="15"/>
      <c r="D327" s="16"/>
      <c r="E327" s="15"/>
      <c r="F327" s="11"/>
      <c r="G327" s="11"/>
      <c r="H327" s="12"/>
      <c r="I327" s="12"/>
      <c r="J327" s="22"/>
      <c r="K327" s="22"/>
      <c r="L327" s="72">
        <f t="shared" si="396"/>
        <v>0</v>
      </c>
      <c r="M327" s="72">
        <f t="shared" si="379"/>
        <v>0</v>
      </c>
      <c r="N327" s="72">
        <f t="shared" si="380"/>
        <v>0</v>
      </c>
      <c r="O327" s="72">
        <f t="shared" si="381"/>
        <v>0</v>
      </c>
      <c r="P327" s="72">
        <f t="shared" si="382"/>
        <v>0</v>
      </c>
      <c r="Q327" s="72">
        <f t="shared" si="383"/>
        <v>0</v>
      </c>
      <c r="R327" s="72">
        <f t="shared" si="384"/>
        <v>0</v>
      </c>
    </row>
    <row r="328" spans="1:18" x14ac:dyDescent="0.25">
      <c r="A328" s="26"/>
      <c r="B328" s="25" t="s">
        <v>385</v>
      </c>
      <c r="C328" s="15">
        <v>16</v>
      </c>
      <c r="D328" s="16"/>
      <c r="E328" s="15">
        <v>2</v>
      </c>
      <c r="F328" s="11">
        <v>1</v>
      </c>
      <c r="G328" s="11">
        <v>2</v>
      </c>
      <c r="H328" s="12">
        <v>0.3</v>
      </c>
      <c r="I328" s="12">
        <f>18.975-0.06</f>
        <v>18.915000000000003</v>
      </c>
      <c r="J328" s="22">
        <v>0.3</v>
      </c>
      <c r="K328" s="22">
        <f>49*C328/1000</f>
        <v>0.78400000000000003</v>
      </c>
      <c r="L328" s="72">
        <f>SUM(H328:J328)+K328</f>
        <v>20.299000000000003</v>
      </c>
      <c r="M328" s="72">
        <f t="shared" si="379"/>
        <v>0</v>
      </c>
      <c r="N328" s="72">
        <f t="shared" si="380"/>
        <v>0</v>
      </c>
      <c r="O328" s="72">
        <f t="shared" si="381"/>
        <v>0</v>
      </c>
      <c r="P328" s="72">
        <f t="shared" si="382"/>
        <v>81.2</v>
      </c>
      <c r="Q328" s="72">
        <f t="shared" si="383"/>
        <v>0</v>
      </c>
      <c r="R328" s="72">
        <f t="shared" si="384"/>
        <v>0</v>
      </c>
    </row>
    <row r="329" spans="1:18" x14ac:dyDescent="0.25">
      <c r="A329" s="26"/>
      <c r="B329" s="25" t="s">
        <v>432</v>
      </c>
      <c r="C329" s="15">
        <v>16</v>
      </c>
      <c r="D329" s="16"/>
      <c r="E329" s="15">
        <v>2</v>
      </c>
      <c r="F329" s="11">
        <v>1</v>
      </c>
      <c r="G329" s="11">
        <v>2</v>
      </c>
      <c r="H329" s="12">
        <v>0.3</v>
      </c>
      <c r="I329" s="12">
        <f>18.975-0.06</f>
        <v>18.915000000000003</v>
      </c>
      <c r="J329" s="22">
        <v>0.3</v>
      </c>
      <c r="K329" s="22">
        <f>49*C329/1000</f>
        <v>0.78400000000000003</v>
      </c>
      <c r="L329" s="72">
        <f>SUM(H329:J329)+K329</f>
        <v>20.299000000000003</v>
      </c>
      <c r="M329" s="72">
        <f t="shared" si="379"/>
        <v>0</v>
      </c>
      <c r="N329" s="72">
        <f t="shared" si="380"/>
        <v>0</v>
      </c>
      <c r="O329" s="72">
        <f t="shared" si="381"/>
        <v>0</v>
      </c>
      <c r="P329" s="72">
        <f t="shared" si="382"/>
        <v>81.2</v>
      </c>
      <c r="Q329" s="72">
        <f t="shared" si="383"/>
        <v>0</v>
      </c>
      <c r="R329" s="72">
        <f t="shared" si="384"/>
        <v>0</v>
      </c>
    </row>
    <row r="330" spans="1:18" x14ac:dyDescent="0.25">
      <c r="A330" s="26"/>
      <c r="B330" s="25" t="s">
        <v>481</v>
      </c>
      <c r="C330" s="15">
        <v>8</v>
      </c>
      <c r="D330" s="16">
        <v>100</v>
      </c>
      <c r="E330" s="15">
        <v>2</v>
      </c>
      <c r="F330" s="11">
        <v>1</v>
      </c>
      <c r="G330" s="11">
        <f>+ROUND(1.8/0.1,0)</f>
        <v>18</v>
      </c>
      <c r="H330" s="12"/>
      <c r="I330" s="12">
        <f t="shared" ref="I330:I331" si="397">2*(0.17+0.39)+24*C330/1000</f>
        <v>1.3120000000000001</v>
      </c>
      <c r="J330" s="22"/>
      <c r="K330" s="47"/>
      <c r="L330" s="72">
        <f t="shared" ref="L330:L332" si="398">SUM(H330:J330)+K330</f>
        <v>1.3120000000000001</v>
      </c>
      <c r="M330" s="72">
        <f t="shared" si="379"/>
        <v>47.23</v>
      </c>
      <c r="N330" s="72">
        <f t="shared" si="380"/>
        <v>0</v>
      </c>
      <c r="O330" s="72">
        <f t="shared" si="381"/>
        <v>0</v>
      </c>
      <c r="P330" s="72">
        <f t="shared" si="382"/>
        <v>0</v>
      </c>
      <c r="Q330" s="72">
        <f t="shared" si="383"/>
        <v>0</v>
      </c>
      <c r="R330" s="72">
        <f t="shared" si="384"/>
        <v>0</v>
      </c>
    </row>
    <row r="331" spans="1:18" x14ac:dyDescent="0.25">
      <c r="A331" s="26"/>
      <c r="B331" s="25"/>
      <c r="C331" s="15">
        <v>8</v>
      </c>
      <c r="D331" s="16">
        <v>150</v>
      </c>
      <c r="E331" s="15">
        <v>2</v>
      </c>
      <c r="F331" s="11">
        <v>1</v>
      </c>
      <c r="G331" s="11">
        <f>+ROUND(0.74/0.15+1,0)</f>
        <v>6</v>
      </c>
      <c r="H331" s="12"/>
      <c r="I331" s="12">
        <f t="shared" si="397"/>
        <v>1.3120000000000001</v>
      </c>
      <c r="J331" s="22"/>
      <c r="K331" s="47"/>
      <c r="L331" s="72">
        <f t="shared" si="398"/>
        <v>1.3120000000000001</v>
      </c>
      <c r="M331" s="72">
        <f t="shared" si="379"/>
        <v>15.74</v>
      </c>
      <c r="N331" s="72">
        <f t="shared" si="380"/>
        <v>0</v>
      </c>
      <c r="O331" s="72">
        <f t="shared" si="381"/>
        <v>0</v>
      </c>
      <c r="P331" s="72">
        <f t="shared" si="382"/>
        <v>0</v>
      </c>
      <c r="Q331" s="72">
        <f t="shared" si="383"/>
        <v>0</v>
      </c>
      <c r="R331" s="72">
        <f t="shared" si="384"/>
        <v>0</v>
      </c>
    </row>
    <row r="332" spans="1:18" x14ac:dyDescent="0.25">
      <c r="A332" s="26"/>
      <c r="B332" s="25" t="s">
        <v>453</v>
      </c>
      <c r="C332" s="15">
        <v>8</v>
      </c>
      <c r="D332" s="16">
        <v>100</v>
      </c>
      <c r="E332" s="15">
        <v>2</v>
      </c>
      <c r="F332" s="11">
        <v>2</v>
      </c>
      <c r="G332" s="11">
        <f>+ROUND(1.8/0.1,0)</f>
        <v>18</v>
      </c>
      <c r="H332" s="12"/>
      <c r="I332" s="12">
        <f t="shared" ref="I332:I333" si="399">2*(0.14+0.39)+24*C332/1000</f>
        <v>1.252</v>
      </c>
      <c r="J332" s="22"/>
      <c r="K332" s="47"/>
      <c r="L332" s="72">
        <f t="shared" si="398"/>
        <v>1.252</v>
      </c>
      <c r="M332" s="72">
        <f t="shared" si="379"/>
        <v>90.14</v>
      </c>
      <c r="N332" s="72">
        <f t="shared" si="380"/>
        <v>0</v>
      </c>
      <c r="O332" s="72">
        <f t="shared" si="381"/>
        <v>0</v>
      </c>
      <c r="P332" s="72">
        <f t="shared" si="382"/>
        <v>0</v>
      </c>
      <c r="Q332" s="72">
        <f t="shared" si="383"/>
        <v>0</v>
      </c>
      <c r="R332" s="72">
        <f t="shared" si="384"/>
        <v>0</v>
      </c>
    </row>
    <row r="333" spans="1:18" x14ac:dyDescent="0.25">
      <c r="A333" s="26"/>
      <c r="B333" s="25"/>
      <c r="C333" s="15">
        <v>8</v>
      </c>
      <c r="D333" s="16">
        <v>150</v>
      </c>
      <c r="E333" s="15">
        <v>2</v>
      </c>
      <c r="F333" s="11">
        <v>2</v>
      </c>
      <c r="G333" s="11">
        <f>+ROUND(1.63/0.15+1,0)</f>
        <v>12</v>
      </c>
      <c r="H333" s="12"/>
      <c r="I333" s="12">
        <f t="shared" si="399"/>
        <v>1.252</v>
      </c>
      <c r="J333" s="22"/>
      <c r="K333" s="22"/>
      <c r="L333" s="72">
        <f>SUM(H333:J333)+K333</f>
        <v>1.252</v>
      </c>
      <c r="M333" s="72">
        <f t="shared" si="379"/>
        <v>60.1</v>
      </c>
      <c r="N333" s="72">
        <f t="shared" si="380"/>
        <v>0</v>
      </c>
      <c r="O333" s="72">
        <f t="shared" si="381"/>
        <v>0</v>
      </c>
      <c r="P333" s="72">
        <f t="shared" si="382"/>
        <v>0</v>
      </c>
      <c r="Q333" s="72">
        <f t="shared" si="383"/>
        <v>0</v>
      </c>
      <c r="R333" s="72">
        <f t="shared" si="384"/>
        <v>0</v>
      </c>
    </row>
    <row r="334" spans="1:18" x14ac:dyDescent="0.25">
      <c r="A334" s="26"/>
      <c r="B334" s="25" t="s">
        <v>453</v>
      </c>
      <c r="C334" s="15">
        <v>8</v>
      </c>
      <c r="D334" s="16">
        <v>100</v>
      </c>
      <c r="E334" s="15">
        <v>2</v>
      </c>
      <c r="F334" s="11">
        <v>1</v>
      </c>
      <c r="G334" s="11">
        <f>+ROUND(1.8/0.1,0)</f>
        <v>18</v>
      </c>
      <c r="H334" s="12"/>
      <c r="I334" s="12">
        <f t="shared" ref="I334:I335" si="400">2*(0.14+0.39)+24*C334/1000</f>
        <v>1.252</v>
      </c>
      <c r="J334" s="22"/>
      <c r="K334" s="47"/>
      <c r="L334" s="72">
        <f t="shared" ref="L334" si="401">SUM(H334:J334)+K334</f>
        <v>1.252</v>
      </c>
      <c r="M334" s="72">
        <f t="shared" ref="M334:M335" si="402">+ROUND(IF(C334=8,PRODUCT(E334,F334,G334,L334),0),2)</f>
        <v>45.07</v>
      </c>
      <c r="N334" s="72">
        <f t="shared" ref="N334:N335" si="403">+ROUND(IF(C334=10,PRODUCT(E334,F334,G334,L334),0),2)</f>
        <v>0</v>
      </c>
      <c r="O334" s="72">
        <f t="shared" ref="O334:O335" si="404">+ROUND(IF(C334=12,PRODUCT(E334,F334,G334,L334),0),2)</f>
        <v>0</v>
      </c>
      <c r="P334" s="72">
        <f t="shared" ref="P334:P335" si="405">+ROUND(IF(C334=16,PRODUCT(E334,F334,G334,L334),0),2)</f>
        <v>0</v>
      </c>
      <c r="Q334" s="72">
        <f t="shared" ref="Q334:Q335" si="406">+ROUND(IF(C334=20,PRODUCT(E334,F334,G334,L334),0),2)</f>
        <v>0</v>
      </c>
      <c r="R334" s="72">
        <f t="shared" ref="R334:R335" si="407">+ROUND(IF(C334=25,PRODUCT(E334,F334,G334,L334),0),2)</f>
        <v>0</v>
      </c>
    </row>
    <row r="335" spans="1:18" x14ac:dyDescent="0.25">
      <c r="A335" s="26"/>
      <c r="B335" s="25"/>
      <c r="C335" s="15">
        <v>8</v>
      </c>
      <c r="D335" s="16">
        <v>150</v>
      </c>
      <c r="E335" s="15">
        <v>2</v>
      </c>
      <c r="F335" s="11">
        <v>1</v>
      </c>
      <c r="G335" s="11">
        <f>+ROUND(1.34/0.15+1,0)</f>
        <v>10</v>
      </c>
      <c r="H335" s="12"/>
      <c r="I335" s="12">
        <f t="shared" si="400"/>
        <v>1.252</v>
      </c>
      <c r="J335" s="22"/>
      <c r="K335" s="22"/>
      <c r="L335" s="72">
        <f>SUM(H335:J335)+K335</f>
        <v>1.252</v>
      </c>
      <c r="M335" s="72">
        <f t="shared" si="402"/>
        <v>25.04</v>
      </c>
      <c r="N335" s="72">
        <f t="shared" si="403"/>
        <v>0</v>
      </c>
      <c r="O335" s="72">
        <f t="shared" si="404"/>
        <v>0</v>
      </c>
      <c r="P335" s="72">
        <f t="shared" si="405"/>
        <v>0</v>
      </c>
      <c r="Q335" s="72">
        <f t="shared" si="406"/>
        <v>0</v>
      </c>
      <c r="R335" s="72">
        <f t="shared" si="407"/>
        <v>0</v>
      </c>
    </row>
    <row r="336" spans="1:18" x14ac:dyDescent="0.25">
      <c r="A336" s="26"/>
      <c r="B336" s="25" t="s">
        <v>453</v>
      </c>
      <c r="C336" s="15">
        <v>8</v>
      </c>
      <c r="D336" s="16">
        <v>100</v>
      </c>
      <c r="E336" s="15">
        <v>2</v>
      </c>
      <c r="F336" s="11">
        <v>1</v>
      </c>
      <c r="G336" s="11">
        <f>+ROUND(1.9/0.1+1,0)</f>
        <v>20</v>
      </c>
      <c r="H336" s="12"/>
      <c r="I336" s="12">
        <f t="shared" ref="I336" si="408">2*(0.14+0.39)+24*C336/1000</f>
        <v>1.252</v>
      </c>
      <c r="J336" s="22"/>
      <c r="K336" s="47"/>
      <c r="L336" s="72">
        <f t="shared" ref="L336" si="409">SUM(H336:J336)+K336</f>
        <v>1.252</v>
      </c>
      <c r="M336" s="72">
        <f t="shared" ref="M336" si="410">+ROUND(IF(C336=8,PRODUCT(E336,F336,G336,L336),0),2)</f>
        <v>50.08</v>
      </c>
      <c r="N336" s="72">
        <f t="shared" ref="N336" si="411">+ROUND(IF(C336=10,PRODUCT(E336,F336,G336,L336),0),2)</f>
        <v>0</v>
      </c>
      <c r="O336" s="72">
        <f t="shared" ref="O336" si="412">+ROUND(IF(C336=12,PRODUCT(E336,F336,G336,L336),0),2)</f>
        <v>0</v>
      </c>
      <c r="P336" s="72">
        <f t="shared" ref="P336" si="413">+ROUND(IF(C336=16,PRODUCT(E336,F336,G336,L336),0),2)</f>
        <v>0</v>
      </c>
      <c r="Q336" s="72">
        <f t="shared" ref="Q336" si="414">+ROUND(IF(C336=20,PRODUCT(E336,F336,G336,L336),0),2)</f>
        <v>0</v>
      </c>
      <c r="R336" s="72">
        <f t="shared" ref="R336" si="415">+ROUND(IF(C336=25,PRODUCT(E336,F336,G336,L336),0),2)</f>
        <v>0</v>
      </c>
    </row>
    <row r="337" spans="1:18" x14ac:dyDescent="0.25">
      <c r="A337" s="26" t="s">
        <v>442</v>
      </c>
      <c r="B337" s="45" t="s">
        <v>652</v>
      </c>
      <c r="C337" s="15"/>
      <c r="D337" s="16"/>
      <c r="E337" s="15"/>
      <c r="F337" s="11"/>
      <c r="G337" s="11"/>
      <c r="H337" s="12"/>
      <c r="I337" s="12"/>
      <c r="J337" s="22"/>
      <c r="K337" s="22"/>
      <c r="L337" s="72">
        <f t="shared" ref="L337" si="416">SUM(H337:J337)+K337</f>
        <v>0</v>
      </c>
      <c r="M337" s="72">
        <f t="shared" si="379"/>
        <v>0</v>
      </c>
      <c r="N337" s="72">
        <f t="shared" si="380"/>
        <v>0</v>
      </c>
      <c r="O337" s="72">
        <f t="shared" si="381"/>
        <v>0</v>
      </c>
      <c r="P337" s="72">
        <f t="shared" si="382"/>
        <v>0</v>
      </c>
      <c r="Q337" s="72">
        <f t="shared" si="383"/>
        <v>0</v>
      </c>
      <c r="R337" s="72">
        <f t="shared" si="384"/>
        <v>0</v>
      </c>
    </row>
    <row r="338" spans="1:18" x14ac:dyDescent="0.25">
      <c r="A338" s="26"/>
      <c r="B338" s="25" t="s">
        <v>385</v>
      </c>
      <c r="C338" s="15">
        <v>12</v>
      </c>
      <c r="D338" s="16"/>
      <c r="E338" s="15">
        <v>4</v>
      </c>
      <c r="F338" s="11">
        <v>1</v>
      </c>
      <c r="G338" s="11">
        <v>2</v>
      </c>
      <c r="H338" s="12">
        <v>0.3</v>
      </c>
      <c r="I338" s="12">
        <f>3.225-0.06</f>
        <v>3.165</v>
      </c>
      <c r="J338" s="22">
        <v>0.3</v>
      </c>
      <c r="K338" s="22"/>
      <c r="L338" s="72">
        <f>SUM(H338:J338)+K338</f>
        <v>3.7649999999999997</v>
      </c>
      <c r="M338" s="72">
        <f t="shared" si="379"/>
        <v>0</v>
      </c>
      <c r="N338" s="72">
        <f t="shared" si="380"/>
        <v>0</v>
      </c>
      <c r="O338" s="72">
        <f t="shared" si="381"/>
        <v>30.12</v>
      </c>
      <c r="P338" s="72">
        <f t="shared" si="382"/>
        <v>0</v>
      </c>
      <c r="Q338" s="72">
        <f t="shared" si="383"/>
        <v>0</v>
      </c>
      <c r="R338" s="72">
        <f t="shared" si="384"/>
        <v>0</v>
      </c>
    </row>
    <row r="339" spans="1:18" x14ac:dyDescent="0.25">
      <c r="A339" s="26"/>
      <c r="B339" s="25" t="s">
        <v>432</v>
      </c>
      <c r="C339" s="15">
        <v>12</v>
      </c>
      <c r="D339" s="16"/>
      <c r="E339" s="15">
        <v>4</v>
      </c>
      <c r="F339" s="11">
        <v>1</v>
      </c>
      <c r="G339" s="11">
        <v>2</v>
      </c>
      <c r="H339" s="12">
        <v>0.3</v>
      </c>
      <c r="I339" s="12">
        <f>3.225-0.06</f>
        <v>3.165</v>
      </c>
      <c r="J339" s="22">
        <v>0.3</v>
      </c>
      <c r="K339" s="22"/>
      <c r="L339" s="72">
        <f>SUM(H339:J339)+K339</f>
        <v>3.7649999999999997</v>
      </c>
      <c r="M339" s="72">
        <f t="shared" si="379"/>
        <v>0</v>
      </c>
      <c r="N339" s="72">
        <f t="shared" si="380"/>
        <v>0</v>
      </c>
      <c r="O339" s="72">
        <f t="shared" si="381"/>
        <v>30.12</v>
      </c>
      <c r="P339" s="72">
        <f t="shared" si="382"/>
        <v>0</v>
      </c>
      <c r="Q339" s="72">
        <f t="shared" si="383"/>
        <v>0</v>
      </c>
      <c r="R339" s="72">
        <f t="shared" si="384"/>
        <v>0</v>
      </c>
    </row>
    <row r="340" spans="1:18" x14ac:dyDescent="0.25">
      <c r="A340" s="26"/>
      <c r="B340" s="25" t="s">
        <v>453</v>
      </c>
      <c r="C340" s="15">
        <v>8</v>
      </c>
      <c r="D340" s="16">
        <v>100</v>
      </c>
      <c r="E340" s="15">
        <v>4</v>
      </c>
      <c r="F340" s="11">
        <v>1</v>
      </c>
      <c r="G340" s="11">
        <f>+ROUND(2.225/0.1+1,0)</f>
        <v>23</v>
      </c>
      <c r="H340" s="12"/>
      <c r="I340" s="12">
        <f t="shared" ref="I340" si="417">2*(0.14+0.39)+24*C340/1000</f>
        <v>1.252</v>
      </c>
      <c r="J340" s="22"/>
      <c r="K340" s="47"/>
      <c r="L340" s="72">
        <f t="shared" ref="L340" si="418">SUM(H340:J340)+K340</f>
        <v>1.252</v>
      </c>
      <c r="M340" s="72">
        <f t="shared" si="379"/>
        <v>115.18</v>
      </c>
      <c r="N340" s="72">
        <f t="shared" si="380"/>
        <v>0</v>
      </c>
      <c r="O340" s="72">
        <f t="shared" si="381"/>
        <v>0</v>
      </c>
      <c r="P340" s="72">
        <f t="shared" si="382"/>
        <v>0</v>
      </c>
      <c r="Q340" s="72">
        <f t="shared" si="383"/>
        <v>0</v>
      </c>
      <c r="R340" s="72">
        <f t="shared" si="384"/>
        <v>0</v>
      </c>
    </row>
    <row r="341" spans="1:18" x14ac:dyDescent="0.25">
      <c r="A341" s="26" t="s">
        <v>442</v>
      </c>
      <c r="B341" s="45" t="s">
        <v>653</v>
      </c>
      <c r="C341" s="15"/>
      <c r="D341" s="16"/>
      <c r="E341" s="15"/>
      <c r="F341" s="11"/>
      <c r="G341" s="11"/>
      <c r="H341" s="12"/>
      <c r="I341" s="12"/>
      <c r="J341" s="22"/>
      <c r="K341" s="22"/>
      <c r="L341" s="72">
        <f t="shared" ref="L341" si="419">SUM(H341:J341)+K341</f>
        <v>0</v>
      </c>
      <c r="M341" s="72">
        <f t="shared" si="379"/>
        <v>0</v>
      </c>
      <c r="N341" s="72">
        <f t="shared" si="380"/>
        <v>0</v>
      </c>
      <c r="O341" s="72">
        <f t="shared" si="381"/>
        <v>0</v>
      </c>
      <c r="P341" s="72">
        <f t="shared" si="382"/>
        <v>0</v>
      </c>
      <c r="Q341" s="72">
        <f t="shared" si="383"/>
        <v>0</v>
      </c>
      <c r="R341" s="72">
        <f t="shared" si="384"/>
        <v>0</v>
      </c>
    </row>
    <row r="342" spans="1:18" x14ac:dyDescent="0.25">
      <c r="A342" s="26"/>
      <c r="B342" s="25" t="s">
        <v>385</v>
      </c>
      <c r="C342" s="15">
        <v>12</v>
      </c>
      <c r="D342" s="16"/>
      <c r="E342" s="15">
        <v>2</v>
      </c>
      <c r="F342" s="11">
        <v>1</v>
      </c>
      <c r="G342" s="11">
        <v>2</v>
      </c>
      <c r="H342" s="12">
        <v>0.3</v>
      </c>
      <c r="I342" s="12">
        <f>3.96-0.06</f>
        <v>3.9</v>
      </c>
      <c r="J342" s="22">
        <v>0.3</v>
      </c>
      <c r="K342" s="22"/>
      <c r="L342" s="72">
        <f>SUM(H342:J342)+K342</f>
        <v>4.5</v>
      </c>
      <c r="M342" s="72">
        <f t="shared" si="379"/>
        <v>0</v>
      </c>
      <c r="N342" s="72">
        <f t="shared" si="380"/>
        <v>0</v>
      </c>
      <c r="O342" s="72">
        <f t="shared" si="381"/>
        <v>18</v>
      </c>
      <c r="P342" s="72">
        <f t="shared" si="382"/>
        <v>0</v>
      </c>
      <c r="Q342" s="72">
        <f t="shared" si="383"/>
        <v>0</v>
      </c>
      <c r="R342" s="72">
        <f t="shared" si="384"/>
        <v>0</v>
      </c>
    </row>
    <row r="343" spans="1:18" x14ac:dyDescent="0.25">
      <c r="A343" s="26"/>
      <c r="B343" s="25" t="s">
        <v>432</v>
      </c>
      <c r="C343" s="15">
        <v>12</v>
      </c>
      <c r="D343" s="16"/>
      <c r="E343" s="15">
        <v>2</v>
      </c>
      <c r="F343" s="11">
        <v>1</v>
      </c>
      <c r="G343" s="11">
        <v>2</v>
      </c>
      <c r="H343" s="12">
        <v>0.3</v>
      </c>
      <c r="I343" s="12">
        <f>3.96-0.06</f>
        <v>3.9</v>
      </c>
      <c r="J343" s="22">
        <v>0.3</v>
      </c>
      <c r="K343" s="22"/>
      <c r="L343" s="72">
        <f>SUM(H343:J343)+K343</f>
        <v>4.5</v>
      </c>
      <c r="M343" s="72">
        <f t="shared" si="379"/>
        <v>0</v>
      </c>
      <c r="N343" s="72">
        <f t="shared" si="380"/>
        <v>0</v>
      </c>
      <c r="O343" s="72">
        <f t="shared" si="381"/>
        <v>18</v>
      </c>
      <c r="P343" s="72">
        <f t="shared" si="382"/>
        <v>0</v>
      </c>
      <c r="Q343" s="72">
        <f t="shared" si="383"/>
        <v>0</v>
      </c>
      <c r="R343" s="72">
        <f t="shared" si="384"/>
        <v>0</v>
      </c>
    </row>
    <row r="344" spans="1:18" x14ac:dyDescent="0.25">
      <c r="A344" s="26"/>
      <c r="B344" s="25" t="s">
        <v>462</v>
      </c>
      <c r="C344" s="15">
        <v>8</v>
      </c>
      <c r="D344" s="16">
        <v>100</v>
      </c>
      <c r="E344" s="15">
        <v>2</v>
      </c>
      <c r="F344" s="11">
        <v>1</v>
      </c>
      <c r="G344" s="11">
        <f>+ROUND(1.8/0.1,0)</f>
        <v>18</v>
      </c>
      <c r="H344" s="12"/>
      <c r="I344" s="12">
        <f t="shared" ref="I344:I345" si="420">2*(0.14+0.39)+24*C344/1000</f>
        <v>1.252</v>
      </c>
      <c r="J344" s="22"/>
      <c r="K344" s="47"/>
      <c r="L344" s="72">
        <f t="shared" ref="L344:L346" si="421">SUM(H344:J344)+K344</f>
        <v>1.252</v>
      </c>
      <c r="M344" s="72">
        <f t="shared" si="379"/>
        <v>45.07</v>
      </c>
      <c r="N344" s="72">
        <f t="shared" si="380"/>
        <v>0</v>
      </c>
      <c r="O344" s="72">
        <f t="shared" si="381"/>
        <v>0</v>
      </c>
      <c r="P344" s="72">
        <f t="shared" si="382"/>
        <v>0</v>
      </c>
      <c r="Q344" s="72">
        <f t="shared" si="383"/>
        <v>0</v>
      </c>
      <c r="R344" s="72">
        <f t="shared" si="384"/>
        <v>0</v>
      </c>
    </row>
    <row r="345" spans="1:18" x14ac:dyDescent="0.25">
      <c r="A345" s="26"/>
      <c r="B345" s="25"/>
      <c r="C345" s="15">
        <v>8</v>
      </c>
      <c r="D345" s="16">
        <v>150</v>
      </c>
      <c r="E345" s="15">
        <v>2</v>
      </c>
      <c r="F345" s="11">
        <v>1</v>
      </c>
      <c r="G345" s="11">
        <f>+ROUND(1.065/0.15+1,0)</f>
        <v>8</v>
      </c>
      <c r="H345" s="12"/>
      <c r="I345" s="12">
        <f t="shared" si="420"/>
        <v>1.252</v>
      </c>
      <c r="J345" s="22"/>
      <c r="K345" s="47"/>
      <c r="L345" s="72">
        <f t="shared" si="421"/>
        <v>1.252</v>
      </c>
      <c r="M345" s="72">
        <f t="shared" si="379"/>
        <v>20.03</v>
      </c>
      <c r="N345" s="72">
        <f t="shared" si="380"/>
        <v>0</v>
      </c>
      <c r="O345" s="72">
        <f t="shared" si="381"/>
        <v>0</v>
      </c>
      <c r="P345" s="72">
        <f t="shared" si="382"/>
        <v>0</v>
      </c>
      <c r="Q345" s="72">
        <f t="shared" si="383"/>
        <v>0</v>
      </c>
      <c r="R345" s="72">
        <f t="shared" si="384"/>
        <v>0</v>
      </c>
    </row>
    <row r="346" spans="1:18" x14ac:dyDescent="0.25">
      <c r="A346" s="26" t="s">
        <v>442</v>
      </c>
      <c r="B346" s="45" t="s">
        <v>654</v>
      </c>
      <c r="C346" s="15"/>
      <c r="D346" s="16"/>
      <c r="E346" s="15"/>
      <c r="F346" s="11"/>
      <c r="G346" s="11"/>
      <c r="H346" s="12"/>
      <c r="I346" s="12"/>
      <c r="J346" s="22"/>
      <c r="K346" s="22"/>
      <c r="L346" s="72">
        <f t="shared" si="421"/>
        <v>0</v>
      </c>
      <c r="M346" s="72">
        <f t="shared" ref="M346:M350" si="422">+ROUND(IF(C346=8,PRODUCT(E346,F346,G346,L346),0),2)</f>
        <v>0</v>
      </c>
      <c r="N346" s="72">
        <f t="shared" ref="N346:N350" si="423">+ROUND(IF(C346=10,PRODUCT(E346,F346,G346,L346),0),2)</f>
        <v>0</v>
      </c>
      <c r="O346" s="72">
        <f t="shared" ref="O346:O350" si="424">+ROUND(IF(C346=12,PRODUCT(E346,F346,G346,L346),0),2)</f>
        <v>0</v>
      </c>
      <c r="P346" s="72">
        <f t="shared" ref="P346:P350" si="425">+ROUND(IF(C346=16,PRODUCT(E346,F346,G346,L346),0),2)</f>
        <v>0</v>
      </c>
      <c r="Q346" s="72">
        <f t="shared" ref="Q346:Q350" si="426">+ROUND(IF(C346=20,PRODUCT(E346,F346,G346,L346),0),2)</f>
        <v>0</v>
      </c>
      <c r="R346" s="72">
        <f t="shared" ref="R346:R350" si="427">+ROUND(IF(C346=25,PRODUCT(E346,F346,G346,L346),0),2)</f>
        <v>0</v>
      </c>
    </row>
    <row r="347" spans="1:18" x14ac:dyDescent="0.25">
      <c r="A347" s="26"/>
      <c r="B347" s="25" t="s">
        <v>385</v>
      </c>
      <c r="C347" s="15">
        <v>16</v>
      </c>
      <c r="D347" s="16"/>
      <c r="E347" s="15">
        <v>2</v>
      </c>
      <c r="F347" s="11">
        <v>1</v>
      </c>
      <c r="G347" s="11">
        <v>2</v>
      </c>
      <c r="H347" s="12">
        <v>0.3</v>
      </c>
      <c r="I347" s="12">
        <f>3.96-0.06</f>
        <v>3.9</v>
      </c>
      <c r="J347" s="22">
        <v>0.3</v>
      </c>
      <c r="K347" s="22"/>
      <c r="L347" s="72">
        <f>SUM(H347:J347)+K347</f>
        <v>4.5</v>
      </c>
      <c r="M347" s="72">
        <f t="shared" si="422"/>
        <v>0</v>
      </c>
      <c r="N347" s="72">
        <f t="shared" si="423"/>
        <v>0</v>
      </c>
      <c r="O347" s="72">
        <f t="shared" si="424"/>
        <v>0</v>
      </c>
      <c r="P347" s="72">
        <f t="shared" si="425"/>
        <v>18</v>
      </c>
      <c r="Q347" s="72">
        <f t="shared" si="426"/>
        <v>0</v>
      </c>
      <c r="R347" s="72">
        <f t="shared" si="427"/>
        <v>0</v>
      </c>
    </row>
    <row r="348" spans="1:18" x14ac:dyDescent="0.25">
      <c r="A348" s="26"/>
      <c r="B348" s="25" t="s">
        <v>432</v>
      </c>
      <c r="C348" s="15">
        <v>16</v>
      </c>
      <c r="D348" s="16"/>
      <c r="E348" s="15">
        <v>2</v>
      </c>
      <c r="F348" s="11">
        <v>1</v>
      </c>
      <c r="G348" s="11">
        <v>2</v>
      </c>
      <c r="H348" s="12">
        <v>0.3</v>
      </c>
      <c r="I348" s="12">
        <f>3.96-0.06</f>
        <v>3.9</v>
      </c>
      <c r="J348" s="22">
        <v>0.3</v>
      </c>
      <c r="K348" s="22"/>
      <c r="L348" s="72">
        <f>SUM(H348:J348)+K348</f>
        <v>4.5</v>
      </c>
      <c r="M348" s="72">
        <f t="shared" si="422"/>
        <v>0</v>
      </c>
      <c r="N348" s="72">
        <f t="shared" si="423"/>
        <v>0</v>
      </c>
      <c r="O348" s="72">
        <f t="shared" si="424"/>
        <v>0</v>
      </c>
      <c r="P348" s="72">
        <f t="shared" si="425"/>
        <v>18</v>
      </c>
      <c r="Q348" s="72">
        <f t="shared" si="426"/>
        <v>0</v>
      </c>
      <c r="R348" s="72">
        <f t="shared" si="427"/>
        <v>0</v>
      </c>
    </row>
    <row r="349" spans="1:18" x14ac:dyDescent="0.25">
      <c r="A349" s="26"/>
      <c r="B349" s="25" t="s">
        <v>462</v>
      </c>
      <c r="C349" s="15">
        <v>8</v>
      </c>
      <c r="D349" s="16">
        <v>100</v>
      </c>
      <c r="E349" s="15">
        <v>2</v>
      </c>
      <c r="F349" s="11">
        <v>1</v>
      </c>
      <c r="G349" s="11">
        <f>+ROUND(1.8/0.1,0)</f>
        <v>18</v>
      </c>
      <c r="H349" s="12"/>
      <c r="I349" s="12">
        <f t="shared" ref="I349:I350" si="428">2*(0.14+0.39)+24*C349/1000</f>
        <v>1.252</v>
      </c>
      <c r="J349" s="22"/>
      <c r="K349" s="47"/>
      <c r="L349" s="72">
        <f t="shared" ref="L349:L351" si="429">SUM(H349:J349)+K349</f>
        <v>1.252</v>
      </c>
      <c r="M349" s="72">
        <f t="shared" si="422"/>
        <v>45.07</v>
      </c>
      <c r="N349" s="72">
        <f t="shared" si="423"/>
        <v>0</v>
      </c>
      <c r="O349" s="72">
        <f t="shared" si="424"/>
        <v>0</v>
      </c>
      <c r="P349" s="72">
        <f t="shared" si="425"/>
        <v>0</v>
      </c>
      <c r="Q349" s="72">
        <f t="shared" si="426"/>
        <v>0</v>
      </c>
      <c r="R349" s="72">
        <f t="shared" si="427"/>
        <v>0</v>
      </c>
    </row>
    <row r="350" spans="1:18" x14ac:dyDescent="0.25">
      <c r="A350" s="26"/>
      <c r="B350" s="25"/>
      <c r="C350" s="15">
        <v>8</v>
      </c>
      <c r="D350" s="16">
        <v>150</v>
      </c>
      <c r="E350" s="15">
        <v>2</v>
      </c>
      <c r="F350" s="11">
        <v>1</v>
      </c>
      <c r="G350" s="11">
        <f>+ROUND(1.065/0.15+1,0)</f>
        <v>8</v>
      </c>
      <c r="H350" s="12"/>
      <c r="I350" s="12">
        <f t="shared" si="428"/>
        <v>1.252</v>
      </c>
      <c r="J350" s="22"/>
      <c r="K350" s="47"/>
      <c r="L350" s="72">
        <f t="shared" si="429"/>
        <v>1.252</v>
      </c>
      <c r="M350" s="72">
        <f t="shared" si="422"/>
        <v>20.03</v>
      </c>
      <c r="N350" s="72">
        <f t="shared" si="423"/>
        <v>0</v>
      </c>
      <c r="O350" s="72">
        <f t="shared" si="424"/>
        <v>0</v>
      </c>
      <c r="P350" s="72">
        <f t="shared" si="425"/>
        <v>0</v>
      </c>
      <c r="Q350" s="72">
        <f t="shared" si="426"/>
        <v>0</v>
      </c>
      <c r="R350" s="72">
        <f t="shared" si="427"/>
        <v>0</v>
      </c>
    </row>
    <row r="351" spans="1:18" x14ac:dyDescent="0.25">
      <c r="A351" s="26" t="s">
        <v>442</v>
      </c>
      <c r="B351" s="45" t="s">
        <v>655</v>
      </c>
      <c r="C351" s="15"/>
      <c r="D351" s="16"/>
      <c r="E351" s="15"/>
      <c r="F351" s="11"/>
      <c r="G351" s="11"/>
      <c r="H351" s="12"/>
      <c r="I351" s="12"/>
      <c r="J351" s="22"/>
      <c r="K351" s="22"/>
      <c r="L351" s="72">
        <f t="shared" si="429"/>
        <v>0</v>
      </c>
      <c r="M351" s="72">
        <f t="shared" ref="M351:M354" si="430">+ROUND(IF(C351=8,PRODUCT(E351,F351,G351,L351),0),2)</f>
        <v>0</v>
      </c>
      <c r="N351" s="72">
        <f t="shared" ref="N351:N354" si="431">+ROUND(IF(C351=10,PRODUCT(E351,F351,G351,L351),0),2)</f>
        <v>0</v>
      </c>
      <c r="O351" s="72">
        <f t="shared" ref="O351:O354" si="432">+ROUND(IF(C351=12,PRODUCT(E351,F351,G351,L351),0),2)</f>
        <v>0</v>
      </c>
      <c r="P351" s="72">
        <f t="shared" ref="P351:P354" si="433">+ROUND(IF(C351=16,PRODUCT(E351,F351,G351,L351),0),2)</f>
        <v>0</v>
      </c>
      <c r="Q351" s="72">
        <f t="shared" ref="Q351:Q354" si="434">+ROUND(IF(C351=20,PRODUCT(E351,F351,G351,L351),0),2)</f>
        <v>0</v>
      </c>
      <c r="R351" s="72">
        <f t="shared" ref="R351:R354" si="435">+ROUND(IF(C351=25,PRODUCT(E351,F351,G351,L351),0),2)</f>
        <v>0</v>
      </c>
    </row>
    <row r="352" spans="1:18" x14ac:dyDescent="0.25">
      <c r="A352" s="26"/>
      <c r="B352" s="25" t="s">
        <v>385</v>
      </c>
      <c r="C352" s="15">
        <v>12</v>
      </c>
      <c r="D352" s="16"/>
      <c r="E352" s="15">
        <v>2</v>
      </c>
      <c r="F352" s="11">
        <v>1</v>
      </c>
      <c r="G352" s="11">
        <v>2</v>
      </c>
      <c r="H352" s="12">
        <v>0.3</v>
      </c>
      <c r="I352" s="12">
        <v>2.0299999999999998</v>
      </c>
      <c r="J352" s="22">
        <v>0.3</v>
      </c>
      <c r="K352" s="22"/>
      <c r="L352" s="72">
        <f>SUM(H352:J352)+K352</f>
        <v>2.6299999999999994</v>
      </c>
      <c r="M352" s="72">
        <f t="shared" si="430"/>
        <v>0</v>
      </c>
      <c r="N352" s="72">
        <f t="shared" si="431"/>
        <v>0</v>
      </c>
      <c r="O352" s="72">
        <f t="shared" si="432"/>
        <v>10.52</v>
      </c>
      <c r="P352" s="72">
        <f t="shared" si="433"/>
        <v>0</v>
      </c>
      <c r="Q352" s="72">
        <f t="shared" si="434"/>
        <v>0</v>
      </c>
      <c r="R352" s="72">
        <f t="shared" si="435"/>
        <v>0</v>
      </c>
    </row>
    <row r="353" spans="1:18" x14ac:dyDescent="0.25">
      <c r="A353" s="26"/>
      <c r="B353" s="25" t="s">
        <v>432</v>
      </c>
      <c r="C353" s="15">
        <v>12</v>
      </c>
      <c r="D353" s="16"/>
      <c r="E353" s="15">
        <v>2</v>
      </c>
      <c r="F353" s="11">
        <v>1</v>
      </c>
      <c r="G353" s="11">
        <v>2</v>
      </c>
      <c r="H353" s="12">
        <v>0.3</v>
      </c>
      <c r="I353" s="12">
        <v>2.0299999999999998</v>
      </c>
      <c r="J353" s="22">
        <v>0.3</v>
      </c>
      <c r="K353" s="22"/>
      <c r="L353" s="72">
        <f>SUM(H353:J353)+K353</f>
        <v>2.6299999999999994</v>
      </c>
      <c r="M353" s="72">
        <f t="shared" si="430"/>
        <v>0</v>
      </c>
      <c r="N353" s="72">
        <f t="shared" si="431"/>
        <v>0</v>
      </c>
      <c r="O353" s="72">
        <f t="shared" si="432"/>
        <v>10.52</v>
      </c>
      <c r="P353" s="72">
        <f t="shared" si="433"/>
        <v>0</v>
      </c>
      <c r="Q353" s="72">
        <f t="shared" si="434"/>
        <v>0</v>
      </c>
      <c r="R353" s="72">
        <f t="shared" si="435"/>
        <v>0</v>
      </c>
    </row>
    <row r="354" spans="1:18" x14ac:dyDescent="0.25">
      <c r="A354" s="26"/>
      <c r="B354" s="25" t="s">
        <v>462</v>
      </c>
      <c r="C354" s="15">
        <v>8</v>
      </c>
      <c r="D354" s="16">
        <v>100</v>
      </c>
      <c r="E354" s="15">
        <v>2</v>
      </c>
      <c r="F354" s="11">
        <v>1</v>
      </c>
      <c r="G354" s="11">
        <f>+ROUND(1.8/0.1+1,0)</f>
        <v>19</v>
      </c>
      <c r="H354" s="12"/>
      <c r="I354" s="12">
        <f t="shared" ref="I354" si="436">2*(0.14+0.39)+24*C354/1000</f>
        <v>1.252</v>
      </c>
      <c r="J354" s="22"/>
      <c r="K354" s="47"/>
      <c r="L354" s="72">
        <f t="shared" ref="L354" si="437">SUM(H354:J354)+K354</f>
        <v>1.252</v>
      </c>
      <c r="M354" s="72">
        <f t="shared" si="430"/>
        <v>47.58</v>
      </c>
      <c r="N354" s="72">
        <f t="shared" si="431"/>
        <v>0</v>
      </c>
      <c r="O354" s="72">
        <f t="shared" si="432"/>
        <v>0</v>
      </c>
      <c r="P354" s="72">
        <f t="shared" si="433"/>
        <v>0</v>
      </c>
      <c r="Q354" s="72">
        <f t="shared" si="434"/>
        <v>0</v>
      </c>
      <c r="R354" s="72">
        <f t="shared" si="435"/>
        <v>0</v>
      </c>
    </row>
    <row r="355" spans="1:18" x14ac:dyDescent="0.25">
      <c r="A355" s="26" t="s">
        <v>442</v>
      </c>
      <c r="B355" s="45" t="s">
        <v>656</v>
      </c>
      <c r="C355" s="15"/>
      <c r="D355" s="16"/>
      <c r="E355" s="15"/>
      <c r="F355" s="11"/>
      <c r="G355" s="11"/>
      <c r="H355" s="12"/>
      <c r="I355" s="12"/>
      <c r="J355" s="22"/>
      <c r="K355" s="22"/>
      <c r="L355" s="72">
        <f t="shared" ref="L355" si="438">SUM(H355:J355)+K355</f>
        <v>0</v>
      </c>
      <c r="M355" s="72">
        <f t="shared" si="379"/>
        <v>0</v>
      </c>
      <c r="N355" s="72">
        <f t="shared" si="380"/>
        <v>0</v>
      </c>
      <c r="O355" s="72">
        <f t="shared" si="381"/>
        <v>0</v>
      </c>
      <c r="P355" s="72">
        <f t="shared" si="382"/>
        <v>0</v>
      </c>
      <c r="Q355" s="72">
        <f t="shared" si="383"/>
        <v>0</v>
      </c>
      <c r="R355" s="72">
        <f t="shared" si="384"/>
        <v>0</v>
      </c>
    </row>
    <row r="356" spans="1:18" x14ac:dyDescent="0.25">
      <c r="A356" s="26"/>
      <c r="B356" s="25" t="s">
        <v>385</v>
      </c>
      <c r="C356" s="15">
        <v>16</v>
      </c>
      <c r="D356" s="16"/>
      <c r="E356" s="15">
        <v>4</v>
      </c>
      <c r="F356" s="11">
        <v>1</v>
      </c>
      <c r="G356" s="11">
        <v>2</v>
      </c>
      <c r="H356" s="12">
        <v>0.3</v>
      </c>
      <c r="I356" s="12">
        <f>3.65-0.06</f>
        <v>3.59</v>
      </c>
      <c r="J356" s="22">
        <v>0.3</v>
      </c>
      <c r="K356" s="22"/>
      <c r="L356" s="72">
        <f>SUM(H356:J356)+K356</f>
        <v>4.1899999999999995</v>
      </c>
      <c r="M356" s="72">
        <f t="shared" si="379"/>
        <v>0</v>
      </c>
      <c r="N356" s="72">
        <f t="shared" si="380"/>
        <v>0</v>
      </c>
      <c r="O356" s="72">
        <f t="shared" si="381"/>
        <v>0</v>
      </c>
      <c r="P356" s="72">
        <f t="shared" si="382"/>
        <v>33.520000000000003</v>
      </c>
      <c r="Q356" s="72">
        <f t="shared" si="383"/>
        <v>0</v>
      </c>
      <c r="R356" s="72">
        <f t="shared" si="384"/>
        <v>0</v>
      </c>
    </row>
    <row r="357" spans="1:18" x14ac:dyDescent="0.25">
      <c r="A357" s="26"/>
      <c r="B357" s="25" t="s">
        <v>432</v>
      </c>
      <c r="C357" s="15">
        <v>16</v>
      </c>
      <c r="D357" s="16"/>
      <c r="E357" s="15">
        <v>4</v>
      </c>
      <c r="F357" s="11">
        <v>1</v>
      </c>
      <c r="G357" s="11">
        <v>2</v>
      </c>
      <c r="H357" s="12">
        <v>0.3</v>
      </c>
      <c r="I357" s="12">
        <f>3.65-0.06</f>
        <v>3.59</v>
      </c>
      <c r="J357" s="22">
        <v>0.3</v>
      </c>
      <c r="K357" s="22"/>
      <c r="L357" s="72">
        <f>SUM(H357:J357)+K357</f>
        <v>4.1899999999999995</v>
      </c>
      <c r="M357" s="72">
        <f t="shared" si="379"/>
        <v>0</v>
      </c>
      <c r="N357" s="72">
        <f t="shared" si="380"/>
        <v>0</v>
      </c>
      <c r="O357" s="72">
        <f t="shared" si="381"/>
        <v>0</v>
      </c>
      <c r="P357" s="72">
        <f t="shared" si="382"/>
        <v>33.520000000000003</v>
      </c>
      <c r="Q357" s="72">
        <f t="shared" si="383"/>
        <v>0</v>
      </c>
      <c r="R357" s="72">
        <f t="shared" si="384"/>
        <v>0</v>
      </c>
    </row>
    <row r="358" spans="1:18" x14ac:dyDescent="0.25">
      <c r="A358" s="26"/>
      <c r="B358" s="25" t="s">
        <v>462</v>
      </c>
      <c r="C358" s="15">
        <v>8</v>
      </c>
      <c r="D358" s="16">
        <v>100</v>
      </c>
      <c r="E358" s="15">
        <v>4</v>
      </c>
      <c r="F358" s="11">
        <v>1</v>
      </c>
      <c r="G358" s="11">
        <f>+ROUND(1.8/0.1,0)</f>
        <v>18</v>
      </c>
      <c r="H358" s="12"/>
      <c r="I358" s="12">
        <f t="shared" ref="I358:I359" si="439">2*(0.14+0.39)+24*C358/1000</f>
        <v>1.252</v>
      </c>
      <c r="J358" s="22"/>
      <c r="K358" s="47"/>
      <c r="L358" s="72">
        <f t="shared" ref="L358:L359" si="440">SUM(H358:J358)+K358</f>
        <v>1.252</v>
      </c>
      <c r="M358" s="72">
        <f t="shared" si="379"/>
        <v>90.14</v>
      </c>
      <c r="N358" s="72">
        <f t="shared" si="380"/>
        <v>0</v>
      </c>
      <c r="O358" s="72">
        <f t="shared" si="381"/>
        <v>0</v>
      </c>
      <c r="P358" s="72">
        <f t="shared" si="382"/>
        <v>0</v>
      </c>
      <c r="Q358" s="72">
        <f t="shared" si="383"/>
        <v>0</v>
      </c>
      <c r="R358" s="72">
        <f t="shared" si="384"/>
        <v>0</v>
      </c>
    </row>
    <row r="359" spans="1:18" x14ac:dyDescent="0.25">
      <c r="A359" s="26"/>
      <c r="B359" s="25"/>
      <c r="C359" s="15">
        <v>8</v>
      </c>
      <c r="D359" s="16">
        <v>150</v>
      </c>
      <c r="E359" s="15">
        <v>4</v>
      </c>
      <c r="F359" s="11">
        <v>1</v>
      </c>
      <c r="G359" s="11">
        <f>+ROUND(1.25/0.15+1,0)</f>
        <v>9</v>
      </c>
      <c r="H359" s="12"/>
      <c r="I359" s="12">
        <f t="shared" si="439"/>
        <v>1.252</v>
      </c>
      <c r="J359" s="22"/>
      <c r="K359" s="47"/>
      <c r="L359" s="72">
        <f t="shared" si="440"/>
        <v>1.252</v>
      </c>
      <c r="M359" s="72">
        <f t="shared" si="379"/>
        <v>45.07</v>
      </c>
      <c r="N359" s="72">
        <f t="shared" si="380"/>
        <v>0</v>
      </c>
      <c r="O359" s="72">
        <f t="shared" si="381"/>
        <v>0</v>
      </c>
      <c r="P359" s="72">
        <f t="shared" si="382"/>
        <v>0</v>
      </c>
      <c r="Q359" s="72">
        <f t="shared" si="383"/>
        <v>0</v>
      </c>
      <c r="R359" s="72">
        <f t="shared" si="384"/>
        <v>0</v>
      </c>
    </row>
    <row r="360" spans="1:18" x14ac:dyDescent="0.25">
      <c r="A360" s="26" t="s">
        <v>442</v>
      </c>
      <c r="B360" s="45" t="s">
        <v>657</v>
      </c>
      <c r="C360" s="15"/>
      <c r="D360" s="16"/>
      <c r="E360" s="15"/>
      <c r="F360" s="11"/>
      <c r="G360" s="11"/>
      <c r="H360" s="12"/>
      <c r="I360" s="12"/>
      <c r="J360" s="22"/>
      <c r="K360" s="22"/>
      <c r="L360" s="72">
        <f t="shared" ref="L360" si="441">SUM(H360:J360)+K360</f>
        <v>0</v>
      </c>
      <c r="M360" s="72">
        <f t="shared" si="379"/>
        <v>0</v>
      </c>
      <c r="N360" s="72">
        <f t="shared" si="380"/>
        <v>0</v>
      </c>
      <c r="O360" s="72">
        <f t="shared" si="381"/>
        <v>0</v>
      </c>
      <c r="P360" s="72">
        <f t="shared" si="382"/>
        <v>0</v>
      </c>
      <c r="Q360" s="72">
        <f t="shared" si="383"/>
        <v>0</v>
      </c>
      <c r="R360" s="72">
        <f t="shared" si="384"/>
        <v>0</v>
      </c>
    </row>
    <row r="361" spans="1:18" x14ac:dyDescent="0.25">
      <c r="A361" s="26"/>
      <c r="B361" s="25" t="s">
        <v>385</v>
      </c>
      <c r="C361" s="15">
        <v>16</v>
      </c>
      <c r="D361" s="16"/>
      <c r="E361" s="15">
        <v>2</v>
      </c>
      <c r="F361" s="11">
        <v>1</v>
      </c>
      <c r="G361" s="11">
        <v>2</v>
      </c>
      <c r="H361" s="12">
        <v>0.3</v>
      </c>
      <c r="I361" s="12">
        <f>7.4-0.06</f>
        <v>7.3400000000000007</v>
      </c>
      <c r="J361" s="22">
        <v>0.3</v>
      </c>
      <c r="K361" s="22"/>
      <c r="L361" s="72">
        <f>SUM(H361:J361)+K361</f>
        <v>7.94</v>
      </c>
      <c r="M361" s="72">
        <f t="shared" ref="M361:M380" si="442">+ROUND(IF(C361=8,PRODUCT(E361,F361,G361,L361),0),2)</f>
        <v>0</v>
      </c>
      <c r="N361" s="72">
        <f t="shared" ref="N361:N380" si="443">+ROUND(IF(C361=10,PRODUCT(E361,F361,G361,L361),0),2)</f>
        <v>0</v>
      </c>
      <c r="O361" s="72">
        <f t="shared" ref="O361:O380" si="444">+ROUND(IF(C361=12,PRODUCT(E361,F361,G361,L361),0),2)</f>
        <v>0</v>
      </c>
      <c r="P361" s="72">
        <f t="shared" ref="P361:P380" si="445">+ROUND(IF(C361=16,PRODUCT(E361,F361,G361,L361),0),2)</f>
        <v>31.76</v>
      </c>
      <c r="Q361" s="72">
        <f t="shared" ref="Q361:Q380" si="446">+ROUND(IF(C361=20,PRODUCT(E361,F361,G361,L361),0),2)</f>
        <v>0</v>
      </c>
      <c r="R361" s="72">
        <f t="shared" ref="R361:R380" si="447">+ROUND(IF(C361=25,PRODUCT(E361,F361,G361,L361),0),2)</f>
        <v>0</v>
      </c>
    </row>
    <row r="362" spans="1:18" x14ac:dyDescent="0.25">
      <c r="A362" s="26"/>
      <c r="B362" s="25" t="s">
        <v>432</v>
      </c>
      <c r="C362" s="15">
        <v>16</v>
      </c>
      <c r="D362" s="16"/>
      <c r="E362" s="15">
        <v>2</v>
      </c>
      <c r="F362" s="11">
        <v>1</v>
      </c>
      <c r="G362" s="11">
        <v>2</v>
      </c>
      <c r="H362" s="12">
        <v>0.3</v>
      </c>
      <c r="I362" s="12">
        <f>7.4-0.06</f>
        <v>7.3400000000000007</v>
      </c>
      <c r="J362" s="22">
        <v>0.3</v>
      </c>
      <c r="K362" s="22"/>
      <c r="L362" s="72">
        <f>SUM(H362:J362)+K362</f>
        <v>7.94</v>
      </c>
      <c r="M362" s="72">
        <f t="shared" si="442"/>
        <v>0</v>
      </c>
      <c r="N362" s="72">
        <f t="shared" si="443"/>
        <v>0</v>
      </c>
      <c r="O362" s="72">
        <f t="shared" si="444"/>
        <v>0</v>
      </c>
      <c r="P362" s="72">
        <f t="shared" si="445"/>
        <v>31.76</v>
      </c>
      <c r="Q362" s="72">
        <f t="shared" si="446"/>
        <v>0</v>
      </c>
      <c r="R362" s="72">
        <f t="shared" si="447"/>
        <v>0</v>
      </c>
    </row>
    <row r="363" spans="1:18" x14ac:dyDescent="0.25">
      <c r="A363" s="26"/>
      <c r="B363" s="25" t="s">
        <v>462</v>
      </c>
      <c r="C363" s="15">
        <v>8</v>
      </c>
      <c r="D363" s="16">
        <v>100</v>
      </c>
      <c r="E363" s="15">
        <v>2</v>
      </c>
      <c r="F363" s="11">
        <v>1</v>
      </c>
      <c r="G363" s="11">
        <f>+ROUND(3.155/0.1+2,0)</f>
        <v>34</v>
      </c>
      <c r="H363" s="12"/>
      <c r="I363" s="12">
        <f t="shared" ref="I363:I365" si="448">2*(0.14+0.39)+24*C363/1000</f>
        <v>1.252</v>
      </c>
      <c r="J363" s="22"/>
      <c r="K363" s="47"/>
      <c r="L363" s="72">
        <f t="shared" ref="L363:L365" si="449">SUM(H363:J363)+K363</f>
        <v>1.252</v>
      </c>
      <c r="M363" s="72">
        <f t="shared" si="442"/>
        <v>85.14</v>
      </c>
      <c r="N363" s="72">
        <f t="shared" si="443"/>
        <v>0</v>
      </c>
      <c r="O363" s="72">
        <f t="shared" si="444"/>
        <v>0</v>
      </c>
      <c r="P363" s="72">
        <f t="shared" si="445"/>
        <v>0</v>
      </c>
      <c r="Q363" s="72">
        <f t="shared" si="446"/>
        <v>0</v>
      </c>
      <c r="R363" s="72">
        <f t="shared" si="447"/>
        <v>0</v>
      </c>
    </row>
    <row r="364" spans="1:18" x14ac:dyDescent="0.25">
      <c r="A364" s="26"/>
      <c r="B364" s="25" t="s">
        <v>462</v>
      </c>
      <c r="C364" s="15">
        <v>8</v>
      </c>
      <c r="D364" s="16">
        <v>100</v>
      </c>
      <c r="E364" s="15">
        <v>2</v>
      </c>
      <c r="F364" s="11">
        <v>1</v>
      </c>
      <c r="G364" s="11">
        <f>+ROUND(1.8/0.1,0)</f>
        <v>18</v>
      </c>
      <c r="H364" s="12"/>
      <c r="I364" s="12">
        <f t="shared" ref="I364" si="450">2*(0.14+0.39)+24*C364/1000</f>
        <v>1.252</v>
      </c>
      <c r="J364" s="22"/>
      <c r="K364" s="47"/>
      <c r="L364" s="72">
        <f t="shared" ref="L364" si="451">SUM(H364:J364)+K364</f>
        <v>1.252</v>
      </c>
      <c r="M364" s="72">
        <f t="shared" ref="M364" si="452">+ROUND(IF(C364=8,PRODUCT(E364,F364,G364,L364),0),2)</f>
        <v>45.07</v>
      </c>
      <c r="N364" s="72">
        <f t="shared" ref="N364" si="453">+ROUND(IF(C364=10,PRODUCT(E364,F364,G364,L364),0),2)</f>
        <v>0</v>
      </c>
      <c r="O364" s="72">
        <f t="shared" ref="O364" si="454">+ROUND(IF(C364=12,PRODUCT(E364,F364,G364,L364),0),2)</f>
        <v>0</v>
      </c>
      <c r="P364" s="72">
        <f t="shared" ref="P364" si="455">+ROUND(IF(C364=16,PRODUCT(E364,F364,G364,L364),0),2)</f>
        <v>0</v>
      </c>
      <c r="Q364" s="72">
        <f t="shared" ref="Q364" si="456">+ROUND(IF(C364=20,PRODUCT(E364,F364,G364,L364),0),2)</f>
        <v>0</v>
      </c>
      <c r="R364" s="72">
        <f t="shared" ref="R364" si="457">+ROUND(IF(C364=25,PRODUCT(E364,F364,G364,L364),0),2)</f>
        <v>0</v>
      </c>
    </row>
    <row r="365" spans="1:18" x14ac:dyDescent="0.25">
      <c r="A365" s="26"/>
      <c r="B365" s="25"/>
      <c r="C365" s="15">
        <v>8</v>
      </c>
      <c r="D365" s="16">
        <v>150</v>
      </c>
      <c r="E365" s="15">
        <v>2</v>
      </c>
      <c r="F365" s="11">
        <v>1</v>
      </c>
      <c r="G365" s="11">
        <f>+ROUND(1.585/0.15+1,0)</f>
        <v>12</v>
      </c>
      <c r="H365" s="12"/>
      <c r="I365" s="12">
        <f t="shared" si="448"/>
        <v>1.252</v>
      </c>
      <c r="J365" s="22"/>
      <c r="K365" s="47"/>
      <c r="L365" s="72">
        <f t="shared" si="449"/>
        <v>1.252</v>
      </c>
      <c r="M365" s="72">
        <f t="shared" si="442"/>
        <v>30.05</v>
      </c>
      <c r="N365" s="72">
        <f t="shared" si="443"/>
        <v>0</v>
      </c>
      <c r="O365" s="72">
        <f t="shared" si="444"/>
        <v>0</v>
      </c>
      <c r="P365" s="72">
        <f t="shared" si="445"/>
        <v>0</v>
      </c>
      <c r="Q365" s="72">
        <f t="shared" si="446"/>
        <v>0</v>
      </c>
      <c r="R365" s="72">
        <f t="shared" si="447"/>
        <v>0</v>
      </c>
    </row>
    <row r="366" spans="1:18" x14ac:dyDescent="0.25">
      <c r="A366" s="26" t="s">
        <v>442</v>
      </c>
      <c r="B366" s="45" t="s">
        <v>658</v>
      </c>
      <c r="C366" s="15"/>
      <c r="D366" s="16"/>
      <c r="E366" s="15"/>
      <c r="F366" s="11"/>
      <c r="G366" s="11"/>
      <c r="H366" s="12"/>
      <c r="I366" s="12"/>
      <c r="J366" s="22"/>
      <c r="K366" s="22"/>
      <c r="L366" s="72">
        <f t="shared" ref="L366" si="458">SUM(H366:J366)+K366</f>
        <v>0</v>
      </c>
      <c r="M366" s="72">
        <f t="shared" si="442"/>
        <v>0</v>
      </c>
      <c r="N366" s="72">
        <f t="shared" si="443"/>
        <v>0</v>
      </c>
      <c r="O366" s="72">
        <f t="shared" si="444"/>
        <v>0</v>
      </c>
      <c r="P366" s="72">
        <f t="shared" si="445"/>
        <v>0</v>
      </c>
      <c r="Q366" s="72">
        <f t="shared" si="446"/>
        <v>0</v>
      </c>
      <c r="R366" s="72">
        <f t="shared" si="447"/>
        <v>0</v>
      </c>
    </row>
    <row r="367" spans="1:18" x14ac:dyDescent="0.25">
      <c r="A367" s="26"/>
      <c r="B367" s="25" t="s">
        <v>385</v>
      </c>
      <c r="C367" s="15">
        <v>12</v>
      </c>
      <c r="D367" s="16"/>
      <c r="E367" s="15">
        <v>2</v>
      </c>
      <c r="F367" s="11">
        <v>1</v>
      </c>
      <c r="G367" s="11">
        <v>2</v>
      </c>
      <c r="H367" s="12">
        <v>0.3</v>
      </c>
      <c r="I367" s="12">
        <f>7.4-0.06</f>
        <v>7.3400000000000007</v>
      </c>
      <c r="J367" s="22">
        <v>0.3</v>
      </c>
      <c r="K367" s="22"/>
      <c r="L367" s="72">
        <f>SUM(H367:J367)+K367</f>
        <v>7.94</v>
      </c>
      <c r="M367" s="72">
        <f t="shared" ref="M367:M369" si="459">+ROUND(IF(C367=8,PRODUCT(E367,F367,G367,L367),0),2)</f>
        <v>0</v>
      </c>
      <c r="N367" s="72">
        <f t="shared" ref="N367:N369" si="460">+ROUND(IF(C367=10,PRODUCT(E367,F367,G367,L367),0),2)</f>
        <v>0</v>
      </c>
      <c r="O367" s="72">
        <f t="shared" ref="O367:O369" si="461">+ROUND(IF(C367=12,PRODUCT(E367,F367,G367,L367),0),2)</f>
        <v>31.76</v>
      </c>
      <c r="P367" s="72">
        <f t="shared" ref="P367:P369" si="462">+ROUND(IF(C367=16,PRODUCT(E367,F367,G367,L367),0),2)</f>
        <v>0</v>
      </c>
      <c r="Q367" s="72">
        <f t="shared" ref="Q367:Q369" si="463">+ROUND(IF(C367=20,PRODUCT(E367,F367,G367,L367),0),2)</f>
        <v>0</v>
      </c>
      <c r="R367" s="72">
        <f t="shared" ref="R367:R369" si="464">+ROUND(IF(C367=25,PRODUCT(E367,F367,G367,L367),0),2)</f>
        <v>0</v>
      </c>
    </row>
    <row r="368" spans="1:18" x14ac:dyDescent="0.25">
      <c r="A368" s="26"/>
      <c r="B368" s="25" t="s">
        <v>432</v>
      </c>
      <c r="C368" s="15">
        <v>12</v>
      </c>
      <c r="D368" s="16"/>
      <c r="E368" s="15">
        <v>2</v>
      </c>
      <c r="F368" s="11">
        <v>1</v>
      </c>
      <c r="G368" s="11">
        <v>2</v>
      </c>
      <c r="H368" s="12">
        <v>0.3</v>
      </c>
      <c r="I368" s="12">
        <f>7.4-0.06</f>
        <v>7.3400000000000007</v>
      </c>
      <c r="J368" s="22">
        <v>0.3</v>
      </c>
      <c r="K368" s="22"/>
      <c r="L368" s="72">
        <f>SUM(H368:J368)+K368</f>
        <v>7.94</v>
      </c>
      <c r="M368" s="72">
        <f t="shared" si="459"/>
        <v>0</v>
      </c>
      <c r="N368" s="72">
        <f t="shared" si="460"/>
        <v>0</v>
      </c>
      <c r="O368" s="72">
        <f t="shared" si="461"/>
        <v>31.76</v>
      </c>
      <c r="P368" s="72">
        <f t="shared" si="462"/>
        <v>0</v>
      </c>
      <c r="Q368" s="72">
        <f t="shared" si="463"/>
        <v>0</v>
      </c>
      <c r="R368" s="72">
        <f t="shared" si="464"/>
        <v>0</v>
      </c>
    </row>
    <row r="369" spans="1:19" x14ac:dyDescent="0.25">
      <c r="A369" s="26"/>
      <c r="B369" s="25" t="s">
        <v>462</v>
      </c>
      <c r="C369" s="15">
        <v>8</v>
      </c>
      <c r="D369" s="16">
        <v>100</v>
      </c>
      <c r="E369" s="15">
        <v>2</v>
      </c>
      <c r="F369" s="11">
        <v>1</v>
      </c>
      <c r="G369" s="11">
        <f>+ROUND(6.17/0.1+3,0)</f>
        <v>65</v>
      </c>
      <c r="H369" s="12"/>
      <c r="I369" s="12">
        <f t="shared" ref="I369" si="465">2*(0.14+0.39)+24*C369/1000</f>
        <v>1.252</v>
      </c>
      <c r="J369" s="22"/>
      <c r="K369" s="47"/>
      <c r="L369" s="72">
        <f t="shared" ref="L369" si="466">SUM(H369:J369)+K369</f>
        <v>1.252</v>
      </c>
      <c r="M369" s="72">
        <f t="shared" si="459"/>
        <v>162.76</v>
      </c>
      <c r="N369" s="72">
        <f t="shared" si="460"/>
        <v>0</v>
      </c>
      <c r="O369" s="72">
        <f t="shared" si="461"/>
        <v>0</v>
      </c>
      <c r="P369" s="72">
        <f t="shared" si="462"/>
        <v>0</v>
      </c>
      <c r="Q369" s="72">
        <f t="shared" si="463"/>
        <v>0</v>
      </c>
      <c r="R369" s="72">
        <f t="shared" si="464"/>
        <v>0</v>
      </c>
    </row>
    <row r="370" spans="1:19" x14ac:dyDescent="0.25">
      <c r="A370" s="26" t="s">
        <v>442</v>
      </c>
      <c r="B370" s="45" t="s">
        <v>659</v>
      </c>
      <c r="C370" s="15"/>
      <c r="D370" s="16"/>
      <c r="E370" s="15"/>
      <c r="F370" s="11"/>
      <c r="G370" s="11"/>
      <c r="H370" s="12"/>
      <c r="I370" s="12"/>
      <c r="J370" s="22"/>
      <c r="K370" s="22"/>
      <c r="L370" s="72">
        <f t="shared" ref="L370" si="467">SUM(H370:J370)+K370</f>
        <v>0</v>
      </c>
      <c r="M370" s="72">
        <f t="shared" si="442"/>
        <v>0</v>
      </c>
      <c r="N370" s="72">
        <f t="shared" si="443"/>
        <v>0</v>
      </c>
      <c r="O370" s="72">
        <f t="shared" si="444"/>
        <v>0</v>
      </c>
      <c r="P370" s="72">
        <f t="shared" si="445"/>
        <v>0</v>
      </c>
      <c r="Q370" s="72">
        <f t="shared" si="446"/>
        <v>0</v>
      </c>
      <c r="R370" s="72">
        <f t="shared" si="447"/>
        <v>0</v>
      </c>
    </row>
    <row r="371" spans="1:19" x14ac:dyDescent="0.25">
      <c r="A371" s="26"/>
      <c r="B371" s="25" t="s">
        <v>385</v>
      </c>
      <c r="C371" s="15">
        <v>12</v>
      </c>
      <c r="D371" s="16"/>
      <c r="E371" s="15">
        <v>4</v>
      </c>
      <c r="F371" s="11">
        <v>1</v>
      </c>
      <c r="G371" s="11">
        <v>2</v>
      </c>
      <c r="H371" s="12">
        <v>0.3</v>
      </c>
      <c r="I371" s="12">
        <f>5.55-0.06</f>
        <v>5.49</v>
      </c>
      <c r="J371" s="22">
        <v>0.3</v>
      </c>
      <c r="K371" s="22"/>
      <c r="L371" s="72">
        <f>SUM(H371:J371)+K371</f>
        <v>6.09</v>
      </c>
      <c r="M371" s="72">
        <f t="shared" si="442"/>
        <v>0</v>
      </c>
      <c r="N371" s="72">
        <f t="shared" si="443"/>
        <v>0</v>
      </c>
      <c r="O371" s="72">
        <f t="shared" si="444"/>
        <v>48.72</v>
      </c>
      <c r="P371" s="72">
        <f t="shared" si="445"/>
        <v>0</v>
      </c>
      <c r="Q371" s="72">
        <f t="shared" si="446"/>
        <v>0</v>
      </c>
      <c r="R371" s="72">
        <f t="shared" si="447"/>
        <v>0</v>
      </c>
    </row>
    <row r="372" spans="1:19" x14ac:dyDescent="0.25">
      <c r="A372" s="26"/>
      <c r="B372" s="25" t="s">
        <v>432</v>
      </c>
      <c r="C372" s="15">
        <v>12</v>
      </c>
      <c r="D372" s="16"/>
      <c r="E372" s="15">
        <v>4</v>
      </c>
      <c r="F372" s="11">
        <v>1</v>
      </c>
      <c r="G372" s="11">
        <v>2</v>
      </c>
      <c r="H372" s="12">
        <v>0.3</v>
      </c>
      <c r="I372" s="12">
        <f>5.55-0.06</f>
        <v>5.49</v>
      </c>
      <c r="J372" s="22">
        <v>0.3</v>
      </c>
      <c r="K372" s="22"/>
      <c r="L372" s="72">
        <f>SUM(H372:J372)+K372</f>
        <v>6.09</v>
      </c>
      <c r="M372" s="72">
        <f t="shared" si="442"/>
        <v>0</v>
      </c>
      <c r="N372" s="72">
        <f t="shared" si="443"/>
        <v>0</v>
      </c>
      <c r="O372" s="72">
        <f t="shared" si="444"/>
        <v>48.72</v>
      </c>
      <c r="P372" s="72">
        <f t="shared" si="445"/>
        <v>0</v>
      </c>
      <c r="Q372" s="72">
        <f t="shared" si="446"/>
        <v>0</v>
      </c>
      <c r="R372" s="72">
        <f t="shared" si="447"/>
        <v>0</v>
      </c>
    </row>
    <row r="373" spans="1:19" x14ac:dyDescent="0.25">
      <c r="A373" s="26"/>
      <c r="B373" s="25" t="s">
        <v>508</v>
      </c>
      <c r="C373" s="15">
        <v>8</v>
      </c>
      <c r="D373" s="16">
        <v>100</v>
      </c>
      <c r="E373" s="15">
        <v>4</v>
      </c>
      <c r="F373" s="11">
        <v>1</v>
      </c>
      <c r="G373" s="11">
        <f>+ROUND(1.7/0.1+1,0)</f>
        <v>18</v>
      </c>
      <c r="H373" s="12"/>
      <c r="I373" s="12">
        <f t="shared" ref="I373:I375" si="468">2*(0.14+0.39)+24*C373/1000</f>
        <v>1.252</v>
      </c>
      <c r="J373" s="22"/>
      <c r="K373" s="47"/>
      <c r="L373" s="72">
        <f t="shared" ref="L373" si="469">SUM(H373:J373)+K373</f>
        <v>1.252</v>
      </c>
      <c r="M373" s="72">
        <f t="shared" si="442"/>
        <v>90.14</v>
      </c>
      <c r="N373" s="72">
        <f t="shared" si="443"/>
        <v>0</v>
      </c>
      <c r="O373" s="72">
        <f t="shared" si="444"/>
        <v>0</v>
      </c>
      <c r="P373" s="72">
        <f t="shared" si="445"/>
        <v>0</v>
      </c>
      <c r="Q373" s="72">
        <f t="shared" si="446"/>
        <v>0</v>
      </c>
      <c r="R373" s="72">
        <f t="shared" si="447"/>
        <v>0</v>
      </c>
    </row>
    <row r="374" spans="1:19" x14ac:dyDescent="0.25">
      <c r="A374" s="26"/>
      <c r="B374" s="25" t="s">
        <v>508</v>
      </c>
      <c r="C374" s="15">
        <v>8</v>
      </c>
      <c r="D374" s="16">
        <v>100</v>
      </c>
      <c r="E374" s="15">
        <v>4</v>
      </c>
      <c r="F374" s="11">
        <v>1</v>
      </c>
      <c r="G374" s="11">
        <f>+ROUND(1.8/0.1,0)</f>
        <v>18</v>
      </c>
      <c r="H374" s="12"/>
      <c r="I374" s="12">
        <f t="shared" si="468"/>
        <v>1.252</v>
      </c>
      <c r="J374" s="22"/>
      <c r="K374" s="47"/>
      <c r="L374" s="72">
        <f t="shared" ref="L374:L375" si="470">SUM(H374:J374)+K374</f>
        <v>1.252</v>
      </c>
      <c r="M374" s="72">
        <f t="shared" si="442"/>
        <v>90.14</v>
      </c>
      <c r="N374" s="72">
        <f t="shared" si="443"/>
        <v>0</v>
      </c>
      <c r="O374" s="72">
        <f t="shared" si="444"/>
        <v>0</v>
      </c>
      <c r="P374" s="72">
        <f t="shared" si="445"/>
        <v>0</v>
      </c>
      <c r="Q374" s="72">
        <f t="shared" si="446"/>
        <v>0</v>
      </c>
      <c r="R374" s="72">
        <f t="shared" si="447"/>
        <v>0</v>
      </c>
    </row>
    <row r="375" spans="1:19" x14ac:dyDescent="0.25">
      <c r="A375" s="26"/>
      <c r="B375" s="25"/>
      <c r="C375" s="15">
        <v>8</v>
      </c>
      <c r="D375" s="16">
        <v>150</v>
      </c>
      <c r="E375" s="15">
        <v>4</v>
      </c>
      <c r="F375" s="11">
        <v>1</v>
      </c>
      <c r="G375" s="11">
        <f>+ROUND(1.25/0.15+1,0)</f>
        <v>9</v>
      </c>
      <c r="H375" s="12"/>
      <c r="I375" s="12">
        <f t="shared" si="468"/>
        <v>1.252</v>
      </c>
      <c r="J375" s="22"/>
      <c r="K375" s="47"/>
      <c r="L375" s="72">
        <f t="shared" si="470"/>
        <v>1.252</v>
      </c>
      <c r="M375" s="72">
        <f t="shared" si="442"/>
        <v>45.07</v>
      </c>
      <c r="N375" s="72">
        <f t="shared" si="443"/>
        <v>0</v>
      </c>
      <c r="O375" s="72">
        <f t="shared" si="444"/>
        <v>0</v>
      </c>
      <c r="P375" s="72">
        <f t="shared" si="445"/>
        <v>0</v>
      </c>
      <c r="Q375" s="72">
        <f t="shared" si="446"/>
        <v>0</v>
      </c>
      <c r="R375" s="72">
        <f t="shared" si="447"/>
        <v>0</v>
      </c>
    </row>
    <row r="376" spans="1:19" x14ac:dyDescent="0.25">
      <c r="A376" s="26" t="s">
        <v>442</v>
      </c>
      <c r="B376" s="45" t="s">
        <v>660</v>
      </c>
      <c r="C376" s="15"/>
      <c r="D376" s="16"/>
      <c r="E376" s="15"/>
      <c r="F376" s="11"/>
      <c r="G376" s="11"/>
      <c r="H376" s="12"/>
      <c r="I376" s="12"/>
      <c r="J376" s="22"/>
      <c r="K376" s="22"/>
      <c r="L376" s="72">
        <f t="shared" ref="L376" si="471">SUM(H376:J376)+K376</f>
        <v>0</v>
      </c>
      <c r="M376" s="72">
        <f t="shared" si="442"/>
        <v>0</v>
      </c>
      <c r="N376" s="72">
        <f t="shared" si="443"/>
        <v>0</v>
      </c>
      <c r="O376" s="72">
        <f t="shared" si="444"/>
        <v>0</v>
      </c>
      <c r="P376" s="72">
        <f t="shared" si="445"/>
        <v>0</v>
      </c>
      <c r="Q376" s="72">
        <f t="shared" si="446"/>
        <v>0</v>
      </c>
      <c r="R376" s="72">
        <f t="shared" si="447"/>
        <v>0</v>
      </c>
    </row>
    <row r="377" spans="1:19" x14ac:dyDescent="0.25">
      <c r="A377" s="26"/>
      <c r="B377" s="25" t="s">
        <v>385</v>
      </c>
      <c r="C377" s="15">
        <v>12</v>
      </c>
      <c r="D377" s="16"/>
      <c r="E377" s="15">
        <v>2</v>
      </c>
      <c r="F377" s="11">
        <v>1</v>
      </c>
      <c r="G377" s="11">
        <v>2</v>
      </c>
      <c r="H377" s="12">
        <v>0.3</v>
      </c>
      <c r="I377" s="12">
        <f>3.6-0.06</f>
        <v>3.54</v>
      </c>
      <c r="J377" s="22">
        <v>0.3</v>
      </c>
      <c r="K377" s="22"/>
      <c r="L377" s="72">
        <f>SUM(H377:J377)+K377</f>
        <v>4.1399999999999997</v>
      </c>
      <c r="M377" s="72">
        <f t="shared" si="442"/>
        <v>0</v>
      </c>
      <c r="N377" s="72">
        <f t="shared" si="443"/>
        <v>0</v>
      </c>
      <c r="O377" s="72">
        <f t="shared" si="444"/>
        <v>16.559999999999999</v>
      </c>
      <c r="P377" s="72">
        <f t="shared" si="445"/>
        <v>0</v>
      </c>
      <c r="Q377" s="72">
        <f t="shared" si="446"/>
        <v>0</v>
      </c>
      <c r="R377" s="72">
        <f t="shared" si="447"/>
        <v>0</v>
      </c>
    </row>
    <row r="378" spans="1:19" x14ac:dyDescent="0.25">
      <c r="A378" s="26"/>
      <c r="B378" s="25" t="s">
        <v>432</v>
      </c>
      <c r="C378" s="15">
        <v>12</v>
      </c>
      <c r="D378" s="16"/>
      <c r="E378" s="15">
        <v>2</v>
      </c>
      <c r="F378" s="11">
        <v>1</v>
      </c>
      <c r="G378" s="11">
        <v>2</v>
      </c>
      <c r="H378" s="12">
        <v>0.3</v>
      </c>
      <c r="I378" s="12">
        <f>3.6-0.06</f>
        <v>3.54</v>
      </c>
      <c r="J378" s="22">
        <v>0.3</v>
      </c>
      <c r="K378" s="22"/>
      <c r="L378" s="72">
        <f>SUM(H378:J378)+K378</f>
        <v>4.1399999999999997</v>
      </c>
      <c r="M378" s="72">
        <f t="shared" si="442"/>
        <v>0</v>
      </c>
      <c r="N378" s="72">
        <f t="shared" si="443"/>
        <v>0</v>
      </c>
      <c r="O378" s="72">
        <f t="shared" si="444"/>
        <v>16.559999999999999</v>
      </c>
      <c r="P378" s="72">
        <f t="shared" si="445"/>
        <v>0</v>
      </c>
      <c r="Q378" s="72">
        <f t="shared" si="446"/>
        <v>0</v>
      </c>
      <c r="R378" s="72">
        <f t="shared" si="447"/>
        <v>0</v>
      </c>
    </row>
    <row r="379" spans="1:19" x14ac:dyDescent="0.25">
      <c r="A379" s="26"/>
      <c r="B379" s="25" t="s">
        <v>462</v>
      </c>
      <c r="C379" s="15">
        <v>8</v>
      </c>
      <c r="D379" s="16">
        <v>100</v>
      </c>
      <c r="E379" s="15">
        <v>2</v>
      </c>
      <c r="F379" s="11">
        <v>1</v>
      </c>
      <c r="G379" s="11">
        <f>+ROUND(1.8/0.1,0)</f>
        <v>18</v>
      </c>
      <c r="H379" s="12"/>
      <c r="I379" s="12">
        <f t="shared" ref="I379:I380" si="472">2*(0.14+0.39)+24*C379/1000</f>
        <v>1.252</v>
      </c>
      <c r="J379" s="22"/>
      <c r="K379" s="47"/>
      <c r="L379" s="72">
        <f t="shared" ref="L379:L380" si="473">SUM(H379:J379)+K379</f>
        <v>1.252</v>
      </c>
      <c r="M379" s="72">
        <f t="shared" si="442"/>
        <v>45.07</v>
      </c>
      <c r="N379" s="72">
        <f t="shared" si="443"/>
        <v>0</v>
      </c>
      <c r="O379" s="72">
        <f t="shared" si="444"/>
        <v>0</v>
      </c>
      <c r="P379" s="72">
        <f t="shared" si="445"/>
        <v>0</v>
      </c>
      <c r="Q379" s="72">
        <f t="shared" si="446"/>
        <v>0</v>
      </c>
      <c r="R379" s="72">
        <f t="shared" si="447"/>
        <v>0</v>
      </c>
    </row>
    <row r="380" spans="1:19" x14ac:dyDescent="0.25">
      <c r="A380" s="26"/>
      <c r="B380" s="25"/>
      <c r="C380" s="15">
        <v>8</v>
      </c>
      <c r="D380" s="16">
        <v>150</v>
      </c>
      <c r="E380" s="15">
        <v>2</v>
      </c>
      <c r="F380" s="11">
        <v>1</v>
      </c>
      <c r="G380" s="11">
        <f>+ROUND(1.37/0.15+1,0)</f>
        <v>10</v>
      </c>
      <c r="H380" s="12"/>
      <c r="I380" s="12">
        <f t="shared" si="472"/>
        <v>1.252</v>
      </c>
      <c r="J380" s="22"/>
      <c r="K380" s="47"/>
      <c r="L380" s="72">
        <f t="shared" si="473"/>
        <v>1.252</v>
      </c>
      <c r="M380" s="72">
        <f t="shared" si="442"/>
        <v>25.04</v>
      </c>
      <c r="N380" s="72">
        <f t="shared" si="443"/>
        <v>0</v>
      </c>
      <c r="O380" s="72">
        <f t="shared" si="444"/>
        <v>0</v>
      </c>
      <c r="P380" s="72">
        <f t="shared" si="445"/>
        <v>0</v>
      </c>
      <c r="Q380" s="72">
        <f t="shared" si="446"/>
        <v>0</v>
      </c>
      <c r="R380" s="72">
        <f t="shared" si="447"/>
        <v>0</v>
      </c>
    </row>
    <row r="381" spans="1:19" x14ac:dyDescent="0.25">
      <c r="A381" s="26"/>
      <c r="B381" s="25"/>
      <c r="C381" s="15"/>
      <c r="D381" s="16"/>
      <c r="E381" s="15"/>
      <c r="F381" s="11"/>
      <c r="G381" s="11"/>
      <c r="H381" s="12"/>
      <c r="I381" s="12"/>
      <c r="J381" s="22"/>
      <c r="K381" s="22"/>
      <c r="L381" s="72">
        <f t="shared" ref="L381" si="474">SUM(H381:J381)+K381</f>
        <v>0</v>
      </c>
      <c r="M381" s="72">
        <f t="shared" ref="M381" si="475">+ROUND(IF(C381=8,PRODUCT(E381,F381,G381,L381),0),2)</f>
        <v>0</v>
      </c>
      <c r="N381" s="72">
        <f t="shared" ref="N381" si="476">+ROUND(IF(C381=10,PRODUCT(E381,F381,G381,L381),0),2)</f>
        <v>0</v>
      </c>
      <c r="O381" s="72">
        <f t="shared" ref="O381" si="477">+ROUND(IF(C381=12,PRODUCT(E381,F381,G381,L381),0),2)</f>
        <v>0</v>
      </c>
      <c r="P381" s="72">
        <f t="shared" ref="P381" si="478">+ROUND(IF(C381=16,PRODUCT(E381,F381,G381,L381),0),2)</f>
        <v>0</v>
      </c>
      <c r="Q381" s="72">
        <f t="shared" ref="Q381" si="479">+ROUND(IF(C381=20,PRODUCT(E381,F381,G381,L381),0),2)</f>
        <v>0</v>
      </c>
      <c r="R381" s="72">
        <f t="shared" ref="R381" si="480">+ROUND(IF(C381=25,PRODUCT(E381,F381,G381,L381),0),2)</f>
        <v>0</v>
      </c>
    </row>
    <row r="382" spans="1:19" x14ac:dyDescent="0.25">
      <c r="A382" s="26"/>
      <c r="B382" s="48" t="s">
        <v>217</v>
      </c>
      <c r="C382" s="33"/>
      <c r="D382" s="34"/>
      <c r="E382" s="33"/>
      <c r="F382" s="35"/>
      <c r="G382" s="35"/>
      <c r="H382" s="36"/>
      <c r="I382" s="36"/>
      <c r="J382" s="49"/>
      <c r="K382" s="49"/>
      <c r="L382" s="36"/>
      <c r="M382" s="37">
        <f>SUM(M5:M381)*0.395</f>
        <v>3627.0005999999985</v>
      </c>
      <c r="N382" s="37">
        <f>SUM(N5:N381)*0.617</f>
        <v>202.31430000000003</v>
      </c>
      <c r="O382" s="37">
        <f>SUM(O5:O381)*0.888</f>
        <v>1485.9969600000004</v>
      </c>
      <c r="P382" s="37">
        <f>SUM(P5:P381)*1.58</f>
        <v>4848.4669999999987</v>
      </c>
      <c r="Q382" s="37">
        <f>SUM(Q5:Q381)*2.46</f>
        <v>147.50160000000002</v>
      </c>
      <c r="R382" s="37">
        <f>SUM(R5:R381)*3.85</f>
        <v>0</v>
      </c>
      <c r="S382" s="50">
        <f>SUM(M382:R382)</f>
        <v>10311.280459999998</v>
      </c>
    </row>
    <row r="383" spans="1:19" x14ac:dyDescent="0.25">
      <c r="A383" s="26"/>
      <c r="B383" s="25"/>
      <c r="C383" s="15"/>
      <c r="D383" s="16"/>
      <c r="E383" s="15"/>
      <c r="F383" s="11"/>
      <c r="G383" s="11"/>
      <c r="H383" s="12"/>
      <c r="I383" s="12"/>
      <c r="J383" s="22"/>
      <c r="K383" s="22"/>
      <c r="L383" s="12"/>
      <c r="M383" s="12"/>
      <c r="N383" s="12"/>
      <c r="O383" s="12"/>
      <c r="P383" s="12"/>
      <c r="Q383" s="12"/>
      <c r="R383" s="12"/>
    </row>
  </sheetData>
  <mergeCells count="11">
    <mergeCell ref="G2:G3"/>
    <mergeCell ref="H2:J2"/>
    <mergeCell ref="K2:K3"/>
    <mergeCell ref="L2:L3"/>
    <mergeCell ref="M2:R2"/>
    <mergeCell ref="F2:F3"/>
    <mergeCell ref="A2:A3"/>
    <mergeCell ref="B2:B3"/>
    <mergeCell ref="C2:C3"/>
    <mergeCell ref="D2:D3"/>
    <mergeCell ref="E2:E3"/>
  </mergeCells>
  <conditionalFormatting sqref="M383:R383 M381:R381 M5:R22 M55:R100 M103:R123 M126:R133 M136:R193 M196:R226 M231:R268 M273:R279 M285:R332 M370:R374 M39:R52">
    <cfRule type="cellIs" dxfId="275" priority="671" operator="greaterThan">
      <formula>0</formula>
    </cfRule>
  </conditionalFormatting>
  <conditionalFormatting sqref="M5:R5">
    <cfRule type="cellIs" dxfId="274" priority="670" operator="greaterThan">
      <formula>0</formula>
    </cfRule>
  </conditionalFormatting>
  <conditionalFormatting sqref="M10:R11">
    <cfRule type="cellIs" dxfId="273" priority="669" operator="greaterThan">
      <formula>0</formula>
    </cfRule>
  </conditionalFormatting>
  <conditionalFormatting sqref="M9:R9">
    <cfRule type="cellIs" dxfId="272" priority="668" operator="greaterThan">
      <formula>0</formula>
    </cfRule>
  </conditionalFormatting>
  <conditionalFormatting sqref="M13:R13">
    <cfRule type="cellIs" dxfId="271" priority="667" operator="greaterThan">
      <formula>0</formula>
    </cfRule>
  </conditionalFormatting>
  <conditionalFormatting sqref="M333:R333">
    <cfRule type="cellIs" dxfId="270" priority="662" operator="greaterThan">
      <formula>0</formula>
    </cfRule>
  </conditionalFormatting>
  <conditionalFormatting sqref="M12:R12">
    <cfRule type="cellIs" dxfId="269" priority="666" operator="greaterThan">
      <formula>0</formula>
    </cfRule>
  </conditionalFormatting>
  <conditionalFormatting sqref="M264:R264 M279:R279">
    <cfRule type="cellIs" dxfId="268" priority="664" operator="greaterThan">
      <formula>0</formula>
    </cfRule>
  </conditionalFormatting>
  <conditionalFormatting sqref="M52:R52 M142:R142 M55:R56">
    <cfRule type="cellIs" dxfId="267" priority="665" operator="greaterThan">
      <formula>0</formula>
    </cfRule>
  </conditionalFormatting>
  <conditionalFormatting sqref="M18:R18">
    <cfRule type="cellIs" dxfId="266" priority="649" operator="greaterThan">
      <formula>0</formula>
    </cfRule>
  </conditionalFormatting>
  <conditionalFormatting sqref="M162:R162 M202:R202">
    <cfRule type="cellIs" dxfId="265" priority="663" operator="greaterThan">
      <formula>0</formula>
    </cfRule>
  </conditionalFormatting>
  <conditionalFormatting sqref="N375:R375">
    <cfRule type="cellIs" dxfId="264" priority="660" operator="greaterThan">
      <formula>0</formula>
    </cfRule>
  </conditionalFormatting>
  <conditionalFormatting sqref="M17:R17">
    <cfRule type="cellIs" dxfId="263" priority="648" operator="greaterThan">
      <formula>0</formula>
    </cfRule>
  </conditionalFormatting>
  <conditionalFormatting sqref="M22:R22">
    <cfRule type="cellIs" dxfId="262" priority="645" operator="greaterThan">
      <formula>0</formula>
    </cfRule>
  </conditionalFormatting>
  <conditionalFormatting sqref="M14:R16">
    <cfRule type="cellIs" dxfId="261" priority="650" operator="greaterThan">
      <formula>0</formula>
    </cfRule>
  </conditionalFormatting>
  <conditionalFormatting sqref="M44:R45">
    <cfRule type="cellIs" dxfId="260" priority="640" operator="greaterThan">
      <formula>0</formula>
    </cfRule>
  </conditionalFormatting>
  <conditionalFormatting sqref="M19:R19">
    <cfRule type="cellIs" dxfId="259" priority="647" operator="greaterThan">
      <formula>0</formula>
    </cfRule>
  </conditionalFormatting>
  <conditionalFormatting sqref="M40:R41">
    <cfRule type="cellIs" dxfId="258" priority="643" operator="greaterThan">
      <formula>0</formula>
    </cfRule>
  </conditionalFormatting>
  <conditionalFormatting sqref="M42:R42">
    <cfRule type="cellIs" dxfId="257" priority="642" operator="greaterThan">
      <formula>0</formula>
    </cfRule>
  </conditionalFormatting>
  <conditionalFormatting sqref="M20:R21">
    <cfRule type="cellIs" dxfId="256" priority="646" operator="greaterThan">
      <formula>0</formula>
    </cfRule>
  </conditionalFormatting>
  <conditionalFormatting sqref="M39:R39">
    <cfRule type="cellIs" dxfId="255" priority="644" operator="greaterThan">
      <formula>0</formula>
    </cfRule>
  </conditionalFormatting>
  <conditionalFormatting sqref="M46:R46">
    <cfRule type="cellIs" dxfId="254" priority="638" operator="greaterThan">
      <formula>0</formula>
    </cfRule>
  </conditionalFormatting>
  <conditionalFormatting sqref="M51:R51">
    <cfRule type="cellIs" dxfId="253" priority="634" operator="greaterThan">
      <formula>0</formula>
    </cfRule>
  </conditionalFormatting>
  <conditionalFormatting sqref="M43:R43">
    <cfRule type="cellIs" dxfId="252" priority="641" operator="greaterThan">
      <formula>0</formula>
    </cfRule>
  </conditionalFormatting>
  <conditionalFormatting sqref="M47:R47">
    <cfRule type="cellIs" dxfId="251" priority="639" operator="greaterThan">
      <formula>0</formula>
    </cfRule>
  </conditionalFormatting>
  <conditionalFormatting sqref="M49:R50">
    <cfRule type="cellIs" dxfId="250" priority="635" operator="greaterThan">
      <formula>0</formula>
    </cfRule>
  </conditionalFormatting>
  <conditionalFormatting sqref="M60:R60">
    <cfRule type="cellIs" dxfId="249" priority="626" operator="greaterThan">
      <formula>0</formula>
    </cfRule>
  </conditionalFormatting>
  <conditionalFormatting sqref="M48:R48">
    <cfRule type="cellIs" dxfId="248" priority="636" operator="greaterThan">
      <formula>0</formula>
    </cfRule>
  </conditionalFormatting>
  <conditionalFormatting sqref="M62:R62">
    <cfRule type="cellIs" dxfId="247" priority="624" operator="greaterThan">
      <formula>0</formula>
    </cfRule>
  </conditionalFormatting>
  <conditionalFormatting sqref="M68:R68">
    <cfRule type="cellIs" dxfId="246" priority="623" operator="greaterThan">
      <formula>0</formula>
    </cfRule>
  </conditionalFormatting>
  <conditionalFormatting sqref="M67:R67">
    <cfRule type="cellIs" dxfId="245" priority="620" operator="greaterThan">
      <formula>0</formula>
    </cfRule>
  </conditionalFormatting>
  <conditionalFormatting sqref="M63:R63">
    <cfRule type="cellIs" dxfId="244" priority="625" operator="greaterThan">
      <formula>0</formula>
    </cfRule>
  </conditionalFormatting>
  <conditionalFormatting sqref="M61:R61">
    <cfRule type="cellIs" dxfId="243" priority="629" operator="greaterThan">
      <formula>0</formula>
    </cfRule>
  </conditionalFormatting>
  <conditionalFormatting sqref="M57:R57">
    <cfRule type="cellIs" dxfId="242" priority="628" operator="greaterThan">
      <formula>0</formula>
    </cfRule>
  </conditionalFormatting>
  <conditionalFormatting sqref="M65:R66">
    <cfRule type="cellIs" dxfId="241" priority="621" operator="greaterThan">
      <formula>0</formula>
    </cfRule>
  </conditionalFormatting>
  <conditionalFormatting sqref="M64:R64">
    <cfRule type="cellIs" dxfId="240" priority="622" operator="greaterThan">
      <formula>0</formula>
    </cfRule>
  </conditionalFormatting>
  <conditionalFormatting sqref="M78:R78">
    <cfRule type="cellIs" dxfId="239" priority="610" operator="greaterThan">
      <formula>0</formula>
    </cfRule>
  </conditionalFormatting>
  <conditionalFormatting sqref="M76:R77">
    <cfRule type="cellIs" dxfId="238" priority="611" operator="greaterThan">
      <formula>0</formula>
    </cfRule>
  </conditionalFormatting>
  <conditionalFormatting sqref="M79:R79">
    <cfRule type="cellIs" dxfId="237" priority="613" operator="greaterThan">
      <formula>0</formula>
    </cfRule>
  </conditionalFormatting>
  <conditionalFormatting sqref="M75:R75">
    <cfRule type="cellIs" dxfId="236" priority="612" operator="greaterThan">
      <formula>0</formula>
    </cfRule>
  </conditionalFormatting>
  <conditionalFormatting sqref="M86:R86">
    <cfRule type="cellIs" dxfId="235" priority="605" operator="greaterThan">
      <formula>0</formula>
    </cfRule>
  </conditionalFormatting>
  <conditionalFormatting sqref="M81:R82">
    <cfRule type="cellIs" dxfId="234" priority="606" operator="greaterThan">
      <formula>0</formula>
    </cfRule>
  </conditionalFormatting>
  <conditionalFormatting sqref="M87:R87">
    <cfRule type="cellIs" dxfId="233" priority="608" operator="greaterThan">
      <formula>0</formula>
    </cfRule>
  </conditionalFormatting>
  <conditionalFormatting sqref="M80:R80">
    <cfRule type="cellIs" dxfId="232" priority="607" operator="greaterThan">
      <formula>0</formula>
    </cfRule>
  </conditionalFormatting>
  <conditionalFormatting sqref="M83:R85">
    <cfRule type="cellIs" dxfId="231" priority="604" operator="greaterThan">
      <formula>0</formula>
    </cfRule>
  </conditionalFormatting>
  <conditionalFormatting sqref="M72:R72">
    <cfRule type="cellIs" dxfId="230" priority="600" operator="greaterThan">
      <formula>0</formula>
    </cfRule>
  </conditionalFormatting>
  <conditionalFormatting sqref="M74:R74">
    <cfRule type="cellIs" dxfId="229" priority="599" operator="greaterThan">
      <formula>0</formula>
    </cfRule>
  </conditionalFormatting>
  <conditionalFormatting sqref="M73:R73">
    <cfRule type="cellIs" dxfId="228" priority="603" operator="greaterThan">
      <formula>0</formula>
    </cfRule>
  </conditionalFormatting>
  <conditionalFormatting sqref="M69:R69">
    <cfRule type="cellIs" dxfId="227" priority="602" operator="greaterThan">
      <formula>0</formula>
    </cfRule>
  </conditionalFormatting>
  <conditionalFormatting sqref="M91:R91">
    <cfRule type="cellIs" dxfId="226" priority="597" operator="greaterThan">
      <formula>0</formula>
    </cfRule>
  </conditionalFormatting>
  <conditionalFormatting sqref="M88:R88">
    <cfRule type="cellIs" dxfId="225" priority="598" operator="greaterThan">
      <formula>0</formula>
    </cfRule>
  </conditionalFormatting>
  <conditionalFormatting sqref="M93:R94">
    <cfRule type="cellIs" dxfId="224" priority="594" operator="greaterThan">
      <formula>0</formula>
    </cfRule>
  </conditionalFormatting>
  <conditionalFormatting sqref="M95:R95">
    <cfRule type="cellIs" dxfId="223" priority="592" operator="greaterThan">
      <formula>0</formula>
    </cfRule>
  </conditionalFormatting>
  <conditionalFormatting sqref="M96:R96">
    <cfRule type="cellIs" dxfId="222" priority="590" operator="greaterThan">
      <formula>0</formula>
    </cfRule>
  </conditionalFormatting>
  <conditionalFormatting sqref="M92:R92">
    <cfRule type="cellIs" dxfId="221" priority="593" operator="greaterThan">
      <formula>0</formula>
    </cfRule>
  </conditionalFormatting>
  <conditionalFormatting sqref="M99:R100">
    <cfRule type="cellIs" dxfId="220" priority="589" operator="greaterThan">
      <formula>0</formula>
    </cfRule>
  </conditionalFormatting>
  <conditionalFormatting sqref="M104:R105">
    <cfRule type="cellIs" dxfId="219" priority="584" operator="greaterThan">
      <formula>0</formula>
    </cfRule>
  </conditionalFormatting>
  <conditionalFormatting sqref="M106:R106">
    <cfRule type="cellIs" dxfId="218" priority="581" operator="greaterThan">
      <formula>0</formula>
    </cfRule>
  </conditionalFormatting>
  <conditionalFormatting sqref="M107:R107">
    <cfRule type="cellIs" dxfId="217" priority="583" operator="greaterThan">
      <formula>0</formula>
    </cfRule>
  </conditionalFormatting>
  <conditionalFormatting sqref="M103:R103">
    <cfRule type="cellIs" dxfId="216" priority="582" operator="greaterThan">
      <formula>0</formula>
    </cfRule>
  </conditionalFormatting>
  <conditionalFormatting sqref="M111:R111">
    <cfRule type="cellIs" dxfId="215" priority="576" operator="greaterThan">
      <formula>0</formula>
    </cfRule>
  </conditionalFormatting>
  <conditionalFormatting sqref="M112:R112">
    <cfRule type="cellIs" dxfId="214" priority="578" operator="greaterThan">
      <formula>0</formula>
    </cfRule>
  </conditionalFormatting>
  <conditionalFormatting sqref="M108:R108">
    <cfRule type="cellIs" dxfId="213" priority="577" operator="greaterThan">
      <formula>0</formula>
    </cfRule>
  </conditionalFormatting>
  <conditionalFormatting sqref="M121:R123">
    <cfRule type="cellIs" dxfId="212" priority="573" operator="greaterThan">
      <formula>0</formula>
    </cfRule>
  </conditionalFormatting>
  <conditionalFormatting sqref="M113:R113">
    <cfRule type="cellIs" dxfId="211" priority="574" operator="greaterThan">
      <formula>0</formula>
    </cfRule>
  </conditionalFormatting>
  <conditionalFormatting sqref="M116:R120">
    <cfRule type="cellIs" dxfId="210" priority="572" operator="greaterThan">
      <formula>0</formula>
    </cfRule>
  </conditionalFormatting>
  <conditionalFormatting sqref="M132:R133">
    <cfRule type="cellIs" dxfId="209" priority="570" operator="greaterThan">
      <formula>0</formula>
    </cfRule>
  </conditionalFormatting>
  <conditionalFormatting sqref="M126:R126">
    <cfRule type="cellIs" dxfId="208" priority="571" operator="greaterThan">
      <formula>0</formula>
    </cfRule>
  </conditionalFormatting>
  <conditionalFormatting sqref="M137:R138">
    <cfRule type="cellIs" dxfId="207" priority="566" operator="greaterThan">
      <formula>0</formula>
    </cfRule>
  </conditionalFormatting>
  <conditionalFormatting sqref="M136:R136">
    <cfRule type="cellIs" dxfId="206" priority="565" operator="greaterThan">
      <formula>0</formula>
    </cfRule>
  </conditionalFormatting>
  <conditionalFormatting sqref="M141:R141">
    <cfRule type="cellIs" dxfId="205" priority="564" operator="greaterThan">
      <formula>0</formula>
    </cfRule>
  </conditionalFormatting>
  <conditionalFormatting sqref="M143:R143">
    <cfRule type="cellIs" dxfId="204" priority="560" operator="greaterThan">
      <formula>0</formula>
    </cfRule>
  </conditionalFormatting>
  <conditionalFormatting sqref="M139:R140">
    <cfRule type="cellIs" dxfId="203" priority="563" operator="greaterThan">
      <formula>0</formula>
    </cfRule>
  </conditionalFormatting>
  <conditionalFormatting sqref="M150:R151">
    <cfRule type="cellIs" dxfId="202" priority="562" operator="greaterThan">
      <formula>0</formula>
    </cfRule>
  </conditionalFormatting>
  <conditionalFormatting sqref="M144:R145">
    <cfRule type="cellIs" dxfId="201" priority="561" operator="greaterThan">
      <formula>0</formula>
    </cfRule>
  </conditionalFormatting>
  <conditionalFormatting sqref="M149:R149">
    <cfRule type="cellIs" dxfId="200" priority="559" operator="greaterThan">
      <formula>0</formula>
    </cfRule>
  </conditionalFormatting>
  <conditionalFormatting sqref="M146:R148">
    <cfRule type="cellIs" dxfId="199" priority="558" operator="greaterThan">
      <formula>0</formula>
    </cfRule>
  </conditionalFormatting>
  <conditionalFormatting sqref="M152:R152">
    <cfRule type="cellIs" dxfId="198" priority="554" operator="greaterThan">
      <formula>0</formula>
    </cfRule>
  </conditionalFormatting>
  <conditionalFormatting sqref="M159:R160">
    <cfRule type="cellIs" dxfId="197" priority="556" operator="greaterThan">
      <formula>0</formula>
    </cfRule>
  </conditionalFormatting>
  <conditionalFormatting sqref="M153:R154">
    <cfRule type="cellIs" dxfId="196" priority="555" operator="greaterThan">
      <formula>0</formula>
    </cfRule>
  </conditionalFormatting>
  <conditionalFormatting sqref="M163:R163">
    <cfRule type="cellIs" dxfId="195" priority="548" operator="greaterThan">
      <formula>0</formula>
    </cfRule>
  </conditionalFormatting>
  <conditionalFormatting sqref="M155:R158">
    <cfRule type="cellIs" dxfId="194" priority="553" operator="greaterThan">
      <formula>0</formula>
    </cfRule>
  </conditionalFormatting>
  <conditionalFormatting sqref="M161:R161">
    <cfRule type="cellIs" dxfId="193" priority="552" operator="greaterThan">
      <formula>0</formula>
    </cfRule>
  </conditionalFormatting>
  <conditionalFormatting sqref="M169:R169">
    <cfRule type="cellIs" dxfId="192" priority="551" operator="greaterThan">
      <formula>0</formula>
    </cfRule>
  </conditionalFormatting>
  <conditionalFormatting sqref="M170:R170">
    <cfRule type="cellIs" dxfId="191" priority="544" operator="greaterThan">
      <formula>0</formula>
    </cfRule>
  </conditionalFormatting>
  <conditionalFormatting sqref="M166:R167">
    <cfRule type="cellIs" dxfId="190" priority="550" operator="greaterThan">
      <formula>0</formula>
    </cfRule>
  </conditionalFormatting>
  <conditionalFormatting sqref="M173:R174">
    <cfRule type="cellIs" dxfId="189" priority="543" operator="greaterThan">
      <formula>0</formula>
    </cfRule>
  </conditionalFormatting>
  <conditionalFormatting sqref="M168:R168">
    <cfRule type="cellIs" dxfId="188" priority="547" operator="greaterThan">
      <formula>0</formula>
    </cfRule>
  </conditionalFormatting>
  <conditionalFormatting sqref="M177:R177">
    <cfRule type="cellIs" dxfId="187" priority="540" operator="greaterThan">
      <formula>0</formula>
    </cfRule>
  </conditionalFormatting>
  <conditionalFormatting sqref="M178:R179">
    <cfRule type="cellIs" dxfId="186" priority="541" operator="greaterThan">
      <formula>0</formula>
    </cfRule>
  </conditionalFormatting>
  <conditionalFormatting sqref="M175:R176">
    <cfRule type="cellIs" dxfId="185" priority="546" operator="greaterThan">
      <formula>0</formula>
    </cfRule>
  </conditionalFormatting>
  <conditionalFormatting sqref="M171:R172">
    <cfRule type="cellIs" dxfId="184" priority="545" operator="greaterThan">
      <formula>0</formula>
    </cfRule>
  </conditionalFormatting>
  <conditionalFormatting sqref="M181:R181">
    <cfRule type="cellIs" dxfId="183" priority="537" operator="greaterThan">
      <formula>0</formula>
    </cfRule>
  </conditionalFormatting>
  <conditionalFormatting sqref="M188:R188">
    <cfRule type="cellIs" dxfId="182" priority="533" operator="greaterThan">
      <formula>0</formula>
    </cfRule>
  </conditionalFormatting>
  <conditionalFormatting sqref="M180:R180">
    <cfRule type="cellIs" dxfId="181" priority="542" operator="greaterThan">
      <formula>0</formula>
    </cfRule>
  </conditionalFormatting>
  <conditionalFormatting sqref="M191:R193 M196:R197">
    <cfRule type="cellIs" dxfId="180" priority="535" operator="greaterThan">
      <formula>0</formula>
    </cfRule>
  </conditionalFormatting>
  <conditionalFormatting sqref="M189:R190">
    <cfRule type="cellIs" dxfId="179" priority="534" operator="greaterThan">
      <formula>0</formula>
    </cfRule>
  </conditionalFormatting>
  <conditionalFormatting sqref="M198:R198">
    <cfRule type="cellIs" dxfId="178" priority="530" operator="greaterThan">
      <formula>0</formula>
    </cfRule>
  </conditionalFormatting>
  <conditionalFormatting sqref="M184:R187">
    <cfRule type="cellIs" dxfId="177" priority="539" operator="greaterThan">
      <formula>0</formula>
    </cfRule>
  </conditionalFormatting>
  <conditionalFormatting sqref="M199:R200">
    <cfRule type="cellIs" dxfId="176" priority="531" operator="greaterThan">
      <formula>0</formula>
    </cfRule>
  </conditionalFormatting>
  <conditionalFormatting sqref="M203:R203">
    <cfRule type="cellIs" dxfId="175" priority="526" operator="greaterThan">
      <formula>0</formula>
    </cfRule>
  </conditionalFormatting>
  <conditionalFormatting sqref="M201:R201">
    <cfRule type="cellIs" dxfId="174" priority="532" operator="greaterThan">
      <formula>0</formula>
    </cfRule>
  </conditionalFormatting>
  <conditionalFormatting sqref="M204:R205">
    <cfRule type="cellIs" dxfId="173" priority="527" operator="greaterThan">
      <formula>0</formula>
    </cfRule>
  </conditionalFormatting>
  <conditionalFormatting sqref="M206:R206">
    <cfRule type="cellIs" dxfId="172" priority="528" operator="greaterThan">
      <formula>0</formula>
    </cfRule>
  </conditionalFormatting>
  <conditionalFormatting sqref="M207:R207">
    <cfRule type="cellIs" dxfId="171" priority="529" operator="greaterThan">
      <formula>0</formula>
    </cfRule>
  </conditionalFormatting>
  <conditionalFormatting sqref="M208:R208">
    <cfRule type="cellIs" dxfId="170" priority="521" operator="greaterThan">
      <formula>0</formula>
    </cfRule>
  </conditionalFormatting>
  <conditionalFormatting sqref="M209:R211">
    <cfRule type="cellIs" dxfId="169" priority="522" operator="greaterThan">
      <formula>0</formula>
    </cfRule>
  </conditionalFormatting>
  <conditionalFormatting sqref="M214:R214">
    <cfRule type="cellIs" dxfId="168" priority="523" operator="greaterThan">
      <formula>0</formula>
    </cfRule>
  </conditionalFormatting>
  <conditionalFormatting sqref="M215:R215">
    <cfRule type="cellIs" dxfId="167" priority="524" operator="greaterThan">
      <formula>0</formula>
    </cfRule>
  </conditionalFormatting>
  <conditionalFormatting sqref="M216:R216">
    <cfRule type="cellIs" dxfId="166" priority="516" operator="greaterThan">
      <formula>0</formula>
    </cfRule>
  </conditionalFormatting>
  <conditionalFormatting sqref="M217:R218">
    <cfRule type="cellIs" dxfId="165" priority="517" operator="greaterThan">
      <formula>0</formula>
    </cfRule>
  </conditionalFormatting>
  <conditionalFormatting sqref="M219:R219">
    <cfRule type="cellIs" dxfId="164" priority="518" operator="greaterThan">
      <formula>0</formula>
    </cfRule>
  </conditionalFormatting>
  <conditionalFormatting sqref="M220:R220">
    <cfRule type="cellIs" dxfId="163" priority="519" operator="greaterThan">
      <formula>0</formula>
    </cfRule>
  </conditionalFormatting>
  <conditionalFormatting sqref="M225:R225">
    <cfRule type="cellIs" dxfId="162" priority="514" operator="greaterThan">
      <formula>0</formula>
    </cfRule>
  </conditionalFormatting>
  <conditionalFormatting sqref="M221:R221">
    <cfRule type="cellIs" dxfId="161" priority="511" operator="greaterThan">
      <formula>0</formula>
    </cfRule>
  </conditionalFormatting>
  <conditionalFormatting sqref="M224:R224">
    <cfRule type="cellIs" dxfId="160" priority="513" operator="greaterThan">
      <formula>0</formula>
    </cfRule>
  </conditionalFormatting>
  <conditionalFormatting sqref="M235:R235">
    <cfRule type="cellIs" dxfId="159" priority="509" operator="greaterThan">
      <formula>0</formula>
    </cfRule>
  </conditionalFormatting>
  <conditionalFormatting sqref="M226:R226">
    <cfRule type="cellIs" dxfId="158" priority="510" operator="greaterThan">
      <formula>0</formula>
    </cfRule>
  </conditionalFormatting>
  <conditionalFormatting sqref="M239:R239">
    <cfRule type="cellIs" dxfId="157" priority="504" operator="greaterThan">
      <formula>0</formula>
    </cfRule>
  </conditionalFormatting>
  <conditionalFormatting sqref="M231:R231">
    <cfRule type="cellIs" dxfId="156" priority="506" operator="greaterThan">
      <formula>0</formula>
    </cfRule>
  </conditionalFormatting>
  <conditionalFormatting sqref="M232:R233">
    <cfRule type="cellIs" dxfId="155" priority="507" operator="greaterThan">
      <formula>0</formula>
    </cfRule>
  </conditionalFormatting>
  <conditionalFormatting sqref="M234:R234">
    <cfRule type="cellIs" dxfId="154" priority="508" operator="greaterThan">
      <formula>0</formula>
    </cfRule>
  </conditionalFormatting>
  <conditionalFormatting sqref="M236:R236">
    <cfRule type="cellIs" dxfId="153" priority="502" operator="greaterThan">
      <formula>0</formula>
    </cfRule>
  </conditionalFormatting>
  <conditionalFormatting sqref="M240:R240">
    <cfRule type="cellIs" dxfId="152" priority="505" operator="greaterThan">
      <formula>0</formula>
    </cfRule>
  </conditionalFormatting>
  <conditionalFormatting sqref="M259:R260">
    <cfRule type="cellIs" dxfId="151" priority="484" operator="greaterThan">
      <formula>0</formula>
    </cfRule>
  </conditionalFormatting>
  <conditionalFormatting sqref="M246:R246">
    <cfRule type="cellIs" dxfId="150" priority="497" operator="greaterThan">
      <formula>0</formula>
    </cfRule>
  </conditionalFormatting>
  <conditionalFormatting sqref="M241:R241">
    <cfRule type="cellIs" dxfId="149" priority="495" operator="greaterThan">
      <formula>0</formula>
    </cfRule>
  </conditionalFormatting>
  <conditionalFormatting sqref="M247:R247">
    <cfRule type="cellIs" dxfId="148" priority="493" operator="greaterThan">
      <formula>0</formula>
    </cfRule>
  </conditionalFormatting>
  <conditionalFormatting sqref="M248:R248">
    <cfRule type="cellIs" dxfId="147" priority="494" operator="greaterThan">
      <formula>0</formula>
    </cfRule>
  </conditionalFormatting>
  <conditionalFormatting sqref="M249:R249">
    <cfRule type="cellIs" dxfId="146" priority="488" operator="greaterThan">
      <formula>0</formula>
    </cfRule>
  </conditionalFormatting>
  <conditionalFormatting sqref="M244:R244">
    <cfRule type="cellIs" dxfId="145" priority="491" operator="greaterThan">
      <formula>0</formula>
    </cfRule>
  </conditionalFormatting>
  <conditionalFormatting sqref="M254:R254">
    <cfRule type="cellIs" dxfId="144" priority="485" operator="greaterThan">
      <formula>0</formula>
    </cfRule>
  </conditionalFormatting>
  <conditionalFormatting sqref="M245:R245">
    <cfRule type="cellIs" dxfId="143" priority="492" operator="greaterThan">
      <formula>0</formula>
    </cfRule>
  </conditionalFormatting>
  <conditionalFormatting sqref="M252:R252">
    <cfRule type="cellIs" dxfId="142" priority="489" operator="greaterThan">
      <formula>0</formula>
    </cfRule>
  </conditionalFormatting>
  <conditionalFormatting sqref="M253:R253">
    <cfRule type="cellIs" dxfId="141" priority="490" operator="greaterThan">
      <formula>0</formula>
    </cfRule>
  </conditionalFormatting>
  <conditionalFormatting sqref="M255:R256">
    <cfRule type="cellIs" dxfId="140" priority="487" operator="greaterThan">
      <formula>0</formula>
    </cfRule>
  </conditionalFormatting>
  <conditionalFormatting sqref="M257:R257">
    <cfRule type="cellIs" dxfId="139" priority="486" operator="greaterThan">
      <formula>0</formula>
    </cfRule>
  </conditionalFormatting>
  <conditionalFormatting sqref="M263:R263">
    <cfRule type="cellIs" dxfId="138" priority="483" operator="greaterThan">
      <formula>0</formula>
    </cfRule>
  </conditionalFormatting>
  <conditionalFormatting sqref="M258:R258">
    <cfRule type="cellIs" dxfId="137" priority="482" operator="greaterThan">
      <formula>0</formula>
    </cfRule>
  </conditionalFormatting>
  <conditionalFormatting sqref="M261:R261">
    <cfRule type="cellIs" dxfId="136" priority="480" operator="greaterThan">
      <formula>0</formula>
    </cfRule>
  </conditionalFormatting>
  <conditionalFormatting sqref="M268:R268">
    <cfRule type="cellIs" dxfId="135" priority="474" operator="greaterThan">
      <formula>0</formula>
    </cfRule>
  </conditionalFormatting>
  <conditionalFormatting sqref="M265:R265">
    <cfRule type="cellIs" dxfId="134" priority="473" operator="greaterThan">
      <formula>0</formula>
    </cfRule>
  </conditionalFormatting>
  <conditionalFormatting sqref="M273:R273">
    <cfRule type="cellIs" dxfId="133" priority="470" operator="greaterThan">
      <formula>0</formula>
    </cfRule>
  </conditionalFormatting>
  <conditionalFormatting sqref="M274:R275 M277:R277">
    <cfRule type="cellIs" dxfId="132" priority="472" operator="greaterThan">
      <formula>0</formula>
    </cfRule>
  </conditionalFormatting>
  <conditionalFormatting sqref="M278:R278">
    <cfRule type="cellIs" dxfId="131" priority="471" operator="greaterThan">
      <formula>0</formula>
    </cfRule>
  </conditionalFormatting>
  <conditionalFormatting sqref="M276:R276">
    <cfRule type="cellIs" dxfId="130" priority="469" operator="greaterThan">
      <formula>0</formula>
    </cfRule>
  </conditionalFormatting>
  <conditionalFormatting sqref="M285:R285">
    <cfRule type="cellIs" dxfId="129" priority="461" operator="greaterThan">
      <formula>0</formula>
    </cfRule>
  </conditionalFormatting>
  <conditionalFormatting sqref="M294:R294">
    <cfRule type="cellIs" dxfId="128" priority="468" operator="greaterThan">
      <formula>0</formula>
    </cfRule>
  </conditionalFormatting>
  <conditionalFormatting sqref="M290:R290">
    <cfRule type="cellIs" dxfId="127" priority="465" operator="greaterThan">
      <formula>0</formula>
    </cfRule>
  </conditionalFormatting>
  <conditionalFormatting sqref="M291:R292">
    <cfRule type="cellIs" dxfId="126" priority="467" operator="greaterThan">
      <formula>0</formula>
    </cfRule>
  </conditionalFormatting>
  <conditionalFormatting sqref="M293:R293">
    <cfRule type="cellIs" dxfId="125" priority="466" operator="greaterThan">
      <formula>0</formula>
    </cfRule>
  </conditionalFormatting>
  <conditionalFormatting sqref="M295:R295">
    <cfRule type="cellIs" dxfId="124" priority="457" operator="greaterThan">
      <formula>0</formula>
    </cfRule>
  </conditionalFormatting>
  <conditionalFormatting sqref="M289:R289">
    <cfRule type="cellIs" dxfId="123" priority="464" operator="greaterThan">
      <formula>0</formula>
    </cfRule>
  </conditionalFormatting>
  <conditionalFormatting sqref="M286:R287">
    <cfRule type="cellIs" dxfId="122" priority="463" operator="greaterThan">
      <formula>0</formula>
    </cfRule>
  </conditionalFormatting>
  <conditionalFormatting sqref="M288:R288">
    <cfRule type="cellIs" dxfId="121" priority="462" operator="greaterThan">
      <formula>0</formula>
    </cfRule>
  </conditionalFormatting>
  <conditionalFormatting sqref="M300:R300">
    <cfRule type="cellIs" dxfId="120" priority="449" operator="greaterThan">
      <formula>0</formula>
    </cfRule>
  </conditionalFormatting>
  <conditionalFormatting sqref="M299:R299">
    <cfRule type="cellIs" dxfId="119" priority="460" operator="greaterThan">
      <formula>0</formula>
    </cfRule>
  </conditionalFormatting>
  <conditionalFormatting sqref="M296:R297">
    <cfRule type="cellIs" dxfId="118" priority="459" operator="greaterThan">
      <formula>0</formula>
    </cfRule>
  </conditionalFormatting>
  <conditionalFormatting sqref="M298:R298">
    <cfRule type="cellIs" dxfId="117" priority="458" operator="greaterThan">
      <formula>0</formula>
    </cfRule>
  </conditionalFormatting>
  <conditionalFormatting sqref="M305:R305">
    <cfRule type="cellIs" dxfId="116" priority="445" operator="greaterThan">
      <formula>0</formula>
    </cfRule>
  </conditionalFormatting>
  <conditionalFormatting sqref="M310:R310">
    <cfRule type="cellIs" dxfId="115" priority="442" operator="greaterThan">
      <formula>0</formula>
    </cfRule>
  </conditionalFormatting>
  <conditionalFormatting sqref="M304:R304">
    <cfRule type="cellIs" dxfId="114" priority="452" operator="greaterThan">
      <formula>0</formula>
    </cfRule>
  </conditionalFormatting>
  <conditionalFormatting sqref="M301:R302">
    <cfRule type="cellIs" dxfId="113" priority="451" operator="greaterThan">
      <formula>0</formula>
    </cfRule>
  </conditionalFormatting>
  <conditionalFormatting sqref="M303:R303">
    <cfRule type="cellIs" dxfId="112" priority="450" operator="greaterThan">
      <formula>0</formula>
    </cfRule>
  </conditionalFormatting>
  <conditionalFormatting sqref="M309:R309">
    <cfRule type="cellIs" dxfId="111" priority="448" operator="greaterThan">
      <formula>0</formula>
    </cfRule>
  </conditionalFormatting>
  <conditionalFormatting sqref="M306:R307">
    <cfRule type="cellIs" dxfId="110" priority="447" operator="greaterThan">
      <formula>0</formula>
    </cfRule>
  </conditionalFormatting>
  <conditionalFormatting sqref="M308:R308">
    <cfRule type="cellIs" dxfId="109" priority="446" operator="greaterThan">
      <formula>0</formula>
    </cfRule>
  </conditionalFormatting>
  <conditionalFormatting sqref="M311:R312">
    <cfRule type="cellIs" dxfId="108" priority="444" operator="greaterThan">
      <formula>0</formula>
    </cfRule>
  </conditionalFormatting>
  <conditionalFormatting sqref="M313:R313">
    <cfRule type="cellIs" dxfId="107" priority="443" operator="greaterThan">
      <formula>0</formula>
    </cfRule>
  </conditionalFormatting>
  <conditionalFormatting sqref="M314:R314">
    <cfRule type="cellIs" dxfId="106" priority="435" operator="greaterThan">
      <formula>0</formula>
    </cfRule>
  </conditionalFormatting>
  <conditionalFormatting sqref="M325:R326">
    <cfRule type="cellIs" dxfId="105" priority="431" operator="greaterThan">
      <formula>0</formula>
    </cfRule>
  </conditionalFormatting>
  <conditionalFormatting sqref="M333:R333 N375:R375">
    <cfRule type="cellIs" dxfId="104" priority="432" operator="greaterThan">
      <formula>0</formula>
    </cfRule>
  </conditionalFormatting>
  <conditionalFormatting sqref="M315:R316">
    <cfRule type="cellIs" dxfId="103" priority="437" operator="greaterThan">
      <formula>0</formula>
    </cfRule>
  </conditionalFormatting>
  <conditionalFormatting sqref="M317:R317">
    <cfRule type="cellIs" dxfId="102" priority="436" operator="greaterThan">
      <formula>0</formula>
    </cfRule>
  </conditionalFormatting>
  <conditionalFormatting sqref="M319:R320">
    <cfRule type="cellIs" dxfId="101" priority="434" operator="greaterThan">
      <formula>0</formula>
    </cfRule>
  </conditionalFormatting>
  <conditionalFormatting sqref="M321:R321">
    <cfRule type="cellIs" dxfId="100" priority="433" operator="greaterThan">
      <formula>0</formula>
    </cfRule>
  </conditionalFormatting>
  <conditionalFormatting sqref="M322:R322">
    <cfRule type="cellIs" dxfId="99" priority="430" operator="greaterThan">
      <formula>0</formula>
    </cfRule>
  </conditionalFormatting>
  <conditionalFormatting sqref="M330:R331">
    <cfRule type="cellIs" dxfId="98" priority="428" operator="greaterThan">
      <formula>0</formula>
    </cfRule>
  </conditionalFormatting>
  <conditionalFormatting sqref="M327:R327">
    <cfRule type="cellIs" dxfId="97" priority="427" operator="greaterThan">
      <formula>0</formula>
    </cfRule>
  </conditionalFormatting>
  <conditionalFormatting sqref="M332:R332">
    <cfRule type="cellIs" dxfId="96" priority="426" operator="greaterThan">
      <formula>0</formula>
    </cfRule>
  </conditionalFormatting>
  <conditionalFormatting sqref="M337:R337">
    <cfRule type="cellIs" dxfId="95" priority="419" operator="greaterThan">
      <formula>0</formula>
    </cfRule>
  </conditionalFormatting>
  <conditionalFormatting sqref="M337:R340">
    <cfRule type="cellIs" dxfId="94" priority="418" operator="greaterThan">
      <formula>0</formula>
    </cfRule>
  </conditionalFormatting>
  <conditionalFormatting sqref="M338:R339">
    <cfRule type="cellIs" dxfId="93" priority="421" operator="greaterThan">
      <formula>0</formula>
    </cfRule>
  </conditionalFormatting>
  <conditionalFormatting sqref="M345:R345">
    <cfRule type="cellIs" dxfId="92" priority="412" operator="greaterThan">
      <formula>0</formula>
    </cfRule>
  </conditionalFormatting>
  <conditionalFormatting sqref="M342:R343">
    <cfRule type="cellIs" dxfId="91" priority="411" operator="greaterThan">
      <formula>0</formula>
    </cfRule>
  </conditionalFormatting>
  <conditionalFormatting sqref="M344:R344">
    <cfRule type="cellIs" dxfId="90" priority="410" operator="greaterThan">
      <formula>0</formula>
    </cfRule>
  </conditionalFormatting>
  <conditionalFormatting sqref="M359:R359">
    <cfRule type="cellIs" dxfId="89" priority="406" operator="greaterThan">
      <formula>0</formula>
    </cfRule>
  </conditionalFormatting>
  <conditionalFormatting sqref="M345:R345">
    <cfRule type="cellIs" dxfId="88" priority="413" operator="greaterThan">
      <formula>0</formula>
    </cfRule>
  </conditionalFormatting>
  <conditionalFormatting sqref="M356:R357">
    <cfRule type="cellIs" dxfId="87" priority="405" operator="greaterThan">
      <formula>0</formula>
    </cfRule>
  </conditionalFormatting>
  <conditionalFormatting sqref="M340:R340">
    <cfRule type="cellIs" dxfId="86" priority="420" operator="greaterThan">
      <formula>0</formula>
    </cfRule>
  </conditionalFormatting>
  <conditionalFormatting sqref="M341:R341">
    <cfRule type="cellIs" dxfId="85" priority="409" operator="greaterThan">
      <formula>0</formula>
    </cfRule>
  </conditionalFormatting>
  <conditionalFormatting sqref="M358:R358">
    <cfRule type="cellIs" dxfId="84" priority="404" operator="greaterThan">
      <formula>0</formula>
    </cfRule>
  </conditionalFormatting>
  <conditionalFormatting sqref="M341:R344">
    <cfRule type="cellIs" dxfId="83" priority="408" operator="greaterThan">
      <formula>0</formula>
    </cfRule>
  </conditionalFormatting>
  <conditionalFormatting sqref="M359:R359">
    <cfRule type="cellIs" dxfId="82" priority="407" operator="greaterThan">
      <formula>0</formula>
    </cfRule>
  </conditionalFormatting>
  <conditionalFormatting sqref="M365:R365">
    <cfRule type="cellIs" dxfId="81" priority="400" operator="greaterThan">
      <formula>0</formula>
    </cfRule>
  </conditionalFormatting>
  <conditionalFormatting sqref="M361:R362">
    <cfRule type="cellIs" dxfId="80" priority="399" operator="greaterThan">
      <formula>0</formula>
    </cfRule>
  </conditionalFormatting>
  <conditionalFormatting sqref="M355:R355">
    <cfRule type="cellIs" dxfId="79" priority="403" operator="greaterThan">
      <formula>0</formula>
    </cfRule>
  </conditionalFormatting>
  <conditionalFormatting sqref="M355:R358">
    <cfRule type="cellIs" dxfId="78" priority="402" operator="greaterThan">
      <formula>0</formula>
    </cfRule>
  </conditionalFormatting>
  <conditionalFormatting sqref="M360:R360">
    <cfRule type="cellIs" dxfId="77" priority="397" operator="greaterThan">
      <formula>0</formula>
    </cfRule>
  </conditionalFormatting>
  <conditionalFormatting sqref="M363:R364">
    <cfRule type="cellIs" dxfId="76" priority="398" operator="greaterThan">
      <formula>0</formula>
    </cfRule>
  </conditionalFormatting>
  <conditionalFormatting sqref="M360:R364">
    <cfRule type="cellIs" dxfId="75" priority="396" operator="greaterThan">
      <formula>0</formula>
    </cfRule>
  </conditionalFormatting>
  <conditionalFormatting sqref="M365:R365">
    <cfRule type="cellIs" dxfId="74" priority="401" operator="greaterThan">
      <formula>0</formula>
    </cfRule>
  </conditionalFormatting>
  <conditionalFormatting sqref="M371:R372">
    <cfRule type="cellIs" dxfId="73" priority="385" operator="greaterThan">
      <formula>0</formula>
    </cfRule>
  </conditionalFormatting>
  <conditionalFormatting sqref="M380:R380">
    <cfRule type="cellIs" dxfId="72" priority="380" operator="greaterThan">
      <formula>0</formula>
    </cfRule>
  </conditionalFormatting>
  <conditionalFormatting sqref="M373:R374 M375">
    <cfRule type="cellIs" dxfId="71" priority="384" operator="greaterThan">
      <formula>0</formula>
    </cfRule>
  </conditionalFormatting>
  <conditionalFormatting sqref="M377:R378">
    <cfRule type="cellIs" dxfId="70" priority="379" operator="greaterThan">
      <formula>0</formula>
    </cfRule>
  </conditionalFormatting>
  <conditionalFormatting sqref="M379:R379">
    <cfRule type="cellIs" dxfId="69" priority="378" operator="greaterThan">
      <formula>0</formula>
    </cfRule>
  </conditionalFormatting>
  <conditionalFormatting sqref="M380:R380">
    <cfRule type="cellIs" dxfId="68" priority="381" operator="greaterThan">
      <formula>0</formula>
    </cfRule>
  </conditionalFormatting>
  <conditionalFormatting sqref="M370:R370">
    <cfRule type="cellIs" dxfId="67" priority="383" operator="greaterThan">
      <formula>0</formula>
    </cfRule>
  </conditionalFormatting>
  <conditionalFormatting sqref="M375">
    <cfRule type="cellIs" dxfId="66" priority="382" operator="greaterThan">
      <formula>0</formula>
    </cfRule>
  </conditionalFormatting>
  <conditionalFormatting sqref="M376:R376">
    <cfRule type="cellIs" dxfId="65" priority="377" operator="greaterThan">
      <formula>0</formula>
    </cfRule>
  </conditionalFormatting>
  <conditionalFormatting sqref="M376:R379">
    <cfRule type="cellIs" dxfId="64" priority="376" operator="greaterThan">
      <formula>0</formula>
    </cfRule>
  </conditionalFormatting>
  <conditionalFormatting sqref="M53:R54">
    <cfRule type="cellIs" dxfId="63" priority="66" operator="greaterThan">
      <formula>0</formula>
    </cfRule>
  </conditionalFormatting>
  <conditionalFormatting sqref="M54:R54">
    <cfRule type="cellIs" dxfId="62" priority="65" operator="greaterThan">
      <formula>0</formula>
    </cfRule>
  </conditionalFormatting>
  <conditionalFormatting sqref="M53:R53">
    <cfRule type="cellIs" dxfId="61" priority="64" operator="greaterThan">
      <formula>0</formula>
    </cfRule>
  </conditionalFormatting>
  <conditionalFormatting sqref="M101:R102">
    <cfRule type="cellIs" dxfId="60" priority="63" operator="greaterThan">
      <formula>0</formula>
    </cfRule>
  </conditionalFormatting>
  <conditionalFormatting sqref="M101:R102">
    <cfRule type="cellIs" dxfId="59" priority="62" operator="greaterThan">
      <formula>0</formula>
    </cfRule>
  </conditionalFormatting>
  <conditionalFormatting sqref="M124:R125">
    <cfRule type="cellIs" dxfId="58" priority="61" operator="greaterThan">
      <formula>0</formula>
    </cfRule>
  </conditionalFormatting>
  <conditionalFormatting sqref="M124:R125">
    <cfRule type="cellIs" dxfId="57" priority="60" operator="greaterThan">
      <formula>0</formula>
    </cfRule>
  </conditionalFormatting>
  <conditionalFormatting sqref="M134:R135">
    <cfRule type="cellIs" dxfId="56" priority="59" operator="greaterThan">
      <formula>0</formula>
    </cfRule>
  </conditionalFormatting>
  <conditionalFormatting sqref="M134:R135">
    <cfRule type="cellIs" dxfId="55" priority="58" operator="greaterThan">
      <formula>0</formula>
    </cfRule>
  </conditionalFormatting>
  <conditionalFormatting sqref="M194:R195">
    <cfRule type="cellIs" dxfId="54" priority="57" operator="greaterThan">
      <formula>0</formula>
    </cfRule>
  </conditionalFormatting>
  <conditionalFormatting sqref="M194:R195">
    <cfRule type="cellIs" dxfId="53" priority="56" operator="greaterThan">
      <formula>0</formula>
    </cfRule>
  </conditionalFormatting>
  <conditionalFormatting sqref="M227:R230">
    <cfRule type="cellIs" dxfId="52" priority="55" operator="greaterThan">
      <formula>0</formula>
    </cfRule>
  </conditionalFormatting>
  <conditionalFormatting sqref="M227:R227">
    <cfRule type="cellIs" dxfId="51" priority="52" operator="greaterThan">
      <formula>0</formula>
    </cfRule>
  </conditionalFormatting>
  <conditionalFormatting sqref="M230:R230">
    <cfRule type="cellIs" dxfId="50" priority="53" operator="greaterThan">
      <formula>0</formula>
    </cfRule>
  </conditionalFormatting>
  <conditionalFormatting sqref="M269:R272">
    <cfRule type="cellIs" dxfId="49" priority="50" operator="greaterThan">
      <formula>0</formula>
    </cfRule>
  </conditionalFormatting>
  <conditionalFormatting sqref="M272:R272">
    <cfRule type="cellIs" dxfId="48" priority="49" operator="greaterThan">
      <formula>0</formula>
    </cfRule>
  </conditionalFormatting>
  <conditionalFormatting sqref="M269:R269">
    <cfRule type="cellIs" dxfId="47" priority="48" operator="greaterThan">
      <formula>0</formula>
    </cfRule>
  </conditionalFormatting>
  <conditionalFormatting sqref="M280:R283">
    <cfRule type="cellIs" dxfId="46" priority="47" operator="greaterThan">
      <formula>0</formula>
    </cfRule>
  </conditionalFormatting>
  <conditionalFormatting sqref="M283:R283">
    <cfRule type="cellIs" dxfId="45" priority="46" operator="greaterThan">
      <formula>0</formula>
    </cfRule>
  </conditionalFormatting>
  <conditionalFormatting sqref="M280:R280">
    <cfRule type="cellIs" dxfId="44" priority="45" operator="greaterThan">
      <formula>0</formula>
    </cfRule>
  </conditionalFormatting>
  <conditionalFormatting sqref="M284:R284">
    <cfRule type="cellIs" dxfId="43" priority="44" operator="greaterThan">
      <formula>0</formula>
    </cfRule>
  </conditionalFormatting>
  <conditionalFormatting sqref="M284:R284">
    <cfRule type="cellIs" dxfId="42" priority="43" operator="greaterThan">
      <formula>0</formula>
    </cfRule>
  </conditionalFormatting>
  <conditionalFormatting sqref="M334:R334">
    <cfRule type="cellIs" dxfId="41" priority="42" operator="greaterThan">
      <formula>0</formula>
    </cfRule>
  </conditionalFormatting>
  <conditionalFormatting sqref="M335:R335">
    <cfRule type="cellIs" dxfId="40" priority="41" operator="greaterThan">
      <formula>0</formula>
    </cfRule>
  </conditionalFormatting>
  <conditionalFormatting sqref="M335:R335">
    <cfRule type="cellIs" dxfId="39" priority="40" operator="greaterThan">
      <formula>0</formula>
    </cfRule>
  </conditionalFormatting>
  <conditionalFormatting sqref="M334:R334">
    <cfRule type="cellIs" dxfId="38" priority="39" operator="greaterThan">
      <formula>0</formula>
    </cfRule>
  </conditionalFormatting>
  <conditionalFormatting sqref="M336:R336">
    <cfRule type="cellIs" dxfId="37" priority="38" operator="greaterThan">
      <formula>0</formula>
    </cfRule>
  </conditionalFormatting>
  <conditionalFormatting sqref="M336:R336">
    <cfRule type="cellIs" dxfId="36" priority="35" operator="greaterThan">
      <formula>0</formula>
    </cfRule>
  </conditionalFormatting>
  <conditionalFormatting sqref="M350:R350">
    <cfRule type="cellIs" dxfId="35" priority="33" operator="greaterThan">
      <formula>0</formula>
    </cfRule>
  </conditionalFormatting>
  <conditionalFormatting sqref="M347:R348">
    <cfRule type="cellIs" dxfId="34" priority="32" operator="greaterThan">
      <formula>0</formula>
    </cfRule>
  </conditionalFormatting>
  <conditionalFormatting sqref="M350:R350">
    <cfRule type="cellIs" dxfId="33" priority="34" operator="greaterThan">
      <formula>0</formula>
    </cfRule>
  </conditionalFormatting>
  <conditionalFormatting sqref="M346:R346">
    <cfRule type="cellIs" dxfId="32" priority="30" operator="greaterThan">
      <formula>0</formula>
    </cfRule>
  </conditionalFormatting>
  <conditionalFormatting sqref="M349:R349">
    <cfRule type="cellIs" dxfId="31" priority="31" operator="greaterThan">
      <formula>0</formula>
    </cfRule>
  </conditionalFormatting>
  <conditionalFormatting sqref="M346:R349">
    <cfRule type="cellIs" dxfId="30" priority="29" operator="greaterThan">
      <formula>0</formula>
    </cfRule>
  </conditionalFormatting>
  <conditionalFormatting sqref="M352:R353">
    <cfRule type="cellIs" dxfId="29" priority="26" operator="greaterThan">
      <formula>0</formula>
    </cfRule>
  </conditionalFormatting>
  <conditionalFormatting sqref="M351:R351">
    <cfRule type="cellIs" dxfId="28" priority="24" operator="greaterThan">
      <formula>0</formula>
    </cfRule>
  </conditionalFormatting>
  <conditionalFormatting sqref="M354:R354">
    <cfRule type="cellIs" dxfId="27" priority="25" operator="greaterThan">
      <formula>0</formula>
    </cfRule>
  </conditionalFormatting>
  <conditionalFormatting sqref="M351:R354">
    <cfRule type="cellIs" dxfId="26" priority="23" operator="greaterThan">
      <formula>0</formula>
    </cfRule>
  </conditionalFormatting>
  <conditionalFormatting sqref="M367:R368">
    <cfRule type="cellIs" dxfId="25" priority="20" operator="greaterThan">
      <formula>0</formula>
    </cfRule>
  </conditionalFormatting>
  <conditionalFormatting sqref="M366:R366">
    <cfRule type="cellIs" dxfId="24" priority="18" operator="greaterThan">
      <formula>0</formula>
    </cfRule>
  </conditionalFormatting>
  <conditionalFormatting sqref="M369:R369">
    <cfRule type="cellIs" dxfId="23" priority="19" operator="greaterThan">
      <formula>0</formula>
    </cfRule>
  </conditionalFormatting>
  <conditionalFormatting sqref="M366:R369">
    <cfRule type="cellIs" dxfId="22" priority="17" operator="greaterThan">
      <formula>0</formula>
    </cfRule>
  </conditionalFormatting>
  <conditionalFormatting sqref="M23:R26">
    <cfRule type="cellIs" dxfId="21" priority="16" operator="greaterThan">
      <formula>0</formula>
    </cfRule>
  </conditionalFormatting>
  <conditionalFormatting sqref="M23:R23">
    <cfRule type="cellIs" dxfId="20" priority="15" operator="greaterThan">
      <formula>0</formula>
    </cfRule>
  </conditionalFormatting>
  <conditionalFormatting sqref="M26:R26">
    <cfRule type="cellIs" dxfId="19" priority="13" operator="greaterThan">
      <formula>0</formula>
    </cfRule>
  </conditionalFormatting>
  <conditionalFormatting sqref="M24:R25">
    <cfRule type="cellIs" dxfId="18" priority="14" operator="greaterThan">
      <formula>0</formula>
    </cfRule>
  </conditionalFormatting>
  <conditionalFormatting sqref="M27:R30">
    <cfRule type="cellIs" dxfId="17" priority="12" operator="greaterThan">
      <formula>0</formula>
    </cfRule>
  </conditionalFormatting>
  <conditionalFormatting sqref="M27:R27">
    <cfRule type="cellIs" dxfId="16" priority="11" operator="greaterThan">
      <formula>0</formula>
    </cfRule>
  </conditionalFormatting>
  <conditionalFormatting sqref="M30:R30">
    <cfRule type="cellIs" dxfId="15" priority="9" operator="greaterThan">
      <formula>0</formula>
    </cfRule>
  </conditionalFormatting>
  <conditionalFormatting sqref="M28:R29">
    <cfRule type="cellIs" dxfId="14" priority="10" operator="greaterThan">
      <formula>0</formula>
    </cfRule>
  </conditionalFormatting>
  <conditionalFormatting sqref="M31:R34">
    <cfRule type="cellIs" dxfId="13" priority="8" operator="greaterThan">
      <formula>0</formula>
    </cfRule>
  </conditionalFormatting>
  <conditionalFormatting sqref="M31:R31">
    <cfRule type="cellIs" dxfId="12" priority="7" operator="greaterThan">
      <formula>0</formula>
    </cfRule>
  </conditionalFormatting>
  <conditionalFormatting sqref="M34:R34">
    <cfRule type="cellIs" dxfId="11" priority="5" operator="greaterThan">
      <formula>0</formula>
    </cfRule>
  </conditionalFormatting>
  <conditionalFormatting sqref="M32:R33">
    <cfRule type="cellIs" dxfId="10" priority="6" operator="greaterThan">
      <formula>0</formula>
    </cfRule>
  </conditionalFormatting>
  <conditionalFormatting sqref="M35:R38">
    <cfRule type="cellIs" dxfId="9" priority="4" operator="greaterThan">
      <formula>0</formula>
    </cfRule>
  </conditionalFormatting>
  <conditionalFormatting sqref="M35:R35">
    <cfRule type="cellIs" dxfId="8" priority="3" operator="greaterThan">
      <formula>0</formula>
    </cfRule>
  </conditionalFormatting>
  <conditionalFormatting sqref="M38:R38">
    <cfRule type="cellIs" dxfId="7" priority="1" operator="greaterThan">
      <formula>0</formula>
    </cfRule>
  </conditionalFormatting>
  <conditionalFormatting sqref="M36:R37">
    <cfRule type="cellIs" dxfId="6" priority="2" operator="greaterThan">
      <formula>0</formula>
    </cfRule>
  </conditionalFormatting>
  <pageMargins left="0.7" right="0.7" top="0.75" bottom="0.75" header="0.3" footer="0.3"/>
  <pageSetup scale="63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103"/>
  <sheetViews>
    <sheetView topLeftCell="A40" workbookViewId="0">
      <selection activeCell="J54" sqref="J54"/>
    </sheetView>
  </sheetViews>
  <sheetFormatPr defaultRowHeight="15" x14ac:dyDescent="0.25"/>
  <cols>
    <col min="1" max="1" width="6.28515625" customWidth="1"/>
    <col min="2" max="2" width="31.85546875" customWidth="1"/>
    <col min="3" max="3" width="8.140625" customWidth="1"/>
    <col min="4" max="4" width="8.85546875" bestFit="1" customWidth="1"/>
    <col min="5" max="5" width="8" bestFit="1" customWidth="1"/>
    <col min="6" max="6" width="8.42578125" bestFit="1" customWidth="1"/>
    <col min="7" max="7" width="12.140625" style="63" customWidth="1"/>
    <col min="8" max="8" width="9" customWidth="1"/>
  </cols>
  <sheetData>
    <row r="1" spans="1:10" ht="18.75" x14ac:dyDescent="0.3">
      <c r="A1" s="137" t="s">
        <v>257</v>
      </c>
      <c r="B1" s="138"/>
      <c r="C1" s="138"/>
      <c r="D1" s="138"/>
      <c r="E1" s="138"/>
      <c r="F1" s="138"/>
      <c r="G1" s="138"/>
      <c r="H1" s="139"/>
    </row>
    <row r="2" spans="1:10" x14ac:dyDescent="0.25">
      <c r="A2" s="58" t="s">
        <v>249</v>
      </c>
      <c r="B2" s="58" t="s">
        <v>250</v>
      </c>
      <c r="C2" s="59" t="s">
        <v>251</v>
      </c>
      <c r="D2" s="60" t="s">
        <v>252</v>
      </c>
      <c r="E2" s="59" t="s">
        <v>253</v>
      </c>
      <c r="F2" s="59" t="s">
        <v>254</v>
      </c>
      <c r="G2" s="61" t="s">
        <v>255</v>
      </c>
      <c r="H2" s="58" t="s">
        <v>256</v>
      </c>
    </row>
    <row r="3" spans="1:10" x14ac:dyDescent="0.25">
      <c r="A3" s="52" t="s">
        <v>258</v>
      </c>
      <c r="B3" s="52" t="s">
        <v>259</v>
      </c>
      <c r="C3" s="52">
        <v>1</v>
      </c>
      <c r="D3" s="140">
        <v>1826.3</v>
      </c>
      <c r="E3" s="141"/>
      <c r="F3" s="52">
        <v>0.85</v>
      </c>
      <c r="G3" s="65">
        <f>+PRODUCT(C3:F3)</f>
        <v>1552.355</v>
      </c>
      <c r="H3" s="52"/>
    </row>
    <row r="4" spans="1:10" x14ac:dyDescent="0.25">
      <c r="A4" s="52" t="s">
        <v>113</v>
      </c>
      <c r="B4" s="52" t="s">
        <v>260</v>
      </c>
      <c r="C4" s="52"/>
      <c r="D4" s="52"/>
      <c r="E4" s="52"/>
      <c r="F4" s="52"/>
      <c r="G4" s="62"/>
      <c r="H4" s="52"/>
    </row>
    <row r="5" spans="1:10" x14ac:dyDescent="0.25">
      <c r="A5" s="52"/>
      <c r="B5" s="52" t="s">
        <v>261</v>
      </c>
      <c r="C5" s="52">
        <v>32</v>
      </c>
      <c r="D5" s="52">
        <v>0.6</v>
      </c>
      <c r="E5" s="52">
        <v>0.3</v>
      </c>
      <c r="F5" s="52">
        <f>100.15-98.05</f>
        <v>2.1000000000000085</v>
      </c>
      <c r="G5" s="62">
        <f t="shared" ref="G5:G16" si="0">+PRODUCT(C5:F5)</f>
        <v>12.096000000000048</v>
      </c>
      <c r="H5" s="52"/>
      <c r="J5" s="75"/>
    </row>
    <row r="6" spans="1:10" x14ac:dyDescent="0.25">
      <c r="A6" s="52"/>
      <c r="B6" s="52" t="s">
        <v>262</v>
      </c>
      <c r="C6" s="52">
        <v>22</v>
      </c>
      <c r="D6" s="52">
        <v>0.6</v>
      </c>
      <c r="E6" s="52">
        <v>0.3</v>
      </c>
      <c r="F6" s="52">
        <f>100.15-98.05</f>
        <v>2.1000000000000085</v>
      </c>
      <c r="G6" s="62">
        <f t="shared" si="0"/>
        <v>8.3160000000000327</v>
      </c>
      <c r="H6" s="52"/>
    </row>
    <row r="7" spans="1:10" x14ac:dyDescent="0.25">
      <c r="A7" s="52"/>
      <c r="B7" s="52" t="s">
        <v>263</v>
      </c>
      <c r="C7" s="52">
        <v>4</v>
      </c>
      <c r="D7" s="52">
        <v>0.6</v>
      </c>
      <c r="E7" s="52">
        <v>0.3</v>
      </c>
      <c r="F7" s="52">
        <f>100.15-98.05</f>
        <v>2.1000000000000085</v>
      </c>
      <c r="G7" s="62">
        <f t="shared" si="0"/>
        <v>1.512000000000006</v>
      </c>
      <c r="H7" s="52"/>
    </row>
    <row r="8" spans="1:10" x14ac:dyDescent="0.25">
      <c r="A8" s="52"/>
      <c r="B8" s="52" t="s">
        <v>264</v>
      </c>
      <c r="C8" s="52">
        <v>16</v>
      </c>
      <c r="D8" s="52">
        <v>0.75</v>
      </c>
      <c r="E8" s="52">
        <v>0.3</v>
      </c>
      <c r="F8" s="52">
        <f t="shared" ref="F8:F29" si="1">100.15-98.05</f>
        <v>2.1000000000000085</v>
      </c>
      <c r="G8" s="62">
        <f t="shared" si="0"/>
        <v>7.5600000000000298</v>
      </c>
      <c r="H8" s="52"/>
    </row>
    <row r="9" spans="1:10" x14ac:dyDescent="0.25">
      <c r="A9" s="52"/>
      <c r="B9" s="52" t="s">
        <v>265</v>
      </c>
      <c r="C9" s="52">
        <v>14</v>
      </c>
      <c r="D9" s="52">
        <v>0.75</v>
      </c>
      <c r="E9" s="52">
        <v>0.3</v>
      </c>
      <c r="F9" s="52">
        <f t="shared" si="1"/>
        <v>2.1000000000000085</v>
      </c>
      <c r="G9" s="62">
        <f t="shared" si="0"/>
        <v>6.6150000000000269</v>
      </c>
      <c r="H9" s="52"/>
    </row>
    <row r="10" spans="1:10" x14ac:dyDescent="0.25">
      <c r="A10" s="52"/>
      <c r="B10" s="52" t="s">
        <v>266</v>
      </c>
      <c r="C10" s="52">
        <v>14</v>
      </c>
      <c r="D10" s="52">
        <v>0.71499999999999997</v>
      </c>
      <c r="E10" s="52">
        <v>0.3</v>
      </c>
      <c r="F10" s="52">
        <f t="shared" si="1"/>
        <v>2.1000000000000085</v>
      </c>
      <c r="G10" s="62">
        <f t="shared" si="0"/>
        <v>6.3063000000000251</v>
      </c>
      <c r="H10" s="52"/>
    </row>
    <row r="11" spans="1:10" x14ac:dyDescent="0.25">
      <c r="A11" s="52"/>
      <c r="B11" s="52" t="s">
        <v>267</v>
      </c>
      <c r="C11" s="52">
        <v>4</v>
      </c>
      <c r="D11" s="52">
        <v>0.8</v>
      </c>
      <c r="E11" s="52">
        <v>0.3</v>
      </c>
      <c r="F11" s="52">
        <f t="shared" si="1"/>
        <v>2.1000000000000085</v>
      </c>
      <c r="G11" s="62">
        <f t="shared" si="0"/>
        <v>2.016000000000008</v>
      </c>
      <c r="H11" s="52"/>
    </row>
    <row r="12" spans="1:10" x14ac:dyDescent="0.25">
      <c r="A12" s="52"/>
      <c r="B12" s="52" t="s">
        <v>268</v>
      </c>
      <c r="C12" s="52">
        <v>4</v>
      </c>
      <c r="D12" s="52">
        <v>0.6</v>
      </c>
      <c r="E12" s="52">
        <v>0.3</v>
      </c>
      <c r="F12" s="52">
        <f t="shared" si="1"/>
        <v>2.1000000000000085</v>
      </c>
      <c r="G12" s="62">
        <f t="shared" si="0"/>
        <v>1.512000000000006</v>
      </c>
      <c r="H12" s="52"/>
    </row>
    <row r="13" spans="1:10" x14ac:dyDescent="0.25">
      <c r="A13" s="52"/>
      <c r="B13" s="52" t="s">
        <v>269</v>
      </c>
      <c r="C13" s="52">
        <v>2</v>
      </c>
      <c r="D13" s="52">
        <v>1.65</v>
      </c>
      <c r="E13" s="52">
        <v>0.23</v>
      </c>
      <c r="F13" s="52">
        <f t="shared" si="1"/>
        <v>2.1000000000000085</v>
      </c>
      <c r="G13" s="62">
        <f t="shared" si="0"/>
        <v>1.5939000000000065</v>
      </c>
      <c r="H13" s="52"/>
    </row>
    <row r="14" spans="1:10" x14ac:dyDescent="0.25">
      <c r="A14" s="52"/>
      <c r="B14" s="52"/>
      <c r="C14" s="52">
        <v>2</v>
      </c>
      <c r="D14" s="52">
        <f>0.65-0.23</f>
        <v>0.42000000000000004</v>
      </c>
      <c r="E14" s="52">
        <v>0.23</v>
      </c>
      <c r="F14" s="52">
        <f t="shared" si="1"/>
        <v>2.1000000000000085</v>
      </c>
      <c r="G14" s="62">
        <f t="shared" si="0"/>
        <v>0.40572000000000175</v>
      </c>
      <c r="H14" s="52"/>
    </row>
    <row r="15" spans="1:10" x14ac:dyDescent="0.25">
      <c r="A15" s="52"/>
      <c r="B15" s="52" t="s">
        <v>270</v>
      </c>
      <c r="C15" s="52">
        <v>2</v>
      </c>
      <c r="D15" s="52">
        <v>1.85</v>
      </c>
      <c r="E15" s="52">
        <v>0.23</v>
      </c>
      <c r="F15" s="52">
        <f t="shared" si="1"/>
        <v>2.1000000000000085</v>
      </c>
      <c r="G15" s="62">
        <f t="shared" si="0"/>
        <v>1.7871000000000075</v>
      </c>
      <c r="H15" s="52"/>
    </row>
    <row r="16" spans="1:10" x14ac:dyDescent="0.25">
      <c r="A16" s="52"/>
      <c r="B16" s="52"/>
      <c r="C16" s="52">
        <v>2</v>
      </c>
      <c r="D16" s="52">
        <f>0.65-0.23</f>
        <v>0.42000000000000004</v>
      </c>
      <c r="E16" s="52">
        <v>0.23</v>
      </c>
      <c r="F16" s="52">
        <f t="shared" si="1"/>
        <v>2.1000000000000085</v>
      </c>
      <c r="G16" s="62">
        <f t="shared" si="0"/>
        <v>0.40572000000000175</v>
      </c>
      <c r="H16" s="52"/>
    </row>
    <row r="17" spans="1:8" x14ac:dyDescent="0.25">
      <c r="A17" s="52"/>
      <c r="B17" s="52" t="s">
        <v>271</v>
      </c>
      <c r="C17" s="52">
        <v>2</v>
      </c>
      <c r="D17" s="52">
        <v>1</v>
      </c>
      <c r="E17" s="52">
        <v>0.23</v>
      </c>
      <c r="F17" s="52">
        <f t="shared" si="1"/>
        <v>2.1000000000000085</v>
      </c>
      <c r="G17" s="62">
        <f t="shared" ref="G17:G29" si="2">+PRODUCT(C17:F17)</f>
        <v>0.96600000000000397</v>
      </c>
      <c r="H17" s="52"/>
    </row>
    <row r="18" spans="1:8" x14ac:dyDescent="0.25">
      <c r="A18" s="52"/>
      <c r="B18" s="52" t="s">
        <v>272</v>
      </c>
      <c r="C18" s="52">
        <v>2</v>
      </c>
      <c r="D18" s="52">
        <v>1.1499999999999999</v>
      </c>
      <c r="E18" s="52">
        <v>0.23</v>
      </c>
      <c r="F18" s="52">
        <f t="shared" si="1"/>
        <v>2.1000000000000085</v>
      </c>
      <c r="G18" s="62">
        <f t="shared" si="2"/>
        <v>1.1109000000000047</v>
      </c>
      <c r="H18" s="52"/>
    </row>
    <row r="19" spans="1:8" x14ac:dyDescent="0.25">
      <c r="A19" s="52"/>
      <c r="B19" s="52" t="s">
        <v>273</v>
      </c>
      <c r="C19" s="52">
        <v>4</v>
      </c>
      <c r="D19" s="52">
        <v>1.7</v>
      </c>
      <c r="E19" s="52">
        <v>0.23</v>
      </c>
      <c r="F19" s="52">
        <f t="shared" si="1"/>
        <v>2.1000000000000085</v>
      </c>
      <c r="G19" s="62">
        <f t="shared" si="2"/>
        <v>3.2844000000000135</v>
      </c>
      <c r="H19" s="52"/>
    </row>
    <row r="20" spans="1:8" x14ac:dyDescent="0.25">
      <c r="A20" s="52"/>
      <c r="B20" s="52" t="s">
        <v>274</v>
      </c>
      <c r="C20" s="52">
        <v>4</v>
      </c>
      <c r="D20" s="52">
        <v>1.1850000000000001</v>
      </c>
      <c r="E20" s="52">
        <v>0.23</v>
      </c>
      <c r="F20" s="52">
        <f t="shared" si="1"/>
        <v>2.1000000000000085</v>
      </c>
      <c r="G20" s="62">
        <f t="shared" si="2"/>
        <v>2.2894200000000096</v>
      </c>
      <c r="H20" s="52"/>
    </row>
    <row r="21" spans="1:8" x14ac:dyDescent="0.25">
      <c r="A21" s="52"/>
      <c r="B21" s="52" t="s">
        <v>275</v>
      </c>
      <c r="C21" s="52">
        <v>2</v>
      </c>
      <c r="D21" s="52">
        <v>1.855</v>
      </c>
      <c r="E21" s="52">
        <v>0.23</v>
      </c>
      <c r="F21" s="52">
        <f t="shared" si="1"/>
        <v>2.1000000000000085</v>
      </c>
      <c r="G21" s="62">
        <f t="shared" si="2"/>
        <v>1.7919300000000074</v>
      </c>
      <c r="H21" s="52"/>
    </row>
    <row r="22" spans="1:8" x14ac:dyDescent="0.25">
      <c r="A22" s="52"/>
      <c r="B22" s="52" t="s">
        <v>276</v>
      </c>
      <c r="C22" s="52">
        <v>1</v>
      </c>
      <c r="D22" s="52">
        <v>3.6</v>
      </c>
      <c r="E22" s="52">
        <v>0.23</v>
      </c>
      <c r="F22" s="52">
        <f t="shared" si="1"/>
        <v>2.1000000000000085</v>
      </c>
      <c r="G22" s="62">
        <f t="shared" si="2"/>
        <v>1.7388000000000072</v>
      </c>
      <c r="H22" s="52"/>
    </row>
    <row r="23" spans="1:8" x14ac:dyDescent="0.25">
      <c r="A23" s="52"/>
      <c r="B23" s="52" t="s">
        <v>277</v>
      </c>
      <c r="C23" s="52">
        <v>6</v>
      </c>
      <c r="D23" s="52">
        <v>1.85</v>
      </c>
      <c r="E23" s="52">
        <v>0.23</v>
      </c>
      <c r="F23" s="52">
        <f t="shared" si="1"/>
        <v>2.1000000000000085</v>
      </c>
      <c r="G23" s="62">
        <f t="shared" si="2"/>
        <v>5.3613000000000222</v>
      </c>
      <c r="H23" s="52"/>
    </row>
    <row r="24" spans="1:8" x14ac:dyDescent="0.25">
      <c r="A24" s="52"/>
      <c r="B24" s="52"/>
      <c r="C24" s="52">
        <v>6</v>
      </c>
      <c r="D24" s="52">
        <f>0.65-0.23</f>
        <v>0.42000000000000004</v>
      </c>
      <c r="E24" s="52">
        <v>0.23</v>
      </c>
      <c r="F24" s="52">
        <f t="shared" si="1"/>
        <v>2.1000000000000085</v>
      </c>
      <c r="G24" s="62">
        <f t="shared" si="2"/>
        <v>1.2171600000000051</v>
      </c>
      <c r="H24" s="52"/>
    </row>
    <row r="25" spans="1:8" x14ac:dyDescent="0.25">
      <c r="A25" s="52"/>
      <c r="B25" s="52" t="s">
        <v>278</v>
      </c>
      <c r="C25" s="52">
        <v>2</v>
      </c>
      <c r="D25" s="52">
        <v>3.4449999999999998</v>
      </c>
      <c r="E25" s="52">
        <v>0.23</v>
      </c>
      <c r="F25" s="52">
        <f t="shared" si="1"/>
        <v>2.1000000000000085</v>
      </c>
      <c r="G25" s="62">
        <f t="shared" si="2"/>
        <v>3.3278700000000137</v>
      </c>
      <c r="H25" s="52"/>
    </row>
    <row r="26" spans="1:8" x14ac:dyDescent="0.25">
      <c r="A26" s="52"/>
      <c r="B26" s="52" t="s">
        <v>279</v>
      </c>
      <c r="C26" s="52">
        <v>2</v>
      </c>
      <c r="D26" s="52">
        <v>4.0650000000000004</v>
      </c>
      <c r="E26" s="52">
        <v>0.23</v>
      </c>
      <c r="F26" s="52">
        <f t="shared" si="1"/>
        <v>2.1000000000000085</v>
      </c>
      <c r="G26" s="62">
        <f t="shared" si="2"/>
        <v>3.9267900000000169</v>
      </c>
      <c r="H26" s="52"/>
    </row>
    <row r="27" spans="1:8" x14ac:dyDescent="0.25">
      <c r="A27" s="52"/>
      <c r="B27" s="52" t="s">
        <v>280</v>
      </c>
      <c r="C27" s="52">
        <v>2</v>
      </c>
      <c r="D27" s="52">
        <v>1.5349999999999999</v>
      </c>
      <c r="E27" s="52">
        <v>0.23</v>
      </c>
      <c r="F27" s="52">
        <f t="shared" si="1"/>
        <v>2.1000000000000085</v>
      </c>
      <c r="G27" s="62">
        <f t="shared" si="2"/>
        <v>1.482810000000006</v>
      </c>
      <c r="H27" s="52"/>
    </row>
    <row r="28" spans="1:8" x14ac:dyDescent="0.25">
      <c r="A28" s="52"/>
      <c r="B28" s="52"/>
      <c r="C28" s="52">
        <v>2</v>
      </c>
      <c r="D28" s="52">
        <f>0.65-0.23</f>
        <v>0.42000000000000004</v>
      </c>
      <c r="E28" s="52">
        <v>0.23</v>
      </c>
      <c r="F28" s="52">
        <f t="shared" si="1"/>
        <v>2.1000000000000085</v>
      </c>
      <c r="G28" s="62">
        <f t="shared" si="2"/>
        <v>0.40572000000000175</v>
      </c>
      <c r="H28" s="52"/>
    </row>
    <row r="29" spans="1:8" x14ac:dyDescent="0.25">
      <c r="A29" s="52"/>
      <c r="B29" s="52" t="s">
        <v>281</v>
      </c>
      <c r="C29" s="52">
        <v>2</v>
      </c>
      <c r="D29" s="52">
        <v>3.4449999999999998</v>
      </c>
      <c r="E29" s="52">
        <v>0.23</v>
      </c>
      <c r="F29" s="52">
        <f t="shared" si="1"/>
        <v>2.1000000000000085</v>
      </c>
      <c r="G29" s="62">
        <f t="shared" si="2"/>
        <v>3.3278700000000137</v>
      </c>
      <c r="H29" s="52"/>
    </row>
    <row r="30" spans="1:8" x14ac:dyDescent="0.25">
      <c r="A30" s="52"/>
      <c r="B30" s="52"/>
      <c r="C30" s="52"/>
      <c r="D30" s="52"/>
      <c r="E30" s="52"/>
      <c r="F30" s="52"/>
      <c r="G30" s="65">
        <f>SUM(G5:G29)</f>
        <v>80.356710000000319</v>
      </c>
      <c r="H30" s="52"/>
    </row>
    <row r="31" spans="1:8" x14ac:dyDescent="0.25">
      <c r="A31" s="52"/>
      <c r="B31" s="56"/>
      <c r="C31" s="52"/>
      <c r="D31" s="52"/>
      <c r="E31" s="52"/>
      <c r="F31" s="52"/>
      <c r="G31" s="62"/>
      <c r="H31" s="52"/>
    </row>
    <row r="32" spans="1:8" x14ac:dyDescent="0.25">
      <c r="A32" s="52"/>
      <c r="B32" s="56" t="s">
        <v>285</v>
      </c>
      <c r="C32" s="52"/>
      <c r="D32" s="52"/>
      <c r="E32" s="52"/>
      <c r="F32" s="52"/>
      <c r="G32" s="62"/>
      <c r="H32" s="52"/>
    </row>
    <row r="33" spans="1:9" x14ac:dyDescent="0.25">
      <c r="A33" s="52"/>
      <c r="B33" s="52"/>
      <c r="C33" s="52"/>
      <c r="D33" s="52"/>
      <c r="E33" s="52"/>
      <c r="F33" s="52"/>
      <c r="G33" s="62"/>
      <c r="H33" s="52"/>
    </row>
    <row r="34" spans="1:9" x14ac:dyDescent="0.25">
      <c r="A34" s="52"/>
      <c r="B34" s="52" t="s">
        <v>594</v>
      </c>
      <c r="C34" s="52">
        <v>2</v>
      </c>
      <c r="D34" s="52">
        <v>3.0249999999999999</v>
      </c>
      <c r="E34" s="52">
        <v>0.2</v>
      </c>
      <c r="F34" s="52">
        <v>0.45</v>
      </c>
      <c r="G34" s="62">
        <f t="shared" ref="G34:G66" si="3">+PRODUCT(C34:F34)</f>
        <v>0.54449999999999998</v>
      </c>
      <c r="H34" s="52"/>
      <c r="I34">
        <f>+C34*D34</f>
        <v>6.05</v>
      </c>
    </row>
    <row r="35" spans="1:9" x14ac:dyDescent="0.25">
      <c r="A35" s="52"/>
      <c r="B35" s="52" t="s">
        <v>594</v>
      </c>
      <c r="C35" s="52">
        <v>2</v>
      </c>
      <c r="D35" s="52">
        <v>2.8</v>
      </c>
      <c r="E35" s="52">
        <v>0.2</v>
      </c>
      <c r="F35" s="52">
        <v>0.45</v>
      </c>
      <c r="G35" s="62">
        <f t="shared" si="3"/>
        <v>0.504</v>
      </c>
      <c r="H35" s="52"/>
      <c r="I35">
        <f t="shared" ref="I35:I98" si="4">+C35*D35</f>
        <v>5.6</v>
      </c>
    </row>
    <row r="36" spans="1:9" x14ac:dyDescent="0.25">
      <c r="A36" s="52"/>
      <c r="B36" s="52" t="s">
        <v>595</v>
      </c>
      <c r="C36" s="52">
        <v>2</v>
      </c>
      <c r="D36" s="52">
        <v>3.3</v>
      </c>
      <c r="E36" s="52">
        <v>0.2</v>
      </c>
      <c r="F36" s="52">
        <v>0.45</v>
      </c>
      <c r="G36" s="62">
        <f t="shared" si="3"/>
        <v>0.59400000000000008</v>
      </c>
      <c r="H36" s="52"/>
      <c r="I36">
        <f t="shared" si="4"/>
        <v>6.6</v>
      </c>
    </row>
    <row r="37" spans="1:9" x14ac:dyDescent="0.25">
      <c r="A37" s="52"/>
      <c r="B37" s="52" t="s">
        <v>597</v>
      </c>
      <c r="C37" s="52">
        <v>4</v>
      </c>
      <c r="D37" s="52">
        <v>1.395</v>
      </c>
      <c r="E37" s="52">
        <v>0.1</v>
      </c>
      <c r="F37" s="52">
        <v>0.45</v>
      </c>
      <c r="G37" s="62">
        <f t="shared" si="3"/>
        <v>0.25110000000000005</v>
      </c>
      <c r="H37" s="52"/>
      <c r="I37">
        <f t="shared" si="4"/>
        <v>5.58</v>
      </c>
    </row>
    <row r="38" spans="1:9" x14ac:dyDescent="0.25">
      <c r="A38" s="52"/>
      <c r="B38" s="52" t="s">
        <v>597</v>
      </c>
      <c r="C38" s="52">
        <v>6</v>
      </c>
      <c r="D38" s="52">
        <v>1.4</v>
      </c>
      <c r="E38" s="52">
        <v>0.1</v>
      </c>
      <c r="F38" s="52">
        <v>0.45</v>
      </c>
      <c r="G38" s="62">
        <f t="shared" si="3"/>
        <v>0.37799999999999995</v>
      </c>
      <c r="H38" s="52"/>
      <c r="I38">
        <f t="shared" si="4"/>
        <v>8.3999999999999986</v>
      </c>
    </row>
    <row r="39" spans="1:9" x14ac:dyDescent="0.25">
      <c r="A39" s="52"/>
      <c r="B39" s="52" t="s">
        <v>597</v>
      </c>
      <c r="C39" s="52">
        <v>2</v>
      </c>
      <c r="D39" s="52">
        <v>1.2</v>
      </c>
      <c r="E39" s="52">
        <v>0.1</v>
      </c>
      <c r="F39" s="52">
        <v>0.45</v>
      </c>
      <c r="G39" s="62">
        <f t="shared" si="3"/>
        <v>0.108</v>
      </c>
      <c r="H39" s="52"/>
      <c r="I39">
        <f t="shared" si="4"/>
        <v>2.4</v>
      </c>
    </row>
    <row r="40" spans="1:9" x14ac:dyDescent="0.25">
      <c r="A40" s="52"/>
      <c r="B40" s="52" t="s">
        <v>597</v>
      </c>
      <c r="C40" s="52">
        <v>6</v>
      </c>
      <c r="D40" s="52">
        <v>1.55</v>
      </c>
      <c r="E40" s="52">
        <v>0.1</v>
      </c>
      <c r="F40" s="52">
        <v>0.45</v>
      </c>
      <c r="G40" s="62">
        <f t="shared" si="3"/>
        <v>0.41850000000000009</v>
      </c>
      <c r="H40" s="52"/>
      <c r="I40">
        <f t="shared" si="4"/>
        <v>9.3000000000000007</v>
      </c>
    </row>
    <row r="41" spans="1:9" x14ac:dyDescent="0.25">
      <c r="A41" s="52"/>
      <c r="B41" s="52" t="s">
        <v>597</v>
      </c>
      <c r="C41" s="52">
        <v>6</v>
      </c>
      <c r="D41" s="52">
        <v>0.97</v>
      </c>
      <c r="E41" s="52">
        <v>0.1</v>
      </c>
      <c r="F41" s="52">
        <v>0.45</v>
      </c>
      <c r="G41" s="62">
        <f t="shared" si="3"/>
        <v>0.26190000000000002</v>
      </c>
      <c r="H41" s="52"/>
      <c r="I41">
        <f t="shared" si="4"/>
        <v>5.82</v>
      </c>
    </row>
    <row r="42" spans="1:9" x14ac:dyDescent="0.25">
      <c r="A42" s="52"/>
      <c r="B42" s="52" t="s">
        <v>598</v>
      </c>
      <c r="C42" s="52">
        <v>6</v>
      </c>
      <c r="D42" s="52">
        <v>1.395</v>
      </c>
      <c r="E42" s="52">
        <v>0.2</v>
      </c>
      <c r="F42" s="52">
        <v>0.45</v>
      </c>
      <c r="G42" s="62">
        <f t="shared" si="3"/>
        <v>0.75330000000000019</v>
      </c>
      <c r="H42" s="52"/>
      <c r="I42">
        <f t="shared" si="4"/>
        <v>8.370000000000001</v>
      </c>
    </row>
    <row r="43" spans="1:9" x14ac:dyDescent="0.25">
      <c r="A43" s="52"/>
      <c r="B43" s="52" t="s">
        <v>599</v>
      </c>
      <c r="C43" s="52">
        <v>2</v>
      </c>
      <c r="D43" s="52">
        <v>3.1</v>
      </c>
      <c r="E43" s="52">
        <v>0.2</v>
      </c>
      <c r="F43" s="52">
        <v>0.45</v>
      </c>
      <c r="G43" s="62">
        <f t="shared" si="3"/>
        <v>0.55800000000000016</v>
      </c>
      <c r="H43" s="52"/>
      <c r="I43">
        <f t="shared" si="4"/>
        <v>6.2</v>
      </c>
    </row>
    <row r="44" spans="1:9" x14ac:dyDescent="0.25">
      <c r="A44" s="52"/>
      <c r="B44" s="52" t="s">
        <v>600</v>
      </c>
      <c r="C44" s="52">
        <v>1</v>
      </c>
      <c r="D44" s="52">
        <f>18.91-2.4</f>
        <v>16.510000000000002</v>
      </c>
      <c r="E44" s="52">
        <v>0.2</v>
      </c>
      <c r="F44" s="52">
        <v>0.45</v>
      </c>
      <c r="G44" s="62">
        <f t="shared" si="3"/>
        <v>1.4859000000000002</v>
      </c>
      <c r="H44" s="52"/>
      <c r="I44">
        <f t="shared" si="4"/>
        <v>16.510000000000002</v>
      </c>
    </row>
    <row r="45" spans="1:9" x14ac:dyDescent="0.25">
      <c r="A45" s="52"/>
      <c r="B45" s="52" t="s">
        <v>601</v>
      </c>
      <c r="C45" s="52">
        <v>2</v>
      </c>
      <c r="D45" s="52">
        <v>2.875</v>
      </c>
      <c r="E45" s="52">
        <v>0.2</v>
      </c>
      <c r="F45" s="52">
        <v>0.45</v>
      </c>
      <c r="G45" s="62">
        <f t="shared" si="3"/>
        <v>0.51750000000000007</v>
      </c>
      <c r="H45" s="52"/>
      <c r="I45">
        <f t="shared" si="4"/>
        <v>5.75</v>
      </c>
    </row>
    <row r="46" spans="1:9" x14ac:dyDescent="0.25">
      <c r="A46" s="52"/>
      <c r="B46" s="52" t="s">
        <v>601</v>
      </c>
      <c r="C46" s="52">
        <v>2</v>
      </c>
      <c r="D46" s="52">
        <v>2.93</v>
      </c>
      <c r="E46" s="52">
        <v>0.2</v>
      </c>
      <c r="F46" s="52">
        <v>0.45</v>
      </c>
      <c r="G46" s="62">
        <f t="shared" si="3"/>
        <v>0.52740000000000009</v>
      </c>
      <c r="H46" s="52"/>
      <c r="I46">
        <f t="shared" si="4"/>
        <v>5.86</v>
      </c>
    </row>
    <row r="47" spans="1:9" x14ac:dyDescent="0.25">
      <c r="A47" s="52"/>
      <c r="B47" s="52" t="s">
        <v>602</v>
      </c>
      <c r="C47" s="52">
        <v>2</v>
      </c>
      <c r="D47" s="52">
        <v>3.16</v>
      </c>
      <c r="E47" s="52">
        <v>0.2</v>
      </c>
      <c r="F47" s="52">
        <v>0.45</v>
      </c>
      <c r="G47" s="62">
        <f t="shared" si="3"/>
        <v>0.56880000000000008</v>
      </c>
      <c r="H47" s="52"/>
      <c r="I47">
        <f t="shared" si="4"/>
        <v>6.32</v>
      </c>
    </row>
    <row r="48" spans="1:9" x14ac:dyDescent="0.25">
      <c r="A48" s="52"/>
      <c r="B48" s="52" t="s">
        <v>603</v>
      </c>
      <c r="C48" s="52">
        <v>2</v>
      </c>
      <c r="D48" s="52">
        <v>5.6349999999999998</v>
      </c>
      <c r="E48" s="52">
        <v>0.2</v>
      </c>
      <c r="F48" s="52">
        <v>0.45</v>
      </c>
      <c r="G48" s="62">
        <f t="shared" si="3"/>
        <v>1.0143</v>
      </c>
      <c r="H48" s="52"/>
      <c r="I48">
        <f t="shared" si="4"/>
        <v>11.27</v>
      </c>
    </row>
    <row r="49" spans="1:9" x14ac:dyDescent="0.25">
      <c r="A49" s="52"/>
      <c r="B49" s="52" t="s">
        <v>604</v>
      </c>
      <c r="C49" s="52">
        <v>2</v>
      </c>
      <c r="D49" s="52">
        <v>4.6900000000000004</v>
      </c>
      <c r="E49" s="52">
        <v>0.2</v>
      </c>
      <c r="F49" s="52">
        <v>0.45</v>
      </c>
      <c r="G49" s="62">
        <f t="shared" si="3"/>
        <v>0.84420000000000017</v>
      </c>
      <c r="H49" s="52"/>
      <c r="I49">
        <f t="shared" si="4"/>
        <v>9.3800000000000008</v>
      </c>
    </row>
    <row r="50" spans="1:9" x14ac:dyDescent="0.25">
      <c r="A50" s="52"/>
      <c r="B50" s="52" t="s">
        <v>605</v>
      </c>
      <c r="C50" s="52">
        <v>2</v>
      </c>
      <c r="D50" s="52">
        <v>5.76</v>
      </c>
      <c r="E50" s="52">
        <v>0.2</v>
      </c>
      <c r="F50" s="52">
        <v>0.45</v>
      </c>
      <c r="G50" s="62">
        <f t="shared" si="3"/>
        <v>1.0367999999999999</v>
      </c>
      <c r="H50" s="52"/>
      <c r="I50">
        <f t="shared" si="4"/>
        <v>11.52</v>
      </c>
    </row>
    <row r="51" spans="1:9" x14ac:dyDescent="0.25">
      <c r="A51" s="52"/>
      <c r="B51" s="52" t="s">
        <v>606</v>
      </c>
      <c r="C51" s="52">
        <v>2</v>
      </c>
      <c r="D51" s="52">
        <v>2.2200000000000002</v>
      </c>
      <c r="E51" s="52">
        <v>0.2</v>
      </c>
      <c r="F51" s="52">
        <v>0.45</v>
      </c>
      <c r="G51" s="62">
        <f t="shared" si="3"/>
        <v>0.39960000000000007</v>
      </c>
      <c r="H51" s="52"/>
      <c r="I51">
        <f t="shared" si="4"/>
        <v>4.4400000000000004</v>
      </c>
    </row>
    <row r="52" spans="1:9" x14ac:dyDescent="0.25">
      <c r="A52" s="52"/>
      <c r="B52" s="52" t="s">
        <v>612</v>
      </c>
      <c r="C52" s="52">
        <v>2</v>
      </c>
      <c r="D52" s="52">
        <v>3.1150000000000002</v>
      </c>
      <c r="E52" s="52">
        <v>0.2</v>
      </c>
      <c r="F52" s="52">
        <v>0.45</v>
      </c>
      <c r="G52" s="62">
        <f t="shared" si="3"/>
        <v>0.56070000000000009</v>
      </c>
      <c r="H52" s="52"/>
      <c r="I52">
        <f t="shared" si="4"/>
        <v>6.23</v>
      </c>
    </row>
    <row r="53" spans="1:9" x14ac:dyDescent="0.25">
      <c r="A53" s="52"/>
      <c r="B53" s="52" t="s">
        <v>613</v>
      </c>
      <c r="C53" s="52">
        <v>6</v>
      </c>
      <c r="D53" s="52">
        <v>7.6050000000000004</v>
      </c>
      <c r="E53" s="52">
        <v>0.2</v>
      </c>
      <c r="F53" s="52">
        <v>0.45</v>
      </c>
      <c r="G53" s="62">
        <f t="shared" si="3"/>
        <v>4.1067000000000009</v>
      </c>
      <c r="H53" s="52"/>
      <c r="I53">
        <f t="shared" si="4"/>
        <v>45.63</v>
      </c>
    </row>
    <row r="54" spans="1:9" x14ac:dyDescent="0.25">
      <c r="A54" s="52"/>
      <c r="B54" s="52" t="s">
        <v>614</v>
      </c>
      <c r="C54" s="52">
        <v>2</v>
      </c>
      <c r="D54" s="52">
        <v>3.2149999999999999</v>
      </c>
      <c r="E54" s="52">
        <v>0.2</v>
      </c>
      <c r="F54" s="52">
        <v>0.45</v>
      </c>
      <c r="G54" s="62">
        <f t="shared" si="3"/>
        <v>0.57869999999999999</v>
      </c>
      <c r="H54" s="52"/>
      <c r="I54">
        <f t="shared" si="4"/>
        <v>6.43</v>
      </c>
    </row>
    <row r="55" spans="1:9" x14ac:dyDescent="0.25">
      <c r="A55" s="52"/>
      <c r="B55" s="52" t="s">
        <v>615</v>
      </c>
      <c r="C55" s="52">
        <v>2</v>
      </c>
      <c r="D55" s="52">
        <v>2.76</v>
      </c>
      <c r="E55" s="52">
        <v>0.23</v>
      </c>
      <c r="F55" s="52">
        <v>0.45</v>
      </c>
      <c r="G55" s="62">
        <f t="shared" si="3"/>
        <v>0.57132000000000005</v>
      </c>
      <c r="H55" s="52"/>
      <c r="I55">
        <f t="shared" si="4"/>
        <v>5.52</v>
      </c>
    </row>
    <row r="56" spans="1:9" x14ac:dyDescent="0.25">
      <c r="A56" s="52"/>
      <c r="B56" s="52" t="s">
        <v>616</v>
      </c>
      <c r="C56" s="52">
        <v>2</v>
      </c>
      <c r="D56" s="52">
        <f>17.43-1.185-0.3-0.6</f>
        <v>15.345000000000001</v>
      </c>
      <c r="E56" s="52">
        <v>0.23</v>
      </c>
      <c r="F56" s="52">
        <v>0.45</v>
      </c>
      <c r="G56" s="62">
        <f t="shared" si="3"/>
        <v>3.1764150000000004</v>
      </c>
      <c r="H56" s="52"/>
      <c r="I56">
        <f t="shared" si="4"/>
        <v>30.69</v>
      </c>
    </row>
    <row r="57" spans="1:9" x14ac:dyDescent="0.25">
      <c r="A57" s="52"/>
      <c r="B57" s="52" t="s">
        <v>617</v>
      </c>
      <c r="C57" s="52">
        <v>2</v>
      </c>
      <c r="D57" s="52">
        <v>8.02</v>
      </c>
      <c r="E57" s="52">
        <v>0.2</v>
      </c>
      <c r="F57" s="52">
        <v>0.45</v>
      </c>
      <c r="G57" s="62">
        <f t="shared" si="3"/>
        <v>1.4436000000000002</v>
      </c>
      <c r="H57" s="52"/>
      <c r="I57">
        <f t="shared" si="4"/>
        <v>16.04</v>
      </c>
    </row>
    <row r="58" spans="1:9" x14ac:dyDescent="0.25">
      <c r="A58" s="52"/>
      <c r="B58" s="52" t="s">
        <v>618</v>
      </c>
      <c r="C58" s="52">
        <v>2</v>
      </c>
      <c r="D58" s="52">
        <v>5.72</v>
      </c>
      <c r="E58" s="52">
        <v>0.2</v>
      </c>
      <c r="F58" s="52">
        <v>0.45</v>
      </c>
      <c r="G58" s="62">
        <f t="shared" si="3"/>
        <v>1.0295999999999998</v>
      </c>
      <c r="H58" s="52"/>
      <c r="I58">
        <f t="shared" si="4"/>
        <v>11.44</v>
      </c>
    </row>
    <row r="59" spans="1:9" x14ac:dyDescent="0.25">
      <c r="A59" s="52"/>
      <c r="B59" s="52" t="s">
        <v>619</v>
      </c>
      <c r="C59" s="52">
        <v>2</v>
      </c>
      <c r="D59" s="52">
        <f>8.07-0.3</f>
        <v>7.7700000000000005</v>
      </c>
      <c r="E59" s="52">
        <v>0.2</v>
      </c>
      <c r="F59" s="52">
        <v>0.45</v>
      </c>
      <c r="G59" s="62">
        <f t="shared" si="3"/>
        <v>1.3986000000000003</v>
      </c>
      <c r="H59" s="52"/>
      <c r="I59">
        <f t="shared" si="4"/>
        <v>15.540000000000001</v>
      </c>
    </row>
    <row r="60" spans="1:9" x14ac:dyDescent="0.25">
      <c r="A60" s="52"/>
      <c r="B60" s="52" t="s">
        <v>620</v>
      </c>
      <c r="C60" s="52">
        <v>6</v>
      </c>
      <c r="D60" s="52">
        <f>8.255-0.3</f>
        <v>7.955000000000001</v>
      </c>
      <c r="E60" s="52">
        <v>0.2</v>
      </c>
      <c r="F60" s="52">
        <v>0.45</v>
      </c>
      <c r="G60" s="62">
        <f t="shared" si="3"/>
        <v>4.295700000000001</v>
      </c>
      <c r="H60" s="52"/>
      <c r="I60">
        <f t="shared" si="4"/>
        <v>47.730000000000004</v>
      </c>
    </row>
    <row r="61" spans="1:9" x14ac:dyDescent="0.25">
      <c r="A61" s="52"/>
      <c r="B61" s="52" t="s">
        <v>621</v>
      </c>
      <c r="C61" s="52">
        <v>6</v>
      </c>
      <c r="D61" s="52">
        <f>6.345-0.6</f>
        <v>5.7450000000000001</v>
      </c>
      <c r="E61" s="52">
        <v>0.2</v>
      </c>
      <c r="F61" s="52">
        <v>0.45</v>
      </c>
      <c r="G61" s="62">
        <f t="shared" si="3"/>
        <v>3.1023000000000001</v>
      </c>
      <c r="H61" s="52"/>
      <c r="I61">
        <f t="shared" si="4"/>
        <v>34.47</v>
      </c>
    </row>
    <row r="62" spans="1:9" x14ac:dyDescent="0.25">
      <c r="A62" s="52"/>
      <c r="B62" s="52" t="s">
        <v>622</v>
      </c>
      <c r="C62" s="52">
        <v>2</v>
      </c>
      <c r="D62" s="52">
        <v>5.125</v>
      </c>
      <c r="E62" s="52">
        <v>0.2</v>
      </c>
      <c r="F62" s="52">
        <v>0.45</v>
      </c>
      <c r="G62" s="62">
        <f t="shared" si="3"/>
        <v>0.9225000000000001</v>
      </c>
      <c r="H62" s="52"/>
      <c r="I62">
        <f t="shared" si="4"/>
        <v>10.25</v>
      </c>
    </row>
    <row r="63" spans="1:9" x14ac:dyDescent="0.25">
      <c r="A63" s="52"/>
      <c r="B63" s="52" t="s">
        <v>623</v>
      </c>
      <c r="C63" s="52">
        <v>2</v>
      </c>
      <c r="D63" s="52">
        <v>1.4</v>
      </c>
      <c r="E63" s="52">
        <v>0.23</v>
      </c>
      <c r="F63" s="52">
        <v>0.45</v>
      </c>
      <c r="G63" s="62">
        <f t="shared" si="3"/>
        <v>0.2898</v>
      </c>
      <c r="H63" s="52"/>
      <c r="I63">
        <f t="shared" si="4"/>
        <v>2.8</v>
      </c>
    </row>
    <row r="64" spans="1:9" x14ac:dyDescent="0.25">
      <c r="A64" s="52"/>
      <c r="B64" s="52" t="s">
        <v>624</v>
      </c>
      <c r="C64" s="52">
        <v>2</v>
      </c>
      <c r="D64" s="52">
        <f>7.425-0.6</f>
        <v>6.8250000000000002</v>
      </c>
      <c r="E64" s="52">
        <v>0.2</v>
      </c>
      <c r="F64" s="52">
        <v>0.45</v>
      </c>
      <c r="G64" s="62">
        <f t="shared" si="3"/>
        <v>1.2285000000000001</v>
      </c>
      <c r="H64" s="52"/>
      <c r="I64">
        <f t="shared" si="4"/>
        <v>13.65</v>
      </c>
    </row>
    <row r="65" spans="1:9" x14ac:dyDescent="0.25">
      <c r="A65" s="52"/>
      <c r="B65" s="52" t="s">
        <v>624</v>
      </c>
      <c r="C65" s="52">
        <v>2</v>
      </c>
      <c r="D65" s="52">
        <v>2.93</v>
      </c>
      <c r="E65" s="52">
        <v>0.23</v>
      </c>
      <c r="F65" s="52">
        <v>0.45</v>
      </c>
      <c r="G65" s="62">
        <f t="shared" si="3"/>
        <v>0.6065100000000001</v>
      </c>
      <c r="H65" s="52"/>
      <c r="I65">
        <f t="shared" si="4"/>
        <v>5.86</v>
      </c>
    </row>
    <row r="66" spans="1:9" x14ac:dyDescent="0.25">
      <c r="A66" s="52"/>
      <c r="B66" s="52" t="s">
        <v>626</v>
      </c>
      <c r="C66" s="52">
        <v>1</v>
      </c>
      <c r="D66" s="52">
        <f>18.91-2.4</f>
        <v>16.510000000000002</v>
      </c>
      <c r="E66" s="52">
        <v>0.23</v>
      </c>
      <c r="F66" s="52">
        <v>0.45</v>
      </c>
      <c r="G66" s="62">
        <f t="shared" si="3"/>
        <v>1.7087850000000002</v>
      </c>
      <c r="H66" s="52"/>
      <c r="I66">
        <f t="shared" si="4"/>
        <v>16.510000000000002</v>
      </c>
    </row>
    <row r="67" spans="1:9" x14ac:dyDescent="0.25">
      <c r="A67" s="52"/>
      <c r="B67" s="52" t="s">
        <v>627</v>
      </c>
      <c r="C67" s="52">
        <v>2</v>
      </c>
      <c r="D67" s="52">
        <v>3.53</v>
      </c>
      <c r="E67" s="52">
        <v>0.23</v>
      </c>
      <c r="F67" s="52">
        <v>0.45</v>
      </c>
      <c r="G67" s="62">
        <f t="shared" ref="G67:G98" si="5">+PRODUCT(C67:F67)</f>
        <v>0.73070999999999997</v>
      </c>
      <c r="H67" s="52"/>
      <c r="I67">
        <f t="shared" si="4"/>
        <v>7.06</v>
      </c>
    </row>
    <row r="68" spans="1:9" x14ac:dyDescent="0.25">
      <c r="A68" s="52"/>
      <c r="B68" s="52" t="s">
        <v>628</v>
      </c>
      <c r="C68" s="52">
        <v>2</v>
      </c>
      <c r="D68" s="52">
        <v>3.03</v>
      </c>
      <c r="E68" s="52">
        <v>0.2</v>
      </c>
      <c r="F68" s="52">
        <v>0.45</v>
      </c>
      <c r="G68" s="62">
        <f t="shared" si="5"/>
        <v>0.5454</v>
      </c>
      <c r="H68" s="52"/>
      <c r="I68">
        <f t="shared" si="4"/>
        <v>6.06</v>
      </c>
    </row>
    <row r="69" spans="1:9" x14ac:dyDescent="0.25">
      <c r="A69" s="52"/>
      <c r="B69" s="52" t="s">
        <v>629</v>
      </c>
      <c r="C69" s="52">
        <v>2</v>
      </c>
      <c r="D69" s="52">
        <v>10.199999999999999</v>
      </c>
      <c r="E69" s="52">
        <v>0.2</v>
      </c>
      <c r="F69" s="52">
        <v>0.45</v>
      </c>
      <c r="G69" s="62">
        <f t="shared" si="5"/>
        <v>1.8360000000000001</v>
      </c>
      <c r="H69" s="52"/>
      <c r="I69">
        <f t="shared" si="4"/>
        <v>20.399999999999999</v>
      </c>
    </row>
    <row r="70" spans="1:9" x14ac:dyDescent="0.25">
      <c r="A70" s="52"/>
      <c r="B70" s="52" t="s">
        <v>630</v>
      </c>
      <c r="C70" s="52">
        <v>2</v>
      </c>
      <c r="D70" s="52">
        <v>6.38</v>
      </c>
      <c r="E70" s="52">
        <v>0.2</v>
      </c>
      <c r="F70" s="52">
        <v>0.45</v>
      </c>
      <c r="G70" s="62">
        <f t="shared" si="5"/>
        <v>1.1484000000000001</v>
      </c>
      <c r="H70" s="52"/>
      <c r="I70">
        <f t="shared" si="4"/>
        <v>12.76</v>
      </c>
    </row>
    <row r="71" spans="1:9" x14ac:dyDescent="0.25">
      <c r="A71" s="52"/>
      <c r="B71" s="52" t="s">
        <v>631</v>
      </c>
      <c r="C71" s="52">
        <v>6</v>
      </c>
      <c r="D71" s="52">
        <v>5.36</v>
      </c>
      <c r="E71" s="52">
        <v>0.2</v>
      </c>
      <c r="F71" s="52">
        <v>0.45</v>
      </c>
      <c r="G71" s="62">
        <f t="shared" si="5"/>
        <v>2.8944000000000005</v>
      </c>
      <c r="H71" s="52"/>
      <c r="I71">
        <f t="shared" si="4"/>
        <v>32.160000000000004</v>
      </c>
    </row>
    <row r="72" spans="1:9" x14ac:dyDescent="0.25">
      <c r="A72" s="52"/>
      <c r="B72" s="52" t="s">
        <v>633</v>
      </c>
      <c r="C72" s="52">
        <v>20</v>
      </c>
      <c r="D72" s="52">
        <v>0.51500000000000001</v>
      </c>
      <c r="E72" s="52">
        <v>0.1</v>
      </c>
      <c r="F72" s="52">
        <v>0.45</v>
      </c>
      <c r="G72" s="62">
        <f t="shared" si="5"/>
        <v>0.46350000000000002</v>
      </c>
      <c r="H72" s="52"/>
      <c r="I72">
        <f t="shared" si="4"/>
        <v>10.3</v>
      </c>
    </row>
    <row r="73" spans="1:9" x14ac:dyDescent="0.25">
      <c r="A73" s="52"/>
      <c r="B73" s="52" t="s">
        <v>634</v>
      </c>
      <c r="C73" s="52">
        <v>6</v>
      </c>
      <c r="D73" s="52">
        <v>3.45</v>
      </c>
      <c r="E73" s="52">
        <v>0.2</v>
      </c>
      <c r="F73" s="52">
        <v>0.45</v>
      </c>
      <c r="G73" s="62">
        <f t="shared" si="5"/>
        <v>1.8630000000000002</v>
      </c>
      <c r="H73" s="52"/>
      <c r="I73">
        <f t="shared" si="4"/>
        <v>20.700000000000003</v>
      </c>
    </row>
    <row r="74" spans="1:9" x14ac:dyDescent="0.25">
      <c r="A74" s="52"/>
      <c r="B74" s="52" t="s">
        <v>632</v>
      </c>
      <c r="C74" s="52">
        <v>6</v>
      </c>
      <c r="D74" s="52">
        <v>2.91</v>
      </c>
      <c r="E74" s="52">
        <v>0.2</v>
      </c>
      <c r="F74" s="52">
        <v>0.45</v>
      </c>
      <c r="G74" s="62">
        <f t="shared" si="5"/>
        <v>1.5714000000000001</v>
      </c>
      <c r="H74" s="52"/>
      <c r="I74">
        <f t="shared" si="4"/>
        <v>17.46</v>
      </c>
    </row>
    <row r="75" spans="1:9" x14ac:dyDescent="0.25">
      <c r="A75" s="52"/>
      <c r="B75" s="52" t="s">
        <v>635</v>
      </c>
      <c r="C75" s="52">
        <v>2</v>
      </c>
      <c r="D75" s="52">
        <f>7.88-1.5</f>
        <v>6.38</v>
      </c>
      <c r="E75" s="52">
        <v>0.2</v>
      </c>
      <c r="F75" s="52">
        <v>0.45</v>
      </c>
      <c r="G75" s="62">
        <f t="shared" si="5"/>
        <v>1.1484000000000001</v>
      </c>
      <c r="H75" s="52"/>
      <c r="I75">
        <f t="shared" si="4"/>
        <v>12.76</v>
      </c>
    </row>
    <row r="76" spans="1:9" x14ac:dyDescent="0.25">
      <c r="A76" s="52"/>
      <c r="B76" s="52" t="s">
        <v>625</v>
      </c>
      <c r="C76" s="52">
        <v>6</v>
      </c>
      <c r="D76" s="52">
        <v>3.31</v>
      </c>
      <c r="E76" s="52">
        <v>0.2</v>
      </c>
      <c r="F76" s="52">
        <v>0.45</v>
      </c>
      <c r="G76" s="62">
        <f t="shared" si="5"/>
        <v>1.7874000000000001</v>
      </c>
      <c r="H76" s="52"/>
      <c r="I76">
        <f t="shared" si="4"/>
        <v>19.86</v>
      </c>
    </row>
    <row r="77" spans="1:9" x14ac:dyDescent="0.25">
      <c r="A77" s="52"/>
      <c r="B77" s="52" t="s">
        <v>636</v>
      </c>
      <c r="C77" s="52">
        <v>4</v>
      </c>
      <c r="D77" s="52">
        <v>2.1949999999999998</v>
      </c>
      <c r="E77" s="52">
        <v>0.2</v>
      </c>
      <c r="F77" s="52">
        <v>0.45</v>
      </c>
      <c r="G77" s="62">
        <f t="shared" si="5"/>
        <v>0.79020000000000001</v>
      </c>
      <c r="H77" s="52"/>
      <c r="I77">
        <f t="shared" si="4"/>
        <v>8.7799999999999994</v>
      </c>
    </row>
    <row r="78" spans="1:9" x14ac:dyDescent="0.25">
      <c r="A78" s="52"/>
      <c r="B78" s="52" t="s">
        <v>637</v>
      </c>
      <c r="C78" s="52">
        <v>2</v>
      </c>
      <c r="D78" s="52">
        <v>5.2450000000000001</v>
      </c>
      <c r="E78" s="52">
        <v>0.2</v>
      </c>
      <c r="F78" s="52">
        <v>0.45</v>
      </c>
      <c r="G78" s="62">
        <f t="shared" si="5"/>
        <v>0.94410000000000016</v>
      </c>
      <c r="H78" s="52"/>
      <c r="I78">
        <f t="shared" si="4"/>
        <v>10.49</v>
      </c>
    </row>
    <row r="79" spans="1:9" x14ac:dyDescent="0.25">
      <c r="A79" s="52"/>
      <c r="B79" s="52" t="s">
        <v>638</v>
      </c>
      <c r="C79" s="52">
        <v>2</v>
      </c>
      <c r="D79" s="52">
        <v>2.23</v>
      </c>
      <c r="E79" s="52">
        <v>0.2</v>
      </c>
      <c r="F79" s="52">
        <v>0.45</v>
      </c>
      <c r="G79" s="62">
        <f t="shared" si="5"/>
        <v>0.40140000000000003</v>
      </c>
      <c r="H79" s="52"/>
      <c r="I79">
        <f t="shared" si="4"/>
        <v>4.46</v>
      </c>
    </row>
    <row r="80" spans="1:9" x14ac:dyDescent="0.25">
      <c r="A80" s="52"/>
      <c r="B80" s="52" t="s">
        <v>639</v>
      </c>
      <c r="C80" s="52">
        <v>2</v>
      </c>
      <c r="D80" s="52">
        <f>5.65-0.75</f>
        <v>4.9000000000000004</v>
      </c>
      <c r="E80" s="52">
        <v>0.2</v>
      </c>
      <c r="F80" s="52">
        <v>0.45</v>
      </c>
      <c r="G80" s="62">
        <f t="shared" si="5"/>
        <v>0.88200000000000012</v>
      </c>
      <c r="H80" s="52"/>
      <c r="I80">
        <f t="shared" si="4"/>
        <v>9.8000000000000007</v>
      </c>
    </row>
    <row r="81" spans="1:9" x14ac:dyDescent="0.25">
      <c r="A81" s="52"/>
      <c r="B81" s="52" t="s">
        <v>640</v>
      </c>
      <c r="C81" s="52">
        <v>2</v>
      </c>
      <c r="D81" s="52">
        <v>5.1449999999999996</v>
      </c>
      <c r="E81" s="52">
        <v>0.2</v>
      </c>
      <c r="F81" s="52">
        <v>0.45</v>
      </c>
      <c r="G81" s="62">
        <f t="shared" si="5"/>
        <v>0.92609999999999992</v>
      </c>
      <c r="H81" s="52"/>
      <c r="I81">
        <f t="shared" si="4"/>
        <v>10.29</v>
      </c>
    </row>
    <row r="82" spans="1:9" x14ac:dyDescent="0.25">
      <c r="A82" s="52"/>
      <c r="B82" s="52" t="s">
        <v>641</v>
      </c>
      <c r="C82" s="52">
        <v>2</v>
      </c>
      <c r="D82" s="52">
        <v>3.2</v>
      </c>
      <c r="E82" s="52">
        <v>0.23</v>
      </c>
      <c r="F82" s="52">
        <v>0.45</v>
      </c>
      <c r="G82" s="62">
        <f t="shared" si="5"/>
        <v>0.6624000000000001</v>
      </c>
      <c r="H82" s="52"/>
      <c r="I82">
        <f t="shared" si="4"/>
        <v>6.4</v>
      </c>
    </row>
    <row r="83" spans="1:9" x14ac:dyDescent="0.25">
      <c r="A83" s="52"/>
      <c r="B83" s="52" t="s">
        <v>642</v>
      </c>
      <c r="C83" s="52">
        <v>2</v>
      </c>
      <c r="D83" s="52">
        <v>2.95</v>
      </c>
      <c r="E83" s="52">
        <v>0.2</v>
      </c>
      <c r="F83" s="52">
        <v>0.45</v>
      </c>
      <c r="G83" s="62">
        <f t="shared" si="5"/>
        <v>0.53100000000000014</v>
      </c>
      <c r="H83" s="52"/>
      <c r="I83">
        <f t="shared" si="4"/>
        <v>5.9</v>
      </c>
    </row>
    <row r="84" spans="1:9" x14ac:dyDescent="0.25">
      <c r="A84" s="52"/>
      <c r="B84" s="52" t="s">
        <v>643</v>
      </c>
      <c r="C84" s="52">
        <v>2</v>
      </c>
      <c r="D84" s="52">
        <v>3.8</v>
      </c>
      <c r="E84" s="52">
        <v>0.2</v>
      </c>
      <c r="F84" s="52">
        <v>0.45</v>
      </c>
      <c r="G84" s="62">
        <f t="shared" si="5"/>
        <v>0.68400000000000005</v>
      </c>
      <c r="H84" s="52"/>
      <c r="I84">
        <f t="shared" si="4"/>
        <v>7.6</v>
      </c>
    </row>
    <row r="85" spans="1:9" x14ac:dyDescent="0.25">
      <c r="A85" s="52"/>
      <c r="B85" s="52" t="s">
        <v>644</v>
      </c>
      <c r="C85" s="52">
        <v>2</v>
      </c>
      <c r="D85" s="52">
        <v>4.55</v>
      </c>
      <c r="E85" s="52">
        <v>0.2</v>
      </c>
      <c r="F85" s="52">
        <v>0.45</v>
      </c>
      <c r="G85" s="62">
        <f t="shared" si="5"/>
        <v>0.81900000000000006</v>
      </c>
      <c r="H85" s="52"/>
      <c r="I85">
        <f t="shared" si="4"/>
        <v>9.1</v>
      </c>
    </row>
    <row r="86" spans="1:9" x14ac:dyDescent="0.25">
      <c r="A86" s="52"/>
      <c r="B86" s="52" t="s">
        <v>645</v>
      </c>
      <c r="C86" s="52">
        <v>2</v>
      </c>
      <c r="D86" s="52">
        <v>3.05</v>
      </c>
      <c r="E86" s="52">
        <v>0.2</v>
      </c>
      <c r="F86" s="52">
        <v>0.45</v>
      </c>
      <c r="G86" s="62">
        <f t="shared" si="5"/>
        <v>0.54900000000000004</v>
      </c>
      <c r="H86" s="52"/>
      <c r="I86">
        <f t="shared" si="4"/>
        <v>6.1</v>
      </c>
    </row>
    <row r="87" spans="1:9" x14ac:dyDescent="0.25">
      <c r="A87" s="52"/>
      <c r="B87" s="52" t="s">
        <v>646</v>
      </c>
      <c r="C87" s="52">
        <v>2</v>
      </c>
      <c r="D87" s="52">
        <v>3.1150000000000002</v>
      </c>
      <c r="E87" s="52">
        <v>0.2</v>
      </c>
      <c r="F87" s="52">
        <v>0.45</v>
      </c>
      <c r="G87" s="62">
        <f t="shared" si="5"/>
        <v>0.56070000000000009</v>
      </c>
      <c r="H87" s="52"/>
      <c r="I87">
        <f t="shared" si="4"/>
        <v>6.23</v>
      </c>
    </row>
    <row r="88" spans="1:9" x14ac:dyDescent="0.25">
      <c r="A88" s="52"/>
      <c r="B88" s="52" t="s">
        <v>647</v>
      </c>
      <c r="C88" s="52">
        <v>2</v>
      </c>
      <c r="D88" s="52">
        <v>1.41</v>
      </c>
      <c r="E88" s="52">
        <v>0.2</v>
      </c>
      <c r="F88" s="52">
        <v>0.45</v>
      </c>
      <c r="G88" s="62">
        <f t="shared" si="5"/>
        <v>0.25379999999999997</v>
      </c>
      <c r="H88" s="52"/>
      <c r="I88">
        <f t="shared" si="4"/>
        <v>2.82</v>
      </c>
    </row>
    <row r="89" spans="1:9" x14ac:dyDescent="0.25">
      <c r="A89" s="52"/>
      <c r="B89" s="52" t="s">
        <v>648</v>
      </c>
      <c r="C89" s="52">
        <v>2</v>
      </c>
      <c r="D89" s="52">
        <v>0.35</v>
      </c>
      <c r="E89" s="52">
        <v>0.2</v>
      </c>
      <c r="F89" s="52">
        <v>0.45</v>
      </c>
      <c r="G89" s="62">
        <f t="shared" si="5"/>
        <v>6.3E-2</v>
      </c>
      <c r="H89" s="52"/>
      <c r="I89">
        <f t="shared" si="4"/>
        <v>0.7</v>
      </c>
    </row>
    <row r="90" spans="1:9" x14ac:dyDescent="0.25">
      <c r="A90" s="52"/>
      <c r="B90" s="52" t="s">
        <v>649</v>
      </c>
      <c r="C90" s="52">
        <v>2</v>
      </c>
      <c r="D90" s="52">
        <v>2.37</v>
      </c>
      <c r="E90" s="52">
        <v>0.2</v>
      </c>
      <c r="F90" s="52">
        <v>0.45</v>
      </c>
      <c r="G90" s="62">
        <f t="shared" si="5"/>
        <v>0.42660000000000003</v>
      </c>
      <c r="H90" s="52"/>
      <c r="I90">
        <f t="shared" si="4"/>
        <v>4.74</v>
      </c>
    </row>
    <row r="91" spans="1:9" x14ac:dyDescent="0.25">
      <c r="A91" s="52"/>
      <c r="B91" s="52" t="s">
        <v>650</v>
      </c>
      <c r="C91" s="52">
        <v>2</v>
      </c>
      <c r="D91" s="52">
        <v>3.2</v>
      </c>
      <c r="E91" s="52">
        <v>0.2</v>
      </c>
      <c r="F91" s="52">
        <v>0.45</v>
      </c>
      <c r="G91" s="62">
        <f t="shared" si="5"/>
        <v>0.57600000000000018</v>
      </c>
      <c r="H91" s="52"/>
      <c r="I91">
        <f t="shared" si="4"/>
        <v>6.4</v>
      </c>
    </row>
    <row r="92" spans="1:9" x14ac:dyDescent="0.25">
      <c r="A92" s="52"/>
      <c r="B92" s="52" t="s">
        <v>661</v>
      </c>
      <c r="C92" s="52">
        <v>2</v>
      </c>
      <c r="D92" s="52">
        <f>15.59-0.3*2-0.23*2</f>
        <v>14.53</v>
      </c>
      <c r="E92" s="52">
        <v>0.2</v>
      </c>
      <c r="F92" s="52">
        <v>0.45</v>
      </c>
      <c r="G92" s="62">
        <f t="shared" si="5"/>
        <v>2.6154000000000002</v>
      </c>
      <c r="H92" s="52"/>
      <c r="I92">
        <f t="shared" si="4"/>
        <v>29.06</v>
      </c>
    </row>
    <row r="93" spans="1:9" x14ac:dyDescent="0.25">
      <c r="A93" s="52"/>
      <c r="B93" s="52" t="s">
        <v>652</v>
      </c>
      <c r="C93" s="52">
        <v>4</v>
      </c>
      <c r="D93" s="52">
        <v>2.2250000000000001</v>
      </c>
      <c r="E93" s="52">
        <v>0.2</v>
      </c>
      <c r="F93" s="52">
        <v>0.45</v>
      </c>
      <c r="G93" s="62">
        <f t="shared" si="5"/>
        <v>0.80100000000000016</v>
      </c>
      <c r="H93" s="52"/>
      <c r="I93">
        <f t="shared" si="4"/>
        <v>8.9</v>
      </c>
    </row>
    <row r="94" spans="1:9" x14ac:dyDescent="0.25">
      <c r="A94" s="52"/>
      <c r="B94" s="52" t="s">
        <v>653</v>
      </c>
      <c r="C94" s="52">
        <v>2</v>
      </c>
      <c r="D94" s="52">
        <v>3.06</v>
      </c>
      <c r="E94" s="52">
        <v>0.2</v>
      </c>
      <c r="F94" s="52">
        <v>0.45</v>
      </c>
      <c r="G94" s="62">
        <f t="shared" si="5"/>
        <v>0.55080000000000007</v>
      </c>
      <c r="H94" s="52"/>
      <c r="I94">
        <f t="shared" si="4"/>
        <v>6.12</v>
      </c>
    </row>
    <row r="95" spans="1:9" x14ac:dyDescent="0.25">
      <c r="A95" s="52"/>
      <c r="B95" s="52" t="s">
        <v>654</v>
      </c>
      <c r="C95" s="52">
        <v>2</v>
      </c>
      <c r="D95" s="52">
        <v>3.06</v>
      </c>
      <c r="E95" s="52">
        <v>0.2</v>
      </c>
      <c r="F95" s="52">
        <v>0.45</v>
      </c>
      <c r="G95" s="62">
        <f t="shared" si="5"/>
        <v>0.55080000000000007</v>
      </c>
      <c r="H95" s="52"/>
      <c r="I95">
        <f t="shared" si="4"/>
        <v>6.12</v>
      </c>
    </row>
    <row r="96" spans="1:9" x14ac:dyDescent="0.25">
      <c r="A96" s="52"/>
      <c r="B96" s="52" t="s">
        <v>655</v>
      </c>
      <c r="C96" s="52">
        <v>2</v>
      </c>
      <c r="D96" s="52">
        <v>1.6</v>
      </c>
      <c r="E96" s="52">
        <v>0.2</v>
      </c>
      <c r="F96" s="52">
        <v>0.45</v>
      </c>
      <c r="G96" s="62">
        <f t="shared" si="5"/>
        <v>0.28800000000000009</v>
      </c>
      <c r="H96" s="52"/>
      <c r="I96">
        <f t="shared" si="4"/>
        <v>3.2</v>
      </c>
    </row>
    <row r="97" spans="1:9" x14ac:dyDescent="0.25">
      <c r="A97" s="52"/>
      <c r="B97" s="52" t="s">
        <v>656</v>
      </c>
      <c r="C97" s="52">
        <v>4</v>
      </c>
      <c r="D97" s="52">
        <v>3.05</v>
      </c>
      <c r="E97" s="52">
        <v>0.2</v>
      </c>
      <c r="F97" s="52">
        <v>0.45</v>
      </c>
      <c r="G97" s="62">
        <f t="shared" si="5"/>
        <v>1.0980000000000001</v>
      </c>
      <c r="H97" s="52"/>
      <c r="I97">
        <f t="shared" si="4"/>
        <v>12.2</v>
      </c>
    </row>
    <row r="98" spans="1:9" x14ac:dyDescent="0.25">
      <c r="A98" s="52"/>
      <c r="B98" s="52" t="s">
        <v>657</v>
      </c>
      <c r="C98" s="52">
        <v>2</v>
      </c>
      <c r="D98" s="52">
        <f>7-0.46</f>
        <v>6.54</v>
      </c>
      <c r="E98" s="52">
        <v>0.2</v>
      </c>
      <c r="F98" s="52">
        <v>0.45</v>
      </c>
      <c r="G98" s="62">
        <f t="shared" si="5"/>
        <v>1.1772</v>
      </c>
      <c r="H98" s="52"/>
      <c r="I98">
        <f t="shared" si="4"/>
        <v>13.08</v>
      </c>
    </row>
    <row r="99" spans="1:9" x14ac:dyDescent="0.25">
      <c r="A99" s="52"/>
      <c r="B99" s="52" t="s">
        <v>658</v>
      </c>
      <c r="C99" s="52">
        <v>2</v>
      </c>
      <c r="D99" s="52">
        <f>7-0.6-0.23</f>
        <v>6.17</v>
      </c>
      <c r="E99" s="52">
        <v>0.2</v>
      </c>
      <c r="F99" s="52">
        <v>0.45</v>
      </c>
      <c r="G99" s="62">
        <f t="shared" ref="G99:G102" si="6">+PRODUCT(C99:F99)</f>
        <v>1.1106</v>
      </c>
      <c r="H99" s="52"/>
      <c r="I99">
        <f t="shared" ref="I99:I102" si="7">+C99*D99</f>
        <v>12.34</v>
      </c>
    </row>
    <row r="100" spans="1:9" x14ac:dyDescent="0.25">
      <c r="A100" s="52"/>
      <c r="B100" s="52" t="s">
        <v>659</v>
      </c>
      <c r="C100" s="52">
        <v>4</v>
      </c>
      <c r="D100" s="52">
        <v>3.05</v>
      </c>
      <c r="E100" s="52">
        <v>0.2</v>
      </c>
      <c r="F100" s="52">
        <v>0.45</v>
      </c>
      <c r="G100" s="62">
        <f t="shared" si="6"/>
        <v>1.0980000000000001</v>
      </c>
      <c r="H100" s="52"/>
      <c r="I100">
        <f t="shared" si="7"/>
        <v>12.2</v>
      </c>
    </row>
    <row r="101" spans="1:9" x14ac:dyDescent="0.25">
      <c r="A101" s="52"/>
      <c r="B101" s="52" t="s">
        <v>659</v>
      </c>
      <c r="C101" s="52">
        <v>4</v>
      </c>
      <c r="D101" s="52">
        <v>1.7</v>
      </c>
      <c r="E101" s="52">
        <v>0.2</v>
      </c>
      <c r="F101" s="52">
        <v>0.45</v>
      </c>
      <c r="G101" s="62">
        <f t="shared" si="6"/>
        <v>0.6120000000000001</v>
      </c>
      <c r="H101" s="52"/>
      <c r="I101">
        <f t="shared" si="7"/>
        <v>6.8</v>
      </c>
    </row>
    <row r="102" spans="1:9" x14ac:dyDescent="0.25">
      <c r="A102" s="52"/>
      <c r="B102" s="52" t="s">
        <v>660</v>
      </c>
      <c r="C102" s="52">
        <v>2</v>
      </c>
      <c r="D102" s="52">
        <v>3.17</v>
      </c>
      <c r="E102" s="52">
        <v>0.2</v>
      </c>
      <c r="F102" s="52">
        <v>0.45</v>
      </c>
      <c r="G102" s="62">
        <f t="shared" si="6"/>
        <v>0.5706</v>
      </c>
      <c r="H102" s="52"/>
      <c r="I102">
        <f t="shared" si="7"/>
        <v>6.34</v>
      </c>
    </row>
    <row r="103" spans="1:9" x14ac:dyDescent="0.25">
      <c r="A103" s="52"/>
      <c r="B103" s="52"/>
      <c r="C103" s="52"/>
      <c r="D103" s="52"/>
      <c r="E103" s="52"/>
      <c r="F103" s="52"/>
      <c r="G103" s="65">
        <f>SUM(G34:G102)</f>
        <v>69.315839999999994</v>
      </c>
      <c r="H103" s="52" t="s">
        <v>593</v>
      </c>
    </row>
  </sheetData>
  <mergeCells count="2">
    <mergeCell ref="A1:H1"/>
    <mergeCell ref="D3:E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50"/>
  <sheetViews>
    <sheetView tabSelected="1" topLeftCell="A240" workbookViewId="0">
      <selection activeCell="A249" sqref="A249:XFD350"/>
    </sheetView>
  </sheetViews>
  <sheetFormatPr defaultRowHeight="15" x14ac:dyDescent="0.25"/>
  <cols>
    <col min="1" max="1" width="6.28515625" customWidth="1"/>
    <col min="2" max="2" width="31.85546875" customWidth="1"/>
    <col min="3" max="3" width="8.140625" customWidth="1"/>
    <col min="4" max="4" width="8.85546875" bestFit="1" customWidth="1"/>
    <col min="5" max="5" width="8" bestFit="1" customWidth="1"/>
    <col min="6" max="6" width="8.42578125" bestFit="1" customWidth="1"/>
    <col min="7" max="7" width="12.140625" style="63" customWidth="1"/>
    <col min="8" max="8" width="9" customWidth="1"/>
  </cols>
  <sheetData>
    <row r="1" spans="1:8" ht="18.75" x14ac:dyDescent="0.3">
      <c r="A1" s="137" t="s">
        <v>257</v>
      </c>
      <c r="B1" s="138"/>
      <c r="C1" s="138"/>
      <c r="D1" s="138"/>
      <c r="E1" s="138"/>
      <c r="F1" s="138"/>
      <c r="G1" s="138"/>
      <c r="H1" s="139"/>
    </row>
    <row r="2" spans="1:8" x14ac:dyDescent="0.25">
      <c r="A2" s="58" t="s">
        <v>249</v>
      </c>
      <c r="B2" s="58" t="s">
        <v>250</v>
      </c>
      <c r="C2" s="59" t="s">
        <v>251</v>
      </c>
      <c r="D2" s="60" t="s">
        <v>252</v>
      </c>
      <c r="E2" s="59" t="s">
        <v>253</v>
      </c>
      <c r="F2" s="59" t="s">
        <v>254</v>
      </c>
      <c r="G2" s="61" t="s">
        <v>255</v>
      </c>
      <c r="H2" s="58" t="s">
        <v>256</v>
      </c>
    </row>
    <row r="3" spans="1:8" x14ac:dyDescent="0.25">
      <c r="A3" s="52"/>
      <c r="B3" s="56" t="s">
        <v>527</v>
      </c>
      <c r="C3" s="52"/>
      <c r="D3" s="140"/>
      <c r="E3" s="141"/>
      <c r="F3" s="52"/>
      <c r="G3" s="65"/>
      <c r="H3" s="52"/>
    </row>
    <row r="4" spans="1:8" x14ac:dyDescent="0.25">
      <c r="A4" s="52"/>
      <c r="B4" s="52" t="s">
        <v>292</v>
      </c>
      <c r="C4" s="52"/>
      <c r="D4" s="52"/>
      <c r="E4" s="52"/>
      <c r="F4" s="52"/>
      <c r="G4" s="62"/>
      <c r="H4" s="52"/>
    </row>
    <row r="5" spans="1:8" x14ac:dyDescent="0.25">
      <c r="A5" s="52"/>
      <c r="B5" s="52" t="s">
        <v>261</v>
      </c>
      <c r="C5" s="52">
        <v>32</v>
      </c>
      <c r="D5" s="52">
        <v>0.6</v>
      </c>
      <c r="E5" s="52">
        <v>0.3</v>
      </c>
      <c r="F5" s="52">
        <v>2.95</v>
      </c>
      <c r="G5" s="62">
        <f>+PRODUCT(C5:F5)</f>
        <v>16.992000000000001</v>
      </c>
      <c r="H5" s="52"/>
    </row>
    <row r="6" spans="1:8" x14ac:dyDescent="0.25">
      <c r="A6" s="52"/>
      <c r="B6" s="52" t="s">
        <v>262</v>
      </c>
      <c r="C6" s="52">
        <v>22</v>
      </c>
      <c r="D6" s="52">
        <v>0.6</v>
      </c>
      <c r="E6" s="52">
        <v>0.3</v>
      </c>
      <c r="F6" s="52">
        <v>2.95</v>
      </c>
      <c r="G6" s="62">
        <f t="shared" ref="G6:G29" si="0">+PRODUCT(C6:F6)</f>
        <v>11.681999999999999</v>
      </c>
      <c r="H6" s="52"/>
    </row>
    <row r="7" spans="1:8" x14ac:dyDescent="0.25">
      <c r="A7" s="52"/>
      <c r="B7" s="52" t="s">
        <v>263</v>
      </c>
      <c r="C7" s="52">
        <v>4</v>
      </c>
      <c r="D7" s="52">
        <v>0.6</v>
      </c>
      <c r="E7" s="52">
        <v>0.3</v>
      </c>
      <c r="F7" s="52">
        <v>2.95</v>
      </c>
      <c r="G7" s="62">
        <f t="shared" si="0"/>
        <v>2.1240000000000001</v>
      </c>
      <c r="H7" s="52"/>
    </row>
    <row r="8" spans="1:8" x14ac:dyDescent="0.25">
      <c r="A8" s="52"/>
      <c r="B8" s="52" t="s">
        <v>264</v>
      </c>
      <c r="C8" s="52">
        <v>16</v>
      </c>
      <c r="D8" s="52">
        <v>0.75</v>
      </c>
      <c r="E8" s="52">
        <v>0.3</v>
      </c>
      <c r="F8" s="52">
        <v>2.95</v>
      </c>
      <c r="G8" s="62">
        <f t="shared" si="0"/>
        <v>10.62</v>
      </c>
      <c r="H8" s="52"/>
    </row>
    <row r="9" spans="1:8" x14ac:dyDescent="0.25">
      <c r="A9" s="52"/>
      <c r="B9" s="52" t="s">
        <v>265</v>
      </c>
      <c r="C9" s="52">
        <v>14</v>
      </c>
      <c r="D9" s="52">
        <v>0.75</v>
      </c>
      <c r="E9" s="52">
        <v>0.3</v>
      </c>
      <c r="F9" s="52">
        <v>2.95</v>
      </c>
      <c r="G9" s="62">
        <f t="shared" si="0"/>
        <v>9.2925000000000004</v>
      </c>
      <c r="H9" s="52"/>
    </row>
    <row r="10" spans="1:8" x14ac:dyDescent="0.25">
      <c r="A10" s="52"/>
      <c r="B10" s="52" t="s">
        <v>266</v>
      </c>
      <c r="C10" s="52">
        <v>14</v>
      </c>
      <c r="D10" s="52">
        <v>0.71499999999999997</v>
      </c>
      <c r="E10" s="52">
        <v>0.3</v>
      </c>
      <c r="F10" s="52">
        <v>2.95</v>
      </c>
      <c r="G10" s="62">
        <f t="shared" si="0"/>
        <v>8.8588500000000003</v>
      </c>
      <c r="H10" s="52"/>
    </row>
    <row r="11" spans="1:8" x14ac:dyDescent="0.25">
      <c r="A11" s="52"/>
      <c r="B11" s="52" t="s">
        <v>267</v>
      </c>
      <c r="C11" s="52">
        <v>4</v>
      </c>
      <c r="D11" s="52">
        <v>0.8</v>
      </c>
      <c r="E11" s="52">
        <v>0.3</v>
      </c>
      <c r="F11" s="52">
        <v>2.95</v>
      </c>
      <c r="G11" s="62">
        <f t="shared" si="0"/>
        <v>2.8319999999999999</v>
      </c>
      <c r="H11" s="52"/>
    </row>
    <row r="12" spans="1:8" x14ac:dyDescent="0.25">
      <c r="A12" s="52"/>
      <c r="B12" s="52" t="s">
        <v>268</v>
      </c>
      <c r="C12" s="52">
        <v>4</v>
      </c>
      <c r="D12" s="52">
        <v>0.6</v>
      </c>
      <c r="E12" s="52">
        <v>0.3</v>
      </c>
      <c r="F12" s="52">
        <v>2.95</v>
      </c>
      <c r="G12" s="62">
        <f t="shared" si="0"/>
        <v>2.1240000000000001</v>
      </c>
      <c r="H12" s="52"/>
    </row>
    <row r="13" spans="1:8" x14ac:dyDescent="0.25">
      <c r="A13" s="52"/>
      <c r="B13" s="52" t="s">
        <v>269</v>
      </c>
      <c r="C13" s="52">
        <v>2</v>
      </c>
      <c r="D13" s="52">
        <v>1.65</v>
      </c>
      <c r="E13" s="52">
        <v>0.23</v>
      </c>
      <c r="F13" s="52">
        <v>2.95</v>
      </c>
      <c r="G13" s="62">
        <f t="shared" si="0"/>
        <v>2.2390500000000002</v>
      </c>
      <c r="H13" s="52"/>
    </row>
    <row r="14" spans="1:8" x14ac:dyDescent="0.25">
      <c r="A14" s="52"/>
      <c r="B14" s="52"/>
      <c r="C14" s="52">
        <v>2</v>
      </c>
      <c r="D14" s="52">
        <f>0.65-0.23</f>
        <v>0.42000000000000004</v>
      </c>
      <c r="E14" s="52">
        <v>0.23</v>
      </c>
      <c r="F14" s="52">
        <v>2.95</v>
      </c>
      <c r="G14" s="62">
        <f t="shared" si="0"/>
        <v>0.56994000000000011</v>
      </c>
      <c r="H14" s="52"/>
    </row>
    <row r="15" spans="1:8" x14ac:dyDescent="0.25">
      <c r="A15" s="52"/>
      <c r="B15" s="52" t="s">
        <v>270</v>
      </c>
      <c r="C15" s="52">
        <v>2</v>
      </c>
      <c r="D15" s="52">
        <v>1.85</v>
      </c>
      <c r="E15" s="52">
        <v>0.23</v>
      </c>
      <c r="F15" s="52">
        <v>2.95</v>
      </c>
      <c r="G15" s="62">
        <f t="shared" si="0"/>
        <v>2.5104500000000005</v>
      </c>
      <c r="H15" s="52"/>
    </row>
    <row r="16" spans="1:8" x14ac:dyDescent="0.25">
      <c r="A16" s="52"/>
      <c r="B16" s="52"/>
      <c r="C16" s="52">
        <v>2</v>
      </c>
      <c r="D16" s="52">
        <f>0.65-0.23</f>
        <v>0.42000000000000004</v>
      </c>
      <c r="E16" s="52">
        <v>0.23</v>
      </c>
      <c r="F16" s="52">
        <v>2.95</v>
      </c>
      <c r="G16" s="62">
        <f t="shared" si="0"/>
        <v>0.56994000000000011</v>
      </c>
      <c r="H16" s="52"/>
    </row>
    <row r="17" spans="1:9" x14ac:dyDescent="0.25">
      <c r="A17" s="52"/>
      <c r="B17" s="52" t="s">
        <v>271</v>
      </c>
      <c r="C17" s="52">
        <v>2</v>
      </c>
      <c r="D17" s="52">
        <v>1</v>
      </c>
      <c r="E17" s="52">
        <v>0.23</v>
      </c>
      <c r="F17" s="52">
        <v>2.95</v>
      </c>
      <c r="G17" s="62">
        <f t="shared" si="0"/>
        <v>1.3570000000000002</v>
      </c>
      <c r="H17" s="52"/>
    </row>
    <row r="18" spans="1:9" x14ac:dyDescent="0.25">
      <c r="A18" s="52"/>
      <c r="B18" s="52" t="s">
        <v>272</v>
      </c>
      <c r="C18" s="52">
        <v>2</v>
      </c>
      <c r="D18" s="52">
        <v>1.1499999999999999</v>
      </c>
      <c r="E18" s="52">
        <v>0.23</v>
      </c>
      <c r="F18" s="52">
        <v>2.95</v>
      </c>
      <c r="G18" s="62">
        <f t="shared" si="0"/>
        <v>1.5605500000000001</v>
      </c>
      <c r="H18" s="52"/>
    </row>
    <row r="19" spans="1:9" x14ac:dyDescent="0.25">
      <c r="A19" s="52"/>
      <c r="B19" s="52" t="s">
        <v>273</v>
      </c>
      <c r="C19" s="52">
        <v>4</v>
      </c>
      <c r="D19" s="52">
        <v>1.7</v>
      </c>
      <c r="E19" s="52">
        <v>0.23</v>
      </c>
      <c r="F19" s="52">
        <v>2.95</v>
      </c>
      <c r="G19" s="62">
        <f t="shared" si="0"/>
        <v>4.6138000000000003</v>
      </c>
      <c r="H19" s="52"/>
    </row>
    <row r="20" spans="1:9" x14ac:dyDescent="0.25">
      <c r="A20" s="52"/>
      <c r="B20" s="52" t="s">
        <v>274</v>
      </c>
      <c r="C20" s="52">
        <v>4</v>
      </c>
      <c r="D20" s="52">
        <v>1.1850000000000001</v>
      </c>
      <c r="E20" s="52">
        <v>0.23</v>
      </c>
      <c r="F20" s="52">
        <v>2.95</v>
      </c>
      <c r="G20" s="62">
        <f t="shared" si="0"/>
        <v>3.2160900000000003</v>
      </c>
      <c r="H20" s="52"/>
    </row>
    <row r="21" spans="1:9" x14ac:dyDescent="0.25">
      <c r="A21" s="52"/>
      <c r="B21" s="52" t="s">
        <v>275</v>
      </c>
      <c r="C21" s="52">
        <v>2</v>
      </c>
      <c r="D21" s="52">
        <v>1.855</v>
      </c>
      <c r="E21" s="52">
        <v>0.23</v>
      </c>
      <c r="F21" s="52">
        <v>2.95</v>
      </c>
      <c r="G21" s="62">
        <f t="shared" si="0"/>
        <v>2.5172350000000003</v>
      </c>
      <c r="H21" s="52"/>
    </row>
    <row r="22" spans="1:9" x14ac:dyDescent="0.25">
      <c r="A22" s="52"/>
      <c r="B22" s="52" t="s">
        <v>276</v>
      </c>
      <c r="C22" s="52">
        <v>1</v>
      </c>
      <c r="D22" s="52">
        <v>3.6</v>
      </c>
      <c r="E22" s="52">
        <v>0.23</v>
      </c>
      <c r="F22" s="52">
        <v>2.95</v>
      </c>
      <c r="G22" s="62">
        <f t="shared" si="0"/>
        <v>2.4426000000000005</v>
      </c>
      <c r="H22" s="52"/>
    </row>
    <row r="23" spans="1:9" x14ac:dyDescent="0.25">
      <c r="A23" s="52"/>
      <c r="B23" s="52" t="s">
        <v>277</v>
      </c>
      <c r="C23" s="52">
        <v>6</v>
      </c>
      <c r="D23" s="52">
        <v>1.85</v>
      </c>
      <c r="E23" s="52">
        <v>0.23</v>
      </c>
      <c r="F23" s="52">
        <v>2.95</v>
      </c>
      <c r="G23" s="62">
        <f t="shared" si="0"/>
        <v>7.5313500000000015</v>
      </c>
      <c r="H23" s="52"/>
    </row>
    <row r="24" spans="1:9" x14ac:dyDescent="0.25">
      <c r="A24" s="52"/>
      <c r="B24" s="52"/>
      <c r="C24" s="52">
        <v>6</v>
      </c>
      <c r="D24" s="52">
        <f>0.65-0.23</f>
        <v>0.42000000000000004</v>
      </c>
      <c r="E24" s="52">
        <v>0.23</v>
      </c>
      <c r="F24" s="52">
        <v>2.95</v>
      </c>
      <c r="G24" s="62">
        <f t="shared" si="0"/>
        <v>1.7098200000000003</v>
      </c>
      <c r="H24" s="52"/>
    </row>
    <row r="25" spans="1:9" x14ac:dyDescent="0.25">
      <c r="A25" s="52"/>
      <c r="B25" s="52" t="s">
        <v>278</v>
      </c>
      <c r="C25" s="52">
        <v>2</v>
      </c>
      <c r="D25" s="52">
        <v>3.4449999999999998</v>
      </c>
      <c r="E25" s="52">
        <v>0.23</v>
      </c>
      <c r="F25" s="52">
        <v>2.95</v>
      </c>
      <c r="G25" s="62">
        <f t="shared" si="0"/>
        <v>4.6748650000000005</v>
      </c>
      <c r="H25" s="52"/>
    </row>
    <row r="26" spans="1:9" x14ac:dyDescent="0.25">
      <c r="A26" s="52"/>
      <c r="B26" s="52" t="s">
        <v>279</v>
      </c>
      <c r="C26" s="52">
        <v>2</v>
      </c>
      <c r="D26" s="52">
        <v>4.0650000000000004</v>
      </c>
      <c r="E26" s="52">
        <v>0.23</v>
      </c>
      <c r="F26" s="52">
        <v>2.95</v>
      </c>
      <c r="G26" s="62">
        <f t="shared" si="0"/>
        <v>5.5162050000000011</v>
      </c>
      <c r="H26" s="52"/>
    </row>
    <row r="27" spans="1:9" x14ac:dyDescent="0.25">
      <c r="A27" s="52"/>
      <c r="B27" s="52" t="s">
        <v>280</v>
      </c>
      <c r="C27" s="52">
        <v>2</v>
      </c>
      <c r="D27" s="52">
        <v>1.5349999999999999</v>
      </c>
      <c r="E27" s="52">
        <v>0.23</v>
      </c>
      <c r="F27" s="52">
        <v>2.95</v>
      </c>
      <c r="G27" s="62">
        <f t="shared" si="0"/>
        <v>2.0829949999999999</v>
      </c>
      <c r="H27" s="52"/>
    </row>
    <row r="28" spans="1:9" x14ac:dyDescent="0.25">
      <c r="A28" s="52"/>
      <c r="B28" s="52"/>
      <c r="C28" s="52">
        <v>2</v>
      </c>
      <c r="D28" s="52">
        <f>0.65-0.23</f>
        <v>0.42000000000000004</v>
      </c>
      <c r="E28" s="52">
        <v>0.23</v>
      </c>
      <c r="F28" s="52">
        <v>2.95</v>
      </c>
      <c r="G28" s="62">
        <f t="shared" si="0"/>
        <v>0.56994000000000011</v>
      </c>
      <c r="H28" s="52"/>
    </row>
    <row r="29" spans="1:9" x14ac:dyDescent="0.25">
      <c r="A29" s="52"/>
      <c r="B29" s="52" t="s">
        <v>281</v>
      </c>
      <c r="C29" s="52">
        <v>2</v>
      </c>
      <c r="D29" s="52">
        <v>3.4449999999999998</v>
      </c>
      <c r="E29" s="52">
        <v>0.23</v>
      </c>
      <c r="F29" s="52">
        <v>2.95</v>
      </c>
      <c r="G29" s="62">
        <f t="shared" si="0"/>
        <v>4.6748650000000005</v>
      </c>
      <c r="H29" s="52"/>
    </row>
    <row r="30" spans="1:9" x14ac:dyDescent="0.25">
      <c r="G30" s="69">
        <f>SUM(G5:G29)</f>
        <v>112.88204500000001</v>
      </c>
    </row>
    <row r="31" spans="1:9" x14ac:dyDescent="0.25">
      <c r="A31" s="52"/>
      <c r="B31" s="56" t="s">
        <v>293</v>
      </c>
      <c r="C31" s="52"/>
      <c r="D31" s="52"/>
      <c r="E31" s="52"/>
      <c r="F31" s="52"/>
      <c r="G31" s="62"/>
      <c r="H31" s="52"/>
    </row>
    <row r="32" spans="1:9" x14ac:dyDescent="0.25">
      <c r="A32" s="52"/>
      <c r="B32" s="52" t="s">
        <v>294</v>
      </c>
      <c r="C32" s="52">
        <v>2</v>
      </c>
      <c r="D32" s="52">
        <v>3.0249999999999999</v>
      </c>
      <c r="E32" s="52">
        <v>0.5</v>
      </c>
      <c r="F32" s="52">
        <v>0.2</v>
      </c>
      <c r="G32" s="62">
        <f t="shared" ref="G32:G74" si="1">+PRODUCT(C32:F32)</f>
        <v>0.60499999999999998</v>
      </c>
      <c r="H32" s="52"/>
      <c r="I32">
        <f>+IF(B32="BOTTOM",1,0)</f>
        <v>0</v>
      </c>
    </row>
    <row r="33" spans="1:9" x14ac:dyDescent="0.25">
      <c r="A33" s="52"/>
      <c r="B33" s="52" t="s">
        <v>294</v>
      </c>
      <c r="C33" s="52">
        <v>2</v>
      </c>
      <c r="D33" s="52">
        <v>2.8</v>
      </c>
      <c r="E33" s="52">
        <v>0.5</v>
      </c>
      <c r="F33" s="52">
        <v>0.2</v>
      </c>
      <c r="G33" s="62">
        <f t="shared" si="1"/>
        <v>0.55999999999999994</v>
      </c>
      <c r="H33" s="52"/>
      <c r="I33">
        <f t="shared" ref="I33:I54" si="2">+IF(B33="BOTTOM",1,0)</f>
        <v>0</v>
      </c>
    </row>
    <row r="34" spans="1:9" x14ac:dyDescent="0.25">
      <c r="A34" s="52"/>
      <c r="B34" s="52" t="s">
        <v>295</v>
      </c>
      <c r="C34" s="52">
        <v>2</v>
      </c>
      <c r="D34" s="52">
        <v>3.3</v>
      </c>
      <c r="E34" s="52">
        <v>0.5</v>
      </c>
      <c r="F34" s="52">
        <v>0.2</v>
      </c>
      <c r="G34" s="62">
        <f t="shared" si="1"/>
        <v>0.66</v>
      </c>
      <c r="H34" s="52"/>
      <c r="I34">
        <f t="shared" si="2"/>
        <v>0</v>
      </c>
    </row>
    <row r="35" spans="1:9" x14ac:dyDescent="0.25">
      <c r="A35" s="52"/>
      <c r="B35" s="52" t="s">
        <v>296</v>
      </c>
      <c r="C35" s="52">
        <v>4</v>
      </c>
      <c r="D35" s="52">
        <v>1.395</v>
      </c>
      <c r="E35" s="52">
        <v>0.35</v>
      </c>
      <c r="F35" s="52">
        <v>0.1</v>
      </c>
      <c r="G35" s="62">
        <f t="shared" si="1"/>
        <v>0.1953</v>
      </c>
      <c r="H35" s="52"/>
      <c r="I35">
        <f t="shared" si="2"/>
        <v>0</v>
      </c>
    </row>
    <row r="36" spans="1:9" x14ac:dyDescent="0.25">
      <c r="A36" s="52"/>
      <c r="B36" s="52" t="s">
        <v>333</v>
      </c>
      <c r="C36" s="52">
        <v>2</v>
      </c>
      <c r="D36" s="52">
        <v>1.1850000000000001</v>
      </c>
      <c r="E36" s="52">
        <v>0.35</v>
      </c>
      <c r="F36" s="52">
        <v>0.1</v>
      </c>
      <c r="G36" s="62">
        <f t="shared" si="1"/>
        <v>8.295000000000001E-2</v>
      </c>
      <c r="H36" s="52"/>
      <c r="I36">
        <f t="shared" si="2"/>
        <v>0</v>
      </c>
    </row>
    <row r="37" spans="1:9" x14ac:dyDescent="0.25">
      <c r="A37" s="52"/>
      <c r="B37" s="52" t="s">
        <v>334</v>
      </c>
      <c r="C37" s="52">
        <v>2</v>
      </c>
      <c r="D37" s="52">
        <v>1.87</v>
      </c>
      <c r="E37" s="52">
        <v>0.35</v>
      </c>
      <c r="F37" s="52">
        <v>0.1</v>
      </c>
      <c r="G37" s="62">
        <f t="shared" si="1"/>
        <v>0.13089999999999999</v>
      </c>
      <c r="H37" s="52"/>
      <c r="I37">
        <f t="shared" si="2"/>
        <v>0</v>
      </c>
    </row>
    <row r="38" spans="1:9" x14ac:dyDescent="0.25">
      <c r="A38" s="52"/>
      <c r="B38" s="52" t="s">
        <v>335</v>
      </c>
      <c r="C38" s="52">
        <v>2</v>
      </c>
      <c r="D38" s="52">
        <v>1.07</v>
      </c>
      <c r="E38" s="52">
        <v>0.35</v>
      </c>
      <c r="F38" s="52">
        <v>0.1</v>
      </c>
      <c r="G38" s="62">
        <f t="shared" si="1"/>
        <v>7.4900000000000008E-2</v>
      </c>
      <c r="H38" s="52"/>
      <c r="I38">
        <f t="shared" si="2"/>
        <v>0</v>
      </c>
    </row>
    <row r="39" spans="1:9" x14ac:dyDescent="0.25">
      <c r="A39" s="52"/>
      <c r="B39" s="52" t="s">
        <v>336</v>
      </c>
      <c r="C39" s="52">
        <v>4</v>
      </c>
      <c r="D39" s="52">
        <v>1.5</v>
      </c>
      <c r="E39" s="52">
        <v>0.35</v>
      </c>
      <c r="F39" s="52">
        <v>0.1</v>
      </c>
      <c r="G39" s="62">
        <f t="shared" si="1"/>
        <v>0.20999999999999996</v>
      </c>
      <c r="H39" s="52"/>
      <c r="I39">
        <f t="shared" si="2"/>
        <v>0</v>
      </c>
    </row>
    <row r="40" spans="1:9" x14ac:dyDescent="0.25">
      <c r="A40" s="52"/>
      <c r="B40" s="52" t="s">
        <v>337</v>
      </c>
      <c r="C40" s="52">
        <v>2</v>
      </c>
      <c r="D40" s="52">
        <v>1.5</v>
      </c>
      <c r="E40" s="52">
        <v>0.35</v>
      </c>
      <c r="F40" s="52">
        <v>0.1</v>
      </c>
      <c r="G40" s="62">
        <f t="shared" si="1"/>
        <v>0.10499999999999998</v>
      </c>
      <c r="H40" s="52"/>
      <c r="I40">
        <f t="shared" si="2"/>
        <v>0</v>
      </c>
    </row>
    <row r="41" spans="1:9" x14ac:dyDescent="0.25">
      <c r="A41" s="52"/>
      <c r="B41" s="52" t="s">
        <v>338</v>
      </c>
      <c r="C41" s="52">
        <v>4</v>
      </c>
      <c r="D41" s="52">
        <v>1.855</v>
      </c>
      <c r="E41" s="52">
        <v>0.35</v>
      </c>
      <c r="F41" s="52">
        <v>0.1</v>
      </c>
      <c r="G41" s="62">
        <f t="shared" si="1"/>
        <v>0.25969999999999999</v>
      </c>
      <c r="H41" s="52"/>
      <c r="I41">
        <f t="shared" si="2"/>
        <v>0</v>
      </c>
    </row>
    <row r="42" spans="1:9" x14ac:dyDescent="0.25">
      <c r="A42" s="52"/>
      <c r="B42" s="52" t="s">
        <v>339</v>
      </c>
      <c r="C42" s="52">
        <v>4</v>
      </c>
      <c r="D42" s="52">
        <v>1.07</v>
      </c>
      <c r="E42" s="52">
        <v>0.35</v>
      </c>
      <c r="F42" s="52">
        <v>0.1</v>
      </c>
      <c r="G42" s="62">
        <f t="shared" si="1"/>
        <v>0.14980000000000002</v>
      </c>
      <c r="H42" s="52"/>
      <c r="I42">
        <f t="shared" si="2"/>
        <v>0</v>
      </c>
    </row>
    <row r="43" spans="1:9" x14ac:dyDescent="0.25">
      <c r="A43" s="52"/>
      <c r="B43" s="52" t="s">
        <v>297</v>
      </c>
      <c r="C43" s="52">
        <v>4</v>
      </c>
      <c r="D43" s="52">
        <v>1.395</v>
      </c>
      <c r="E43" s="52">
        <v>0.35</v>
      </c>
      <c r="F43" s="52">
        <v>0.2</v>
      </c>
      <c r="G43" s="62">
        <f t="shared" ref="G43" si="3">+PRODUCT(C43:F43)</f>
        <v>0.3906</v>
      </c>
      <c r="H43" s="52"/>
      <c r="I43">
        <f t="shared" si="2"/>
        <v>0</v>
      </c>
    </row>
    <row r="44" spans="1:9" x14ac:dyDescent="0.25">
      <c r="A44" s="52"/>
      <c r="B44" s="52" t="s">
        <v>298</v>
      </c>
      <c r="C44" s="52">
        <v>2</v>
      </c>
      <c r="D44" s="52">
        <v>3.5750000000000002</v>
      </c>
      <c r="E44" s="52">
        <v>0.45</v>
      </c>
      <c r="F44" s="52">
        <v>0.2</v>
      </c>
      <c r="G44" s="62">
        <f t="shared" si="1"/>
        <v>0.64350000000000007</v>
      </c>
      <c r="H44" s="52"/>
      <c r="I44">
        <f t="shared" si="2"/>
        <v>0</v>
      </c>
    </row>
    <row r="45" spans="1:9" x14ac:dyDescent="0.25">
      <c r="A45" s="52"/>
      <c r="B45" s="52" t="s">
        <v>298</v>
      </c>
      <c r="C45" s="52">
        <v>2</v>
      </c>
      <c r="D45" s="52">
        <v>3.1</v>
      </c>
      <c r="E45" s="52">
        <v>0.45</v>
      </c>
      <c r="F45" s="52">
        <v>0.2</v>
      </c>
      <c r="G45" s="62">
        <f t="shared" si="1"/>
        <v>0.55800000000000005</v>
      </c>
      <c r="H45" s="52"/>
      <c r="I45">
        <f t="shared" si="2"/>
        <v>0</v>
      </c>
    </row>
    <row r="46" spans="1:9" x14ac:dyDescent="0.25">
      <c r="A46" s="52"/>
      <c r="B46" s="52" t="s">
        <v>299</v>
      </c>
      <c r="C46" s="52">
        <v>2</v>
      </c>
      <c r="D46" s="52">
        <v>3.16</v>
      </c>
      <c r="E46" s="52">
        <v>0.35</v>
      </c>
      <c r="F46" s="52">
        <v>0.2</v>
      </c>
      <c r="G46" s="62">
        <f t="shared" si="1"/>
        <v>0.44239999999999996</v>
      </c>
      <c r="H46" s="52"/>
      <c r="I46">
        <f t="shared" si="2"/>
        <v>0</v>
      </c>
    </row>
    <row r="47" spans="1:9" x14ac:dyDescent="0.25">
      <c r="A47" s="52"/>
      <c r="B47" s="52" t="s">
        <v>300</v>
      </c>
      <c r="C47" s="52">
        <v>2</v>
      </c>
      <c r="D47" s="52">
        <v>2.7</v>
      </c>
      <c r="E47" s="52">
        <v>0.45</v>
      </c>
      <c r="F47" s="52">
        <v>0.2</v>
      </c>
      <c r="G47" s="62">
        <f t="shared" si="1"/>
        <v>0.48600000000000004</v>
      </c>
      <c r="H47" s="52"/>
      <c r="I47">
        <f t="shared" si="2"/>
        <v>0</v>
      </c>
    </row>
    <row r="48" spans="1:9" x14ac:dyDescent="0.25">
      <c r="A48" s="52"/>
      <c r="B48" s="52" t="s">
        <v>301</v>
      </c>
      <c r="C48" s="52">
        <v>2</v>
      </c>
      <c r="D48" s="52">
        <v>2.875</v>
      </c>
      <c r="E48" s="52">
        <v>0.5</v>
      </c>
      <c r="F48" s="52">
        <v>0.2</v>
      </c>
      <c r="G48" s="62">
        <f t="shared" si="1"/>
        <v>0.57500000000000007</v>
      </c>
      <c r="H48" s="52"/>
      <c r="I48">
        <f t="shared" si="2"/>
        <v>0</v>
      </c>
    </row>
    <row r="49" spans="1:9" x14ac:dyDescent="0.25">
      <c r="A49" s="52"/>
      <c r="B49" s="52" t="s">
        <v>302</v>
      </c>
      <c r="C49" s="52">
        <v>2</v>
      </c>
      <c r="D49" s="52">
        <v>2.93</v>
      </c>
      <c r="E49" s="52">
        <v>0.35</v>
      </c>
      <c r="F49" s="52">
        <v>0.2</v>
      </c>
      <c r="G49" s="62">
        <f t="shared" si="1"/>
        <v>0.41020000000000006</v>
      </c>
      <c r="H49" s="52"/>
      <c r="I49">
        <f t="shared" si="2"/>
        <v>0</v>
      </c>
    </row>
    <row r="50" spans="1:9" x14ac:dyDescent="0.25">
      <c r="A50" s="52"/>
      <c r="B50" s="52" t="s">
        <v>303</v>
      </c>
      <c r="C50" s="52">
        <v>4</v>
      </c>
      <c r="D50" s="52">
        <v>4.6900000000000004</v>
      </c>
      <c r="E50" s="52">
        <v>0.5</v>
      </c>
      <c r="F50" s="52">
        <v>0.2</v>
      </c>
      <c r="G50" s="62">
        <f t="shared" si="1"/>
        <v>1.8760000000000003</v>
      </c>
      <c r="H50" s="52"/>
      <c r="I50">
        <f t="shared" si="2"/>
        <v>0</v>
      </c>
    </row>
    <row r="51" spans="1:9" x14ac:dyDescent="0.25">
      <c r="A51" s="52"/>
      <c r="B51" s="52" t="s">
        <v>304</v>
      </c>
      <c r="C51" s="52">
        <v>2</v>
      </c>
      <c r="D51" s="52">
        <v>6.3</v>
      </c>
      <c r="E51" s="52">
        <v>0.45</v>
      </c>
      <c r="F51" s="52">
        <v>0.2</v>
      </c>
      <c r="G51" s="62">
        <f t="shared" si="1"/>
        <v>1.1340000000000001</v>
      </c>
      <c r="H51" s="52"/>
      <c r="I51">
        <f t="shared" si="2"/>
        <v>0</v>
      </c>
    </row>
    <row r="52" spans="1:9" x14ac:dyDescent="0.25">
      <c r="A52" s="52"/>
      <c r="B52" s="52" t="s">
        <v>305</v>
      </c>
      <c r="C52" s="52">
        <v>4</v>
      </c>
      <c r="D52" s="52">
        <v>4.6900000000000004</v>
      </c>
      <c r="E52" s="52">
        <v>0.45</v>
      </c>
      <c r="F52" s="52">
        <v>0.2</v>
      </c>
      <c r="G52" s="62">
        <f t="shared" si="1"/>
        <v>1.6884000000000001</v>
      </c>
      <c r="H52" s="52"/>
      <c r="I52">
        <f t="shared" si="2"/>
        <v>0</v>
      </c>
    </row>
    <row r="53" spans="1:9" x14ac:dyDescent="0.25">
      <c r="A53" s="52"/>
      <c r="B53" s="52" t="s">
        <v>306</v>
      </c>
      <c r="C53" s="52">
        <v>2</v>
      </c>
      <c r="D53" s="52">
        <v>5.76</v>
      </c>
      <c r="E53" s="52">
        <v>0.45</v>
      </c>
      <c r="F53" s="52">
        <v>0.2</v>
      </c>
      <c r="G53" s="62">
        <f t="shared" si="1"/>
        <v>1.0368000000000002</v>
      </c>
      <c r="H53" s="52"/>
      <c r="I53">
        <f t="shared" si="2"/>
        <v>0</v>
      </c>
    </row>
    <row r="54" spans="1:9" x14ac:dyDescent="0.25">
      <c r="A54" s="52"/>
      <c r="B54" s="52" t="s">
        <v>307</v>
      </c>
      <c r="C54" s="52">
        <v>2</v>
      </c>
      <c r="D54" s="52">
        <v>1.6</v>
      </c>
      <c r="E54" s="52">
        <v>0.35</v>
      </c>
      <c r="F54" s="52">
        <v>0.2</v>
      </c>
      <c r="G54" s="62">
        <f t="shared" si="1"/>
        <v>0.22399999999999998</v>
      </c>
      <c r="H54" s="52"/>
      <c r="I54">
        <f t="shared" si="2"/>
        <v>0</v>
      </c>
    </row>
    <row r="55" spans="1:9" x14ac:dyDescent="0.25">
      <c r="A55" s="52"/>
      <c r="B55" s="52" t="s">
        <v>308</v>
      </c>
      <c r="C55" s="52">
        <v>2</v>
      </c>
      <c r="D55" s="52">
        <v>4.1050000000000004</v>
      </c>
      <c r="E55" s="52">
        <v>0.45</v>
      </c>
      <c r="F55" s="52">
        <v>0.2</v>
      </c>
      <c r="G55" s="62">
        <f t="shared" si="1"/>
        <v>0.73890000000000011</v>
      </c>
      <c r="H55" s="52"/>
      <c r="I55">
        <f t="shared" ref="I55:I75" si="4">+IF(B55="BOTTOM",1,0)</f>
        <v>0</v>
      </c>
    </row>
    <row r="56" spans="1:9" x14ac:dyDescent="0.25">
      <c r="A56" s="52"/>
      <c r="B56" s="52" t="s">
        <v>309</v>
      </c>
      <c r="C56" s="52">
        <v>2</v>
      </c>
      <c r="D56" s="52">
        <v>1.5</v>
      </c>
      <c r="E56" s="52">
        <v>0.45</v>
      </c>
      <c r="F56" s="52">
        <v>0.2</v>
      </c>
      <c r="G56" s="62">
        <f t="shared" si="1"/>
        <v>0.27</v>
      </c>
      <c r="H56" s="52"/>
      <c r="I56">
        <f t="shared" si="4"/>
        <v>0</v>
      </c>
    </row>
    <row r="57" spans="1:9" x14ac:dyDescent="0.25">
      <c r="A57" s="52"/>
      <c r="B57" s="52" t="s">
        <v>309</v>
      </c>
      <c r="C57" s="52">
        <v>2</v>
      </c>
      <c r="D57" s="52">
        <v>2.2000000000000002</v>
      </c>
      <c r="E57" s="52">
        <v>0.45</v>
      </c>
      <c r="F57" s="52">
        <v>0.2</v>
      </c>
      <c r="G57" s="62">
        <f t="shared" si="1"/>
        <v>0.39600000000000007</v>
      </c>
      <c r="H57" s="52"/>
      <c r="I57">
        <f t="shared" si="4"/>
        <v>0</v>
      </c>
    </row>
    <row r="58" spans="1:9" x14ac:dyDescent="0.25">
      <c r="A58" s="52"/>
      <c r="B58" s="52" t="s">
        <v>310</v>
      </c>
      <c r="C58" s="52">
        <v>2</v>
      </c>
      <c r="D58" s="52">
        <v>3.1150000000000002</v>
      </c>
      <c r="E58" s="52">
        <v>0.5</v>
      </c>
      <c r="F58" s="52">
        <v>0.2</v>
      </c>
      <c r="G58" s="62">
        <f t="shared" si="1"/>
        <v>0.62300000000000011</v>
      </c>
      <c r="H58" s="52"/>
      <c r="I58">
        <f t="shared" si="4"/>
        <v>0</v>
      </c>
    </row>
    <row r="59" spans="1:9" x14ac:dyDescent="0.25">
      <c r="A59" s="52"/>
      <c r="B59" s="52" t="s">
        <v>312</v>
      </c>
      <c r="C59" s="52">
        <v>6</v>
      </c>
      <c r="D59" s="52">
        <v>1.1200000000000001</v>
      </c>
      <c r="E59" s="52">
        <v>0.35</v>
      </c>
      <c r="F59" s="52">
        <v>0.2</v>
      </c>
      <c r="G59" s="62">
        <f t="shared" si="1"/>
        <v>0.47039999999999998</v>
      </c>
      <c r="H59" s="52"/>
      <c r="I59">
        <f t="shared" si="4"/>
        <v>0</v>
      </c>
    </row>
    <row r="60" spans="1:9" x14ac:dyDescent="0.25">
      <c r="A60" s="52"/>
      <c r="B60" s="52" t="s">
        <v>311</v>
      </c>
      <c r="C60" s="52">
        <v>6</v>
      </c>
      <c r="D60" s="52">
        <v>3.25</v>
      </c>
      <c r="E60" s="52">
        <v>0.5</v>
      </c>
      <c r="F60" s="52">
        <v>0.2</v>
      </c>
      <c r="G60" s="62">
        <f t="shared" si="1"/>
        <v>1.9500000000000002</v>
      </c>
      <c r="H60" s="52"/>
      <c r="I60">
        <f t="shared" si="4"/>
        <v>0</v>
      </c>
    </row>
    <row r="61" spans="1:9" x14ac:dyDescent="0.25">
      <c r="A61" s="52"/>
      <c r="B61" s="52" t="s">
        <v>311</v>
      </c>
      <c r="C61" s="52">
        <v>6</v>
      </c>
      <c r="D61" s="52">
        <v>3.25</v>
      </c>
      <c r="E61" s="52">
        <v>0.5</v>
      </c>
      <c r="F61" s="52">
        <v>0.2</v>
      </c>
      <c r="G61" s="62">
        <f t="shared" si="1"/>
        <v>1.9500000000000002</v>
      </c>
      <c r="H61" s="52"/>
      <c r="I61">
        <f t="shared" si="4"/>
        <v>0</v>
      </c>
    </row>
    <row r="62" spans="1:9" x14ac:dyDescent="0.25">
      <c r="A62" s="52"/>
      <c r="B62" s="52" t="s">
        <v>313</v>
      </c>
      <c r="C62" s="52">
        <v>2</v>
      </c>
      <c r="D62" s="52">
        <v>3.2149999999999999</v>
      </c>
      <c r="E62" s="52">
        <v>0.5</v>
      </c>
      <c r="F62" s="52">
        <v>0.2</v>
      </c>
      <c r="G62" s="62">
        <f t="shared" si="1"/>
        <v>0.64300000000000002</v>
      </c>
      <c r="H62" s="52"/>
      <c r="I62">
        <f t="shared" si="4"/>
        <v>0</v>
      </c>
    </row>
    <row r="63" spans="1:9" x14ac:dyDescent="0.25">
      <c r="A63" s="52"/>
      <c r="B63" s="52" t="s">
        <v>314</v>
      </c>
      <c r="C63" s="52">
        <v>2</v>
      </c>
      <c r="D63" s="52">
        <v>2.76</v>
      </c>
      <c r="E63" s="52">
        <v>0.5</v>
      </c>
      <c r="F63" s="52">
        <v>0.23</v>
      </c>
      <c r="G63" s="62">
        <f t="shared" si="1"/>
        <v>0.63480000000000003</v>
      </c>
      <c r="H63" s="52"/>
      <c r="I63">
        <f t="shared" si="4"/>
        <v>0</v>
      </c>
    </row>
    <row r="64" spans="1:9" x14ac:dyDescent="0.25">
      <c r="A64" s="52"/>
      <c r="B64" s="52" t="s">
        <v>315</v>
      </c>
      <c r="C64" s="52">
        <v>2</v>
      </c>
      <c r="D64" s="52">
        <v>6.79</v>
      </c>
      <c r="E64" s="52">
        <v>0.45</v>
      </c>
      <c r="F64" s="52">
        <v>0.2</v>
      </c>
      <c r="G64" s="62">
        <f t="shared" si="1"/>
        <v>1.2222</v>
      </c>
      <c r="H64" s="52"/>
      <c r="I64">
        <f t="shared" si="4"/>
        <v>0</v>
      </c>
    </row>
    <row r="65" spans="1:9" x14ac:dyDescent="0.25">
      <c r="A65" s="52"/>
      <c r="B65" s="52" t="s">
        <v>316</v>
      </c>
      <c r="C65" s="52">
        <v>2</v>
      </c>
      <c r="D65" s="52">
        <v>2.41</v>
      </c>
      <c r="E65" s="52">
        <v>0.35</v>
      </c>
      <c r="F65" s="52">
        <v>0.2</v>
      </c>
      <c r="G65" s="62">
        <f t="shared" si="1"/>
        <v>0.33740000000000003</v>
      </c>
      <c r="H65" s="52"/>
      <c r="I65">
        <f t="shared" si="4"/>
        <v>0</v>
      </c>
    </row>
    <row r="66" spans="1:9" x14ac:dyDescent="0.25">
      <c r="A66" s="52"/>
      <c r="B66" s="52" t="s">
        <v>386</v>
      </c>
      <c r="C66" s="52">
        <v>2</v>
      </c>
      <c r="D66" s="52">
        <v>5.76</v>
      </c>
      <c r="E66" s="52">
        <v>0.45</v>
      </c>
      <c r="F66" s="52">
        <v>0.2</v>
      </c>
      <c r="G66" s="62">
        <f t="shared" si="1"/>
        <v>1.0368000000000002</v>
      </c>
      <c r="H66" s="52"/>
      <c r="I66">
        <f t="shared" si="4"/>
        <v>0</v>
      </c>
    </row>
    <row r="67" spans="1:9" x14ac:dyDescent="0.25">
      <c r="A67" s="52"/>
      <c r="B67" s="52" t="s">
        <v>317</v>
      </c>
      <c r="C67" s="52">
        <v>2</v>
      </c>
      <c r="D67" s="52">
        <v>2.2200000000000002</v>
      </c>
      <c r="E67" s="52">
        <v>0.45</v>
      </c>
      <c r="F67" s="52">
        <v>0.2</v>
      </c>
      <c r="G67" s="62">
        <f t="shared" si="1"/>
        <v>0.39960000000000007</v>
      </c>
      <c r="H67" s="52"/>
      <c r="I67">
        <f t="shared" si="4"/>
        <v>0</v>
      </c>
    </row>
    <row r="68" spans="1:9" x14ac:dyDescent="0.25">
      <c r="A68" s="52"/>
      <c r="B68" s="52" t="s">
        <v>318</v>
      </c>
      <c r="C68" s="52">
        <v>2</v>
      </c>
      <c r="D68" s="52">
        <v>5.63</v>
      </c>
      <c r="E68" s="52">
        <v>0.45</v>
      </c>
      <c r="F68" s="52">
        <v>0.2</v>
      </c>
      <c r="G68" s="62">
        <f t="shared" si="1"/>
        <v>1.0134000000000001</v>
      </c>
      <c r="H68" s="52"/>
      <c r="I68">
        <f t="shared" si="4"/>
        <v>0</v>
      </c>
    </row>
    <row r="69" spans="1:9" x14ac:dyDescent="0.25">
      <c r="A69" s="52"/>
      <c r="B69" s="52" t="s">
        <v>319</v>
      </c>
      <c r="C69" s="52">
        <v>2</v>
      </c>
      <c r="D69" s="52">
        <v>2.085</v>
      </c>
      <c r="E69" s="52">
        <v>0.5</v>
      </c>
      <c r="F69" s="52">
        <v>0.2</v>
      </c>
      <c r="G69" s="62">
        <f t="shared" si="1"/>
        <v>0.41700000000000004</v>
      </c>
      <c r="H69" s="52"/>
      <c r="I69">
        <f t="shared" si="4"/>
        <v>0</v>
      </c>
    </row>
    <row r="70" spans="1:9" x14ac:dyDescent="0.25">
      <c r="A70" s="52"/>
      <c r="B70" s="52" t="s">
        <v>331</v>
      </c>
      <c r="C70" s="52">
        <v>2</v>
      </c>
      <c r="D70" s="52">
        <v>1.5</v>
      </c>
      <c r="E70" s="52">
        <v>0.45</v>
      </c>
      <c r="F70" s="52">
        <v>0.2</v>
      </c>
      <c r="G70" s="62">
        <f t="shared" si="1"/>
        <v>0.27</v>
      </c>
      <c r="H70" s="52"/>
      <c r="I70">
        <f t="shared" si="4"/>
        <v>0</v>
      </c>
    </row>
    <row r="71" spans="1:9" x14ac:dyDescent="0.25">
      <c r="A71" s="52"/>
      <c r="B71" s="52" t="s">
        <v>320</v>
      </c>
      <c r="C71" s="52">
        <v>6</v>
      </c>
      <c r="D71" s="52">
        <v>4.72</v>
      </c>
      <c r="E71" s="52">
        <v>0.45</v>
      </c>
      <c r="F71" s="52">
        <v>0.2</v>
      </c>
      <c r="G71" s="62">
        <f>+PRODUCT(C71:F71)</f>
        <v>2.5488</v>
      </c>
      <c r="H71" s="52"/>
      <c r="I71">
        <f t="shared" si="4"/>
        <v>0</v>
      </c>
    </row>
    <row r="72" spans="1:9" x14ac:dyDescent="0.25">
      <c r="A72" s="52"/>
      <c r="B72" s="52" t="s">
        <v>320</v>
      </c>
      <c r="C72" s="52">
        <v>6</v>
      </c>
      <c r="D72" s="52">
        <v>3.2349999999999999</v>
      </c>
      <c r="E72" s="52">
        <v>0.45</v>
      </c>
      <c r="F72" s="52">
        <v>0.2</v>
      </c>
      <c r="G72" s="62">
        <f t="shared" si="1"/>
        <v>1.7469000000000001</v>
      </c>
      <c r="H72" s="52"/>
      <c r="I72">
        <f t="shared" si="4"/>
        <v>0</v>
      </c>
    </row>
    <row r="73" spans="1:9" x14ac:dyDescent="0.25">
      <c r="A73" s="52"/>
      <c r="B73" s="52" t="s">
        <v>332</v>
      </c>
      <c r="C73" s="52">
        <v>2</v>
      </c>
      <c r="D73" s="52">
        <v>5.63</v>
      </c>
      <c r="E73" s="52">
        <v>0.45</v>
      </c>
      <c r="F73" s="52">
        <v>0.2</v>
      </c>
      <c r="G73" s="62">
        <f t="shared" si="1"/>
        <v>1.0134000000000001</v>
      </c>
      <c r="H73" s="52"/>
      <c r="I73">
        <f t="shared" si="4"/>
        <v>0</v>
      </c>
    </row>
    <row r="74" spans="1:9" x14ac:dyDescent="0.25">
      <c r="A74" s="52"/>
      <c r="B74" s="52" t="s">
        <v>321</v>
      </c>
      <c r="C74" s="52">
        <v>6</v>
      </c>
      <c r="D74" s="52">
        <v>3.165</v>
      </c>
      <c r="E74" s="52">
        <v>0.5</v>
      </c>
      <c r="F74" s="52">
        <v>0.2</v>
      </c>
      <c r="G74" s="62">
        <f t="shared" si="1"/>
        <v>1.8990000000000002</v>
      </c>
      <c r="H74" s="52"/>
      <c r="I74">
        <f t="shared" si="4"/>
        <v>0</v>
      </c>
    </row>
    <row r="75" spans="1:9" x14ac:dyDescent="0.25">
      <c r="A75" s="52"/>
      <c r="B75" s="52" t="s">
        <v>357</v>
      </c>
      <c r="C75" s="52">
        <v>6</v>
      </c>
      <c r="D75" s="52">
        <v>2.58</v>
      </c>
      <c r="E75" s="52">
        <v>0.35</v>
      </c>
      <c r="F75" s="52">
        <v>0.2</v>
      </c>
      <c r="G75" s="62">
        <f t="shared" ref="G75:G106" si="5">+PRODUCT(C75:F75)</f>
        <v>1.0836000000000001</v>
      </c>
      <c r="H75" s="52"/>
      <c r="I75">
        <f t="shared" si="4"/>
        <v>0</v>
      </c>
    </row>
    <row r="76" spans="1:9" x14ac:dyDescent="0.25">
      <c r="A76" s="52"/>
      <c r="B76" s="52" t="s">
        <v>322</v>
      </c>
      <c r="C76" s="52">
        <v>2</v>
      </c>
      <c r="D76" s="52">
        <v>5.125</v>
      </c>
      <c r="E76" s="52">
        <v>0.45</v>
      </c>
      <c r="F76" s="52">
        <v>0.2</v>
      </c>
      <c r="G76" s="62">
        <f t="shared" si="5"/>
        <v>0.92249999999999999</v>
      </c>
      <c r="H76" s="52"/>
      <c r="I76">
        <f t="shared" ref="I76:I97" si="6">+IF(B76="BOTTOM",1,0)</f>
        <v>0</v>
      </c>
    </row>
    <row r="77" spans="1:9" x14ac:dyDescent="0.25">
      <c r="A77" s="52"/>
      <c r="B77" s="52" t="s">
        <v>323</v>
      </c>
      <c r="C77" s="52">
        <v>2</v>
      </c>
      <c r="D77" s="52">
        <v>5.1749999999999998</v>
      </c>
      <c r="E77" s="52">
        <v>0.45</v>
      </c>
      <c r="F77" s="52">
        <v>0.23</v>
      </c>
      <c r="G77" s="62">
        <f t="shared" si="5"/>
        <v>1.0712250000000001</v>
      </c>
      <c r="H77" s="52"/>
      <c r="I77">
        <f t="shared" si="6"/>
        <v>0</v>
      </c>
    </row>
    <row r="78" spans="1:9" x14ac:dyDescent="0.25">
      <c r="A78" s="52"/>
      <c r="B78" s="52" t="s">
        <v>324</v>
      </c>
      <c r="C78" s="52">
        <v>2</v>
      </c>
      <c r="D78" s="52">
        <v>3.95</v>
      </c>
      <c r="E78" s="52">
        <v>0.45</v>
      </c>
      <c r="F78" s="52">
        <v>0.2</v>
      </c>
      <c r="G78" s="62">
        <f t="shared" si="5"/>
        <v>0.71100000000000008</v>
      </c>
      <c r="H78" s="52"/>
      <c r="I78">
        <f t="shared" si="6"/>
        <v>0</v>
      </c>
    </row>
    <row r="79" spans="1:9" x14ac:dyDescent="0.25">
      <c r="A79" s="52"/>
      <c r="B79" s="52" t="s">
        <v>325</v>
      </c>
      <c r="C79" s="52">
        <v>2</v>
      </c>
      <c r="D79" s="52">
        <v>2.875</v>
      </c>
      <c r="E79" s="52">
        <v>0.5</v>
      </c>
      <c r="F79" s="52">
        <v>0.2</v>
      </c>
      <c r="G79" s="62">
        <f t="shared" si="5"/>
        <v>0.57500000000000007</v>
      </c>
      <c r="H79" s="52"/>
      <c r="I79">
        <f t="shared" si="6"/>
        <v>0</v>
      </c>
    </row>
    <row r="80" spans="1:9" x14ac:dyDescent="0.25">
      <c r="A80" s="52"/>
      <c r="B80" s="52" t="s">
        <v>326</v>
      </c>
      <c r="C80" s="52">
        <v>2</v>
      </c>
      <c r="D80" s="52">
        <v>2.93</v>
      </c>
      <c r="E80" s="52">
        <v>0.35</v>
      </c>
      <c r="F80" s="52">
        <v>0.2</v>
      </c>
      <c r="G80" s="62">
        <f t="shared" si="5"/>
        <v>0.41020000000000006</v>
      </c>
      <c r="H80" s="52"/>
      <c r="I80">
        <f t="shared" si="6"/>
        <v>0</v>
      </c>
    </row>
    <row r="81" spans="1:9" x14ac:dyDescent="0.25">
      <c r="A81" s="52"/>
      <c r="B81" s="52" t="s">
        <v>327</v>
      </c>
      <c r="C81" s="52">
        <v>2</v>
      </c>
      <c r="D81" s="52">
        <v>4.0049999999999999</v>
      </c>
      <c r="E81" s="52">
        <v>0.45</v>
      </c>
      <c r="F81" s="52">
        <v>0.23</v>
      </c>
      <c r="G81" s="62">
        <f t="shared" si="5"/>
        <v>0.82903499999999997</v>
      </c>
      <c r="H81" s="52"/>
      <c r="I81">
        <f t="shared" si="6"/>
        <v>0</v>
      </c>
    </row>
    <row r="82" spans="1:9" x14ac:dyDescent="0.25">
      <c r="A82" s="52"/>
      <c r="B82" s="52" t="s">
        <v>328</v>
      </c>
      <c r="C82" s="52">
        <v>2</v>
      </c>
      <c r="D82" s="52">
        <v>4.7349999999999994</v>
      </c>
      <c r="E82" s="52">
        <v>0.35</v>
      </c>
      <c r="F82" s="52">
        <v>0.2</v>
      </c>
      <c r="G82" s="62">
        <f t="shared" si="5"/>
        <v>0.66289999999999993</v>
      </c>
      <c r="H82" s="52"/>
      <c r="I82">
        <f t="shared" si="6"/>
        <v>0</v>
      </c>
    </row>
    <row r="83" spans="1:9" x14ac:dyDescent="0.25">
      <c r="A83" s="52"/>
      <c r="B83" s="52" t="s">
        <v>329</v>
      </c>
      <c r="C83" s="52">
        <v>4</v>
      </c>
      <c r="D83" s="52">
        <v>5.0999999999999996</v>
      </c>
      <c r="E83" s="52">
        <v>0.45</v>
      </c>
      <c r="F83" s="52">
        <v>0.2</v>
      </c>
      <c r="G83" s="62">
        <f t="shared" si="5"/>
        <v>1.8360000000000001</v>
      </c>
      <c r="H83" s="52"/>
      <c r="I83">
        <f t="shared" si="6"/>
        <v>0</v>
      </c>
    </row>
    <row r="84" spans="1:9" x14ac:dyDescent="0.25">
      <c r="A84" s="52"/>
      <c r="B84" s="52" t="s">
        <v>330</v>
      </c>
      <c r="C84" s="52">
        <v>4</v>
      </c>
      <c r="D84" s="52">
        <v>3.19</v>
      </c>
      <c r="E84" s="52">
        <v>0.5</v>
      </c>
      <c r="F84" s="52">
        <v>0.2</v>
      </c>
      <c r="G84" s="62">
        <f t="shared" si="5"/>
        <v>1.276</v>
      </c>
      <c r="H84" s="52"/>
      <c r="I84">
        <f t="shared" si="6"/>
        <v>0</v>
      </c>
    </row>
    <row r="85" spans="1:9" x14ac:dyDescent="0.25">
      <c r="A85" s="52"/>
      <c r="B85" s="52" t="s">
        <v>340</v>
      </c>
      <c r="C85" s="52">
        <v>6</v>
      </c>
      <c r="D85" s="52">
        <v>0.51500000000000001</v>
      </c>
      <c r="E85" s="52">
        <v>0.5</v>
      </c>
      <c r="F85" s="52">
        <v>0.23</v>
      </c>
      <c r="G85" s="62">
        <f t="shared" si="5"/>
        <v>0.35535</v>
      </c>
      <c r="H85" s="52"/>
      <c r="I85">
        <f t="shared" si="6"/>
        <v>0</v>
      </c>
    </row>
    <row r="86" spans="1:9" x14ac:dyDescent="0.25">
      <c r="A86" s="52"/>
      <c r="B86" s="52" t="s">
        <v>340</v>
      </c>
      <c r="C86" s="52">
        <v>6</v>
      </c>
      <c r="D86" s="52">
        <v>1.81</v>
      </c>
      <c r="E86" s="52">
        <v>0.5</v>
      </c>
      <c r="F86" s="52">
        <v>0.23</v>
      </c>
      <c r="G86" s="62">
        <f t="shared" si="5"/>
        <v>1.2488999999999999</v>
      </c>
      <c r="H86" s="52"/>
      <c r="I86">
        <f t="shared" si="6"/>
        <v>0</v>
      </c>
    </row>
    <row r="87" spans="1:9" x14ac:dyDescent="0.25">
      <c r="A87" s="52"/>
      <c r="B87" s="52" t="s">
        <v>341</v>
      </c>
      <c r="C87" s="52">
        <v>6</v>
      </c>
      <c r="D87" s="52">
        <v>3.55</v>
      </c>
      <c r="E87" s="52">
        <v>0.5</v>
      </c>
      <c r="F87" s="52">
        <v>0.2</v>
      </c>
      <c r="G87" s="62">
        <f t="shared" si="5"/>
        <v>2.13</v>
      </c>
      <c r="H87" s="52"/>
      <c r="I87">
        <f t="shared" si="6"/>
        <v>0</v>
      </c>
    </row>
    <row r="88" spans="1:9" x14ac:dyDescent="0.25">
      <c r="A88" s="52"/>
      <c r="B88" s="52" t="s">
        <v>342</v>
      </c>
      <c r="C88" s="52">
        <v>6</v>
      </c>
      <c r="D88" s="52">
        <v>3.86</v>
      </c>
      <c r="E88" s="52">
        <v>0.45</v>
      </c>
      <c r="F88" s="52">
        <v>0.2</v>
      </c>
      <c r="G88" s="62">
        <f t="shared" si="5"/>
        <v>2.0844</v>
      </c>
      <c r="H88" s="52"/>
      <c r="I88">
        <f t="shared" si="6"/>
        <v>0</v>
      </c>
    </row>
    <row r="89" spans="1:9" x14ac:dyDescent="0.25">
      <c r="A89" s="52"/>
      <c r="B89" s="52" t="s">
        <v>343</v>
      </c>
      <c r="C89" s="52">
        <v>6</v>
      </c>
      <c r="D89" s="52">
        <v>0.51500000000000001</v>
      </c>
      <c r="E89" s="52">
        <v>0.35</v>
      </c>
      <c r="F89" s="52">
        <v>0.1</v>
      </c>
      <c r="G89" s="62">
        <f t="shared" si="5"/>
        <v>0.10815</v>
      </c>
      <c r="H89" s="52"/>
      <c r="I89">
        <f t="shared" si="6"/>
        <v>0</v>
      </c>
    </row>
    <row r="90" spans="1:9" x14ac:dyDescent="0.25">
      <c r="A90" s="52"/>
      <c r="B90" s="52" t="s">
        <v>344</v>
      </c>
      <c r="C90" s="52">
        <v>6</v>
      </c>
      <c r="D90" s="52">
        <v>3.45</v>
      </c>
      <c r="E90" s="52">
        <v>0.45</v>
      </c>
      <c r="F90" s="52">
        <v>0.2</v>
      </c>
      <c r="G90" s="62">
        <f t="shared" si="5"/>
        <v>1.8630000000000004</v>
      </c>
      <c r="H90" s="52"/>
      <c r="I90">
        <f t="shared" si="6"/>
        <v>0</v>
      </c>
    </row>
    <row r="91" spans="1:9" x14ac:dyDescent="0.25">
      <c r="A91" s="52"/>
      <c r="B91" s="52" t="s">
        <v>345</v>
      </c>
      <c r="C91" s="52">
        <v>6</v>
      </c>
      <c r="D91" s="52">
        <v>2.91</v>
      </c>
      <c r="E91" s="52">
        <v>0.45</v>
      </c>
      <c r="F91" s="52">
        <v>0.2</v>
      </c>
      <c r="G91" s="62">
        <f t="shared" si="5"/>
        <v>1.5714000000000001</v>
      </c>
      <c r="H91" s="52"/>
      <c r="I91">
        <f t="shared" si="6"/>
        <v>0</v>
      </c>
    </row>
    <row r="92" spans="1:9" x14ac:dyDescent="0.25">
      <c r="A92" s="52"/>
      <c r="B92" s="52" t="s">
        <v>346</v>
      </c>
      <c r="C92" s="52">
        <v>6</v>
      </c>
      <c r="D92" s="52">
        <v>3.55</v>
      </c>
      <c r="E92" s="52">
        <v>0.35</v>
      </c>
      <c r="F92" s="52">
        <v>0.23</v>
      </c>
      <c r="G92" s="62">
        <f t="shared" si="5"/>
        <v>1.7146499999999998</v>
      </c>
      <c r="H92" s="52"/>
      <c r="I92">
        <f t="shared" si="6"/>
        <v>0</v>
      </c>
    </row>
    <row r="93" spans="1:9" x14ac:dyDescent="0.25">
      <c r="A93" s="52"/>
      <c r="B93" s="52" t="s">
        <v>347</v>
      </c>
      <c r="C93" s="52">
        <v>4</v>
      </c>
      <c r="D93" s="52">
        <v>3</v>
      </c>
      <c r="E93" s="52">
        <v>0.45</v>
      </c>
      <c r="F93" s="52">
        <v>0.2</v>
      </c>
      <c r="G93" s="62">
        <f t="shared" si="5"/>
        <v>1.08</v>
      </c>
      <c r="H93" s="52"/>
      <c r="I93">
        <f t="shared" si="6"/>
        <v>0</v>
      </c>
    </row>
    <row r="94" spans="1:9" x14ac:dyDescent="0.25">
      <c r="A94" s="52"/>
      <c r="B94" s="52" t="s">
        <v>348</v>
      </c>
      <c r="C94" s="52">
        <v>2</v>
      </c>
      <c r="D94" s="52">
        <v>4.13</v>
      </c>
      <c r="E94" s="52">
        <v>0.35</v>
      </c>
      <c r="F94" s="52">
        <v>0.2</v>
      </c>
      <c r="G94" s="62">
        <f t="shared" si="5"/>
        <v>0.57819999999999994</v>
      </c>
      <c r="H94" s="52"/>
      <c r="I94">
        <f t="shared" si="6"/>
        <v>0</v>
      </c>
    </row>
    <row r="95" spans="1:9" x14ac:dyDescent="0.25">
      <c r="A95" s="52"/>
      <c r="B95" s="52" t="s">
        <v>349</v>
      </c>
      <c r="C95" s="52">
        <v>6</v>
      </c>
      <c r="D95" s="52">
        <v>3.31</v>
      </c>
      <c r="E95" s="52">
        <v>0.5</v>
      </c>
      <c r="F95" s="52">
        <v>0.2</v>
      </c>
      <c r="G95" s="62">
        <f t="shared" si="5"/>
        <v>1.986</v>
      </c>
      <c r="H95" s="52"/>
      <c r="I95">
        <f t="shared" si="6"/>
        <v>0</v>
      </c>
    </row>
    <row r="96" spans="1:9" x14ac:dyDescent="0.25">
      <c r="A96" s="52"/>
      <c r="B96" s="52" t="s">
        <v>350</v>
      </c>
      <c r="C96" s="52">
        <v>4</v>
      </c>
      <c r="D96" s="52">
        <v>2.1949999999999998</v>
      </c>
      <c r="E96" s="52">
        <v>0.45</v>
      </c>
      <c r="F96" s="52">
        <v>0.2</v>
      </c>
      <c r="G96" s="62">
        <f t="shared" si="5"/>
        <v>0.79020000000000001</v>
      </c>
      <c r="H96" s="52"/>
      <c r="I96">
        <f t="shared" si="6"/>
        <v>0</v>
      </c>
    </row>
    <row r="97" spans="1:9" x14ac:dyDescent="0.25">
      <c r="A97" s="52"/>
      <c r="B97" s="52" t="s">
        <v>351</v>
      </c>
      <c r="C97" s="52">
        <v>2</v>
      </c>
      <c r="D97" s="52">
        <v>5.2450000000000001</v>
      </c>
      <c r="E97" s="52">
        <v>0.45</v>
      </c>
      <c r="F97" s="52">
        <v>0.2</v>
      </c>
      <c r="G97" s="62">
        <f t="shared" si="5"/>
        <v>0.94410000000000016</v>
      </c>
      <c r="H97" s="52"/>
      <c r="I97">
        <f t="shared" si="6"/>
        <v>0</v>
      </c>
    </row>
    <row r="98" spans="1:9" x14ac:dyDescent="0.25">
      <c r="A98" s="52"/>
      <c r="B98" s="52" t="s">
        <v>352</v>
      </c>
      <c r="C98" s="52">
        <v>2</v>
      </c>
      <c r="D98" s="52">
        <v>3</v>
      </c>
      <c r="E98" s="52">
        <v>0.45</v>
      </c>
      <c r="F98" s="52">
        <v>0.2</v>
      </c>
      <c r="G98" s="62">
        <f t="shared" si="5"/>
        <v>0.54</v>
      </c>
      <c r="H98" s="52"/>
      <c r="I98">
        <f t="shared" ref="I98:I119" si="7">+IF(B98="BOTTOM",1,0)</f>
        <v>0</v>
      </c>
    </row>
    <row r="99" spans="1:9" x14ac:dyDescent="0.25">
      <c r="A99" s="52"/>
      <c r="B99" s="52" t="s">
        <v>353</v>
      </c>
      <c r="C99" s="52">
        <v>2</v>
      </c>
      <c r="D99" s="52">
        <v>1.95</v>
      </c>
      <c r="E99" s="52">
        <v>0.35</v>
      </c>
      <c r="F99" s="52">
        <v>0.2</v>
      </c>
      <c r="G99" s="62">
        <f t="shared" si="5"/>
        <v>0.27300000000000002</v>
      </c>
      <c r="H99" s="52"/>
      <c r="I99">
        <f t="shared" si="7"/>
        <v>0</v>
      </c>
    </row>
    <row r="100" spans="1:9" x14ac:dyDescent="0.25">
      <c r="A100" s="52"/>
      <c r="B100" s="52" t="s">
        <v>354</v>
      </c>
      <c r="C100" s="52">
        <v>2</v>
      </c>
      <c r="D100" s="52">
        <v>2.23</v>
      </c>
      <c r="E100" s="52">
        <v>0.45</v>
      </c>
      <c r="F100" s="52">
        <v>0.2</v>
      </c>
      <c r="G100" s="62">
        <f t="shared" si="5"/>
        <v>0.40140000000000003</v>
      </c>
      <c r="H100" s="52"/>
      <c r="I100">
        <f t="shared" si="7"/>
        <v>0</v>
      </c>
    </row>
    <row r="101" spans="1:9" x14ac:dyDescent="0.25">
      <c r="A101" s="52"/>
      <c r="B101" s="52" t="s">
        <v>355</v>
      </c>
      <c r="C101" s="52">
        <v>2</v>
      </c>
      <c r="D101" s="52">
        <v>5.1449999999999996</v>
      </c>
      <c r="E101" s="52">
        <v>0.5</v>
      </c>
      <c r="F101" s="52">
        <v>0.2</v>
      </c>
      <c r="G101" s="62">
        <f t="shared" si="5"/>
        <v>1.0289999999999999</v>
      </c>
      <c r="H101" s="52"/>
      <c r="I101">
        <f t="shared" si="7"/>
        <v>0</v>
      </c>
    </row>
    <row r="102" spans="1:9" x14ac:dyDescent="0.25">
      <c r="A102" s="52"/>
      <c r="B102" s="52" t="s">
        <v>356</v>
      </c>
      <c r="C102" s="52">
        <v>2</v>
      </c>
      <c r="D102" s="52">
        <v>3.8</v>
      </c>
      <c r="E102" s="52">
        <v>0.5</v>
      </c>
      <c r="F102" s="52">
        <v>0.2</v>
      </c>
      <c r="G102" s="62">
        <f t="shared" si="5"/>
        <v>0.76</v>
      </c>
      <c r="H102" s="52"/>
      <c r="I102">
        <f t="shared" si="7"/>
        <v>0</v>
      </c>
    </row>
    <row r="103" spans="1:9" x14ac:dyDescent="0.25">
      <c r="A103" s="52"/>
      <c r="B103" s="52" t="s">
        <v>358</v>
      </c>
      <c r="C103" s="52">
        <v>2</v>
      </c>
      <c r="D103" s="52">
        <v>2.95</v>
      </c>
      <c r="E103" s="52">
        <v>0.5</v>
      </c>
      <c r="F103" s="52">
        <v>0.2</v>
      </c>
      <c r="G103" s="62">
        <f t="shared" si="5"/>
        <v>0.59000000000000008</v>
      </c>
      <c r="H103" s="52"/>
      <c r="I103">
        <f t="shared" si="7"/>
        <v>0</v>
      </c>
    </row>
    <row r="104" spans="1:9" x14ac:dyDescent="0.25">
      <c r="A104" s="52"/>
      <c r="B104" s="52" t="s">
        <v>359</v>
      </c>
      <c r="C104" s="52">
        <v>2</v>
      </c>
      <c r="D104" s="52">
        <v>4.55</v>
      </c>
      <c r="E104" s="52">
        <v>0.45</v>
      </c>
      <c r="F104" s="52">
        <v>0.2</v>
      </c>
      <c r="G104" s="62">
        <f t="shared" si="5"/>
        <v>0.81899999999999995</v>
      </c>
      <c r="H104" s="52"/>
      <c r="I104">
        <f t="shared" si="7"/>
        <v>0</v>
      </c>
    </row>
    <row r="105" spans="1:9" x14ac:dyDescent="0.25">
      <c r="A105" s="52"/>
      <c r="B105" s="52" t="s">
        <v>360</v>
      </c>
      <c r="C105" s="52">
        <v>2</v>
      </c>
      <c r="D105" s="52">
        <v>2.5</v>
      </c>
      <c r="E105" s="52">
        <v>0.45</v>
      </c>
      <c r="F105" s="52">
        <v>0.2</v>
      </c>
      <c r="G105" s="62">
        <f t="shared" si="5"/>
        <v>0.45</v>
      </c>
      <c r="H105" s="52"/>
      <c r="I105">
        <f t="shared" si="7"/>
        <v>0</v>
      </c>
    </row>
    <row r="106" spans="1:9" x14ac:dyDescent="0.25">
      <c r="A106" s="52"/>
      <c r="B106" s="52" t="s">
        <v>361</v>
      </c>
      <c r="C106" s="52">
        <v>2</v>
      </c>
      <c r="D106" s="52">
        <v>3.05</v>
      </c>
      <c r="E106" s="52">
        <v>0.5</v>
      </c>
      <c r="F106" s="52">
        <v>0.2</v>
      </c>
      <c r="G106" s="62">
        <f t="shared" si="5"/>
        <v>0.61</v>
      </c>
      <c r="H106" s="52"/>
      <c r="I106">
        <f t="shared" si="7"/>
        <v>0</v>
      </c>
    </row>
    <row r="107" spans="1:9" x14ac:dyDescent="0.25">
      <c r="A107" s="52"/>
      <c r="B107" s="52" t="s">
        <v>362</v>
      </c>
      <c r="C107" s="52">
        <v>2</v>
      </c>
      <c r="D107" s="52">
        <v>3.1150000000000002</v>
      </c>
      <c r="E107" s="52">
        <v>0.45</v>
      </c>
      <c r="F107" s="52">
        <v>0.23</v>
      </c>
      <c r="G107" s="62">
        <f t="shared" ref="G107:G164" si="8">+PRODUCT(C107:F107)</f>
        <v>0.64480500000000007</v>
      </c>
      <c r="H107" s="52"/>
      <c r="I107">
        <f t="shared" si="7"/>
        <v>0</v>
      </c>
    </row>
    <row r="108" spans="1:9" x14ac:dyDescent="0.25">
      <c r="A108" s="52"/>
      <c r="B108" s="52" t="s">
        <v>363</v>
      </c>
      <c r="C108" s="52">
        <v>2</v>
      </c>
      <c r="D108" s="52">
        <v>2.3450000000000002</v>
      </c>
      <c r="E108" s="52">
        <v>0.35</v>
      </c>
      <c r="F108" s="52">
        <v>0.2</v>
      </c>
      <c r="G108" s="62">
        <f t="shared" si="8"/>
        <v>0.32830000000000004</v>
      </c>
      <c r="H108" s="52"/>
      <c r="I108">
        <f t="shared" si="7"/>
        <v>0</v>
      </c>
    </row>
    <row r="109" spans="1:9" x14ac:dyDescent="0.25">
      <c r="A109" s="52"/>
      <c r="B109" s="52" t="s">
        <v>364</v>
      </c>
      <c r="C109" s="52">
        <v>2</v>
      </c>
      <c r="D109" s="52">
        <v>3.2</v>
      </c>
      <c r="E109" s="52">
        <v>0.5</v>
      </c>
      <c r="F109" s="52">
        <v>0.23</v>
      </c>
      <c r="G109" s="62">
        <f t="shared" si="8"/>
        <v>0.7360000000000001</v>
      </c>
      <c r="H109" s="52"/>
      <c r="I109">
        <f t="shared" si="7"/>
        <v>0</v>
      </c>
    </row>
    <row r="110" spans="1:9" x14ac:dyDescent="0.25">
      <c r="A110" s="52"/>
      <c r="B110" s="52" t="s">
        <v>365</v>
      </c>
      <c r="C110" s="52">
        <v>4</v>
      </c>
      <c r="D110" s="52">
        <v>0.35</v>
      </c>
      <c r="E110" s="52">
        <v>0.45</v>
      </c>
      <c r="F110" s="52">
        <v>0.2</v>
      </c>
      <c r="G110" s="62">
        <f t="shared" si="8"/>
        <v>0.126</v>
      </c>
      <c r="H110" s="52"/>
      <c r="I110">
        <f t="shared" si="7"/>
        <v>0</v>
      </c>
    </row>
    <row r="111" spans="1:9" x14ac:dyDescent="0.25">
      <c r="A111" s="52"/>
      <c r="B111" s="52" t="s">
        <v>366</v>
      </c>
      <c r="C111" s="52">
        <v>2</v>
      </c>
      <c r="D111" s="52">
        <v>1.81</v>
      </c>
      <c r="E111" s="52">
        <v>0.45</v>
      </c>
      <c r="F111" s="52">
        <v>0.2</v>
      </c>
      <c r="G111" s="62">
        <f t="shared" si="8"/>
        <v>0.32580000000000003</v>
      </c>
      <c r="H111" s="52"/>
      <c r="I111">
        <f t="shared" si="7"/>
        <v>0</v>
      </c>
    </row>
    <row r="112" spans="1:9" x14ac:dyDescent="0.25">
      <c r="A112" s="52"/>
      <c r="B112" s="52" t="s">
        <v>368</v>
      </c>
      <c r="C112" s="52">
        <v>2</v>
      </c>
      <c r="D112" s="52">
        <v>3.2</v>
      </c>
      <c r="E112" s="52">
        <v>0.45</v>
      </c>
      <c r="F112" s="52">
        <v>0.23</v>
      </c>
      <c r="G112" s="62">
        <f t="shared" si="8"/>
        <v>0.6624000000000001</v>
      </c>
      <c r="H112" s="52"/>
      <c r="I112">
        <f t="shared" si="7"/>
        <v>0</v>
      </c>
    </row>
    <row r="113" spans="1:11" x14ac:dyDescent="0.25">
      <c r="A113" s="52"/>
      <c r="B113" s="52" t="s">
        <v>367</v>
      </c>
      <c r="C113" s="52">
        <v>2</v>
      </c>
      <c r="D113" s="52">
        <v>2.3450000000000002</v>
      </c>
      <c r="E113" s="52">
        <v>0.45</v>
      </c>
      <c r="F113" s="52">
        <v>0.2</v>
      </c>
      <c r="G113" s="62">
        <f t="shared" ref="G113" si="9">+PRODUCT(C113:F113)</f>
        <v>0.42210000000000003</v>
      </c>
      <c r="H113" s="52"/>
      <c r="I113">
        <f t="shared" si="7"/>
        <v>0</v>
      </c>
    </row>
    <row r="114" spans="1:11" x14ac:dyDescent="0.25">
      <c r="A114" s="52"/>
      <c r="B114" s="52" t="s">
        <v>369</v>
      </c>
      <c r="C114" s="52">
        <v>2</v>
      </c>
      <c r="D114" s="52">
        <v>3.43</v>
      </c>
      <c r="E114" s="52">
        <v>0.45</v>
      </c>
      <c r="F114" s="52">
        <v>0.23</v>
      </c>
      <c r="G114" s="62">
        <f t="shared" si="8"/>
        <v>0.71001000000000003</v>
      </c>
      <c r="H114" s="52"/>
      <c r="I114">
        <f t="shared" si="7"/>
        <v>0</v>
      </c>
    </row>
    <row r="115" spans="1:11" x14ac:dyDescent="0.25">
      <c r="A115" s="52"/>
      <c r="B115" s="52" t="s">
        <v>370</v>
      </c>
      <c r="C115" s="52">
        <v>2</v>
      </c>
      <c r="D115" s="52">
        <v>3.43</v>
      </c>
      <c r="E115" s="52">
        <v>0.45</v>
      </c>
      <c r="F115" s="52">
        <v>0.2</v>
      </c>
      <c r="G115" s="62">
        <f t="shared" si="8"/>
        <v>0.61740000000000006</v>
      </c>
      <c r="H115" s="52"/>
      <c r="I115">
        <f t="shared" si="7"/>
        <v>0</v>
      </c>
    </row>
    <row r="116" spans="1:11" x14ac:dyDescent="0.25">
      <c r="A116" s="52"/>
      <c r="B116" s="52" t="s">
        <v>370</v>
      </c>
      <c r="C116" s="52">
        <v>2</v>
      </c>
      <c r="D116" s="52">
        <v>1.99</v>
      </c>
      <c r="E116" s="52">
        <v>0.45</v>
      </c>
      <c r="F116" s="52">
        <v>0.2</v>
      </c>
      <c r="G116" s="62">
        <f t="shared" si="8"/>
        <v>0.35820000000000002</v>
      </c>
      <c r="H116" s="52"/>
      <c r="I116">
        <f t="shared" si="7"/>
        <v>0</v>
      </c>
    </row>
    <row r="117" spans="1:11" x14ac:dyDescent="0.25">
      <c r="A117" s="52"/>
      <c r="B117" s="52" t="s">
        <v>371</v>
      </c>
      <c r="C117" s="52">
        <v>2</v>
      </c>
      <c r="D117" s="52">
        <v>2.2250000000000001</v>
      </c>
      <c r="E117" s="52">
        <v>0.5</v>
      </c>
      <c r="F117" s="52">
        <v>0.2</v>
      </c>
      <c r="G117" s="62">
        <f t="shared" si="8"/>
        <v>0.44500000000000006</v>
      </c>
      <c r="H117" s="52"/>
      <c r="I117">
        <f t="shared" si="7"/>
        <v>0</v>
      </c>
    </row>
    <row r="118" spans="1:11" x14ac:dyDescent="0.25">
      <c r="A118" s="52"/>
      <c r="B118" s="52" t="s">
        <v>372</v>
      </c>
      <c r="C118" s="52">
        <v>2</v>
      </c>
      <c r="D118" s="52">
        <v>3.14</v>
      </c>
      <c r="E118" s="52">
        <v>0.45</v>
      </c>
      <c r="F118" s="52">
        <v>0.2</v>
      </c>
      <c r="G118" s="62">
        <f t="shared" si="8"/>
        <v>0.56520000000000004</v>
      </c>
      <c r="H118" s="52"/>
      <c r="I118">
        <f t="shared" si="7"/>
        <v>0</v>
      </c>
    </row>
    <row r="119" spans="1:11" x14ac:dyDescent="0.25">
      <c r="A119" s="52"/>
      <c r="B119" s="52" t="s">
        <v>373</v>
      </c>
      <c r="C119" s="52">
        <v>4</v>
      </c>
      <c r="D119" s="52">
        <v>3.06</v>
      </c>
      <c r="E119" s="52">
        <v>0.45</v>
      </c>
      <c r="F119" s="52">
        <v>0.2</v>
      </c>
      <c r="G119" s="62">
        <f t="shared" si="8"/>
        <v>1.1016000000000001</v>
      </c>
      <c r="H119" s="52"/>
      <c r="I119">
        <f t="shared" si="7"/>
        <v>0</v>
      </c>
    </row>
    <row r="120" spans="1:11" x14ac:dyDescent="0.25">
      <c r="A120" s="52"/>
      <c r="B120" s="52" t="s">
        <v>374</v>
      </c>
      <c r="C120" s="52">
        <v>4</v>
      </c>
      <c r="D120" s="52">
        <v>3.05</v>
      </c>
      <c r="E120" s="52">
        <v>0.35</v>
      </c>
      <c r="F120" s="52">
        <v>0.2</v>
      </c>
      <c r="G120" s="62">
        <f t="shared" si="8"/>
        <v>0.85399999999999998</v>
      </c>
      <c r="H120" s="52"/>
      <c r="I120">
        <f t="shared" ref="I120:I127" si="10">+IF(B120="BOTTOM",1,0)</f>
        <v>0</v>
      </c>
    </row>
    <row r="121" spans="1:11" x14ac:dyDescent="0.25">
      <c r="A121" s="52"/>
      <c r="B121" s="52" t="s">
        <v>375</v>
      </c>
      <c r="C121" s="52">
        <v>4</v>
      </c>
      <c r="D121" s="52">
        <v>3.3849999999999998</v>
      </c>
      <c r="E121" s="52">
        <v>0.45</v>
      </c>
      <c r="F121" s="52">
        <v>0.2</v>
      </c>
      <c r="G121" s="62">
        <f t="shared" si="8"/>
        <v>1.2186000000000001</v>
      </c>
      <c r="H121" s="52"/>
      <c r="I121">
        <f t="shared" si="10"/>
        <v>0</v>
      </c>
    </row>
    <row r="122" spans="1:11" x14ac:dyDescent="0.25">
      <c r="A122" s="52"/>
      <c r="B122" s="52" t="s">
        <v>376</v>
      </c>
      <c r="C122" s="52">
        <v>4</v>
      </c>
      <c r="D122" s="52">
        <v>4.95</v>
      </c>
      <c r="E122" s="52">
        <v>0.45</v>
      </c>
      <c r="F122" s="52">
        <v>0.2</v>
      </c>
      <c r="G122" s="62">
        <f t="shared" si="8"/>
        <v>1.782</v>
      </c>
      <c r="H122" s="52"/>
      <c r="I122">
        <f t="shared" si="10"/>
        <v>0</v>
      </c>
    </row>
    <row r="123" spans="1:11" x14ac:dyDescent="0.25">
      <c r="A123" s="52"/>
      <c r="B123" s="52" t="s">
        <v>377</v>
      </c>
      <c r="C123" s="52">
        <v>4</v>
      </c>
      <c r="D123" s="52">
        <v>1.385</v>
      </c>
      <c r="E123" s="52">
        <v>0.35</v>
      </c>
      <c r="F123" s="52">
        <v>0.23</v>
      </c>
      <c r="G123" s="62">
        <f t="shared" si="8"/>
        <v>0.44596999999999998</v>
      </c>
      <c r="H123" s="52"/>
      <c r="I123">
        <f t="shared" si="10"/>
        <v>0</v>
      </c>
    </row>
    <row r="124" spans="1:11" x14ac:dyDescent="0.25">
      <c r="A124" s="52"/>
      <c r="B124" s="52" t="s">
        <v>378</v>
      </c>
      <c r="C124" s="52">
        <v>4</v>
      </c>
      <c r="D124" s="52">
        <v>3.06</v>
      </c>
      <c r="E124" s="52">
        <v>0.45</v>
      </c>
      <c r="F124" s="52">
        <v>0.2</v>
      </c>
      <c r="G124" s="62">
        <f t="shared" si="8"/>
        <v>1.1016000000000001</v>
      </c>
      <c r="H124" s="52"/>
      <c r="I124">
        <f t="shared" si="10"/>
        <v>0</v>
      </c>
    </row>
    <row r="125" spans="1:11" x14ac:dyDescent="0.25">
      <c r="A125" s="52"/>
      <c r="B125" s="52" t="s">
        <v>378</v>
      </c>
      <c r="C125" s="52">
        <v>4</v>
      </c>
      <c r="D125" s="52">
        <v>1.7</v>
      </c>
      <c r="E125" s="52">
        <v>0.45</v>
      </c>
      <c r="F125" s="52">
        <v>0.2</v>
      </c>
      <c r="G125" s="62">
        <f t="shared" si="8"/>
        <v>0.6120000000000001</v>
      </c>
      <c r="H125" s="52"/>
      <c r="I125">
        <f t="shared" si="10"/>
        <v>0</v>
      </c>
    </row>
    <row r="126" spans="1:11" x14ac:dyDescent="0.25">
      <c r="A126" s="52"/>
      <c r="B126" s="52" t="s">
        <v>379</v>
      </c>
      <c r="C126" s="52">
        <v>2</v>
      </c>
      <c r="D126" s="52">
        <v>3.2</v>
      </c>
      <c r="E126" s="52">
        <v>0.35</v>
      </c>
      <c r="F126" s="52">
        <v>0.2</v>
      </c>
      <c r="G126" s="62">
        <f t="shared" si="8"/>
        <v>0.44799999999999995</v>
      </c>
      <c r="H126" s="52"/>
      <c r="I126">
        <f t="shared" si="10"/>
        <v>0</v>
      </c>
    </row>
    <row r="127" spans="1:11" x14ac:dyDescent="0.25">
      <c r="A127" s="52"/>
      <c r="B127" s="52" t="s">
        <v>380</v>
      </c>
      <c r="C127" s="52">
        <v>2</v>
      </c>
      <c r="D127" s="52">
        <v>5.28</v>
      </c>
      <c r="E127" s="52">
        <v>0.45</v>
      </c>
      <c r="F127" s="52">
        <v>0.2</v>
      </c>
      <c r="G127" s="62">
        <f t="shared" si="8"/>
        <v>0.95040000000000013</v>
      </c>
      <c r="H127" s="52"/>
      <c r="I127">
        <f t="shared" si="10"/>
        <v>0</v>
      </c>
    </row>
    <row r="128" spans="1:11" x14ac:dyDescent="0.25">
      <c r="A128" s="52"/>
      <c r="B128" s="52"/>
      <c r="C128" s="52"/>
      <c r="D128" s="52"/>
      <c r="E128" s="52"/>
      <c r="F128" s="52"/>
      <c r="G128" s="65">
        <f>SUM(G32:G127)</f>
        <v>77.838645</v>
      </c>
      <c r="H128" s="65"/>
      <c r="I128">
        <f>+SUMIFS(G32:G127,B32:B127,"BOTTOM")</f>
        <v>0</v>
      </c>
      <c r="J128" s="63">
        <f>+I128/0.2</f>
        <v>0</v>
      </c>
      <c r="K128" s="70"/>
    </row>
    <row r="129" spans="1:8" x14ac:dyDescent="0.25">
      <c r="A129" s="52"/>
      <c r="B129" s="56" t="s">
        <v>381</v>
      </c>
      <c r="C129" s="52"/>
      <c r="D129" s="52"/>
      <c r="E129" s="52"/>
      <c r="F129" s="52"/>
      <c r="G129" s="62"/>
      <c r="H129" s="52"/>
    </row>
    <row r="130" spans="1:8" x14ac:dyDescent="0.25">
      <c r="A130" s="52"/>
      <c r="B130" s="56" t="s">
        <v>414</v>
      </c>
      <c r="C130" s="52"/>
      <c r="D130" s="52"/>
      <c r="E130" s="52"/>
      <c r="F130" s="52"/>
      <c r="G130" s="62"/>
      <c r="H130" s="52"/>
    </row>
    <row r="131" spans="1:8" x14ac:dyDescent="0.25">
      <c r="A131" s="52"/>
      <c r="B131" s="52" t="s">
        <v>402</v>
      </c>
      <c r="C131" s="52">
        <v>1</v>
      </c>
      <c r="D131" s="52">
        <v>3.5750000000000002</v>
      </c>
      <c r="E131" s="52">
        <v>3.55</v>
      </c>
      <c r="F131" s="52">
        <v>0.125</v>
      </c>
      <c r="G131" s="62">
        <f t="shared" si="8"/>
        <v>1.58640625</v>
      </c>
      <c r="H131" s="52"/>
    </row>
    <row r="132" spans="1:8" x14ac:dyDescent="0.25">
      <c r="A132" s="52"/>
      <c r="B132" s="52" t="s">
        <v>382</v>
      </c>
      <c r="C132" s="52">
        <v>-1</v>
      </c>
      <c r="D132" s="52">
        <v>0.4</v>
      </c>
      <c r="E132" s="52">
        <v>0.1</v>
      </c>
      <c r="F132" s="52">
        <v>0.125</v>
      </c>
      <c r="G132" s="62">
        <f t="shared" si="8"/>
        <v>-5.000000000000001E-3</v>
      </c>
      <c r="H132" s="52"/>
    </row>
    <row r="133" spans="1:8" x14ac:dyDescent="0.25">
      <c r="A133" s="52"/>
      <c r="B133" s="52" t="s">
        <v>389</v>
      </c>
      <c r="C133" s="52">
        <v>-1</v>
      </c>
      <c r="D133" s="52">
        <f>1.42+0.42</f>
        <v>1.8399999999999999</v>
      </c>
      <c r="E133" s="52">
        <v>0.03</v>
      </c>
      <c r="F133" s="52">
        <v>0.125</v>
      </c>
      <c r="G133" s="62">
        <f t="shared" si="8"/>
        <v>-6.899999999999999E-3</v>
      </c>
      <c r="H133" s="52"/>
    </row>
    <row r="134" spans="1:8" x14ac:dyDescent="0.25">
      <c r="A134" s="52"/>
      <c r="B134" s="52" t="s">
        <v>387</v>
      </c>
      <c r="C134" s="52">
        <v>1</v>
      </c>
      <c r="D134" s="52">
        <v>3.55</v>
      </c>
      <c r="E134" s="52">
        <v>3.2</v>
      </c>
      <c r="F134" s="52">
        <v>0.125</v>
      </c>
      <c r="G134" s="62">
        <f t="shared" si="8"/>
        <v>1.42</v>
      </c>
      <c r="H134" s="52"/>
    </row>
    <row r="135" spans="1:8" x14ac:dyDescent="0.25">
      <c r="A135" s="52"/>
      <c r="B135" s="52" t="s">
        <v>382</v>
      </c>
      <c r="C135" s="52">
        <v>-2</v>
      </c>
      <c r="D135" s="52">
        <v>0.4</v>
      </c>
      <c r="E135" s="52">
        <v>0.1</v>
      </c>
      <c r="F135" s="52">
        <v>0.125</v>
      </c>
      <c r="G135" s="62">
        <f t="shared" si="8"/>
        <v>-1.0000000000000002E-2</v>
      </c>
      <c r="H135" s="52"/>
    </row>
    <row r="136" spans="1:8" x14ac:dyDescent="0.25">
      <c r="A136" s="52"/>
      <c r="B136" s="52" t="s">
        <v>388</v>
      </c>
      <c r="C136" s="52">
        <v>1</v>
      </c>
      <c r="D136" s="52">
        <v>3.145</v>
      </c>
      <c r="E136" s="52">
        <v>3.05</v>
      </c>
      <c r="F136" s="52">
        <v>0.125</v>
      </c>
      <c r="G136" s="62">
        <f t="shared" si="8"/>
        <v>1.19903125</v>
      </c>
      <c r="H136" s="52"/>
    </row>
    <row r="137" spans="1:8" x14ac:dyDescent="0.25">
      <c r="A137" s="52"/>
      <c r="B137" s="52"/>
      <c r="C137" s="52">
        <v>1</v>
      </c>
      <c r="D137" s="52">
        <v>0.9</v>
      </c>
      <c r="E137" s="52">
        <v>0.4</v>
      </c>
      <c r="F137" s="52">
        <v>0.125</v>
      </c>
      <c r="G137" s="62">
        <f t="shared" si="8"/>
        <v>4.5000000000000005E-2</v>
      </c>
      <c r="H137" s="52"/>
    </row>
    <row r="138" spans="1:8" x14ac:dyDescent="0.25">
      <c r="A138" s="52"/>
      <c r="B138" s="52" t="s">
        <v>390</v>
      </c>
      <c r="C138" s="52">
        <v>1</v>
      </c>
      <c r="D138" s="52">
        <v>1.165</v>
      </c>
      <c r="E138" s="52">
        <v>0.51500000000000001</v>
      </c>
      <c r="F138" s="52">
        <v>0.125</v>
      </c>
      <c r="G138" s="62">
        <f t="shared" si="8"/>
        <v>7.4996875000000005E-2</v>
      </c>
      <c r="H138" s="52"/>
    </row>
    <row r="139" spans="1:8" x14ac:dyDescent="0.25">
      <c r="A139" s="52"/>
      <c r="B139" s="52" t="s">
        <v>389</v>
      </c>
      <c r="C139" s="52">
        <v>-1</v>
      </c>
      <c r="D139" s="52">
        <v>0.95</v>
      </c>
      <c r="E139" s="52">
        <v>0.03</v>
      </c>
      <c r="F139" s="52">
        <v>0.125</v>
      </c>
      <c r="G139" s="62">
        <f t="shared" si="8"/>
        <v>-3.5624999999999997E-3</v>
      </c>
      <c r="H139" s="52"/>
    </row>
    <row r="140" spans="1:8" x14ac:dyDescent="0.25">
      <c r="A140" s="52"/>
      <c r="B140" s="52" t="s">
        <v>383</v>
      </c>
      <c r="C140" s="52">
        <v>1</v>
      </c>
      <c r="D140" s="52">
        <v>3.5750000000000002</v>
      </c>
      <c r="E140" s="52">
        <v>1.57</v>
      </c>
      <c r="F140" s="52">
        <v>0.125</v>
      </c>
      <c r="G140" s="62">
        <f t="shared" si="8"/>
        <v>0.70159375000000002</v>
      </c>
      <c r="H140" s="52"/>
    </row>
    <row r="141" spans="1:8" x14ac:dyDescent="0.25">
      <c r="A141" s="52"/>
      <c r="B141" s="52" t="s">
        <v>382</v>
      </c>
      <c r="C141" s="52">
        <v>-1</v>
      </c>
      <c r="D141" s="52">
        <v>0.4</v>
      </c>
      <c r="E141" s="52">
        <v>7.0000000000000007E-2</v>
      </c>
      <c r="F141" s="52">
        <v>0.125</v>
      </c>
      <c r="G141" s="62">
        <f t="shared" si="8"/>
        <v>-3.5000000000000005E-3</v>
      </c>
      <c r="H141" s="52"/>
    </row>
    <row r="142" spans="1:8" x14ac:dyDescent="0.25">
      <c r="A142" s="52"/>
      <c r="B142" s="52" t="s">
        <v>391</v>
      </c>
      <c r="C142" s="52">
        <v>1</v>
      </c>
      <c r="D142" s="52">
        <v>2.5</v>
      </c>
      <c r="E142" s="52">
        <v>1.6</v>
      </c>
      <c r="F142" s="52">
        <v>0.125</v>
      </c>
      <c r="G142" s="62">
        <f t="shared" si="8"/>
        <v>0.5</v>
      </c>
      <c r="H142" s="52"/>
    </row>
    <row r="143" spans="1:8" x14ac:dyDescent="0.25">
      <c r="A143" s="52"/>
      <c r="B143" s="52" t="s">
        <v>384</v>
      </c>
      <c r="C143" s="52">
        <v>1</v>
      </c>
      <c r="D143" s="52">
        <v>2.7850000000000001</v>
      </c>
      <c r="E143" s="52">
        <v>1.2</v>
      </c>
      <c r="F143" s="52">
        <v>0.125</v>
      </c>
      <c r="G143" s="62">
        <f t="shared" si="8"/>
        <v>0.41775000000000001</v>
      </c>
      <c r="H143" s="52"/>
    </row>
    <row r="144" spans="1:8" x14ac:dyDescent="0.25">
      <c r="A144" s="52"/>
      <c r="B144" s="52" t="s">
        <v>393</v>
      </c>
      <c r="C144" s="52">
        <v>1</v>
      </c>
      <c r="D144" s="52">
        <v>6.3650000000000002</v>
      </c>
      <c r="E144" s="52">
        <v>3.72</v>
      </c>
      <c r="F144" s="52">
        <v>0.125</v>
      </c>
      <c r="G144" s="62">
        <f t="shared" si="8"/>
        <v>2.9597250000000002</v>
      </c>
      <c r="H144" s="52"/>
    </row>
    <row r="145" spans="1:8" x14ac:dyDescent="0.25">
      <c r="A145" s="52"/>
      <c r="B145" s="52"/>
      <c r="C145" s="52">
        <v>1</v>
      </c>
      <c r="D145" s="52">
        <v>4.1150000000000002</v>
      </c>
      <c r="E145" s="52">
        <v>0.38500000000000001</v>
      </c>
      <c r="F145" s="52">
        <v>0.125</v>
      </c>
      <c r="G145" s="62">
        <f t="shared" si="8"/>
        <v>0.19803437500000001</v>
      </c>
      <c r="H145" s="52"/>
    </row>
    <row r="146" spans="1:8" x14ac:dyDescent="0.25">
      <c r="A146" s="52"/>
      <c r="B146" s="52" t="s">
        <v>395</v>
      </c>
      <c r="C146" s="52">
        <v>1</v>
      </c>
      <c r="D146" s="52">
        <v>1.5</v>
      </c>
      <c r="E146" s="52">
        <v>1.0349999999999999</v>
      </c>
      <c r="F146" s="52">
        <v>0.125</v>
      </c>
      <c r="G146" s="62">
        <f t="shared" si="8"/>
        <v>0.19406249999999997</v>
      </c>
      <c r="H146" s="52"/>
    </row>
    <row r="147" spans="1:8" x14ac:dyDescent="0.25">
      <c r="A147" s="52"/>
      <c r="B147" s="52" t="s">
        <v>394</v>
      </c>
      <c r="C147" s="52">
        <v>1</v>
      </c>
      <c r="D147" s="52">
        <v>2.85</v>
      </c>
      <c r="E147" s="52">
        <v>2.335</v>
      </c>
      <c r="F147" s="52">
        <v>0.125</v>
      </c>
      <c r="G147" s="62">
        <f t="shared" si="8"/>
        <v>0.83184374999999999</v>
      </c>
      <c r="H147" s="52"/>
    </row>
    <row r="148" spans="1:8" x14ac:dyDescent="0.25">
      <c r="A148" s="52"/>
      <c r="B148" s="52" t="s">
        <v>396</v>
      </c>
      <c r="C148" s="52">
        <v>1</v>
      </c>
      <c r="D148" s="52">
        <v>6.4</v>
      </c>
      <c r="E148" s="52">
        <v>1.55</v>
      </c>
      <c r="F148" s="52">
        <v>0.16500000000000001</v>
      </c>
      <c r="G148" s="62">
        <f t="shared" si="8"/>
        <v>1.6368000000000003</v>
      </c>
      <c r="H148" s="52"/>
    </row>
    <row r="149" spans="1:8" x14ac:dyDescent="0.25">
      <c r="A149" s="52"/>
      <c r="B149" s="52" t="s">
        <v>397</v>
      </c>
      <c r="C149" s="52">
        <v>1</v>
      </c>
      <c r="D149" s="52">
        <v>6.4</v>
      </c>
      <c r="E149" s="52">
        <v>0.15</v>
      </c>
      <c r="F149" s="52">
        <f>0.275+0.1</f>
        <v>0.375</v>
      </c>
      <c r="G149" s="62">
        <f t="shared" si="8"/>
        <v>0.36</v>
      </c>
      <c r="H149" s="52"/>
    </row>
    <row r="150" spans="1:8" x14ac:dyDescent="0.25">
      <c r="A150" s="52"/>
      <c r="B150" s="52"/>
      <c r="C150" s="52">
        <v>0</v>
      </c>
      <c r="D150" s="52">
        <f>6.4-0.3</f>
        <v>6.1000000000000005</v>
      </c>
      <c r="E150" s="52"/>
      <c r="F150" s="52">
        <v>0.21</v>
      </c>
      <c r="G150" s="62">
        <f t="shared" si="8"/>
        <v>0</v>
      </c>
      <c r="H150" s="52"/>
    </row>
    <row r="151" spans="1:8" x14ac:dyDescent="0.25">
      <c r="A151" s="52"/>
      <c r="B151" s="52"/>
      <c r="C151" s="52">
        <v>2</v>
      </c>
      <c r="D151" s="52">
        <v>1.55</v>
      </c>
      <c r="E151" s="52">
        <v>0.15</v>
      </c>
      <c r="F151" s="52">
        <v>0.375</v>
      </c>
      <c r="G151" s="62">
        <f t="shared" si="8"/>
        <v>0.174375</v>
      </c>
      <c r="H151" s="52"/>
    </row>
    <row r="152" spans="1:8" x14ac:dyDescent="0.25">
      <c r="A152" s="52"/>
      <c r="B152" s="52"/>
      <c r="C152" s="52">
        <v>0</v>
      </c>
      <c r="D152" s="52">
        <f>1.55-0.15</f>
        <v>1.4000000000000001</v>
      </c>
      <c r="E152" s="52"/>
      <c r="F152" s="52">
        <v>0.21</v>
      </c>
      <c r="G152" s="62">
        <f t="shared" si="8"/>
        <v>0</v>
      </c>
      <c r="H152" s="52"/>
    </row>
    <row r="153" spans="1:8" x14ac:dyDescent="0.25">
      <c r="A153" s="52"/>
      <c r="B153" s="52" t="s">
        <v>398</v>
      </c>
      <c r="C153" s="52">
        <v>1</v>
      </c>
      <c r="D153" s="52">
        <v>4</v>
      </c>
      <c r="E153" s="52">
        <v>1.55</v>
      </c>
      <c r="F153" s="52">
        <v>0.16500000000000001</v>
      </c>
      <c r="G153" s="62">
        <f t="shared" si="8"/>
        <v>1.0230000000000001</v>
      </c>
      <c r="H153" s="52"/>
    </row>
    <row r="154" spans="1:8" x14ac:dyDescent="0.25">
      <c r="A154" s="52"/>
      <c r="B154" s="52" t="s">
        <v>399</v>
      </c>
      <c r="C154" s="52">
        <v>1</v>
      </c>
      <c r="D154" s="52">
        <v>4</v>
      </c>
      <c r="E154" s="52">
        <v>0.15</v>
      </c>
      <c r="F154" s="52">
        <v>0.375</v>
      </c>
      <c r="G154" s="62">
        <f t="shared" si="8"/>
        <v>0.22499999999999998</v>
      </c>
      <c r="H154" s="52"/>
    </row>
    <row r="155" spans="1:8" x14ac:dyDescent="0.25">
      <c r="A155" s="52"/>
      <c r="B155" s="52"/>
      <c r="C155" s="52">
        <v>1</v>
      </c>
      <c r="D155" s="52">
        <v>1.55</v>
      </c>
      <c r="E155" s="52">
        <v>0.15</v>
      </c>
      <c r="F155" s="52">
        <v>0.375</v>
      </c>
      <c r="G155" s="62">
        <f t="shared" si="8"/>
        <v>8.7187500000000001E-2</v>
      </c>
      <c r="H155" s="52"/>
    </row>
    <row r="156" spans="1:8" x14ac:dyDescent="0.25">
      <c r="A156" s="52"/>
      <c r="B156" s="52"/>
      <c r="C156" s="52">
        <v>0</v>
      </c>
      <c r="D156" s="52">
        <f>4-0.15</f>
        <v>3.85</v>
      </c>
      <c r="E156" s="52"/>
      <c r="F156" s="52">
        <v>0.21</v>
      </c>
      <c r="G156" s="62">
        <f t="shared" si="8"/>
        <v>0</v>
      </c>
      <c r="H156" s="52"/>
    </row>
    <row r="157" spans="1:8" x14ac:dyDescent="0.25">
      <c r="A157" s="52"/>
      <c r="B157" s="52"/>
      <c r="C157" s="52">
        <v>0</v>
      </c>
      <c r="D157" s="52">
        <v>1.4</v>
      </c>
      <c r="E157" s="52"/>
      <c r="F157" s="52">
        <v>0.21</v>
      </c>
      <c r="G157" s="62">
        <f t="shared" si="8"/>
        <v>0</v>
      </c>
      <c r="H157" s="52"/>
    </row>
    <row r="158" spans="1:8" x14ac:dyDescent="0.25">
      <c r="A158" s="52"/>
      <c r="B158" s="52" t="s">
        <v>400</v>
      </c>
      <c r="C158" s="52">
        <v>1</v>
      </c>
      <c r="D158" s="52">
        <v>1.845</v>
      </c>
      <c r="E158" s="52">
        <v>1.55</v>
      </c>
      <c r="F158" s="52">
        <v>0.16500000000000001</v>
      </c>
      <c r="G158" s="62">
        <f t="shared" si="8"/>
        <v>0.47185875000000005</v>
      </c>
      <c r="H158" s="52"/>
    </row>
    <row r="159" spans="1:8" x14ac:dyDescent="0.25">
      <c r="A159" s="52"/>
      <c r="B159" s="52"/>
      <c r="C159" s="52">
        <v>-1</v>
      </c>
      <c r="D159" s="52">
        <f>1.845-1.41</f>
        <v>0.43500000000000005</v>
      </c>
      <c r="E159" s="52">
        <f>0.315+0.05</f>
        <v>0.36499999999999999</v>
      </c>
      <c r="F159" s="52">
        <v>0.16500000000000001</v>
      </c>
      <c r="G159" s="62">
        <f t="shared" si="8"/>
        <v>-2.6197875000000006E-2</v>
      </c>
      <c r="H159" s="52"/>
    </row>
    <row r="160" spans="1:8" x14ac:dyDescent="0.25">
      <c r="A160" s="52"/>
      <c r="B160" s="52" t="s">
        <v>401</v>
      </c>
      <c r="C160" s="52">
        <v>1</v>
      </c>
      <c r="D160" s="52">
        <v>1.41</v>
      </c>
      <c r="E160" s="52">
        <v>0.15</v>
      </c>
      <c r="F160" s="52">
        <v>0.375</v>
      </c>
      <c r="G160" s="62">
        <f t="shared" si="8"/>
        <v>7.9312499999999994E-2</v>
      </c>
      <c r="H160" s="52"/>
    </row>
    <row r="161" spans="1:8" x14ac:dyDescent="0.25">
      <c r="A161" s="52"/>
      <c r="B161" s="52"/>
      <c r="C161" s="52">
        <v>0</v>
      </c>
      <c r="D161" s="52">
        <v>1.41</v>
      </c>
      <c r="E161" s="52"/>
      <c r="F161" s="52">
        <v>0.21</v>
      </c>
      <c r="G161" s="62">
        <f t="shared" si="8"/>
        <v>0</v>
      </c>
      <c r="H161" s="52"/>
    </row>
    <row r="162" spans="1:8" x14ac:dyDescent="0.25">
      <c r="A162" s="52"/>
      <c r="B162" s="56" t="s">
        <v>413</v>
      </c>
      <c r="C162" s="52"/>
      <c r="D162" s="52"/>
      <c r="E162" s="52"/>
      <c r="F162" s="52"/>
      <c r="G162" s="65">
        <f>SUM(G131:G161)</f>
        <v>14.130817125000002</v>
      </c>
      <c r="H162" s="52"/>
    </row>
    <row r="163" spans="1:8" x14ac:dyDescent="0.25">
      <c r="A163" s="52"/>
      <c r="B163" s="52"/>
      <c r="C163" s="52"/>
      <c r="D163" s="52"/>
      <c r="E163" s="52"/>
      <c r="F163" s="52"/>
      <c r="G163" s="62"/>
      <c r="H163" s="52"/>
    </row>
    <row r="164" spans="1:8" x14ac:dyDescent="0.25">
      <c r="A164" s="52"/>
      <c r="B164" s="56" t="s">
        <v>415</v>
      </c>
      <c r="C164" s="52"/>
      <c r="D164" s="52"/>
      <c r="E164" s="52"/>
      <c r="F164" s="52"/>
      <c r="G164" s="62">
        <f t="shared" si="8"/>
        <v>0</v>
      </c>
      <c r="H164" s="52"/>
    </row>
    <row r="165" spans="1:8" x14ac:dyDescent="0.25">
      <c r="A165" s="52"/>
      <c r="B165" s="52" t="s">
        <v>405</v>
      </c>
      <c r="C165" s="52">
        <v>1</v>
      </c>
      <c r="D165" s="52">
        <v>3.56</v>
      </c>
      <c r="E165" s="52">
        <v>3.2749999999999999</v>
      </c>
      <c r="F165" s="52">
        <v>0.125</v>
      </c>
      <c r="G165" s="62">
        <f t="shared" ref="G165:G220" si="11">+PRODUCT(C165:F165)</f>
        <v>1.4573750000000001</v>
      </c>
      <c r="H165" s="52"/>
    </row>
    <row r="166" spans="1:8" x14ac:dyDescent="0.25">
      <c r="A166" s="52"/>
      <c r="B166" s="52" t="s">
        <v>382</v>
      </c>
      <c r="C166" s="52">
        <v>-2</v>
      </c>
      <c r="D166" s="52">
        <v>0.4</v>
      </c>
      <c r="E166" s="52">
        <v>0.1</v>
      </c>
      <c r="F166" s="52">
        <v>0.125</v>
      </c>
      <c r="G166" s="62">
        <f t="shared" si="11"/>
        <v>-1.0000000000000002E-2</v>
      </c>
      <c r="H166" s="52"/>
    </row>
    <row r="167" spans="1:8" x14ac:dyDescent="0.25">
      <c r="A167" s="52"/>
      <c r="B167" s="52" t="s">
        <v>389</v>
      </c>
      <c r="C167" s="52">
        <v>-1</v>
      </c>
      <c r="D167" s="52">
        <v>0.98499999999999999</v>
      </c>
      <c r="E167" s="52">
        <v>0.03</v>
      </c>
      <c r="F167" s="52">
        <v>0.125</v>
      </c>
      <c r="G167" s="62">
        <f t="shared" si="11"/>
        <v>-3.69375E-3</v>
      </c>
      <c r="H167" s="52"/>
    </row>
    <row r="168" spans="1:8" x14ac:dyDescent="0.25">
      <c r="A168" s="52"/>
      <c r="B168" s="52" t="s">
        <v>404</v>
      </c>
      <c r="C168" s="52">
        <v>1</v>
      </c>
      <c r="D168" s="52">
        <v>3.25</v>
      </c>
      <c r="E168" s="52">
        <v>2.9249999999999998</v>
      </c>
      <c r="F168" s="52">
        <v>0.125</v>
      </c>
      <c r="G168" s="62">
        <f t="shared" si="11"/>
        <v>1.18828125</v>
      </c>
      <c r="H168" s="52"/>
    </row>
    <row r="169" spans="1:8" x14ac:dyDescent="0.25">
      <c r="A169" s="52"/>
      <c r="B169" s="52" t="s">
        <v>382</v>
      </c>
      <c r="C169" s="52">
        <v>-2</v>
      </c>
      <c r="D169" s="52">
        <v>0.4</v>
      </c>
      <c r="E169" s="52">
        <v>0.1</v>
      </c>
      <c r="F169" s="52">
        <v>0.125</v>
      </c>
      <c r="G169" s="62">
        <f t="shared" si="11"/>
        <v>-1.0000000000000002E-2</v>
      </c>
      <c r="H169" s="52"/>
    </row>
    <row r="170" spans="1:8" x14ac:dyDescent="0.25">
      <c r="A170" s="52"/>
      <c r="B170" s="52" t="s">
        <v>403</v>
      </c>
      <c r="C170" s="52">
        <v>1</v>
      </c>
      <c r="D170" s="52">
        <v>3.58</v>
      </c>
      <c r="E170" s="52">
        <v>3.05</v>
      </c>
      <c r="F170" s="52">
        <v>0.125</v>
      </c>
      <c r="G170" s="62">
        <f t="shared" si="11"/>
        <v>1.3648749999999998</v>
      </c>
      <c r="H170" s="52"/>
    </row>
    <row r="171" spans="1:8" x14ac:dyDescent="0.25">
      <c r="A171" s="52"/>
      <c r="B171" s="52" t="s">
        <v>384</v>
      </c>
      <c r="C171" s="52">
        <v>1</v>
      </c>
      <c r="D171" s="52">
        <v>2.9249999999999998</v>
      </c>
      <c r="E171" s="52">
        <v>1.7</v>
      </c>
      <c r="F171" s="52">
        <v>0.125</v>
      </c>
      <c r="G171" s="62">
        <f t="shared" si="11"/>
        <v>0.62156249999999991</v>
      </c>
      <c r="H171" s="52"/>
    </row>
    <row r="172" spans="1:8" x14ac:dyDescent="0.25">
      <c r="A172" s="52"/>
      <c r="B172" s="52" t="s">
        <v>406</v>
      </c>
      <c r="C172" s="52">
        <v>1</v>
      </c>
      <c r="D172" s="52">
        <v>3.2650000000000001</v>
      </c>
      <c r="E172" s="52">
        <v>2.35</v>
      </c>
      <c r="F172" s="52">
        <v>0.125</v>
      </c>
      <c r="G172" s="62">
        <f t="shared" si="11"/>
        <v>0.95909375000000008</v>
      </c>
      <c r="H172" s="52"/>
    </row>
    <row r="173" spans="1:8" x14ac:dyDescent="0.25">
      <c r="A173" s="52"/>
      <c r="B173" s="52" t="s">
        <v>407</v>
      </c>
      <c r="C173" s="52">
        <v>1</v>
      </c>
      <c r="D173" s="52">
        <v>5.23</v>
      </c>
      <c r="E173" s="52">
        <v>3.33</v>
      </c>
      <c r="F173" s="52">
        <v>0.125</v>
      </c>
      <c r="G173" s="62">
        <f t="shared" si="11"/>
        <v>2.1769875000000001</v>
      </c>
      <c r="H173" s="52"/>
    </row>
    <row r="174" spans="1:8" x14ac:dyDescent="0.25">
      <c r="A174" s="52"/>
      <c r="B174" s="52"/>
      <c r="C174" s="52">
        <v>1</v>
      </c>
      <c r="D174" s="52">
        <v>3.4</v>
      </c>
      <c r="E174" s="52">
        <v>0.94</v>
      </c>
      <c r="F174" s="52">
        <v>0.125</v>
      </c>
      <c r="G174" s="62">
        <f t="shared" si="11"/>
        <v>0.39949999999999997</v>
      </c>
      <c r="H174" s="52"/>
    </row>
    <row r="175" spans="1:8" x14ac:dyDescent="0.25">
      <c r="A175" s="52"/>
      <c r="B175" s="52"/>
      <c r="C175" s="52">
        <v>1</v>
      </c>
      <c r="D175" s="52">
        <v>2.5499999999999998</v>
      </c>
      <c r="E175" s="52">
        <v>1.47</v>
      </c>
      <c r="F175" s="52">
        <v>0.125</v>
      </c>
      <c r="G175" s="62">
        <f t="shared" si="11"/>
        <v>0.46856249999999994</v>
      </c>
      <c r="H175" s="52"/>
    </row>
    <row r="176" spans="1:8" x14ac:dyDescent="0.25">
      <c r="A176" s="52"/>
      <c r="B176" s="52" t="s">
        <v>383</v>
      </c>
      <c r="C176" s="52">
        <v>1</v>
      </c>
      <c r="D176" s="52">
        <v>2.2250000000000001</v>
      </c>
      <c r="E176" s="52">
        <v>1.4950000000000001</v>
      </c>
      <c r="F176" s="52">
        <v>0.125</v>
      </c>
      <c r="G176" s="62">
        <f t="shared" si="11"/>
        <v>0.41579687500000007</v>
      </c>
      <c r="H176" s="52"/>
    </row>
    <row r="177" spans="1:8" x14ac:dyDescent="0.25">
      <c r="A177" s="52"/>
      <c r="B177" s="52" t="s">
        <v>391</v>
      </c>
      <c r="C177" s="52">
        <v>1</v>
      </c>
      <c r="D177" s="52">
        <v>3.3849999999999998</v>
      </c>
      <c r="E177" s="52">
        <v>1.425</v>
      </c>
      <c r="F177" s="52">
        <v>0.125</v>
      </c>
      <c r="G177" s="62">
        <f t="shared" si="11"/>
        <v>0.60295312499999998</v>
      </c>
      <c r="H177" s="52"/>
    </row>
    <row r="178" spans="1:8" x14ac:dyDescent="0.25">
      <c r="A178" s="52"/>
      <c r="B178" s="52" t="s">
        <v>392</v>
      </c>
      <c r="C178" s="52">
        <v>1</v>
      </c>
      <c r="D178" s="52">
        <v>2.41</v>
      </c>
      <c r="E178" s="52">
        <v>1.4850000000000001</v>
      </c>
      <c r="F178" s="52">
        <v>0.125</v>
      </c>
      <c r="G178" s="62">
        <f t="shared" si="11"/>
        <v>0.44735625000000007</v>
      </c>
      <c r="H178" s="52"/>
    </row>
    <row r="179" spans="1:8" x14ac:dyDescent="0.25">
      <c r="A179" s="52"/>
      <c r="B179" s="52" t="s">
        <v>408</v>
      </c>
      <c r="C179" s="52">
        <v>1</v>
      </c>
      <c r="D179" s="52">
        <v>4.665</v>
      </c>
      <c r="E179" s="52">
        <v>1.55</v>
      </c>
      <c r="F179" s="52">
        <v>0.16500000000000001</v>
      </c>
      <c r="G179" s="62">
        <f t="shared" si="11"/>
        <v>1.1930737500000002</v>
      </c>
      <c r="H179" s="52"/>
    </row>
    <row r="180" spans="1:8" x14ac:dyDescent="0.25">
      <c r="A180" s="52"/>
      <c r="B180" s="52" t="s">
        <v>409</v>
      </c>
      <c r="C180" s="52">
        <v>1</v>
      </c>
      <c r="D180" s="52">
        <v>4.665</v>
      </c>
      <c r="E180" s="52">
        <v>0.15</v>
      </c>
      <c r="F180" s="52">
        <v>0.375</v>
      </c>
      <c r="G180" s="62">
        <f t="shared" si="11"/>
        <v>0.26240625000000001</v>
      </c>
      <c r="H180" s="52"/>
    </row>
    <row r="181" spans="1:8" x14ac:dyDescent="0.25">
      <c r="A181" s="52"/>
      <c r="B181" s="52"/>
      <c r="C181" s="52">
        <v>1</v>
      </c>
      <c r="D181" s="52">
        <v>4.665</v>
      </c>
      <c r="E181" s="52">
        <v>0</v>
      </c>
      <c r="F181" s="52">
        <v>0.21</v>
      </c>
      <c r="G181" s="62">
        <f t="shared" si="11"/>
        <v>0</v>
      </c>
      <c r="H181" s="52"/>
    </row>
    <row r="182" spans="1:8" x14ac:dyDescent="0.25">
      <c r="A182" s="52"/>
      <c r="B182" s="52" t="s">
        <v>410</v>
      </c>
      <c r="C182" s="52">
        <v>1</v>
      </c>
      <c r="D182" s="52">
        <f>5.215+0.1</f>
        <v>5.3149999999999995</v>
      </c>
      <c r="E182" s="52">
        <v>1.55</v>
      </c>
      <c r="F182" s="52">
        <v>0.16500000000000001</v>
      </c>
      <c r="G182" s="62">
        <f t="shared" si="11"/>
        <v>1.35931125</v>
      </c>
      <c r="H182" s="52"/>
    </row>
    <row r="183" spans="1:8" x14ac:dyDescent="0.25">
      <c r="A183" s="52"/>
      <c r="B183" s="52" t="s">
        <v>409</v>
      </c>
      <c r="C183" s="52">
        <v>1</v>
      </c>
      <c r="D183" s="52">
        <v>5.3150000000000004</v>
      </c>
      <c r="E183" s="52">
        <v>0.15</v>
      </c>
      <c r="F183" s="52">
        <v>0.375</v>
      </c>
      <c r="G183" s="62">
        <f t="shared" si="11"/>
        <v>0.29896875000000001</v>
      </c>
      <c r="H183" s="52"/>
    </row>
    <row r="184" spans="1:8" x14ac:dyDescent="0.25">
      <c r="A184" s="52"/>
      <c r="B184" s="52"/>
      <c r="C184" s="52">
        <v>1</v>
      </c>
      <c r="D184" s="52">
        <f>+D183-0.3</f>
        <v>5.0150000000000006</v>
      </c>
      <c r="E184" s="52">
        <v>0</v>
      </c>
      <c r="F184" s="52">
        <v>0.21</v>
      </c>
      <c r="G184" s="62">
        <f t="shared" si="11"/>
        <v>0</v>
      </c>
      <c r="H184" s="52"/>
    </row>
    <row r="185" spans="1:8" x14ac:dyDescent="0.25">
      <c r="A185" s="52"/>
      <c r="B185" s="52"/>
      <c r="C185" s="52">
        <v>2</v>
      </c>
      <c r="D185" s="52">
        <v>1.55</v>
      </c>
      <c r="E185" s="52">
        <v>0.15</v>
      </c>
      <c r="F185" s="52">
        <v>0.375</v>
      </c>
      <c r="G185" s="62">
        <f t="shared" si="11"/>
        <v>0.174375</v>
      </c>
      <c r="H185" s="52"/>
    </row>
    <row r="186" spans="1:8" x14ac:dyDescent="0.25">
      <c r="A186" s="52"/>
      <c r="B186" s="52"/>
      <c r="C186" s="52">
        <v>2</v>
      </c>
      <c r="D186" s="52">
        <v>1.4</v>
      </c>
      <c r="E186" s="52">
        <v>0</v>
      </c>
      <c r="F186" s="52">
        <v>0.21</v>
      </c>
      <c r="G186" s="62">
        <f t="shared" si="11"/>
        <v>0</v>
      </c>
      <c r="H186" s="52"/>
    </row>
    <row r="187" spans="1:8" x14ac:dyDescent="0.25">
      <c r="A187" s="52"/>
      <c r="B187" s="52" t="s">
        <v>411</v>
      </c>
      <c r="C187" s="52">
        <v>1</v>
      </c>
      <c r="D187" s="52">
        <v>3.05</v>
      </c>
      <c r="E187" s="52">
        <v>1.55</v>
      </c>
      <c r="F187" s="52">
        <v>0.16500000000000001</v>
      </c>
      <c r="G187" s="62">
        <f t="shared" si="11"/>
        <v>0.78003750000000005</v>
      </c>
      <c r="H187" s="52"/>
    </row>
    <row r="188" spans="1:8" x14ac:dyDescent="0.25">
      <c r="A188" s="52"/>
      <c r="B188" s="52" t="s">
        <v>409</v>
      </c>
      <c r="C188" s="52">
        <v>1</v>
      </c>
      <c r="D188" s="52">
        <v>3.05</v>
      </c>
      <c r="E188" s="52">
        <v>0.15</v>
      </c>
      <c r="F188" s="52">
        <v>0.375</v>
      </c>
      <c r="G188" s="62">
        <f t="shared" si="11"/>
        <v>0.17156249999999998</v>
      </c>
      <c r="H188" s="52"/>
    </row>
    <row r="189" spans="1:8" x14ac:dyDescent="0.25">
      <c r="A189" s="52"/>
      <c r="B189" s="52"/>
      <c r="C189" s="52">
        <v>1</v>
      </c>
      <c r="D189" s="52">
        <v>3.05</v>
      </c>
      <c r="E189" s="52">
        <v>0</v>
      </c>
      <c r="F189" s="52">
        <v>0.21</v>
      </c>
      <c r="G189" s="62">
        <f t="shared" si="11"/>
        <v>0</v>
      </c>
      <c r="H189" s="52"/>
    </row>
    <row r="190" spans="1:8" x14ac:dyDescent="0.25">
      <c r="A190" s="52"/>
      <c r="B190" s="56" t="s">
        <v>416</v>
      </c>
      <c r="C190" s="52"/>
      <c r="D190" s="52"/>
      <c r="E190" s="52"/>
      <c r="F190" s="52"/>
      <c r="G190" s="65">
        <f>SUM(G164:G189)*3</f>
        <v>42.955154999999991</v>
      </c>
      <c r="H190" s="52"/>
    </row>
    <row r="191" spans="1:8" x14ac:dyDescent="0.25">
      <c r="A191" s="52"/>
      <c r="B191" s="52"/>
      <c r="C191" s="52"/>
      <c r="D191" s="52"/>
      <c r="E191" s="52"/>
      <c r="F191" s="52"/>
      <c r="G191" s="62"/>
      <c r="H191" s="52"/>
    </row>
    <row r="192" spans="1:8" x14ac:dyDescent="0.25">
      <c r="A192" s="52"/>
      <c r="B192" s="56" t="s">
        <v>412</v>
      </c>
      <c r="C192" s="52"/>
      <c r="D192" s="52"/>
      <c r="E192" s="52"/>
      <c r="F192" s="52"/>
      <c r="G192" s="62">
        <f t="shared" si="11"/>
        <v>0</v>
      </c>
      <c r="H192" s="52"/>
    </row>
    <row r="193" spans="1:8" x14ac:dyDescent="0.25">
      <c r="A193" s="52"/>
      <c r="B193" s="52" t="s">
        <v>405</v>
      </c>
      <c r="C193" s="52">
        <v>1</v>
      </c>
      <c r="D193" s="52">
        <v>3.86</v>
      </c>
      <c r="E193" s="52">
        <v>3.25</v>
      </c>
      <c r="F193" s="52">
        <v>0.125</v>
      </c>
      <c r="G193" s="62">
        <f t="shared" si="11"/>
        <v>1.568125</v>
      </c>
      <c r="H193" s="52"/>
    </row>
    <row r="194" spans="1:8" x14ac:dyDescent="0.25">
      <c r="A194" s="52"/>
      <c r="B194" s="52" t="s">
        <v>382</v>
      </c>
      <c r="C194" s="52">
        <v>-2</v>
      </c>
      <c r="D194" s="52">
        <v>0.4</v>
      </c>
      <c r="E194" s="52">
        <v>0.1</v>
      </c>
      <c r="F194" s="52">
        <v>0.125</v>
      </c>
      <c r="G194" s="62">
        <f t="shared" si="11"/>
        <v>-1.0000000000000002E-2</v>
      </c>
      <c r="H194" s="52"/>
    </row>
    <row r="195" spans="1:8" x14ac:dyDescent="0.25">
      <c r="A195" s="52"/>
      <c r="B195" s="52" t="s">
        <v>404</v>
      </c>
      <c r="C195" s="52">
        <v>1</v>
      </c>
      <c r="D195" s="52">
        <v>3.86</v>
      </c>
      <c r="E195" s="52">
        <v>3.335</v>
      </c>
      <c r="F195" s="52">
        <v>0.125</v>
      </c>
      <c r="G195" s="62">
        <f t="shared" si="11"/>
        <v>1.6091374999999999</v>
      </c>
      <c r="H195" s="52"/>
    </row>
    <row r="196" spans="1:8" x14ac:dyDescent="0.25">
      <c r="A196" s="52"/>
      <c r="B196" s="52" t="s">
        <v>382</v>
      </c>
      <c r="C196" s="52">
        <v>-1</v>
      </c>
      <c r="D196" s="52">
        <v>0.4</v>
      </c>
      <c r="E196" s="52">
        <v>0.1</v>
      </c>
      <c r="F196" s="52">
        <v>0.125</v>
      </c>
      <c r="G196" s="62">
        <f t="shared" si="11"/>
        <v>-5.000000000000001E-3</v>
      </c>
      <c r="H196" s="52"/>
    </row>
    <row r="197" spans="1:8" x14ac:dyDescent="0.25">
      <c r="A197" s="52"/>
      <c r="B197" s="52" t="s">
        <v>403</v>
      </c>
      <c r="C197" s="52">
        <v>1</v>
      </c>
      <c r="D197" s="52">
        <v>3.55</v>
      </c>
      <c r="E197" s="52">
        <v>3.2650000000000001</v>
      </c>
      <c r="F197" s="52">
        <v>0.125</v>
      </c>
      <c r="G197" s="62">
        <f t="shared" si="11"/>
        <v>1.44884375</v>
      </c>
      <c r="H197" s="52"/>
    </row>
    <row r="198" spans="1:8" x14ac:dyDescent="0.25">
      <c r="A198" s="52"/>
      <c r="B198" s="52" t="s">
        <v>393</v>
      </c>
      <c r="C198" s="52">
        <v>1</v>
      </c>
      <c r="D198" s="52">
        <v>6.2450000000000001</v>
      </c>
      <c r="E198" s="52">
        <v>3.3149999999999999</v>
      </c>
      <c r="F198" s="52">
        <v>0.125</v>
      </c>
      <c r="G198" s="62">
        <f t="shared" si="11"/>
        <v>2.5877718750000001</v>
      </c>
      <c r="H198" s="52"/>
    </row>
    <row r="199" spans="1:8" x14ac:dyDescent="0.25">
      <c r="A199" s="52"/>
      <c r="B199" s="52"/>
      <c r="C199" s="52">
        <v>1</v>
      </c>
      <c r="D199" s="52">
        <v>3.17</v>
      </c>
      <c r="E199" s="52">
        <v>1.91</v>
      </c>
      <c r="F199" s="52">
        <v>0.125</v>
      </c>
      <c r="G199" s="62">
        <f t="shared" si="11"/>
        <v>0.75683749999999994</v>
      </c>
      <c r="H199" s="52"/>
    </row>
    <row r="200" spans="1:8" x14ac:dyDescent="0.25">
      <c r="A200" s="52"/>
      <c r="B200" s="52" t="s">
        <v>382</v>
      </c>
      <c r="C200" s="52">
        <v>-2</v>
      </c>
      <c r="D200" s="52">
        <v>0.55000000000000004</v>
      </c>
      <c r="E200" s="52">
        <v>0.1</v>
      </c>
      <c r="F200" s="52">
        <v>0.125</v>
      </c>
      <c r="G200" s="62">
        <f t="shared" si="11"/>
        <v>-1.3750000000000002E-2</v>
      </c>
      <c r="H200" s="52"/>
    </row>
    <row r="201" spans="1:8" x14ac:dyDescent="0.25">
      <c r="A201" s="52"/>
      <c r="B201" s="52" t="s">
        <v>406</v>
      </c>
      <c r="C201" s="52">
        <v>1</v>
      </c>
      <c r="D201" s="52">
        <v>3.4350000000000001</v>
      </c>
      <c r="E201" s="52">
        <v>2.3450000000000002</v>
      </c>
      <c r="F201" s="52">
        <v>0.125</v>
      </c>
      <c r="G201" s="62">
        <f t="shared" si="11"/>
        <v>1.0068843750000001</v>
      </c>
      <c r="H201" s="52"/>
    </row>
    <row r="202" spans="1:8" x14ac:dyDescent="0.25">
      <c r="A202" s="52"/>
      <c r="B202" s="52" t="s">
        <v>383</v>
      </c>
      <c r="C202" s="52">
        <v>1</v>
      </c>
      <c r="D202" s="52">
        <v>3.86</v>
      </c>
      <c r="E202" s="52">
        <v>1.44</v>
      </c>
      <c r="F202" s="52">
        <v>0.125</v>
      </c>
      <c r="G202" s="62">
        <f t="shared" si="11"/>
        <v>0.69479999999999997</v>
      </c>
      <c r="H202" s="52"/>
    </row>
    <row r="203" spans="1:8" x14ac:dyDescent="0.25">
      <c r="A203" s="52"/>
      <c r="B203" s="52" t="s">
        <v>391</v>
      </c>
      <c r="C203" s="52">
        <v>1</v>
      </c>
      <c r="D203" s="52">
        <v>3.55</v>
      </c>
      <c r="E203" s="52">
        <v>1.425</v>
      </c>
      <c r="F203" s="52">
        <v>0.125</v>
      </c>
      <c r="G203" s="62">
        <f t="shared" si="11"/>
        <v>0.63234374999999998</v>
      </c>
      <c r="H203" s="52"/>
    </row>
    <row r="204" spans="1:8" x14ac:dyDescent="0.25">
      <c r="A204" s="52"/>
      <c r="B204" s="52" t="s">
        <v>392</v>
      </c>
      <c r="C204" s="52">
        <v>1</v>
      </c>
      <c r="D204" s="52">
        <v>3.55</v>
      </c>
      <c r="E204" s="52">
        <v>1.425</v>
      </c>
      <c r="F204" s="52">
        <v>0.125</v>
      </c>
      <c r="G204" s="62">
        <f t="shared" si="11"/>
        <v>0.63234374999999998</v>
      </c>
      <c r="H204" s="52"/>
    </row>
    <row r="205" spans="1:8" x14ac:dyDescent="0.25">
      <c r="A205" s="52"/>
      <c r="B205" s="52" t="s">
        <v>382</v>
      </c>
      <c r="C205" s="52">
        <v>-1</v>
      </c>
      <c r="D205" s="52">
        <v>0.55000000000000004</v>
      </c>
      <c r="E205" s="52">
        <v>0.1</v>
      </c>
      <c r="F205" s="52">
        <v>0.125</v>
      </c>
      <c r="G205" s="62">
        <f t="shared" si="11"/>
        <v>-6.8750000000000009E-3</v>
      </c>
      <c r="H205" s="52"/>
    </row>
    <row r="206" spans="1:8" x14ac:dyDescent="0.25">
      <c r="A206" s="52"/>
      <c r="B206" s="52"/>
      <c r="C206" s="52">
        <v>-1</v>
      </c>
      <c r="D206" s="52">
        <v>0.4</v>
      </c>
      <c r="E206" s="52">
        <v>0.03</v>
      </c>
      <c r="F206" s="52">
        <v>0.125</v>
      </c>
      <c r="G206" s="62">
        <f t="shared" si="11"/>
        <v>-1.5E-3</v>
      </c>
      <c r="H206" s="52"/>
    </row>
    <row r="207" spans="1:8" x14ac:dyDescent="0.25">
      <c r="A207" s="52"/>
      <c r="B207" s="52" t="s">
        <v>390</v>
      </c>
      <c r="C207" s="52">
        <v>1</v>
      </c>
      <c r="D207" s="52">
        <v>1.2450000000000001</v>
      </c>
      <c r="E207" s="52">
        <v>0.51500000000000001</v>
      </c>
      <c r="F207" s="52">
        <v>0.125</v>
      </c>
      <c r="G207" s="62">
        <f t="shared" si="11"/>
        <v>8.0146875000000006E-2</v>
      </c>
      <c r="H207" s="52"/>
    </row>
    <row r="208" spans="1:8" x14ac:dyDescent="0.25">
      <c r="A208" s="52"/>
      <c r="B208" s="52" t="s">
        <v>408</v>
      </c>
      <c r="C208" s="52">
        <v>1</v>
      </c>
      <c r="D208" s="52">
        <v>5.93</v>
      </c>
      <c r="E208" s="52">
        <v>1.55</v>
      </c>
      <c r="F208" s="52">
        <v>0.16500000000000001</v>
      </c>
      <c r="G208" s="62">
        <f t="shared" si="11"/>
        <v>1.5165975</v>
      </c>
      <c r="H208" s="52"/>
    </row>
    <row r="209" spans="1:8" x14ac:dyDescent="0.25">
      <c r="A209" s="52"/>
      <c r="B209" s="52" t="s">
        <v>409</v>
      </c>
      <c r="C209" s="52">
        <v>1</v>
      </c>
      <c r="D209" s="52">
        <v>5.93</v>
      </c>
      <c r="E209" s="52">
        <v>0.15</v>
      </c>
      <c r="F209" s="52">
        <v>0.375</v>
      </c>
      <c r="G209" s="62">
        <f t="shared" si="11"/>
        <v>0.33356249999999998</v>
      </c>
      <c r="H209" s="52"/>
    </row>
    <row r="210" spans="1:8" x14ac:dyDescent="0.25">
      <c r="A210" s="52"/>
      <c r="B210" s="52"/>
      <c r="C210" s="52">
        <v>1</v>
      </c>
      <c r="D210" s="52">
        <f>+D209-0.3</f>
        <v>5.63</v>
      </c>
      <c r="E210" s="52">
        <v>0</v>
      </c>
      <c r="F210" s="52">
        <v>0.21</v>
      </c>
      <c r="G210" s="62">
        <f t="shared" si="11"/>
        <v>0</v>
      </c>
      <c r="H210" s="52"/>
    </row>
    <row r="211" spans="1:8" x14ac:dyDescent="0.25">
      <c r="A211" s="52"/>
      <c r="B211" s="52"/>
      <c r="C211" s="52">
        <v>2</v>
      </c>
      <c r="D211" s="52">
        <f>0.985+0.05</f>
        <v>1.0349999999999999</v>
      </c>
      <c r="E211" s="52">
        <v>0.15</v>
      </c>
      <c r="F211" s="52">
        <v>0.375</v>
      </c>
      <c r="G211" s="62">
        <f t="shared" si="11"/>
        <v>0.11643749999999997</v>
      </c>
      <c r="H211" s="52"/>
    </row>
    <row r="212" spans="1:8" x14ac:dyDescent="0.25">
      <c r="A212" s="52"/>
      <c r="B212" s="52"/>
      <c r="C212" s="52">
        <v>2</v>
      </c>
      <c r="D212" s="52">
        <f>+D211-0.15</f>
        <v>0.8849999999999999</v>
      </c>
      <c r="E212" s="52">
        <v>0</v>
      </c>
      <c r="F212" s="52">
        <v>0.21</v>
      </c>
      <c r="G212" s="62">
        <f t="shared" si="11"/>
        <v>0</v>
      </c>
      <c r="H212" s="52"/>
    </row>
    <row r="213" spans="1:8" x14ac:dyDescent="0.25">
      <c r="A213" s="52"/>
      <c r="B213" s="52" t="s">
        <v>410</v>
      </c>
      <c r="C213" s="52">
        <v>1</v>
      </c>
      <c r="D213" s="52">
        <f>3.515+0.05</f>
        <v>3.5649999999999999</v>
      </c>
      <c r="E213" s="52">
        <v>1.55</v>
      </c>
      <c r="F213" s="52">
        <v>0.16500000000000001</v>
      </c>
      <c r="G213" s="62">
        <f t="shared" si="11"/>
        <v>0.91174875000000011</v>
      </c>
      <c r="H213" s="52"/>
    </row>
    <row r="214" spans="1:8" x14ac:dyDescent="0.25">
      <c r="A214" s="52"/>
      <c r="B214" s="52" t="s">
        <v>409</v>
      </c>
      <c r="C214" s="52">
        <v>1</v>
      </c>
      <c r="D214" s="52">
        <f>3.515+0.05</f>
        <v>3.5649999999999999</v>
      </c>
      <c r="E214" s="52">
        <v>0.15</v>
      </c>
      <c r="F214" s="52">
        <v>0.375</v>
      </c>
      <c r="G214" s="62">
        <f t="shared" si="11"/>
        <v>0.20053124999999999</v>
      </c>
      <c r="H214" s="52"/>
    </row>
    <row r="215" spans="1:8" x14ac:dyDescent="0.25">
      <c r="A215" s="52"/>
      <c r="B215" s="52"/>
      <c r="C215" s="52">
        <v>1</v>
      </c>
      <c r="D215" s="52">
        <f>+D214-0.15</f>
        <v>3.415</v>
      </c>
      <c r="E215" s="52">
        <v>0</v>
      </c>
      <c r="F215" s="52">
        <v>0.21</v>
      </c>
      <c r="G215" s="62">
        <f t="shared" si="11"/>
        <v>0</v>
      </c>
      <c r="H215" s="52"/>
    </row>
    <row r="216" spans="1:8" x14ac:dyDescent="0.25">
      <c r="A216" s="52"/>
      <c r="B216" s="52"/>
      <c r="C216" s="52">
        <v>1</v>
      </c>
      <c r="D216" s="52">
        <v>1.55</v>
      </c>
      <c r="E216" s="52">
        <v>0.15</v>
      </c>
      <c r="F216" s="52">
        <v>0.375</v>
      </c>
      <c r="G216" s="62">
        <f t="shared" si="11"/>
        <v>8.7187500000000001E-2</v>
      </c>
      <c r="H216" s="52"/>
    </row>
    <row r="217" spans="1:8" x14ac:dyDescent="0.25">
      <c r="A217" s="52"/>
      <c r="B217" s="52"/>
      <c r="C217" s="52">
        <v>1</v>
      </c>
      <c r="D217" s="52">
        <v>1.4</v>
      </c>
      <c r="E217" s="52">
        <v>0</v>
      </c>
      <c r="F217" s="52">
        <v>0.21</v>
      </c>
      <c r="G217" s="62">
        <f t="shared" si="11"/>
        <v>0</v>
      </c>
      <c r="H217" s="52"/>
    </row>
    <row r="218" spans="1:8" x14ac:dyDescent="0.25">
      <c r="A218" s="52"/>
      <c r="B218" s="52" t="s">
        <v>411</v>
      </c>
      <c r="C218" s="52">
        <v>1</v>
      </c>
      <c r="D218" s="52">
        <v>1.55</v>
      </c>
      <c r="E218" s="52">
        <v>1.55</v>
      </c>
      <c r="F218" s="52">
        <v>0.16500000000000001</v>
      </c>
      <c r="G218" s="62">
        <f t="shared" si="11"/>
        <v>0.39641250000000006</v>
      </c>
      <c r="H218" s="52"/>
    </row>
    <row r="219" spans="1:8" x14ac:dyDescent="0.25">
      <c r="A219" s="52"/>
      <c r="B219" s="52" t="s">
        <v>409</v>
      </c>
      <c r="C219" s="52">
        <v>1</v>
      </c>
      <c r="D219" s="52">
        <v>1.55</v>
      </c>
      <c r="E219" s="52">
        <v>0.15</v>
      </c>
      <c r="F219" s="52">
        <v>0.375</v>
      </c>
      <c r="G219" s="62">
        <f t="shared" si="11"/>
        <v>8.7187500000000001E-2</v>
      </c>
      <c r="H219" s="52"/>
    </row>
    <row r="220" spans="1:8" x14ac:dyDescent="0.25">
      <c r="A220" s="52"/>
      <c r="B220" s="52"/>
      <c r="C220" s="52">
        <v>1</v>
      </c>
      <c r="D220" s="52">
        <v>1.55</v>
      </c>
      <c r="E220" s="52">
        <v>0</v>
      </c>
      <c r="F220" s="52">
        <v>0.21</v>
      </c>
      <c r="G220" s="62">
        <f t="shared" si="11"/>
        <v>0</v>
      </c>
      <c r="H220" s="52"/>
    </row>
    <row r="221" spans="1:8" x14ac:dyDescent="0.25">
      <c r="A221" s="52"/>
      <c r="B221" s="56" t="s">
        <v>417</v>
      </c>
      <c r="C221" s="56"/>
      <c r="D221" s="56"/>
      <c r="E221" s="56"/>
      <c r="F221" s="56"/>
      <c r="G221" s="65">
        <f>SUM(G192:G220)*5</f>
        <v>73.148871875000012</v>
      </c>
      <c r="H221" s="52"/>
    </row>
    <row r="222" spans="1:8" x14ac:dyDescent="0.25">
      <c r="A222" s="52"/>
      <c r="B222" s="52"/>
      <c r="C222" s="52"/>
      <c r="D222" s="52"/>
      <c r="E222" s="52"/>
      <c r="F222" s="52"/>
      <c r="G222" s="62"/>
      <c r="H222" s="52"/>
    </row>
    <row r="223" spans="1:8" x14ac:dyDescent="0.25">
      <c r="A223" s="52"/>
      <c r="B223" s="52" t="s">
        <v>418</v>
      </c>
      <c r="C223" s="52">
        <v>1</v>
      </c>
      <c r="D223" s="52">
        <v>5.09</v>
      </c>
      <c r="E223" s="52">
        <v>1.5</v>
      </c>
      <c r="F223" s="52">
        <v>0.125</v>
      </c>
      <c r="G223" s="62">
        <f t="shared" ref="G223:G238" si="12">+PRODUCT(C223:F223)</f>
        <v>0.95437499999999997</v>
      </c>
      <c r="H223" s="52"/>
    </row>
    <row r="224" spans="1:8" x14ac:dyDescent="0.25">
      <c r="A224" s="52"/>
      <c r="B224" s="52"/>
      <c r="C224" s="52">
        <v>1</v>
      </c>
      <c r="D224" s="52">
        <v>3.14</v>
      </c>
      <c r="E224" s="52">
        <v>0.95499999999999996</v>
      </c>
      <c r="F224" s="52">
        <v>0.125</v>
      </c>
      <c r="G224" s="62">
        <f t="shared" si="12"/>
        <v>0.37483749999999999</v>
      </c>
      <c r="H224" s="52"/>
    </row>
    <row r="225" spans="1:8" x14ac:dyDescent="0.25">
      <c r="A225" s="52"/>
      <c r="B225" s="52" t="s">
        <v>419</v>
      </c>
      <c r="C225" s="52">
        <v>1</v>
      </c>
      <c r="D225" s="52">
        <v>3.95</v>
      </c>
      <c r="E225" s="52">
        <v>1.61</v>
      </c>
      <c r="F225" s="52">
        <v>0.125</v>
      </c>
      <c r="G225" s="62">
        <f t="shared" si="12"/>
        <v>0.79493750000000007</v>
      </c>
      <c r="H225" s="52"/>
    </row>
    <row r="226" spans="1:8" x14ac:dyDescent="0.25">
      <c r="A226" s="52"/>
      <c r="B226" s="52"/>
      <c r="C226" s="52">
        <v>1</v>
      </c>
      <c r="D226" s="52">
        <v>5.6349999999999998</v>
      </c>
      <c r="E226" s="52">
        <v>2.44</v>
      </c>
      <c r="F226" s="52">
        <v>0.125</v>
      </c>
      <c r="G226" s="62">
        <f t="shared" si="12"/>
        <v>1.718675</v>
      </c>
      <c r="H226" s="52"/>
    </row>
    <row r="227" spans="1:8" x14ac:dyDescent="0.25">
      <c r="A227" s="52"/>
      <c r="B227" s="52" t="s">
        <v>420</v>
      </c>
      <c r="C227" s="52">
        <v>1</v>
      </c>
      <c r="D227" s="52">
        <v>4.79</v>
      </c>
      <c r="E227" s="52">
        <v>3.19</v>
      </c>
      <c r="F227" s="52">
        <v>0.125</v>
      </c>
      <c r="G227" s="62">
        <f t="shared" si="12"/>
        <v>1.9100124999999999</v>
      </c>
      <c r="H227" s="52"/>
    </row>
    <row r="228" spans="1:8" x14ac:dyDescent="0.25">
      <c r="A228" s="52"/>
      <c r="B228" s="52"/>
      <c r="C228" s="52">
        <v>1</v>
      </c>
      <c r="D228" s="52">
        <v>1.4</v>
      </c>
      <c r="E228" s="52">
        <v>0.65500000000000003</v>
      </c>
      <c r="F228" s="52">
        <v>0.125</v>
      </c>
      <c r="G228" s="62">
        <f t="shared" si="12"/>
        <v>0.11462499999999999</v>
      </c>
      <c r="H228" s="52"/>
    </row>
    <row r="229" spans="1:8" x14ac:dyDescent="0.25">
      <c r="A229" s="52"/>
      <c r="B229" s="52" t="s">
        <v>422</v>
      </c>
      <c r="C229" s="52">
        <v>2</v>
      </c>
      <c r="D229" s="52">
        <v>3.2</v>
      </c>
      <c r="E229" s="52">
        <v>1.5</v>
      </c>
      <c r="F229" s="52">
        <v>0.17499999999999999</v>
      </c>
      <c r="G229" s="62">
        <f t="shared" si="12"/>
        <v>1.6800000000000002</v>
      </c>
      <c r="H229" s="52"/>
    </row>
    <row r="230" spans="1:8" x14ac:dyDescent="0.25">
      <c r="A230" s="52"/>
      <c r="B230" s="52"/>
      <c r="C230" s="52">
        <v>2</v>
      </c>
      <c r="D230" s="52">
        <v>3.07</v>
      </c>
      <c r="E230" s="52">
        <v>1.5</v>
      </c>
      <c r="F230" s="52">
        <v>0.17499999999999999</v>
      </c>
      <c r="G230" s="62">
        <f t="shared" si="12"/>
        <v>1.6117499999999998</v>
      </c>
      <c r="H230" s="52"/>
    </row>
    <row r="231" spans="1:8" x14ac:dyDescent="0.25">
      <c r="A231" s="52"/>
      <c r="B231" s="52" t="s">
        <v>423</v>
      </c>
      <c r="C231" s="52">
        <v>2</v>
      </c>
      <c r="D231" s="52">
        <v>3.2</v>
      </c>
      <c r="E231" s="52">
        <v>1.5</v>
      </c>
      <c r="F231" s="52">
        <v>0.17499999999999999</v>
      </c>
      <c r="G231" s="62">
        <f t="shared" si="12"/>
        <v>1.6800000000000002</v>
      </c>
      <c r="H231" s="52"/>
    </row>
    <row r="232" spans="1:8" x14ac:dyDescent="0.25">
      <c r="A232" s="52"/>
      <c r="B232" s="52"/>
      <c r="C232" s="52">
        <v>2</v>
      </c>
      <c r="D232" s="52">
        <v>3.07</v>
      </c>
      <c r="E232" s="52">
        <v>1.5</v>
      </c>
      <c r="F232" s="52">
        <v>0.17499999999999999</v>
      </c>
      <c r="G232" s="62">
        <f t="shared" si="12"/>
        <v>1.6117499999999998</v>
      </c>
      <c r="H232" s="52"/>
    </row>
    <row r="233" spans="1:8" x14ac:dyDescent="0.25">
      <c r="A233" s="52"/>
      <c r="B233" s="52" t="s">
        <v>424</v>
      </c>
      <c r="C233" s="52">
        <v>2</v>
      </c>
      <c r="D233" s="52">
        <v>1.5</v>
      </c>
      <c r="E233" s="52">
        <v>1.5249999999999999</v>
      </c>
      <c r="F233" s="52">
        <v>0.17499999999999999</v>
      </c>
      <c r="G233" s="62">
        <f t="shared" si="12"/>
        <v>0.80062499999999981</v>
      </c>
      <c r="H233" s="52"/>
    </row>
    <row r="234" spans="1:8" x14ac:dyDescent="0.25">
      <c r="A234" s="52"/>
      <c r="B234" s="52"/>
      <c r="C234" s="52">
        <v>2</v>
      </c>
      <c r="D234" s="52">
        <v>2.4079999999999999</v>
      </c>
      <c r="E234" s="52">
        <v>1.5</v>
      </c>
      <c r="F234" s="52">
        <v>0.17499999999999999</v>
      </c>
      <c r="G234" s="62">
        <f t="shared" si="12"/>
        <v>1.2642</v>
      </c>
      <c r="H234" s="52"/>
    </row>
    <row r="235" spans="1:8" x14ac:dyDescent="0.25">
      <c r="A235" s="52"/>
      <c r="B235" s="52"/>
      <c r="C235" s="52">
        <v>1</v>
      </c>
      <c r="D235" s="52">
        <v>1.0760000000000001</v>
      </c>
      <c r="E235" s="52">
        <v>1.5</v>
      </c>
      <c r="F235" s="52">
        <v>0.17499999999999999</v>
      </c>
      <c r="G235" s="62">
        <f t="shared" si="12"/>
        <v>0.28244999999999998</v>
      </c>
      <c r="H235" s="52"/>
    </row>
    <row r="236" spans="1:8" x14ac:dyDescent="0.25">
      <c r="A236" s="52"/>
      <c r="B236" s="52" t="s">
        <v>425</v>
      </c>
      <c r="C236" s="52">
        <v>2</v>
      </c>
      <c r="D236" s="52">
        <v>1.5</v>
      </c>
      <c r="E236" s="52">
        <v>1.5249999999999999</v>
      </c>
      <c r="F236" s="52">
        <v>0.17499999999999999</v>
      </c>
      <c r="G236" s="62">
        <f t="shared" si="12"/>
        <v>0.80062499999999981</v>
      </c>
      <c r="H236" s="52"/>
    </row>
    <row r="237" spans="1:8" x14ac:dyDescent="0.25">
      <c r="A237" s="52"/>
      <c r="B237" s="52"/>
      <c r="C237" s="52">
        <v>2</v>
      </c>
      <c r="D237" s="52">
        <v>2.4079999999999999</v>
      </c>
      <c r="E237" s="52">
        <v>1.5</v>
      </c>
      <c r="F237" s="52">
        <v>0.17499999999999999</v>
      </c>
      <c r="G237" s="62">
        <f t="shared" si="12"/>
        <v>1.2642</v>
      </c>
      <c r="H237" s="52"/>
    </row>
    <row r="238" spans="1:8" x14ac:dyDescent="0.25">
      <c r="A238" s="52"/>
      <c r="B238" s="52"/>
      <c r="C238" s="52">
        <v>1</v>
      </c>
      <c r="D238" s="52">
        <v>1.0760000000000001</v>
      </c>
      <c r="E238" s="52">
        <v>1.5</v>
      </c>
      <c r="F238" s="52">
        <v>0.17499999999999999</v>
      </c>
      <c r="G238" s="62">
        <f t="shared" si="12"/>
        <v>0.28244999999999998</v>
      </c>
      <c r="H238" s="52"/>
    </row>
    <row r="239" spans="1:8" x14ac:dyDescent="0.25">
      <c r="A239" s="52"/>
      <c r="B239" s="52"/>
      <c r="C239" s="52"/>
      <c r="D239" s="52"/>
      <c r="E239" s="52"/>
      <c r="F239" s="52"/>
      <c r="G239" s="62"/>
      <c r="H239" s="52"/>
    </row>
    <row r="240" spans="1:8" x14ac:dyDescent="0.25">
      <c r="A240" s="52"/>
      <c r="B240" s="56"/>
      <c r="C240" s="52"/>
      <c r="D240" s="52"/>
      <c r="E240" s="52"/>
      <c r="F240" s="52"/>
      <c r="G240" s="65">
        <f>+SUM(G223:G239)</f>
        <v>17.145512500000002</v>
      </c>
      <c r="H240" s="52"/>
    </row>
    <row r="241" spans="1:13" x14ac:dyDescent="0.25">
      <c r="A241" s="52"/>
      <c r="B241" s="52"/>
      <c r="C241" s="52"/>
      <c r="D241" s="52"/>
      <c r="E241" s="52"/>
      <c r="F241" s="52"/>
      <c r="G241" s="62"/>
      <c r="H241" s="52"/>
    </row>
    <row r="242" spans="1:13" x14ac:dyDescent="0.25">
      <c r="A242" s="52"/>
      <c r="B242" s="52"/>
      <c r="C242" s="52"/>
      <c r="D242" s="52"/>
      <c r="E242" s="52"/>
      <c r="F242" s="52"/>
      <c r="G242" s="62"/>
      <c r="H242" s="52"/>
    </row>
    <row r="243" spans="1:13" x14ac:dyDescent="0.25">
      <c r="A243" s="52"/>
      <c r="B243" s="52"/>
      <c r="C243" s="52"/>
      <c r="D243" s="52"/>
      <c r="E243" s="52"/>
      <c r="F243" s="52"/>
      <c r="G243" s="62">
        <f>G128+G162+G190+G221+G240</f>
        <v>225.21900149999999</v>
      </c>
      <c r="H243" s="52"/>
    </row>
    <row r="244" spans="1:13" x14ac:dyDescent="0.25">
      <c r="A244" s="52"/>
      <c r="B244" s="52"/>
      <c r="C244" s="52"/>
      <c r="D244" s="52"/>
      <c r="E244" s="52"/>
      <c r="F244" s="52"/>
      <c r="G244" s="62"/>
      <c r="H244" s="52"/>
    </row>
    <row r="245" spans="1:13" x14ac:dyDescent="0.25">
      <c r="A245" s="52"/>
      <c r="B245" s="52"/>
      <c r="C245" s="52"/>
      <c r="D245" s="52"/>
      <c r="E245" s="52"/>
      <c r="F245" s="52"/>
      <c r="G245" s="62"/>
      <c r="H245" s="52"/>
    </row>
    <row r="246" spans="1:13" x14ac:dyDescent="0.25">
      <c r="A246" s="52"/>
      <c r="B246" s="52"/>
      <c r="C246" s="52"/>
      <c r="D246" s="52"/>
      <c r="E246" s="52"/>
      <c r="F246" s="52"/>
      <c r="G246" s="62"/>
      <c r="H246" s="52"/>
    </row>
    <row r="247" spans="1:13" x14ac:dyDescent="0.25">
      <c r="A247" s="52"/>
      <c r="B247" s="52"/>
      <c r="C247" s="52"/>
      <c r="D247" s="52"/>
      <c r="E247" s="52"/>
      <c r="F247" s="52"/>
      <c r="G247" s="62"/>
      <c r="H247" s="52"/>
    </row>
    <row r="249" spans="1:13" x14ac:dyDescent="0.25">
      <c r="B249" t="s">
        <v>840</v>
      </c>
      <c r="G249"/>
    </row>
    <row r="250" spans="1:13" s="146" customFormat="1" x14ac:dyDescent="0.25">
      <c r="A250" s="142">
        <v>1</v>
      </c>
      <c r="B250" s="143" t="s">
        <v>841</v>
      </c>
      <c r="C250" s="143" t="s">
        <v>835</v>
      </c>
      <c r="D250" s="90">
        <f>31-14</f>
        <v>17</v>
      </c>
      <c r="E250" s="143">
        <v>1</v>
      </c>
      <c r="F250" s="144">
        <v>0.3</v>
      </c>
      <c r="G250" s="144">
        <v>0.6</v>
      </c>
      <c r="H250" s="144">
        <v>0.45</v>
      </c>
      <c r="I250" s="145">
        <f>PRODUCT(D250:H250)</f>
        <v>1.3769999999999998</v>
      </c>
      <c r="J250"/>
      <c r="L250" s="147"/>
      <c r="M250" s="147"/>
    </row>
    <row r="251" spans="1:13" s="146" customFormat="1" x14ac:dyDescent="0.25">
      <c r="A251" s="142"/>
      <c r="B251" s="148" t="s">
        <v>263</v>
      </c>
      <c r="C251" s="148" t="s">
        <v>835</v>
      </c>
      <c r="D251" s="149">
        <v>2</v>
      </c>
      <c r="E251" s="148">
        <v>1</v>
      </c>
      <c r="F251" s="150">
        <v>0.3</v>
      </c>
      <c r="G251" s="150">
        <v>0.6</v>
      </c>
      <c r="H251" s="150">
        <v>0.45</v>
      </c>
      <c r="I251" s="151">
        <f>PRODUCT(D251:H251)</f>
        <v>0.16200000000000001</v>
      </c>
      <c r="J251"/>
      <c r="L251" s="147"/>
      <c r="M251" s="147"/>
    </row>
    <row r="252" spans="1:13" s="146" customFormat="1" x14ac:dyDescent="0.25">
      <c r="A252" s="142"/>
      <c r="B252" s="148" t="s">
        <v>842</v>
      </c>
      <c r="C252" s="148" t="s">
        <v>835</v>
      </c>
      <c r="D252" s="149">
        <v>2</v>
      </c>
      <c r="E252" s="148">
        <v>1</v>
      </c>
      <c r="F252" s="150">
        <v>0.6</v>
      </c>
      <c r="G252" s="150">
        <v>0.2</v>
      </c>
      <c r="H252" s="150">
        <v>0.5</v>
      </c>
      <c r="I252" s="151">
        <f>PRODUCT(D252:H252)</f>
        <v>0.12</v>
      </c>
      <c r="J252"/>
      <c r="L252" s="147"/>
      <c r="M252" s="147"/>
    </row>
    <row r="253" spans="1:13" s="146" customFormat="1" x14ac:dyDescent="0.25">
      <c r="A253" s="142"/>
      <c r="B253" s="148" t="s">
        <v>818</v>
      </c>
      <c r="C253" s="148" t="s">
        <v>835</v>
      </c>
      <c r="D253" s="149">
        <v>1</v>
      </c>
      <c r="E253" s="148">
        <v>1</v>
      </c>
      <c r="F253" s="150">
        <v>0.6</v>
      </c>
      <c r="G253" s="150">
        <v>0.2</v>
      </c>
      <c r="H253" s="150">
        <v>0.5</v>
      </c>
      <c r="I253" s="151">
        <f>PRODUCT(D253:H253)</f>
        <v>0.06</v>
      </c>
      <c r="J253"/>
      <c r="L253" s="147"/>
      <c r="M253" s="147"/>
    </row>
    <row r="254" spans="1:13" s="146" customFormat="1" x14ac:dyDescent="0.25">
      <c r="A254" s="142"/>
      <c r="B254" s="148" t="s">
        <v>818</v>
      </c>
      <c r="C254" s="148" t="s">
        <v>835</v>
      </c>
      <c r="D254" s="149">
        <v>1</v>
      </c>
      <c r="E254" s="148">
        <v>1</v>
      </c>
      <c r="F254" s="150">
        <v>0.6</v>
      </c>
      <c r="G254" s="150">
        <v>0.2</v>
      </c>
      <c r="H254" s="150">
        <v>0.45</v>
      </c>
      <c r="I254" s="151">
        <f>PRODUCT(D254:H254)</f>
        <v>5.3999999999999999E-2</v>
      </c>
      <c r="J254"/>
      <c r="L254" s="147"/>
      <c r="M254" s="147"/>
    </row>
    <row r="255" spans="1:13" s="146" customFormat="1" x14ac:dyDescent="0.25">
      <c r="A255" s="142"/>
      <c r="B255" s="148" t="s">
        <v>843</v>
      </c>
      <c r="C255" s="148" t="s">
        <v>835</v>
      </c>
      <c r="D255" s="149">
        <v>2</v>
      </c>
      <c r="E255" s="148">
        <v>1</v>
      </c>
      <c r="F255" s="150">
        <f>0.6-0.2+0.6</f>
        <v>1</v>
      </c>
      <c r="G255" s="150">
        <v>0.6</v>
      </c>
      <c r="H255" s="150">
        <v>0.13500000000000001</v>
      </c>
      <c r="I255" s="151">
        <f>PRODUCT(D255:H255)</f>
        <v>0.16200000000000001</v>
      </c>
      <c r="J255"/>
      <c r="L255" s="147"/>
      <c r="M255" s="147"/>
    </row>
    <row r="256" spans="1:13" s="146" customFormat="1" x14ac:dyDescent="0.25">
      <c r="A256" s="142"/>
      <c r="B256" s="148" t="s">
        <v>268</v>
      </c>
      <c r="C256" s="148" t="s">
        <v>835</v>
      </c>
      <c r="D256" s="149">
        <v>2</v>
      </c>
      <c r="E256" s="148">
        <v>1</v>
      </c>
      <c r="F256" s="150">
        <v>0.3</v>
      </c>
      <c r="G256" s="150">
        <v>0.6</v>
      </c>
      <c r="H256" s="150">
        <v>0.45</v>
      </c>
      <c r="I256" s="151">
        <f>PRODUCT(D256:H256)</f>
        <v>0.16200000000000001</v>
      </c>
      <c r="J256"/>
      <c r="L256" s="147"/>
      <c r="M256" s="147"/>
    </row>
    <row r="257" spans="1:13" s="146" customFormat="1" x14ac:dyDescent="0.25">
      <c r="A257" s="142"/>
      <c r="B257" s="148" t="s">
        <v>844</v>
      </c>
      <c r="C257" s="148" t="s">
        <v>835</v>
      </c>
      <c r="D257" s="149">
        <v>2</v>
      </c>
      <c r="E257" s="148">
        <v>1</v>
      </c>
      <c r="F257" s="150">
        <v>0.6</v>
      </c>
      <c r="G257" s="150">
        <v>0.2</v>
      </c>
      <c r="H257" s="150">
        <v>0.45</v>
      </c>
      <c r="I257" s="151">
        <f>PRODUCT(D257:H257)</f>
        <v>0.108</v>
      </c>
      <c r="J257"/>
      <c r="L257" s="147"/>
      <c r="M257" s="147"/>
    </row>
    <row r="258" spans="1:13" s="146" customFormat="1" x14ac:dyDescent="0.25">
      <c r="A258" s="142"/>
      <c r="B258" s="148" t="s">
        <v>818</v>
      </c>
      <c r="C258" s="148" t="s">
        <v>835</v>
      </c>
      <c r="D258" s="149">
        <v>3</v>
      </c>
      <c r="E258" s="148">
        <v>1</v>
      </c>
      <c r="F258" s="150">
        <v>0.6</v>
      </c>
      <c r="G258" s="150">
        <v>0.2</v>
      </c>
      <c r="H258" s="150">
        <v>0.45</v>
      </c>
      <c r="I258" s="151">
        <f>PRODUCT(D258:H258)</f>
        <v>0.16200000000000001</v>
      </c>
      <c r="J258"/>
      <c r="L258" s="147"/>
      <c r="M258" s="147"/>
    </row>
    <row r="259" spans="1:13" s="146" customFormat="1" x14ac:dyDescent="0.25">
      <c r="A259" s="142"/>
      <c r="B259" s="148" t="s">
        <v>818</v>
      </c>
      <c r="C259" s="148" t="s">
        <v>835</v>
      </c>
      <c r="D259" s="149">
        <v>1</v>
      </c>
      <c r="E259" s="148">
        <v>1</v>
      </c>
      <c r="F259" s="150">
        <v>0.6</v>
      </c>
      <c r="G259" s="150">
        <v>0.2</v>
      </c>
      <c r="H259" s="150">
        <v>0.5</v>
      </c>
      <c r="I259" s="151">
        <f>PRODUCT(D259:H259)</f>
        <v>0.06</v>
      </c>
      <c r="J259"/>
      <c r="L259" s="147"/>
      <c r="M259" s="147"/>
    </row>
    <row r="260" spans="1:13" s="146" customFormat="1" x14ac:dyDescent="0.25">
      <c r="A260" s="142"/>
      <c r="B260" s="148" t="s">
        <v>843</v>
      </c>
      <c r="C260" s="148" t="s">
        <v>835</v>
      </c>
      <c r="D260" s="149">
        <v>2</v>
      </c>
      <c r="E260" s="148">
        <v>1</v>
      </c>
      <c r="F260" s="150">
        <f>0.4+0.6</f>
        <v>1</v>
      </c>
      <c r="G260" s="150">
        <v>0.6</v>
      </c>
      <c r="H260" s="150">
        <v>0.125</v>
      </c>
      <c r="I260" s="151">
        <f>PRODUCT(D260:H260)</f>
        <v>0.15</v>
      </c>
      <c r="J260"/>
      <c r="L260" s="147"/>
      <c r="M260" s="147"/>
    </row>
    <row r="261" spans="1:13" s="146" customFormat="1" x14ac:dyDescent="0.25">
      <c r="A261" s="142"/>
      <c r="B261" s="148" t="s">
        <v>843</v>
      </c>
      <c r="C261" s="148" t="s">
        <v>835</v>
      </c>
      <c r="D261" s="149">
        <v>2</v>
      </c>
      <c r="E261" s="148">
        <v>1</v>
      </c>
      <c r="F261" s="150">
        <f>0.4+0.6</f>
        <v>1</v>
      </c>
      <c r="G261" s="150">
        <v>0.6</v>
      </c>
      <c r="H261" s="150">
        <v>0.13500000000000001</v>
      </c>
      <c r="I261" s="151">
        <f>PRODUCT(D261:H261)</f>
        <v>0.16200000000000001</v>
      </c>
      <c r="J261"/>
      <c r="L261" s="147"/>
      <c r="M261" s="147"/>
    </row>
    <row r="262" spans="1:13" s="146" customFormat="1" x14ac:dyDescent="0.25">
      <c r="A262" s="142"/>
      <c r="B262" s="148" t="s">
        <v>261</v>
      </c>
      <c r="C262" s="148" t="s">
        <v>835</v>
      </c>
      <c r="D262" s="149">
        <v>2</v>
      </c>
      <c r="E262" s="148">
        <v>1</v>
      </c>
      <c r="F262" s="150">
        <v>0.6</v>
      </c>
      <c r="G262" s="150">
        <v>0.2</v>
      </c>
      <c r="H262" s="150">
        <v>0.45</v>
      </c>
      <c r="I262" s="151">
        <f>PRODUCT(D262:H262)</f>
        <v>0.108</v>
      </c>
      <c r="J262"/>
      <c r="L262" s="147"/>
      <c r="M262" s="147"/>
    </row>
    <row r="263" spans="1:13" s="146" customFormat="1" x14ac:dyDescent="0.25">
      <c r="A263" s="142"/>
      <c r="B263" s="148" t="s">
        <v>845</v>
      </c>
      <c r="C263" s="148" t="s">
        <v>835</v>
      </c>
      <c r="D263" s="149">
        <v>1</v>
      </c>
      <c r="E263" s="148">
        <v>1</v>
      </c>
      <c r="F263" s="150">
        <v>0.6</v>
      </c>
      <c r="G263" s="150">
        <v>0.2</v>
      </c>
      <c r="H263" s="150">
        <v>0.45</v>
      </c>
      <c r="I263" s="151">
        <f>PRODUCT(D263:H263)</f>
        <v>5.3999999999999999E-2</v>
      </c>
      <c r="J263"/>
      <c r="L263" s="147"/>
      <c r="M263" s="147"/>
    </row>
    <row r="264" spans="1:13" s="146" customFormat="1" x14ac:dyDescent="0.25">
      <c r="A264" s="142"/>
      <c r="B264" s="148" t="s">
        <v>752</v>
      </c>
      <c r="C264" s="148" t="s">
        <v>835</v>
      </c>
      <c r="D264" s="149">
        <v>1</v>
      </c>
      <c r="E264" s="148">
        <v>1</v>
      </c>
      <c r="F264" s="150">
        <v>0.6</v>
      </c>
      <c r="G264" s="150">
        <v>0.23</v>
      </c>
      <c r="H264" s="150">
        <v>0.45</v>
      </c>
      <c r="I264" s="151">
        <f>PRODUCT(D264:H264)</f>
        <v>6.2100000000000009E-2</v>
      </c>
      <c r="J264"/>
      <c r="L264" s="147"/>
      <c r="M264" s="147"/>
    </row>
    <row r="265" spans="1:13" s="146" customFormat="1" x14ac:dyDescent="0.25">
      <c r="A265" s="142"/>
      <c r="B265" s="148" t="s">
        <v>510</v>
      </c>
      <c r="C265" s="148" t="s">
        <v>835</v>
      </c>
      <c r="D265" s="149">
        <v>2</v>
      </c>
      <c r="E265" s="148">
        <v>1</v>
      </c>
      <c r="F265" s="150">
        <v>0.6</v>
      </c>
      <c r="G265" s="150">
        <v>0.2</v>
      </c>
      <c r="H265" s="150">
        <v>0.45</v>
      </c>
      <c r="I265" s="151">
        <f>PRODUCT(D265:H265)</f>
        <v>0.108</v>
      </c>
      <c r="J265"/>
      <c r="L265" s="147"/>
      <c r="M265" s="147"/>
    </row>
    <row r="266" spans="1:13" s="146" customFormat="1" x14ac:dyDescent="0.25">
      <c r="A266" s="142"/>
      <c r="B266" s="148" t="s">
        <v>843</v>
      </c>
      <c r="C266" s="148" t="s">
        <v>835</v>
      </c>
      <c r="D266" s="149">
        <v>2</v>
      </c>
      <c r="E266" s="148">
        <v>1</v>
      </c>
      <c r="F266" s="150">
        <f>0.4+0.6</f>
        <v>1</v>
      </c>
      <c r="G266" s="150">
        <v>0.6</v>
      </c>
      <c r="H266" s="150">
        <v>0.125</v>
      </c>
      <c r="I266" s="151">
        <f>PRODUCT(D266:H266)</f>
        <v>0.15</v>
      </c>
      <c r="J266"/>
      <c r="L266" s="147"/>
      <c r="M266" s="147"/>
    </row>
    <row r="267" spans="1:13" s="146" customFormat="1" x14ac:dyDescent="0.25">
      <c r="A267" s="142"/>
      <c r="B267" s="148" t="s">
        <v>846</v>
      </c>
      <c r="C267" s="148" t="s">
        <v>835</v>
      </c>
      <c r="D267" s="149">
        <v>2</v>
      </c>
      <c r="E267" s="148">
        <v>1</v>
      </c>
      <c r="F267" s="150">
        <v>0.3</v>
      </c>
      <c r="G267" s="150">
        <v>0.6</v>
      </c>
      <c r="H267" s="150">
        <v>0.45</v>
      </c>
      <c r="I267" s="151">
        <f>PRODUCT(D267:H267)</f>
        <v>0.16200000000000001</v>
      </c>
      <c r="L267" s="147"/>
      <c r="M267" s="147"/>
    </row>
    <row r="268" spans="1:13" s="146" customFormat="1" x14ac:dyDescent="0.25">
      <c r="A268" s="142"/>
      <c r="B268" s="148" t="s">
        <v>842</v>
      </c>
      <c r="C268" s="148" t="s">
        <v>835</v>
      </c>
      <c r="D268" s="149">
        <v>2</v>
      </c>
      <c r="E268" s="148">
        <v>1</v>
      </c>
      <c r="F268" s="150">
        <v>0.6</v>
      </c>
      <c r="G268" s="150">
        <v>0.2</v>
      </c>
      <c r="H268" s="150">
        <v>0.5</v>
      </c>
      <c r="I268" s="151">
        <f>PRODUCT(D268:H268)</f>
        <v>0.12</v>
      </c>
      <c r="L268" s="147"/>
      <c r="M268" s="147"/>
    </row>
    <row r="269" spans="1:13" s="146" customFormat="1" x14ac:dyDescent="0.25">
      <c r="A269" s="142"/>
      <c r="B269" s="148" t="s">
        <v>507</v>
      </c>
      <c r="C269" s="148" t="s">
        <v>835</v>
      </c>
      <c r="D269" s="149">
        <v>2</v>
      </c>
      <c r="E269" s="148">
        <v>1</v>
      </c>
      <c r="F269" s="150">
        <v>0.6</v>
      </c>
      <c r="G269" s="150">
        <v>0.2</v>
      </c>
      <c r="H269" s="150">
        <v>0.35</v>
      </c>
      <c r="I269" s="151">
        <f>PRODUCT(D269:H269)</f>
        <v>8.3999999999999991E-2</v>
      </c>
      <c r="L269" s="147"/>
      <c r="M269" s="147"/>
    </row>
    <row r="270" spans="1:13" s="146" customFormat="1" x14ac:dyDescent="0.25">
      <c r="A270" s="142"/>
      <c r="B270" s="148" t="s">
        <v>843</v>
      </c>
      <c r="C270" s="148" t="s">
        <v>835</v>
      </c>
      <c r="D270" s="149">
        <v>2</v>
      </c>
      <c r="E270" s="148">
        <v>1</v>
      </c>
      <c r="F270" s="150">
        <f>0.6-0.2+0.6</f>
        <v>1</v>
      </c>
      <c r="G270" s="150">
        <v>0.6</v>
      </c>
      <c r="H270" s="150">
        <v>0.13500000000000001</v>
      </c>
      <c r="I270" s="151">
        <f>PRODUCT(D270:H270)</f>
        <v>0.16200000000000001</v>
      </c>
      <c r="L270" s="147"/>
      <c r="M270" s="147"/>
    </row>
    <row r="271" spans="1:13" s="146" customFormat="1" x14ac:dyDescent="0.25">
      <c r="A271" s="142"/>
      <c r="B271" s="148" t="s">
        <v>262</v>
      </c>
      <c r="C271" s="148" t="s">
        <v>835</v>
      </c>
      <c r="D271" s="149">
        <v>2</v>
      </c>
      <c r="E271" s="148">
        <v>1</v>
      </c>
      <c r="F271" s="150">
        <v>0.3</v>
      </c>
      <c r="G271" s="150">
        <v>0.6</v>
      </c>
      <c r="H271" s="150">
        <v>0.45</v>
      </c>
      <c r="I271" s="151">
        <f>PRODUCT(D271:H271)</f>
        <v>0.16200000000000001</v>
      </c>
      <c r="L271" s="147"/>
      <c r="M271" s="147"/>
    </row>
    <row r="272" spans="1:13" s="146" customFormat="1" x14ac:dyDescent="0.25">
      <c r="A272" s="142"/>
      <c r="B272" s="148" t="s">
        <v>844</v>
      </c>
      <c r="C272" s="148" t="s">
        <v>835</v>
      </c>
      <c r="D272" s="149">
        <v>2</v>
      </c>
      <c r="E272" s="148">
        <v>1</v>
      </c>
      <c r="F272" s="150">
        <v>0.6</v>
      </c>
      <c r="G272" s="150">
        <v>0.2</v>
      </c>
      <c r="H272" s="150">
        <v>0.45</v>
      </c>
      <c r="I272" s="151">
        <f>PRODUCT(D272:H272)</f>
        <v>0.108</v>
      </c>
      <c r="L272" s="147"/>
      <c r="M272" s="147"/>
    </row>
    <row r="273" spans="1:13" s="146" customFormat="1" x14ac:dyDescent="0.25">
      <c r="A273" s="142"/>
      <c r="B273" s="148" t="s">
        <v>509</v>
      </c>
      <c r="C273" s="148" t="s">
        <v>835</v>
      </c>
      <c r="D273" s="149">
        <v>2</v>
      </c>
      <c r="E273" s="148">
        <v>1</v>
      </c>
      <c r="F273" s="150">
        <v>0.6</v>
      </c>
      <c r="G273" s="150">
        <v>0.2</v>
      </c>
      <c r="H273" s="150">
        <v>0.45</v>
      </c>
      <c r="I273" s="151">
        <f>PRODUCT(D273:H273)</f>
        <v>0.108</v>
      </c>
      <c r="L273" s="147"/>
      <c r="M273" s="147"/>
    </row>
    <row r="274" spans="1:13" s="146" customFormat="1" x14ac:dyDescent="0.25">
      <c r="A274" s="142"/>
      <c r="B274" s="148" t="s">
        <v>507</v>
      </c>
      <c r="C274" s="148" t="s">
        <v>835</v>
      </c>
      <c r="D274" s="149">
        <v>2</v>
      </c>
      <c r="E274" s="148">
        <v>1</v>
      </c>
      <c r="F274" s="150">
        <v>0.6</v>
      </c>
      <c r="G274" s="150">
        <v>0.2</v>
      </c>
      <c r="H274" s="150">
        <v>0.35</v>
      </c>
      <c r="I274" s="151">
        <f>PRODUCT(D274:H274)</f>
        <v>8.3999999999999991E-2</v>
      </c>
      <c r="L274" s="147"/>
      <c r="M274" s="147"/>
    </row>
    <row r="275" spans="1:13" s="146" customFormat="1" x14ac:dyDescent="0.25">
      <c r="A275" s="142"/>
      <c r="B275" s="148" t="s">
        <v>843</v>
      </c>
      <c r="C275" s="148" t="s">
        <v>835</v>
      </c>
      <c r="D275" s="149">
        <v>2</v>
      </c>
      <c r="E275" s="148">
        <v>1</v>
      </c>
      <c r="F275" s="150">
        <f>0.6-0.2+0.6</f>
        <v>1</v>
      </c>
      <c r="G275" s="150">
        <v>0.6</v>
      </c>
      <c r="H275" s="150">
        <v>0.13500000000000001</v>
      </c>
      <c r="I275" s="151">
        <f>PRODUCT(D275:H275)</f>
        <v>0.16200000000000001</v>
      </c>
      <c r="L275" s="147"/>
      <c r="M275" s="147"/>
    </row>
    <row r="276" spans="1:13" s="146" customFormat="1" x14ac:dyDescent="0.25">
      <c r="A276" s="142"/>
      <c r="B276" s="148" t="s">
        <v>843</v>
      </c>
      <c r="C276" s="148" t="s">
        <v>835</v>
      </c>
      <c r="D276" s="149">
        <v>2</v>
      </c>
      <c r="E276" s="148">
        <v>1</v>
      </c>
      <c r="F276" s="150">
        <v>1.2</v>
      </c>
      <c r="G276" s="150">
        <v>0.6</v>
      </c>
      <c r="H276" s="150">
        <v>0.15</v>
      </c>
      <c r="I276" s="151">
        <f>PRODUCT(D276:H276)</f>
        <v>0.216</v>
      </c>
      <c r="L276" s="147"/>
      <c r="M276" s="147"/>
    </row>
    <row r="277" spans="1:13" s="146" customFormat="1" x14ac:dyDescent="0.25">
      <c r="A277" s="142"/>
      <c r="B277" s="148" t="s">
        <v>843</v>
      </c>
      <c r="C277" s="148" t="s">
        <v>835</v>
      </c>
      <c r="D277" s="149">
        <v>2</v>
      </c>
      <c r="E277" s="148">
        <v>1</v>
      </c>
      <c r="F277" s="150">
        <v>1.5</v>
      </c>
      <c r="G277" s="150">
        <v>0.6</v>
      </c>
      <c r="H277" s="150">
        <v>0.15</v>
      </c>
      <c r="I277" s="151">
        <f>PRODUCT(D277:H277)</f>
        <v>0.26999999999999996</v>
      </c>
      <c r="L277" s="147"/>
      <c r="M277" s="147"/>
    </row>
    <row r="278" spans="1:13" s="146" customFormat="1" x14ac:dyDescent="0.25">
      <c r="A278" s="142"/>
      <c r="B278" s="148" t="s">
        <v>261</v>
      </c>
      <c r="C278" s="148" t="s">
        <v>835</v>
      </c>
      <c r="D278" s="149">
        <v>2</v>
      </c>
      <c r="E278" s="148">
        <v>1</v>
      </c>
      <c r="F278" s="150">
        <v>0.3</v>
      </c>
      <c r="G278" s="150">
        <v>0.6</v>
      </c>
      <c r="H278" s="150">
        <v>0.45</v>
      </c>
      <c r="I278" s="151">
        <f>PRODUCT(D278:H278)</f>
        <v>0.16200000000000001</v>
      </c>
      <c r="L278" s="147"/>
      <c r="M278" s="147"/>
    </row>
    <row r="279" spans="1:13" s="146" customFormat="1" x14ac:dyDescent="0.25">
      <c r="A279" s="142"/>
      <c r="B279" s="148" t="s">
        <v>847</v>
      </c>
      <c r="C279" s="148" t="s">
        <v>835</v>
      </c>
      <c r="D279" s="149">
        <v>2</v>
      </c>
      <c r="E279" s="148">
        <v>1</v>
      </c>
      <c r="F279" s="150">
        <v>0.6</v>
      </c>
      <c r="G279" s="150">
        <v>0.2</v>
      </c>
      <c r="H279" s="150">
        <v>0.35</v>
      </c>
      <c r="I279" s="151">
        <f>PRODUCT(D279:H279)</f>
        <v>8.3999999999999991E-2</v>
      </c>
      <c r="L279" s="147"/>
      <c r="M279" s="147"/>
    </row>
    <row r="280" spans="1:13" s="146" customFormat="1" x14ac:dyDescent="0.25">
      <c r="A280" s="142"/>
      <c r="B280" s="148" t="s">
        <v>847</v>
      </c>
      <c r="C280" s="148" t="s">
        <v>835</v>
      </c>
      <c r="D280" s="149">
        <v>2</v>
      </c>
      <c r="E280" s="148">
        <v>1</v>
      </c>
      <c r="F280" s="150">
        <v>0.6</v>
      </c>
      <c r="G280" s="150">
        <v>0.2</v>
      </c>
      <c r="H280" s="150">
        <v>0.5</v>
      </c>
      <c r="I280" s="151">
        <f>PRODUCT(D280:H280)</f>
        <v>0.12</v>
      </c>
      <c r="L280" s="147"/>
      <c r="M280" s="147"/>
    </row>
    <row r="281" spans="1:13" s="146" customFormat="1" x14ac:dyDescent="0.25">
      <c r="A281" s="142"/>
      <c r="B281" s="148" t="s">
        <v>506</v>
      </c>
      <c r="C281" s="148" t="s">
        <v>835</v>
      </c>
      <c r="D281" s="149">
        <v>2</v>
      </c>
      <c r="E281" s="148">
        <v>1</v>
      </c>
      <c r="F281" s="150">
        <v>0.6</v>
      </c>
      <c r="G281" s="150">
        <v>0.2</v>
      </c>
      <c r="H281" s="150">
        <v>0.45</v>
      </c>
      <c r="I281" s="151">
        <f>PRODUCT(D281:H281)</f>
        <v>0.108</v>
      </c>
      <c r="L281" s="147"/>
      <c r="M281" s="147"/>
    </row>
    <row r="282" spans="1:13" s="146" customFormat="1" x14ac:dyDescent="0.25">
      <c r="A282" s="142"/>
      <c r="B282" s="148" t="s">
        <v>843</v>
      </c>
      <c r="C282" s="148" t="s">
        <v>835</v>
      </c>
      <c r="D282" s="149">
        <v>2</v>
      </c>
      <c r="E282" s="148">
        <v>1</v>
      </c>
      <c r="F282" s="150">
        <v>0.6</v>
      </c>
      <c r="G282" s="150">
        <v>0.6</v>
      </c>
      <c r="H282" s="150">
        <v>0.13500000000000001</v>
      </c>
      <c r="I282" s="151">
        <f>PRODUCT(D282:H282)</f>
        <v>9.7200000000000009E-2</v>
      </c>
      <c r="L282" s="147"/>
      <c r="M282" s="147"/>
    </row>
    <row r="283" spans="1:13" s="146" customFormat="1" x14ac:dyDescent="0.25">
      <c r="A283" s="142"/>
      <c r="B283" s="148" t="s">
        <v>843</v>
      </c>
      <c r="C283" s="148" t="s">
        <v>835</v>
      </c>
      <c r="D283" s="149">
        <v>2</v>
      </c>
      <c r="E283" s="148">
        <v>1</v>
      </c>
      <c r="F283" s="150">
        <f>0.4+0.6</f>
        <v>1</v>
      </c>
      <c r="G283" s="150">
        <v>0.6</v>
      </c>
      <c r="H283" s="150">
        <v>0.15</v>
      </c>
      <c r="I283" s="151">
        <f>PRODUCT(D283:H283)</f>
        <v>0.18</v>
      </c>
      <c r="L283" s="147"/>
      <c r="M283" s="147"/>
    </row>
    <row r="284" spans="1:13" s="146" customFormat="1" x14ac:dyDescent="0.25">
      <c r="A284" s="142"/>
      <c r="B284" s="148" t="s">
        <v>843</v>
      </c>
      <c r="C284" s="148" t="s">
        <v>835</v>
      </c>
      <c r="D284" s="149">
        <v>2</v>
      </c>
      <c r="E284" s="148">
        <v>1</v>
      </c>
      <c r="F284" s="150">
        <v>1.8</v>
      </c>
      <c r="G284" s="150">
        <v>0.6</v>
      </c>
      <c r="H284" s="150">
        <v>0.2</v>
      </c>
      <c r="I284" s="151">
        <f>PRODUCT(D284:H284)</f>
        <v>0.43200000000000005</v>
      </c>
      <c r="L284" s="147"/>
      <c r="M284" s="147"/>
    </row>
    <row r="285" spans="1:13" s="146" customFormat="1" x14ac:dyDescent="0.25">
      <c r="A285" s="142"/>
      <c r="B285" s="148" t="s">
        <v>262</v>
      </c>
      <c r="C285" s="148" t="s">
        <v>835</v>
      </c>
      <c r="D285" s="149">
        <v>2</v>
      </c>
      <c r="E285" s="148">
        <v>1</v>
      </c>
      <c r="F285" s="150">
        <v>0.3</v>
      </c>
      <c r="G285" s="150">
        <v>0.6</v>
      </c>
      <c r="H285" s="150">
        <v>0.45</v>
      </c>
      <c r="I285" s="151">
        <f>PRODUCT(D285:H285)</f>
        <v>0.16200000000000001</v>
      </c>
      <c r="L285" s="147"/>
      <c r="M285" s="147"/>
    </row>
    <row r="286" spans="1:13" s="146" customFormat="1" x14ac:dyDescent="0.25">
      <c r="A286" s="142"/>
      <c r="B286" s="148" t="s">
        <v>848</v>
      </c>
      <c r="C286" s="148" t="s">
        <v>835</v>
      </c>
      <c r="D286" s="149">
        <v>2</v>
      </c>
      <c r="E286" s="148">
        <v>1</v>
      </c>
      <c r="F286" s="150">
        <v>0.6</v>
      </c>
      <c r="G286" s="150">
        <v>0.2</v>
      </c>
      <c r="H286" s="150">
        <v>0.45</v>
      </c>
      <c r="I286" s="151">
        <f>PRODUCT(D286:H286)</f>
        <v>0.108</v>
      </c>
      <c r="L286" s="147"/>
      <c r="M286" s="147"/>
    </row>
    <row r="287" spans="1:13" s="146" customFormat="1" x14ac:dyDescent="0.25">
      <c r="A287" s="142"/>
      <c r="B287" s="148" t="s">
        <v>506</v>
      </c>
      <c r="C287" s="148" t="s">
        <v>835</v>
      </c>
      <c r="D287" s="149">
        <v>2</v>
      </c>
      <c r="E287" s="148">
        <v>1</v>
      </c>
      <c r="F287" s="150">
        <v>0.6</v>
      </c>
      <c r="G287" s="150">
        <v>0.2</v>
      </c>
      <c r="H287" s="150">
        <v>0.45</v>
      </c>
      <c r="I287" s="151">
        <f>PRODUCT(D287:H287)</f>
        <v>0.108</v>
      </c>
      <c r="L287" s="147"/>
      <c r="M287" s="147"/>
    </row>
    <row r="288" spans="1:13" s="146" customFormat="1" x14ac:dyDescent="0.25">
      <c r="A288" s="142"/>
      <c r="B288" s="148" t="s">
        <v>843</v>
      </c>
      <c r="C288" s="148" t="s">
        <v>835</v>
      </c>
      <c r="D288" s="149">
        <v>2</v>
      </c>
      <c r="E288" s="148">
        <v>1</v>
      </c>
      <c r="F288" s="150">
        <f>0.4+0.6</f>
        <v>1</v>
      </c>
      <c r="G288" s="150">
        <v>0.6</v>
      </c>
      <c r="H288" s="150">
        <v>0.125</v>
      </c>
      <c r="I288" s="151">
        <f>PRODUCT(D288:H288)</f>
        <v>0.15</v>
      </c>
      <c r="L288" s="147"/>
      <c r="M288" s="147"/>
    </row>
    <row r="289" spans="1:13" s="146" customFormat="1" x14ac:dyDescent="0.25">
      <c r="A289" s="142"/>
      <c r="B289" s="148" t="s">
        <v>843</v>
      </c>
      <c r="C289" s="148" t="s">
        <v>835</v>
      </c>
      <c r="D289" s="149">
        <v>2</v>
      </c>
      <c r="E289" s="148">
        <v>1</v>
      </c>
      <c r="F289" s="150">
        <v>0.3</v>
      </c>
      <c r="G289" s="150">
        <v>0.6</v>
      </c>
      <c r="H289" s="150">
        <v>0.15</v>
      </c>
      <c r="I289" s="151">
        <f>PRODUCT(D289:H289)</f>
        <v>5.3999999999999999E-2</v>
      </c>
      <c r="L289" s="147"/>
      <c r="M289" s="147"/>
    </row>
    <row r="290" spans="1:13" s="146" customFormat="1" x14ac:dyDescent="0.25">
      <c r="A290" s="142"/>
      <c r="B290" s="148" t="s">
        <v>843</v>
      </c>
      <c r="C290" s="148" t="s">
        <v>835</v>
      </c>
      <c r="D290" s="149">
        <v>2</v>
      </c>
      <c r="E290" s="148">
        <v>1</v>
      </c>
      <c r="F290" s="150">
        <v>1.8</v>
      </c>
      <c r="G290" s="150">
        <v>0.6</v>
      </c>
      <c r="H290" s="150">
        <v>0.15</v>
      </c>
      <c r="I290" s="151">
        <f>PRODUCT(D290:H290)</f>
        <v>0.32400000000000001</v>
      </c>
      <c r="L290" s="147"/>
      <c r="M290" s="147"/>
    </row>
    <row r="291" spans="1:13" s="146" customFormat="1" x14ac:dyDescent="0.25">
      <c r="A291" s="142"/>
      <c r="B291" s="148" t="s">
        <v>261</v>
      </c>
      <c r="C291" s="148" t="s">
        <v>835</v>
      </c>
      <c r="D291" s="149">
        <v>2</v>
      </c>
      <c r="E291" s="148">
        <v>1</v>
      </c>
      <c r="F291" s="150">
        <v>0.3</v>
      </c>
      <c r="G291" s="150">
        <v>0.6</v>
      </c>
      <c r="H291" s="150">
        <v>0.45</v>
      </c>
      <c r="I291" s="151">
        <f>PRODUCT(D291:H291)</f>
        <v>0.16200000000000001</v>
      </c>
      <c r="L291" s="147"/>
      <c r="M291" s="147"/>
    </row>
    <row r="292" spans="1:13" s="146" customFormat="1" x14ac:dyDescent="0.25">
      <c r="A292" s="142"/>
      <c r="B292" s="148" t="s">
        <v>847</v>
      </c>
      <c r="C292" s="148" t="s">
        <v>835</v>
      </c>
      <c r="D292" s="149">
        <v>2</v>
      </c>
      <c r="E292" s="148">
        <v>1</v>
      </c>
      <c r="F292" s="150">
        <v>0.6</v>
      </c>
      <c r="G292" s="150">
        <v>0.2</v>
      </c>
      <c r="H292" s="150">
        <v>0.5</v>
      </c>
      <c r="I292" s="151">
        <f>PRODUCT(D292:H292)</f>
        <v>0.12</v>
      </c>
      <c r="L292" s="147"/>
      <c r="M292" s="147"/>
    </row>
    <row r="293" spans="1:13" s="146" customFormat="1" x14ac:dyDescent="0.25">
      <c r="A293" s="142"/>
      <c r="B293" s="148" t="s">
        <v>503</v>
      </c>
      <c r="C293" s="148" t="s">
        <v>835</v>
      </c>
      <c r="D293" s="149">
        <v>1</v>
      </c>
      <c r="E293" s="148">
        <v>1</v>
      </c>
      <c r="F293" s="150">
        <v>0.6</v>
      </c>
      <c r="G293" s="150">
        <v>0.23</v>
      </c>
      <c r="H293" s="150">
        <v>0.45</v>
      </c>
      <c r="I293" s="151">
        <f>PRODUCT(D293:H293)</f>
        <v>6.2100000000000009E-2</v>
      </c>
      <c r="L293" s="147"/>
      <c r="M293" s="147"/>
    </row>
    <row r="294" spans="1:13" s="146" customFormat="1" x14ac:dyDescent="0.25">
      <c r="A294" s="142"/>
      <c r="B294" s="148" t="s">
        <v>503</v>
      </c>
      <c r="C294" s="148" t="s">
        <v>835</v>
      </c>
      <c r="D294" s="149">
        <v>1</v>
      </c>
      <c r="E294" s="148">
        <v>1</v>
      </c>
      <c r="F294" s="150">
        <v>0.6</v>
      </c>
      <c r="G294" s="150">
        <v>0.23</v>
      </c>
      <c r="H294" s="150">
        <v>0.5</v>
      </c>
      <c r="I294" s="151">
        <f>PRODUCT(D294:H294)</f>
        <v>6.9000000000000006E-2</v>
      </c>
      <c r="L294" s="147"/>
      <c r="M294" s="147"/>
    </row>
    <row r="295" spans="1:13" s="146" customFormat="1" x14ac:dyDescent="0.25">
      <c r="A295" s="142"/>
      <c r="B295" s="148" t="s">
        <v>505</v>
      </c>
      <c r="C295" s="148" t="s">
        <v>835</v>
      </c>
      <c r="D295" s="149">
        <v>1</v>
      </c>
      <c r="E295" s="148">
        <v>1</v>
      </c>
      <c r="F295" s="150">
        <v>0.6</v>
      </c>
      <c r="G295" s="150">
        <v>0.2</v>
      </c>
      <c r="H295" s="150">
        <v>0.45</v>
      </c>
      <c r="I295" s="151">
        <f>PRODUCT(D295:H295)</f>
        <v>5.3999999999999999E-2</v>
      </c>
      <c r="L295" s="147"/>
      <c r="M295" s="147"/>
    </row>
    <row r="296" spans="1:13" s="146" customFormat="1" x14ac:dyDescent="0.25">
      <c r="A296" s="142"/>
      <c r="B296" s="148" t="s">
        <v>505</v>
      </c>
      <c r="C296" s="148" t="s">
        <v>835</v>
      </c>
      <c r="D296" s="149">
        <v>1</v>
      </c>
      <c r="E296" s="148">
        <v>1</v>
      </c>
      <c r="F296" s="150">
        <v>0.6</v>
      </c>
      <c r="G296" s="150">
        <v>0.23</v>
      </c>
      <c r="H296" s="150">
        <v>0.45</v>
      </c>
      <c r="I296" s="151">
        <f>PRODUCT(D296:H296)</f>
        <v>6.2100000000000009E-2</v>
      </c>
      <c r="L296" s="147"/>
      <c r="M296" s="147"/>
    </row>
    <row r="297" spans="1:13" s="146" customFormat="1" x14ac:dyDescent="0.25">
      <c r="A297" s="142"/>
      <c r="B297" s="148" t="s">
        <v>843</v>
      </c>
      <c r="C297" s="148" t="s">
        <v>835</v>
      </c>
      <c r="D297" s="149">
        <v>2</v>
      </c>
      <c r="E297" s="148">
        <v>1</v>
      </c>
      <c r="F297" s="150">
        <f>0.4+0.6</f>
        <v>1</v>
      </c>
      <c r="G297" s="150">
        <v>0.6</v>
      </c>
      <c r="H297" s="150">
        <v>0.13500000000000001</v>
      </c>
      <c r="I297" s="151">
        <f>PRODUCT(D297:H297)</f>
        <v>0.16200000000000001</v>
      </c>
      <c r="L297" s="147"/>
      <c r="M297" s="147"/>
    </row>
    <row r="298" spans="1:13" s="146" customFormat="1" x14ac:dyDescent="0.25">
      <c r="A298" s="142"/>
      <c r="B298" s="148" t="s">
        <v>843</v>
      </c>
      <c r="C298" s="148" t="s">
        <v>835</v>
      </c>
      <c r="D298" s="149">
        <v>2</v>
      </c>
      <c r="E298" s="148">
        <v>1</v>
      </c>
      <c r="F298" s="150">
        <f>0.6+0.3+0.6</f>
        <v>1.5</v>
      </c>
      <c r="G298" s="150">
        <v>0.6</v>
      </c>
      <c r="H298" s="150">
        <v>0.15</v>
      </c>
      <c r="I298" s="151">
        <f>PRODUCT(D298:H298)</f>
        <v>0.26999999999999996</v>
      </c>
      <c r="L298" s="147"/>
      <c r="M298" s="147"/>
    </row>
    <row r="299" spans="1:13" s="146" customFormat="1" x14ac:dyDescent="0.25">
      <c r="A299" s="142"/>
      <c r="B299" s="148" t="s">
        <v>843</v>
      </c>
      <c r="C299" s="148" t="s">
        <v>835</v>
      </c>
      <c r="D299" s="149">
        <v>2</v>
      </c>
      <c r="E299" s="148">
        <v>1</v>
      </c>
      <c r="F299" s="150">
        <f>0.4+0.6</f>
        <v>1</v>
      </c>
      <c r="G299" s="150">
        <v>0.6</v>
      </c>
      <c r="H299" s="150">
        <v>0.125</v>
      </c>
      <c r="I299" s="151">
        <f>PRODUCT(D299:H299)</f>
        <v>0.15</v>
      </c>
      <c r="L299" s="147"/>
      <c r="M299" s="147"/>
    </row>
    <row r="300" spans="1:13" s="146" customFormat="1" x14ac:dyDescent="0.25">
      <c r="A300" s="142"/>
      <c r="B300" s="143"/>
      <c r="C300" s="143"/>
      <c r="D300" s="90"/>
      <c r="E300" s="143"/>
      <c r="F300" s="144"/>
      <c r="G300" s="144"/>
      <c r="H300" s="144"/>
      <c r="I300" s="145"/>
      <c r="J300"/>
      <c r="L300" s="147"/>
      <c r="M300" s="147"/>
    </row>
    <row r="301" spans="1:13" s="146" customFormat="1" x14ac:dyDescent="0.25">
      <c r="A301" s="142">
        <v>2</v>
      </c>
      <c r="B301" s="90" t="s">
        <v>849</v>
      </c>
      <c r="C301" s="143" t="s">
        <v>835</v>
      </c>
      <c r="D301" s="90">
        <v>15</v>
      </c>
      <c r="E301" s="143">
        <v>1</v>
      </c>
      <c r="F301" s="144">
        <v>0.3</v>
      </c>
      <c r="G301" s="144">
        <v>0.7</v>
      </c>
      <c r="H301" s="144">
        <v>0.45</v>
      </c>
      <c r="I301" s="145">
        <f>PRODUCT(D301:H301)</f>
        <v>1.4175</v>
      </c>
      <c r="J301"/>
      <c r="L301" s="147"/>
      <c r="M301" s="147"/>
    </row>
    <row r="302" spans="1:13" s="146" customFormat="1" x14ac:dyDescent="0.25">
      <c r="A302" s="142">
        <v>3</v>
      </c>
      <c r="B302" s="90" t="s">
        <v>850</v>
      </c>
      <c r="C302" s="143" t="s">
        <v>835</v>
      </c>
      <c r="D302" s="90">
        <v>7</v>
      </c>
      <c r="E302" s="143">
        <v>1</v>
      </c>
      <c r="F302" s="144">
        <v>0.3</v>
      </c>
      <c r="G302" s="144">
        <v>0.71499999999999997</v>
      </c>
      <c r="H302" s="144">
        <v>0.45</v>
      </c>
      <c r="I302" s="145">
        <f>PRODUCT(D302:H302)</f>
        <v>0.67567500000000003</v>
      </c>
      <c r="J302"/>
      <c r="L302" s="147"/>
      <c r="M302" s="147"/>
    </row>
    <row r="303" spans="1:13" s="146" customFormat="1" x14ac:dyDescent="0.25">
      <c r="A303" s="152">
        <v>4</v>
      </c>
      <c r="B303" s="149" t="s">
        <v>851</v>
      </c>
      <c r="C303" s="148" t="s">
        <v>835</v>
      </c>
      <c r="D303" s="149">
        <v>2</v>
      </c>
      <c r="E303" s="148">
        <v>1</v>
      </c>
      <c r="F303" s="150">
        <v>0.3</v>
      </c>
      <c r="G303" s="150">
        <v>0.8</v>
      </c>
      <c r="H303" s="150">
        <v>0.45</v>
      </c>
      <c r="I303" s="151">
        <f>PRODUCT(D303:H303)</f>
        <v>0.216</v>
      </c>
      <c r="J303"/>
      <c r="L303" s="147"/>
      <c r="M303" s="147"/>
    </row>
    <row r="304" spans="1:13" s="146" customFormat="1" x14ac:dyDescent="0.25">
      <c r="A304" s="152"/>
      <c r="B304" s="149" t="s">
        <v>503</v>
      </c>
      <c r="C304" s="148" t="s">
        <v>835</v>
      </c>
      <c r="D304" s="149">
        <v>2</v>
      </c>
      <c r="E304" s="148">
        <v>1</v>
      </c>
      <c r="F304" s="150">
        <v>0.6</v>
      </c>
      <c r="G304" s="150">
        <v>0.2</v>
      </c>
      <c r="H304" s="150">
        <v>0.5</v>
      </c>
      <c r="I304" s="151">
        <f>PRODUCT(D304:H304)</f>
        <v>0.12</v>
      </c>
      <c r="J304"/>
      <c r="L304" s="147"/>
      <c r="M304" s="147"/>
    </row>
    <row r="305" spans="1:13" s="146" customFormat="1" x14ac:dyDescent="0.25">
      <c r="A305" s="152"/>
      <c r="B305" s="149" t="s">
        <v>440</v>
      </c>
      <c r="C305" s="148" t="s">
        <v>835</v>
      </c>
      <c r="D305" s="149">
        <v>2</v>
      </c>
      <c r="E305" s="148">
        <v>1</v>
      </c>
      <c r="F305" s="150">
        <v>0.6</v>
      </c>
      <c r="G305" s="150">
        <v>0.2</v>
      </c>
      <c r="H305" s="150">
        <v>0.35</v>
      </c>
      <c r="I305" s="151">
        <f>PRODUCT(D305:H305)</f>
        <v>8.3999999999999991E-2</v>
      </c>
      <c r="J305"/>
      <c r="L305" s="147"/>
      <c r="M305" s="147"/>
    </row>
    <row r="306" spans="1:13" s="146" customFormat="1" x14ac:dyDescent="0.25">
      <c r="A306" s="152"/>
      <c r="B306" s="149" t="s">
        <v>438</v>
      </c>
      <c r="C306" s="148" t="s">
        <v>835</v>
      </c>
      <c r="D306" s="149">
        <v>2</v>
      </c>
      <c r="E306" s="148">
        <v>1</v>
      </c>
      <c r="F306" s="150">
        <v>0.6</v>
      </c>
      <c r="G306" s="150">
        <v>0.115</v>
      </c>
      <c r="H306" s="150">
        <v>0.35</v>
      </c>
      <c r="I306" s="151">
        <f>PRODUCT(D306:H306)</f>
        <v>4.8300000000000003E-2</v>
      </c>
      <c r="J306"/>
      <c r="L306" s="147"/>
      <c r="M306" s="147"/>
    </row>
    <row r="307" spans="1:13" s="146" customFormat="1" x14ac:dyDescent="0.25">
      <c r="A307" s="142">
        <v>5</v>
      </c>
      <c r="B307" s="153" t="s">
        <v>852</v>
      </c>
      <c r="C307" s="143" t="s">
        <v>835</v>
      </c>
      <c r="D307" s="90">
        <v>1</v>
      </c>
      <c r="E307" s="143">
        <v>1</v>
      </c>
      <c r="F307" s="144">
        <v>0.23</v>
      </c>
      <c r="G307" s="144">
        <v>0.65</v>
      </c>
      <c r="H307" s="144">
        <v>0.45</v>
      </c>
      <c r="I307" s="145">
        <f>PRODUCT(D307:H307)</f>
        <v>6.7275000000000015E-2</v>
      </c>
      <c r="J307"/>
      <c r="L307" s="147"/>
      <c r="M307" s="147"/>
    </row>
    <row r="308" spans="1:13" s="146" customFormat="1" x14ac:dyDescent="0.25">
      <c r="A308" s="142">
        <v>6</v>
      </c>
      <c r="B308" s="153"/>
      <c r="C308" s="143" t="s">
        <v>835</v>
      </c>
      <c r="D308" s="90">
        <v>1</v>
      </c>
      <c r="E308" s="143">
        <v>1</v>
      </c>
      <c r="F308" s="144">
        <v>0.23</v>
      </c>
      <c r="G308" s="144">
        <f>1.65-0.23</f>
        <v>1.42</v>
      </c>
      <c r="H308" s="144">
        <v>0.45</v>
      </c>
      <c r="I308" s="145">
        <f>PRODUCT(D308:H308)</f>
        <v>0.14697000000000002</v>
      </c>
      <c r="J308"/>
      <c r="L308" s="147"/>
      <c r="M308" s="147"/>
    </row>
    <row r="309" spans="1:13" s="146" customFormat="1" x14ac:dyDescent="0.25">
      <c r="A309" s="142">
        <v>7</v>
      </c>
      <c r="B309" s="154" t="s">
        <v>853</v>
      </c>
      <c r="C309" s="148" t="s">
        <v>835</v>
      </c>
      <c r="D309" s="149">
        <v>1</v>
      </c>
      <c r="E309" s="148">
        <v>1</v>
      </c>
      <c r="F309" s="150">
        <v>0.23</v>
      </c>
      <c r="G309" s="150">
        <v>0.65</v>
      </c>
      <c r="H309" s="150">
        <v>0.45</v>
      </c>
      <c r="I309" s="151">
        <f>PRODUCT(D309:H309)</f>
        <v>6.7275000000000015E-2</v>
      </c>
      <c r="J309"/>
      <c r="L309" s="147"/>
      <c r="M309" s="147"/>
    </row>
    <row r="310" spans="1:13" s="146" customFormat="1" x14ac:dyDescent="0.25">
      <c r="A310" s="142">
        <v>8</v>
      </c>
      <c r="B310" s="154"/>
      <c r="C310" s="148" t="s">
        <v>835</v>
      </c>
      <c r="D310" s="149">
        <v>1</v>
      </c>
      <c r="E310" s="148">
        <v>1</v>
      </c>
      <c r="F310" s="150">
        <v>0.23</v>
      </c>
      <c r="G310" s="150">
        <f>1.85-0.23</f>
        <v>1.62</v>
      </c>
      <c r="H310" s="150">
        <v>0.45</v>
      </c>
      <c r="I310" s="151">
        <f>PRODUCT(D310:H310)</f>
        <v>0.16767000000000001</v>
      </c>
      <c r="J310"/>
      <c r="L310" s="147"/>
      <c r="M310" s="147"/>
    </row>
    <row r="311" spans="1:13" s="146" customFormat="1" x14ac:dyDescent="0.25">
      <c r="A311" s="142"/>
      <c r="B311" s="154" t="s">
        <v>435</v>
      </c>
      <c r="C311" s="148" t="s">
        <v>835</v>
      </c>
      <c r="D311" s="149">
        <v>1</v>
      </c>
      <c r="E311" s="148">
        <v>1</v>
      </c>
      <c r="F311" s="150">
        <v>0.6</v>
      </c>
      <c r="G311" s="150">
        <v>0.23</v>
      </c>
      <c r="H311" s="150">
        <v>0.5</v>
      </c>
      <c r="I311" s="151">
        <f>PRODUCT(D311:H311)</f>
        <v>6.9000000000000006E-2</v>
      </c>
      <c r="J311"/>
      <c r="L311" s="147"/>
      <c r="M311" s="147"/>
    </row>
    <row r="312" spans="1:13" s="146" customFormat="1" x14ac:dyDescent="0.25">
      <c r="A312" s="142"/>
      <c r="B312" s="154" t="s">
        <v>505</v>
      </c>
      <c r="C312" s="148" t="s">
        <v>835</v>
      </c>
      <c r="D312" s="149">
        <v>1</v>
      </c>
      <c r="E312" s="148">
        <v>1</v>
      </c>
      <c r="F312" s="150">
        <v>0.6</v>
      </c>
      <c r="G312" s="150">
        <v>0.23</v>
      </c>
      <c r="H312" s="150">
        <v>0.45</v>
      </c>
      <c r="I312" s="151">
        <f>PRODUCT(D312:H312)</f>
        <v>6.2100000000000009E-2</v>
      </c>
      <c r="J312"/>
      <c r="L312" s="147"/>
      <c r="M312" s="147"/>
    </row>
    <row r="313" spans="1:13" s="146" customFormat="1" x14ac:dyDescent="0.25">
      <c r="A313" s="142"/>
      <c r="B313" s="154" t="s">
        <v>843</v>
      </c>
      <c r="C313" s="148" t="s">
        <v>835</v>
      </c>
      <c r="D313" s="149">
        <v>1</v>
      </c>
      <c r="E313" s="148">
        <v>1</v>
      </c>
      <c r="F313" s="150">
        <f>1.62+0.6</f>
        <v>2.2200000000000002</v>
      </c>
      <c r="G313" s="150">
        <f>0.6+0.65</f>
        <v>1.25</v>
      </c>
      <c r="H313" s="150">
        <v>0.15</v>
      </c>
      <c r="I313" s="151">
        <f>PRODUCT(D313:H313)</f>
        <v>0.41625000000000006</v>
      </c>
      <c r="J313"/>
      <c r="L313" s="147"/>
      <c r="M313" s="147"/>
    </row>
    <row r="314" spans="1:13" s="146" customFormat="1" x14ac:dyDescent="0.25">
      <c r="A314" s="142"/>
      <c r="B314" s="154" t="s">
        <v>843</v>
      </c>
      <c r="C314" s="148" t="s">
        <v>835</v>
      </c>
      <c r="D314" s="149">
        <v>1</v>
      </c>
      <c r="E314" s="148">
        <v>1</v>
      </c>
      <c r="F314" s="150">
        <f>0.65+0.6</f>
        <v>1.25</v>
      </c>
      <c r="G314" s="150">
        <v>0.6</v>
      </c>
      <c r="H314" s="150">
        <v>0.2</v>
      </c>
      <c r="I314" s="151">
        <f>PRODUCT(D314:H314)</f>
        <v>0.15000000000000002</v>
      </c>
      <c r="J314"/>
      <c r="L314" s="147"/>
      <c r="M314" s="147"/>
    </row>
    <row r="315" spans="1:13" s="146" customFormat="1" x14ac:dyDescent="0.25">
      <c r="A315" s="142"/>
      <c r="B315" s="153"/>
      <c r="C315" s="143"/>
      <c r="D315" s="90"/>
      <c r="E315" s="143"/>
      <c r="F315" s="144"/>
      <c r="G315" s="144"/>
      <c r="H315" s="144"/>
      <c r="I315" s="145"/>
      <c r="J315"/>
      <c r="L315" s="147"/>
      <c r="M315" s="147"/>
    </row>
    <row r="316" spans="1:13" s="146" customFormat="1" x14ac:dyDescent="0.25">
      <c r="A316" s="142"/>
      <c r="B316" s="153"/>
      <c r="C316" s="143"/>
      <c r="D316" s="90"/>
      <c r="E316" s="143"/>
      <c r="F316" s="144"/>
      <c r="G316" s="144"/>
      <c r="H316" s="144"/>
      <c r="I316" s="145"/>
      <c r="J316"/>
      <c r="L316" s="147"/>
      <c r="M316" s="147"/>
    </row>
    <row r="317" spans="1:13" s="146" customFormat="1" x14ac:dyDescent="0.25">
      <c r="A317" s="142">
        <v>9</v>
      </c>
      <c r="B317" s="153" t="s">
        <v>854</v>
      </c>
      <c r="C317" s="143" t="s">
        <v>835</v>
      </c>
      <c r="D317" s="90">
        <v>1</v>
      </c>
      <c r="E317" s="143">
        <v>1</v>
      </c>
      <c r="F317" s="144">
        <v>0.23</v>
      </c>
      <c r="G317" s="144">
        <v>1</v>
      </c>
      <c r="H317" s="144">
        <v>0.45</v>
      </c>
      <c r="I317" s="145">
        <f>PRODUCT(D317:H317)</f>
        <v>0.10350000000000001</v>
      </c>
      <c r="J317"/>
      <c r="L317" s="147"/>
      <c r="M317" s="147"/>
    </row>
    <row r="318" spans="1:13" s="146" customFormat="1" x14ac:dyDescent="0.25">
      <c r="A318" s="142">
        <v>10</v>
      </c>
      <c r="B318" s="153" t="s">
        <v>855</v>
      </c>
      <c r="C318" s="143" t="s">
        <v>835</v>
      </c>
      <c r="D318" s="90">
        <v>1</v>
      </c>
      <c r="E318" s="143">
        <v>1</v>
      </c>
      <c r="F318" s="144">
        <v>0.23</v>
      </c>
      <c r="G318" s="144">
        <v>1.1499999999999999</v>
      </c>
      <c r="H318" s="144">
        <v>0.45</v>
      </c>
      <c r="I318" s="145">
        <f>PRODUCT(D318:H318)</f>
        <v>0.11902500000000001</v>
      </c>
      <c r="J318"/>
      <c r="L318" s="147"/>
      <c r="M318" s="147"/>
    </row>
    <row r="319" spans="1:13" s="146" customFormat="1" x14ac:dyDescent="0.25">
      <c r="A319" s="142">
        <v>11</v>
      </c>
      <c r="B319" s="153" t="s">
        <v>856</v>
      </c>
      <c r="C319" s="143" t="s">
        <v>835</v>
      </c>
      <c r="D319" s="90">
        <v>2</v>
      </c>
      <c r="E319" s="143">
        <v>1</v>
      </c>
      <c r="F319" s="144">
        <v>0.23</v>
      </c>
      <c r="G319" s="144">
        <v>1.7</v>
      </c>
      <c r="H319" s="144">
        <v>0.45</v>
      </c>
      <c r="I319" s="145">
        <f>PRODUCT(D319:H319)</f>
        <v>0.35190000000000005</v>
      </c>
      <c r="J319"/>
      <c r="L319" s="147"/>
      <c r="M319" s="147"/>
    </row>
    <row r="320" spans="1:13" s="146" customFormat="1" x14ac:dyDescent="0.25">
      <c r="A320" s="142">
        <v>12</v>
      </c>
      <c r="B320" s="154" t="s">
        <v>857</v>
      </c>
      <c r="C320" s="148" t="s">
        <v>835</v>
      </c>
      <c r="D320" s="149">
        <v>2</v>
      </c>
      <c r="E320" s="148">
        <v>1</v>
      </c>
      <c r="F320" s="150">
        <v>0.23</v>
      </c>
      <c r="G320" s="150">
        <v>1.1850000000000001</v>
      </c>
      <c r="H320" s="150">
        <v>0.45</v>
      </c>
      <c r="I320" s="151">
        <f>PRODUCT(D320:H320)</f>
        <v>0.24529500000000001</v>
      </c>
      <c r="J320"/>
      <c r="L320" s="147"/>
      <c r="M320" s="147"/>
    </row>
    <row r="321" spans="1:13" s="146" customFormat="1" x14ac:dyDescent="0.25">
      <c r="A321" s="142"/>
      <c r="B321" s="154" t="s">
        <v>848</v>
      </c>
      <c r="C321" s="148" t="s">
        <v>835</v>
      </c>
      <c r="D321" s="149">
        <v>3</v>
      </c>
      <c r="E321" s="148">
        <v>1</v>
      </c>
      <c r="F321" s="150">
        <v>0.6</v>
      </c>
      <c r="G321" s="150">
        <v>0.2</v>
      </c>
      <c r="H321" s="150">
        <v>0.45</v>
      </c>
      <c r="I321" s="151">
        <f>PRODUCT(D321:H321)</f>
        <v>0.16200000000000001</v>
      </c>
      <c r="J321"/>
      <c r="L321" s="147"/>
      <c r="M321" s="147"/>
    </row>
    <row r="322" spans="1:13" s="146" customFormat="1" x14ac:dyDescent="0.25">
      <c r="A322" s="142"/>
      <c r="B322" s="154" t="s">
        <v>504</v>
      </c>
      <c r="C322" s="148" t="s">
        <v>835</v>
      </c>
      <c r="D322" s="149">
        <v>2</v>
      </c>
      <c r="E322" s="148">
        <v>1</v>
      </c>
      <c r="F322" s="150">
        <v>0.6</v>
      </c>
      <c r="G322" s="150">
        <v>0.2</v>
      </c>
      <c r="H322" s="150">
        <v>0.45</v>
      </c>
      <c r="I322" s="151">
        <f>PRODUCT(D322:H322)</f>
        <v>0.108</v>
      </c>
      <c r="J322"/>
      <c r="L322" s="147"/>
      <c r="M322" s="147"/>
    </row>
    <row r="323" spans="1:13" s="146" customFormat="1" x14ac:dyDescent="0.25">
      <c r="A323" s="142"/>
      <c r="B323" s="154" t="s">
        <v>503</v>
      </c>
      <c r="C323" s="148" t="s">
        <v>835</v>
      </c>
      <c r="D323" s="149">
        <v>1</v>
      </c>
      <c r="E323" s="148">
        <v>1</v>
      </c>
      <c r="F323" s="150">
        <v>0.6</v>
      </c>
      <c r="G323" s="150">
        <v>0.23</v>
      </c>
      <c r="H323" s="150">
        <v>0.45</v>
      </c>
      <c r="I323" s="151">
        <f>PRODUCT(D323:H323)</f>
        <v>6.2100000000000009E-2</v>
      </c>
      <c r="J323"/>
      <c r="L323" s="147"/>
      <c r="M323" s="147"/>
    </row>
    <row r="324" spans="1:13" s="146" customFormat="1" x14ac:dyDescent="0.25">
      <c r="A324" s="142"/>
      <c r="B324" s="154" t="s">
        <v>505</v>
      </c>
      <c r="C324" s="148" t="s">
        <v>835</v>
      </c>
      <c r="D324" s="149">
        <v>1</v>
      </c>
      <c r="E324" s="148">
        <v>1</v>
      </c>
      <c r="F324" s="150">
        <v>0.6</v>
      </c>
      <c r="G324" s="150">
        <v>0.2</v>
      </c>
      <c r="H324" s="150">
        <v>0.45</v>
      </c>
      <c r="I324" s="151">
        <f>PRODUCT(D324:H324)</f>
        <v>5.3999999999999999E-2</v>
      </c>
      <c r="J324"/>
      <c r="L324" s="147"/>
      <c r="M324" s="147"/>
    </row>
    <row r="325" spans="1:13" s="146" customFormat="1" x14ac:dyDescent="0.25">
      <c r="A325" s="142"/>
      <c r="B325" s="154" t="s">
        <v>843</v>
      </c>
      <c r="C325" s="148" t="s">
        <v>835</v>
      </c>
      <c r="D325" s="149">
        <v>2</v>
      </c>
      <c r="E325" s="148">
        <v>1</v>
      </c>
      <c r="F325" s="150">
        <v>0.6</v>
      </c>
      <c r="G325" s="150">
        <v>0.6</v>
      </c>
      <c r="H325" s="150">
        <v>0.15</v>
      </c>
      <c r="I325" s="151">
        <f>PRODUCT(D325:H325)</f>
        <v>0.108</v>
      </c>
      <c r="J325"/>
      <c r="L325" s="147"/>
      <c r="M325" s="147"/>
    </row>
    <row r="326" spans="1:13" s="146" customFormat="1" x14ac:dyDescent="0.25">
      <c r="A326" s="142"/>
      <c r="B326" s="154" t="s">
        <v>843</v>
      </c>
      <c r="C326" s="148" t="s">
        <v>835</v>
      </c>
      <c r="D326" s="149">
        <v>2</v>
      </c>
      <c r="E326" s="148">
        <v>1</v>
      </c>
      <c r="F326" s="150">
        <f>1.185-0.2+0.6</f>
        <v>1.585</v>
      </c>
      <c r="G326" s="150">
        <v>0.6</v>
      </c>
      <c r="H326" s="150">
        <v>0.125</v>
      </c>
      <c r="I326" s="151">
        <f>PRODUCT(D326:H326)</f>
        <v>0.23774999999999999</v>
      </c>
      <c r="J326"/>
      <c r="L326" s="147"/>
      <c r="M326" s="147"/>
    </row>
    <row r="327" spans="1:13" s="146" customFormat="1" x14ac:dyDescent="0.25">
      <c r="A327" s="142"/>
      <c r="B327" s="154" t="s">
        <v>843</v>
      </c>
      <c r="C327" s="148" t="s">
        <v>835</v>
      </c>
      <c r="D327" s="149">
        <v>2</v>
      </c>
      <c r="E327" s="148">
        <v>1</v>
      </c>
      <c r="F327" s="150">
        <f>1.185-0.2+0.6</f>
        <v>1.585</v>
      </c>
      <c r="G327" s="150">
        <v>0.6</v>
      </c>
      <c r="H327" s="150">
        <v>0.125</v>
      </c>
      <c r="I327" s="151">
        <f>PRODUCT(D327:H327)</f>
        <v>0.23774999999999999</v>
      </c>
      <c r="J327"/>
      <c r="L327" s="147"/>
      <c r="M327" s="147"/>
    </row>
    <row r="328" spans="1:13" s="146" customFormat="1" x14ac:dyDescent="0.25">
      <c r="A328" s="142"/>
      <c r="B328" s="154" t="s">
        <v>843</v>
      </c>
      <c r="C328" s="148" t="s">
        <v>835</v>
      </c>
      <c r="D328" s="149">
        <v>2</v>
      </c>
      <c r="E328" s="148">
        <v>1</v>
      </c>
      <c r="F328" s="150">
        <f>0.23+0.6</f>
        <v>0.83</v>
      </c>
      <c r="G328" s="150">
        <v>0.6</v>
      </c>
      <c r="H328" s="150">
        <v>0.125</v>
      </c>
      <c r="I328" s="151">
        <f>PRODUCT(D328:H328)</f>
        <v>0.12449999999999999</v>
      </c>
      <c r="J328"/>
      <c r="L328" s="147"/>
      <c r="M328" s="147"/>
    </row>
    <row r="329" spans="1:13" s="146" customFormat="1" x14ac:dyDescent="0.25">
      <c r="A329" s="142"/>
      <c r="B329" s="153"/>
      <c r="C329" s="143"/>
      <c r="D329" s="90"/>
      <c r="E329" s="143"/>
      <c r="F329" s="144"/>
      <c r="G329" s="144"/>
      <c r="H329" s="144"/>
      <c r="I329" s="145"/>
      <c r="J329"/>
      <c r="L329" s="147"/>
      <c r="M329" s="147"/>
    </row>
    <row r="330" spans="1:13" s="146" customFormat="1" x14ac:dyDescent="0.25">
      <c r="A330" s="142"/>
      <c r="B330" s="153"/>
      <c r="C330" s="143"/>
      <c r="D330" s="90"/>
      <c r="E330" s="143"/>
      <c r="F330" s="144"/>
      <c r="G330" s="144"/>
      <c r="H330" s="144"/>
      <c r="I330" s="145"/>
      <c r="J330"/>
      <c r="L330" s="147"/>
      <c r="M330" s="147"/>
    </row>
    <row r="331" spans="1:13" s="146" customFormat="1" x14ac:dyDescent="0.25">
      <c r="A331" s="152">
        <v>13</v>
      </c>
      <c r="B331" s="154" t="s">
        <v>858</v>
      </c>
      <c r="C331" s="148" t="s">
        <v>835</v>
      </c>
      <c r="D331" s="149">
        <v>1</v>
      </c>
      <c r="E331" s="148">
        <v>1</v>
      </c>
      <c r="F331" s="150">
        <v>0.23</v>
      </c>
      <c r="G331" s="150">
        <v>1.855</v>
      </c>
      <c r="H331" s="150">
        <v>0.45</v>
      </c>
      <c r="I331" s="151">
        <f>PRODUCT(D331:H331)</f>
        <v>0.19199250000000001</v>
      </c>
      <c r="J331"/>
      <c r="L331" s="147"/>
      <c r="M331" s="147"/>
    </row>
    <row r="332" spans="1:13" s="146" customFormat="1" x14ac:dyDescent="0.25">
      <c r="A332" s="152"/>
      <c r="B332" s="154" t="s">
        <v>510</v>
      </c>
      <c r="C332" s="148" t="s">
        <v>835</v>
      </c>
      <c r="D332" s="149">
        <v>2</v>
      </c>
      <c r="E332" s="148">
        <v>1</v>
      </c>
      <c r="F332" s="150">
        <v>0.6</v>
      </c>
      <c r="G332" s="150">
        <v>0.23</v>
      </c>
      <c r="H332" s="150">
        <v>0.35</v>
      </c>
      <c r="I332" s="151">
        <f>PRODUCT(D332:H332)</f>
        <v>9.6600000000000005E-2</v>
      </c>
      <c r="J332"/>
      <c r="L332" s="147"/>
      <c r="M332" s="147"/>
    </row>
    <row r="333" spans="1:13" s="146" customFormat="1" x14ac:dyDescent="0.25">
      <c r="A333" s="152"/>
      <c r="B333" s="154" t="s">
        <v>510</v>
      </c>
      <c r="C333" s="148" t="s">
        <v>835</v>
      </c>
      <c r="D333" s="149">
        <v>2</v>
      </c>
      <c r="E333" s="148">
        <v>1</v>
      </c>
      <c r="F333" s="150">
        <v>0.6</v>
      </c>
      <c r="G333" s="150">
        <v>0.2</v>
      </c>
      <c r="H333" s="150">
        <v>0.45</v>
      </c>
      <c r="I333" s="151">
        <f>PRODUCT(D333:H333)</f>
        <v>0.108</v>
      </c>
      <c r="J333"/>
      <c r="L333" s="147"/>
      <c r="M333" s="147"/>
    </row>
    <row r="334" spans="1:13" s="146" customFormat="1" x14ac:dyDescent="0.25">
      <c r="A334" s="152"/>
      <c r="B334" s="154" t="s">
        <v>460</v>
      </c>
      <c r="C334" s="148" t="s">
        <v>835</v>
      </c>
      <c r="D334" s="149">
        <v>2</v>
      </c>
      <c r="E334" s="148">
        <v>1</v>
      </c>
      <c r="F334" s="150">
        <v>0.6</v>
      </c>
      <c r="G334" s="150">
        <v>0.2</v>
      </c>
      <c r="H334" s="150">
        <v>0.45</v>
      </c>
      <c r="I334" s="151">
        <f>PRODUCT(D334:H334)</f>
        <v>0.108</v>
      </c>
      <c r="J334"/>
      <c r="L334" s="147"/>
      <c r="M334" s="147"/>
    </row>
    <row r="335" spans="1:13" s="146" customFormat="1" x14ac:dyDescent="0.25">
      <c r="A335" s="152"/>
      <c r="B335" s="154" t="s">
        <v>843</v>
      </c>
      <c r="C335" s="148" t="s">
        <v>835</v>
      </c>
      <c r="D335" s="149">
        <v>2</v>
      </c>
      <c r="E335" s="148">
        <v>1</v>
      </c>
      <c r="F335" s="150">
        <f>1.855-0.23-0.2</f>
        <v>1.425</v>
      </c>
      <c r="G335" s="150">
        <v>0.6</v>
      </c>
      <c r="H335" s="150">
        <v>0.125</v>
      </c>
      <c r="I335" s="151">
        <f>PRODUCT(D335:H335)</f>
        <v>0.21375</v>
      </c>
      <c r="J335"/>
      <c r="L335" s="147"/>
      <c r="M335" s="147"/>
    </row>
    <row r="336" spans="1:13" s="146" customFormat="1" x14ac:dyDescent="0.25">
      <c r="A336" s="142"/>
      <c r="B336" s="153"/>
      <c r="C336" s="143"/>
      <c r="D336" s="90"/>
      <c r="E336" s="143"/>
      <c r="F336" s="144"/>
      <c r="G336" s="144"/>
      <c r="H336" s="144"/>
      <c r="I336" s="145"/>
      <c r="J336"/>
      <c r="L336" s="147"/>
      <c r="M336" s="147"/>
    </row>
    <row r="337" spans="1:13" s="146" customFormat="1" x14ac:dyDescent="0.25">
      <c r="A337" s="142">
        <v>14</v>
      </c>
      <c r="B337" s="154" t="s">
        <v>859</v>
      </c>
      <c r="C337" s="148" t="s">
        <v>835</v>
      </c>
      <c r="D337" s="149">
        <v>0.5</v>
      </c>
      <c r="E337" s="148">
        <v>1</v>
      </c>
      <c r="F337" s="150">
        <v>0.23</v>
      </c>
      <c r="G337" s="150">
        <v>3.6</v>
      </c>
      <c r="H337" s="150">
        <v>0.45</v>
      </c>
      <c r="I337" s="151">
        <f>PRODUCT(D337:H337)</f>
        <v>0.18630000000000002</v>
      </c>
      <c r="J337"/>
      <c r="L337" s="147"/>
      <c r="M337" s="147"/>
    </row>
    <row r="338" spans="1:13" s="146" customFormat="1" x14ac:dyDescent="0.25">
      <c r="A338" s="142"/>
      <c r="B338" s="154" t="s">
        <v>820</v>
      </c>
      <c r="C338" s="148" t="s">
        <v>835</v>
      </c>
      <c r="D338" s="149">
        <v>0.5</v>
      </c>
      <c r="E338" s="148">
        <v>1</v>
      </c>
      <c r="F338" s="150">
        <v>0.2</v>
      </c>
      <c r="G338" s="150">
        <v>0.6</v>
      </c>
      <c r="H338" s="150">
        <v>0.45</v>
      </c>
      <c r="I338" s="151">
        <f>PRODUCT(D338:H338)</f>
        <v>2.7E-2</v>
      </c>
      <c r="J338"/>
      <c r="L338" s="147"/>
      <c r="M338" s="147"/>
    </row>
    <row r="339" spans="1:13" s="146" customFormat="1" x14ac:dyDescent="0.25">
      <c r="A339" s="142"/>
      <c r="B339" s="154" t="s">
        <v>845</v>
      </c>
      <c r="C339" s="148" t="s">
        <v>835</v>
      </c>
      <c r="D339" s="149">
        <v>0.5</v>
      </c>
      <c r="E339" s="148">
        <v>2</v>
      </c>
      <c r="F339" s="150">
        <v>0.2</v>
      </c>
      <c r="G339" s="150">
        <v>0.6</v>
      </c>
      <c r="H339" s="150">
        <v>0.45</v>
      </c>
      <c r="I339" s="151">
        <f>PRODUCT(D339:H339)</f>
        <v>5.3999999999999999E-2</v>
      </c>
      <c r="J339"/>
      <c r="L339" s="147"/>
      <c r="M339" s="147"/>
    </row>
    <row r="340" spans="1:13" s="146" customFormat="1" x14ac:dyDescent="0.25">
      <c r="A340" s="142"/>
      <c r="B340" s="154" t="s">
        <v>752</v>
      </c>
      <c r="C340" s="148" t="s">
        <v>835</v>
      </c>
      <c r="D340" s="149">
        <v>0.5</v>
      </c>
      <c r="E340" s="148">
        <v>2</v>
      </c>
      <c r="F340" s="150">
        <v>0.23</v>
      </c>
      <c r="G340" s="150">
        <v>0.6</v>
      </c>
      <c r="H340" s="150">
        <v>0.45</v>
      </c>
      <c r="I340" s="151">
        <f>PRODUCT(D340:H340)</f>
        <v>6.2100000000000009E-2</v>
      </c>
      <c r="J340"/>
      <c r="L340" s="147"/>
      <c r="M340" s="147"/>
    </row>
    <row r="341" spans="1:13" s="146" customFormat="1" x14ac:dyDescent="0.25">
      <c r="A341" s="142"/>
      <c r="B341" s="154" t="s">
        <v>843</v>
      </c>
      <c r="C341" s="148" t="s">
        <v>835</v>
      </c>
      <c r="D341" s="149">
        <v>0.5</v>
      </c>
      <c r="E341" s="148">
        <v>2</v>
      </c>
      <c r="F341" s="150">
        <f>3.6-0.23-0.2</f>
        <v>3.17</v>
      </c>
      <c r="G341" s="150">
        <v>0.6</v>
      </c>
      <c r="H341" s="150">
        <v>0.125</v>
      </c>
      <c r="I341" s="151">
        <f>PRODUCT(D341:H341)</f>
        <v>0.23774999999999999</v>
      </c>
      <c r="J341"/>
      <c r="L341" s="147"/>
      <c r="M341" s="147"/>
    </row>
    <row r="342" spans="1:13" s="146" customFormat="1" x14ac:dyDescent="0.25">
      <c r="A342" s="142"/>
      <c r="B342" s="153"/>
      <c r="C342" s="143"/>
      <c r="D342" s="90"/>
      <c r="E342" s="143"/>
      <c r="F342" s="144"/>
      <c r="G342" s="144"/>
      <c r="H342" s="144"/>
      <c r="I342" s="145"/>
      <c r="J342"/>
      <c r="L342" s="147"/>
      <c r="M342" s="147"/>
    </row>
    <row r="343" spans="1:13" s="146" customFormat="1" x14ac:dyDescent="0.25">
      <c r="A343" s="142">
        <v>15</v>
      </c>
      <c r="B343" s="153" t="s">
        <v>860</v>
      </c>
      <c r="C343" s="143" t="s">
        <v>835</v>
      </c>
      <c r="D343" s="90">
        <v>3</v>
      </c>
      <c r="E343" s="143">
        <v>1</v>
      </c>
      <c r="F343" s="144">
        <v>0.23</v>
      </c>
      <c r="G343" s="144">
        <v>0.65</v>
      </c>
      <c r="H343" s="144">
        <v>0.45</v>
      </c>
      <c r="I343" s="145">
        <f>PRODUCT(D343:H343)</f>
        <v>0.20182500000000003</v>
      </c>
      <c r="J343"/>
      <c r="L343" s="147"/>
      <c r="M343" s="147"/>
    </row>
    <row r="344" spans="1:13" s="146" customFormat="1" x14ac:dyDescent="0.25">
      <c r="A344" s="142">
        <v>16</v>
      </c>
      <c r="B344" s="153"/>
      <c r="C344" s="143" t="s">
        <v>835</v>
      </c>
      <c r="D344" s="90">
        <v>3</v>
      </c>
      <c r="E344" s="143">
        <v>1</v>
      </c>
      <c r="F344" s="144">
        <v>0.23</v>
      </c>
      <c r="G344" s="144">
        <f>1.85-0.23</f>
        <v>1.62</v>
      </c>
      <c r="H344" s="144">
        <v>0.45</v>
      </c>
      <c r="I344" s="145">
        <f>PRODUCT(D344:H344)</f>
        <v>0.50301000000000007</v>
      </c>
      <c r="J344"/>
      <c r="L344" s="147"/>
      <c r="M344" s="147"/>
    </row>
    <row r="345" spans="1:13" s="146" customFormat="1" x14ac:dyDescent="0.25">
      <c r="A345" s="142">
        <v>17</v>
      </c>
      <c r="B345" s="153" t="s">
        <v>861</v>
      </c>
      <c r="C345" s="143" t="s">
        <v>835</v>
      </c>
      <c r="D345" s="90">
        <v>1</v>
      </c>
      <c r="E345" s="143">
        <v>1</v>
      </c>
      <c r="F345" s="144">
        <v>0.23</v>
      </c>
      <c r="G345" s="144">
        <v>3.4449999999999998</v>
      </c>
      <c r="H345" s="144">
        <v>0.45</v>
      </c>
      <c r="I345" s="145">
        <f>PRODUCT(D345:H345)</f>
        <v>0.35655750000000003</v>
      </c>
      <c r="J345"/>
      <c r="L345" s="147"/>
      <c r="M345" s="147"/>
    </row>
    <row r="346" spans="1:13" s="146" customFormat="1" x14ac:dyDescent="0.25">
      <c r="A346" s="142">
        <v>18</v>
      </c>
      <c r="B346" s="153" t="s">
        <v>862</v>
      </c>
      <c r="C346" s="143" t="s">
        <v>835</v>
      </c>
      <c r="D346" s="90">
        <v>1</v>
      </c>
      <c r="E346" s="143">
        <v>1</v>
      </c>
      <c r="F346" s="144">
        <v>0.23</v>
      </c>
      <c r="G346" s="144">
        <v>4.0650000000000004</v>
      </c>
      <c r="H346" s="144">
        <v>0.45</v>
      </c>
      <c r="I346" s="145">
        <f>PRODUCT(D346:H346)</f>
        <v>0.42072750000000009</v>
      </c>
      <c r="J346"/>
      <c r="L346" s="147"/>
      <c r="M346" s="147"/>
    </row>
    <row r="347" spans="1:13" s="146" customFormat="1" x14ac:dyDescent="0.25">
      <c r="A347" s="142">
        <v>19</v>
      </c>
      <c r="B347" s="153" t="s">
        <v>863</v>
      </c>
      <c r="C347" s="143" t="s">
        <v>835</v>
      </c>
      <c r="D347" s="90">
        <v>1</v>
      </c>
      <c r="E347" s="143">
        <v>1</v>
      </c>
      <c r="F347" s="144">
        <v>0.23</v>
      </c>
      <c r="G347" s="144">
        <v>0.65</v>
      </c>
      <c r="H347" s="144">
        <v>0.45</v>
      </c>
      <c r="I347" s="145">
        <f>PRODUCT(D347:H347)</f>
        <v>6.7275000000000015E-2</v>
      </c>
      <c r="J347"/>
      <c r="L347" s="147"/>
      <c r="M347" s="147"/>
    </row>
    <row r="348" spans="1:13" s="146" customFormat="1" x14ac:dyDescent="0.25">
      <c r="A348" s="142">
        <v>20</v>
      </c>
      <c r="B348" s="153"/>
      <c r="C348" s="143" t="s">
        <v>835</v>
      </c>
      <c r="D348" s="90">
        <v>1</v>
      </c>
      <c r="E348" s="143">
        <v>1</v>
      </c>
      <c r="F348" s="144">
        <v>0.23</v>
      </c>
      <c r="G348" s="144">
        <f>1.535-0.23</f>
        <v>1.3049999999999999</v>
      </c>
      <c r="H348" s="144">
        <v>0.45</v>
      </c>
      <c r="I348" s="145">
        <f>PRODUCT(D348:H348)</f>
        <v>0.13506749999999998</v>
      </c>
      <c r="J348"/>
      <c r="L348" s="147"/>
      <c r="M348" s="147"/>
    </row>
    <row r="349" spans="1:13" s="146" customFormat="1" x14ac:dyDescent="0.25">
      <c r="A349" s="142">
        <v>21</v>
      </c>
      <c r="B349" s="153" t="s">
        <v>864</v>
      </c>
      <c r="C349" s="143" t="s">
        <v>835</v>
      </c>
      <c r="D349" s="90">
        <v>1</v>
      </c>
      <c r="E349" s="143">
        <v>1</v>
      </c>
      <c r="F349" s="144">
        <v>0.2</v>
      </c>
      <c r="G349" s="144">
        <v>3.4449999999999998</v>
      </c>
      <c r="H349" s="144">
        <v>0.45</v>
      </c>
      <c r="I349" s="145">
        <f>PRODUCT(D349:H349)</f>
        <v>0.31005000000000005</v>
      </c>
      <c r="J349"/>
      <c r="L349" s="147"/>
      <c r="M349" s="147"/>
    </row>
    <row r="350" spans="1:13" s="146" customFormat="1" x14ac:dyDescent="0.25">
      <c r="A350" s="143"/>
      <c r="B350" s="153"/>
      <c r="C350" s="143"/>
      <c r="D350" s="90"/>
      <c r="E350" s="143"/>
      <c r="F350" s="144"/>
      <c r="G350" s="144"/>
      <c r="H350" s="144"/>
      <c r="I350" s="65">
        <f>SUBTOTAL(9,I250:I349)</f>
        <v>16.96134</v>
      </c>
      <c r="J350"/>
      <c r="L350" s="147"/>
      <c r="M350" s="147"/>
    </row>
  </sheetData>
  <mergeCells count="2">
    <mergeCell ref="A1:H1"/>
    <mergeCell ref="D3:E3"/>
  </mergeCells>
  <conditionalFormatting sqref="C32">
    <cfRule type="containsText" dxfId="5" priority="1" operator="containsText" text="BOTTOM">
      <formula>NOT(ISERROR(SEARCH("BOTTOM",C32)))</formula>
    </cfRule>
    <cfRule type="containsText" dxfId="4" priority="3" operator="containsText" text="BOTTOM">
      <formula>NOT(ISERROR(SEARCH("BOTTOM",C32)))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784F952A-AA13-4AEE-A6A0-0853DABFB3CC}">
            <xm:f>NOT(ISERROR(SEARCH($B$32,C32)))</xm:f>
            <xm:f>$B$32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C32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435"/>
  <sheetViews>
    <sheetView workbookViewId="0">
      <pane ySplit="2" topLeftCell="A30" activePane="bottomLeft" state="frozen"/>
      <selection pane="bottomLeft" activeCell="H30" sqref="H30"/>
    </sheetView>
  </sheetViews>
  <sheetFormatPr defaultRowHeight="15" x14ac:dyDescent="0.25"/>
  <cols>
    <col min="1" max="1" width="6.28515625" customWidth="1"/>
    <col min="2" max="2" width="31.85546875" customWidth="1"/>
    <col min="3" max="3" width="8.140625" customWidth="1"/>
    <col min="4" max="4" width="8.85546875" bestFit="1" customWidth="1"/>
    <col min="5" max="5" width="8" bestFit="1" customWidth="1"/>
    <col min="6" max="6" width="8.42578125" bestFit="1" customWidth="1"/>
    <col min="7" max="7" width="12.140625" style="63" customWidth="1"/>
    <col min="8" max="8" width="9" customWidth="1"/>
    <col min="9" max="9" width="12.140625" bestFit="1" customWidth="1"/>
  </cols>
  <sheetData>
    <row r="1" spans="1:8" ht="18.75" x14ac:dyDescent="0.3">
      <c r="A1" s="137" t="s">
        <v>257</v>
      </c>
      <c r="B1" s="138"/>
      <c r="C1" s="138"/>
      <c r="D1" s="138"/>
      <c r="E1" s="138"/>
      <c r="F1" s="138"/>
      <c r="G1" s="138"/>
      <c r="H1" s="139"/>
    </row>
    <row r="2" spans="1:8" x14ac:dyDescent="0.25">
      <c r="A2" s="58" t="s">
        <v>249</v>
      </c>
      <c r="B2" s="58" t="s">
        <v>250</v>
      </c>
      <c r="C2" s="59" t="s">
        <v>251</v>
      </c>
      <c r="D2" s="60" t="s">
        <v>252</v>
      </c>
      <c r="E2" s="59" t="s">
        <v>253</v>
      </c>
      <c r="F2" s="59" t="s">
        <v>254</v>
      </c>
      <c r="G2" s="61" t="s">
        <v>255</v>
      </c>
      <c r="H2" s="58" t="s">
        <v>256</v>
      </c>
    </row>
    <row r="3" spans="1:8" x14ac:dyDescent="0.25">
      <c r="A3" s="52"/>
      <c r="B3" s="56" t="s">
        <v>291</v>
      </c>
      <c r="C3" s="52"/>
      <c r="D3" s="140"/>
      <c r="E3" s="141"/>
      <c r="F3" s="52"/>
      <c r="G3" s="65"/>
      <c r="H3" s="52"/>
    </row>
    <row r="4" spans="1:8" x14ac:dyDescent="0.25">
      <c r="A4" s="52"/>
      <c r="B4" s="52" t="s">
        <v>292</v>
      </c>
      <c r="C4" s="52"/>
      <c r="D4" s="52"/>
      <c r="E4" s="52"/>
      <c r="F4" s="52"/>
      <c r="G4" s="62"/>
      <c r="H4" s="52"/>
    </row>
    <row r="5" spans="1:8" x14ac:dyDescent="0.25">
      <c r="A5" s="52"/>
      <c r="B5" s="52" t="s">
        <v>261</v>
      </c>
      <c r="C5" s="52">
        <v>32</v>
      </c>
      <c r="D5" s="52">
        <v>0.6</v>
      </c>
      <c r="E5" s="52">
        <v>0.3</v>
      </c>
      <c r="F5" s="52">
        <f>2.95-0.125</f>
        <v>2.8250000000000002</v>
      </c>
      <c r="G5" s="62">
        <f>+C5*(2*(D5+E5))*F5</f>
        <v>162.72</v>
      </c>
      <c r="H5" s="52"/>
    </row>
    <row r="6" spans="1:8" x14ac:dyDescent="0.25">
      <c r="A6" s="52"/>
      <c r="B6" s="52" t="s">
        <v>262</v>
      </c>
      <c r="C6" s="52">
        <v>22</v>
      </c>
      <c r="D6" s="52">
        <v>0.6</v>
      </c>
      <c r="E6" s="52">
        <v>0.3</v>
      </c>
      <c r="F6" s="52">
        <f t="shared" ref="F6:F29" si="0">2.95-0.125</f>
        <v>2.8250000000000002</v>
      </c>
      <c r="G6" s="62">
        <f t="shared" ref="G6:G28" si="1">+C6*(2*(D6+E6))*F6</f>
        <v>111.86999999999999</v>
      </c>
      <c r="H6" s="52"/>
    </row>
    <row r="7" spans="1:8" x14ac:dyDescent="0.25">
      <c r="A7" s="52"/>
      <c r="B7" s="52" t="s">
        <v>263</v>
      </c>
      <c r="C7" s="52">
        <v>4</v>
      </c>
      <c r="D7" s="52">
        <v>0.6</v>
      </c>
      <c r="E7" s="52">
        <v>0.3</v>
      </c>
      <c r="F7" s="52">
        <f t="shared" si="0"/>
        <v>2.8250000000000002</v>
      </c>
      <c r="G7" s="62">
        <f t="shared" si="1"/>
        <v>20.34</v>
      </c>
      <c r="H7" s="52"/>
    </row>
    <row r="8" spans="1:8" x14ac:dyDescent="0.25">
      <c r="A8" s="52"/>
      <c r="B8" s="52" t="s">
        <v>264</v>
      </c>
      <c r="C8" s="52">
        <v>16</v>
      </c>
      <c r="D8" s="52">
        <v>0.75</v>
      </c>
      <c r="E8" s="52">
        <v>0.3</v>
      </c>
      <c r="F8" s="52">
        <f t="shared" si="0"/>
        <v>2.8250000000000002</v>
      </c>
      <c r="G8" s="62">
        <f t="shared" si="1"/>
        <v>94.920000000000016</v>
      </c>
      <c r="H8" s="52"/>
    </row>
    <row r="9" spans="1:8" x14ac:dyDescent="0.25">
      <c r="A9" s="52"/>
      <c r="B9" s="52" t="s">
        <v>265</v>
      </c>
      <c r="C9" s="52">
        <v>14</v>
      </c>
      <c r="D9" s="52">
        <v>0.75</v>
      </c>
      <c r="E9" s="52">
        <v>0.3</v>
      </c>
      <c r="F9" s="52">
        <f t="shared" si="0"/>
        <v>2.8250000000000002</v>
      </c>
      <c r="G9" s="62">
        <f t="shared" si="1"/>
        <v>83.055000000000007</v>
      </c>
      <c r="H9" s="52"/>
    </row>
    <row r="10" spans="1:8" x14ac:dyDescent="0.25">
      <c r="A10" s="52"/>
      <c r="B10" s="52" t="s">
        <v>266</v>
      </c>
      <c r="C10" s="52">
        <v>14</v>
      </c>
      <c r="D10" s="52">
        <v>0.71499999999999997</v>
      </c>
      <c r="E10" s="52">
        <v>0.3</v>
      </c>
      <c r="F10" s="52">
        <f t="shared" si="0"/>
        <v>2.8250000000000002</v>
      </c>
      <c r="G10" s="62">
        <f t="shared" si="1"/>
        <v>80.286500000000004</v>
      </c>
      <c r="H10" s="52"/>
    </row>
    <row r="11" spans="1:8" x14ac:dyDescent="0.25">
      <c r="A11" s="52"/>
      <c r="B11" s="52" t="s">
        <v>267</v>
      </c>
      <c r="C11" s="52">
        <v>4</v>
      </c>
      <c r="D11" s="52">
        <v>0.8</v>
      </c>
      <c r="E11" s="52">
        <v>0.3</v>
      </c>
      <c r="F11" s="52">
        <f t="shared" si="0"/>
        <v>2.8250000000000002</v>
      </c>
      <c r="G11" s="62">
        <f t="shared" si="1"/>
        <v>24.860000000000003</v>
      </c>
      <c r="H11" s="52"/>
    </row>
    <row r="12" spans="1:8" x14ac:dyDescent="0.25">
      <c r="A12" s="52"/>
      <c r="B12" s="52" t="s">
        <v>268</v>
      </c>
      <c r="C12" s="52">
        <v>4</v>
      </c>
      <c r="D12" s="52">
        <v>0.6</v>
      </c>
      <c r="E12" s="52">
        <v>0.3</v>
      </c>
      <c r="F12" s="52">
        <f t="shared" si="0"/>
        <v>2.8250000000000002</v>
      </c>
      <c r="G12" s="62">
        <f t="shared" si="1"/>
        <v>20.34</v>
      </c>
      <c r="H12" s="52"/>
    </row>
    <row r="13" spans="1:8" x14ac:dyDescent="0.25">
      <c r="A13" s="52"/>
      <c r="B13" s="52" t="s">
        <v>269</v>
      </c>
      <c r="C13" s="52">
        <v>2</v>
      </c>
      <c r="D13" s="52">
        <v>1.65</v>
      </c>
      <c r="E13" s="52"/>
      <c r="F13" s="52">
        <f t="shared" si="0"/>
        <v>2.8250000000000002</v>
      </c>
      <c r="G13" s="62">
        <f t="shared" si="1"/>
        <v>18.645</v>
      </c>
      <c r="H13" s="52"/>
    </row>
    <row r="14" spans="1:8" x14ac:dyDescent="0.25">
      <c r="A14" s="52"/>
      <c r="B14" s="52"/>
      <c r="C14" s="52">
        <v>2</v>
      </c>
      <c r="D14" s="52">
        <v>0.65</v>
      </c>
      <c r="E14" s="52"/>
      <c r="F14" s="52">
        <f t="shared" si="0"/>
        <v>2.8250000000000002</v>
      </c>
      <c r="G14" s="62">
        <f>+C14*(2*(D14+E14))*F14</f>
        <v>7.3450000000000006</v>
      </c>
      <c r="H14" s="52"/>
    </row>
    <row r="15" spans="1:8" x14ac:dyDescent="0.25">
      <c r="A15" s="52"/>
      <c r="B15" s="52" t="s">
        <v>270</v>
      </c>
      <c r="C15" s="52">
        <v>2</v>
      </c>
      <c r="D15" s="52">
        <v>1.85</v>
      </c>
      <c r="E15" s="52"/>
      <c r="F15" s="52">
        <f t="shared" si="0"/>
        <v>2.8250000000000002</v>
      </c>
      <c r="G15" s="62">
        <f t="shared" si="1"/>
        <v>20.905000000000001</v>
      </c>
      <c r="H15" s="52"/>
    </row>
    <row r="16" spans="1:8" x14ac:dyDescent="0.25">
      <c r="A16" s="52"/>
      <c r="B16" s="52"/>
      <c r="C16" s="52">
        <v>2</v>
      </c>
      <c r="D16" s="52">
        <v>0.65</v>
      </c>
      <c r="E16" s="52"/>
      <c r="F16" s="52">
        <f t="shared" si="0"/>
        <v>2.8250000000000002</v>
      </c>
      <c r="G16" s="62">
        <f t="shared" si="1"/>
        <v>7.3450000000000006</v>
      </c>
      <c r="H16" s="52"/>
    </row>
    <row r="17" spans="1:8" x14ac:dyDescent="0.25">
      <c r="A17" s="52"/>
      <c r="B17" s="52" t="s">
        <v>271</v>
      </c>
      <c r="C17" s="52">
        <v>2</v>
      </c>
      <c r="D17" s="52">
        <v>1</v>
      </c>
      <c r="E17" s="52">
        <v>0.23</v>
      </c>
      <c r="F17" s="52">
        <f t="shared" si="0"/>
        <v>2.8250000000000002</v>
      </c>
      <c r="G17" s="62">
        <f t="shared" si="1"/>
        <v>13.899000000000001</v>
      </c>
      <c r="H17" s="52"/>
    </row>
    <row r="18" spans="1:8" x14ac:dyDescent="0.25">
      <c r="A18" s="52"/>
      <c r="B18" s="52" t="s">
        <v>272</v>
      </c>
      <c r="C18" s="52">
        <v>2</v>
      </c>
      <c r="D18" s="52">
        <v>1.1499999999999999</v>
      </c>
      <c r="E18" s="52">
        <v>0.23</v>
      </c>
      <c r="F18" s="52">
        <f t="shared" si="0"/>
        <v>2.8250000000000002</v>
      </c>
      <c r="G18" s="62">
        <f t="shared" si="1"/>
        <v>15.593999999999999</v>
      </c>
      <c r="H18" s="52"/>
    </row>
    <row r="19" spans="1:8" x14ac:dyDescent="0.25">
      <c r="A19" s="52"/>
      <c r="B19" s="52" t="s">
        <v>273</v>
      </c>
      <c r="C19" s="52">
        <v>4</v>
      </c>
      <c r="D19" s="52">
        <v>1.7</v>
      </c>
      <c r="E19" s="52">
        <v>0.23</v>
      </c>
      <c r="F19" s="52">
        <f t="shared" si="0"/>
        <v>2.8250000000000002</v>
      </c>
      <c r="G19" s="62">
        <f t="shared" si="1"/>
        <v>43.618000000000002</v>
      </c>
      <c r="H19" s="52"/>
    </row>
    <row r="20" spans="1:8" x14ac:dyDescent="0.25">
      <c r="A20" s="52"/>
      <c r="B20" s="52" t="s">
        <v>274</v>
      </c>
      <c r="C20" s="52">
        <v>4</v>
      </c>
      <c r="D20" s="52">
        <v>1.1850000000000001</v>
      </c>
      <c r="E20" s="52">
        <v>0.23</v>
      </c>
      <c r="F20" s="52">
        <f t="shared" si="0"/>
        <v>2.8250000000000002</v>
      </c>
      <c r="G20" s="62">
        <f t="shared" si="1"/>
        <v>31.979000000000003</v>
      </c>
      <c r="H20" s="52"/>
    </row>
    <row r="21" spans="1:8" x14ac:dyDescent="0.25">
      <c r="A21" s="52"/>
      <c r="B21" s="52" t="s">
        <v>275</v>
      </c>
      <c r="C21" s="52">
        <v>2</v>
      </c>
      <c r="D21" s="52">
        <v>1.855</v>
      </c>
      <c r="E21" s="52">
        <v>0.23</v>
      </c>
      <c r="F21" s="52">
        <f t="shared" si="0"/>
        <v>2.8250000000000002</v>
      </c>
      <c r="G21" s="62">
        <f t="shared" si="1"/>
        <v>23.560500000000001</v>
      </c>
      <c r="H21" s="52"/>
    </row>
    <row r="22" spans="1:8" x14ac:dyDescent="0.25">
      <c r="A22" s="52"/>
      <c r="B22" s="52" t="s">
        <v>276</v>
      </c>
      <c r="C22" s="52">
        <v>1</v>
      </c>
      <c r="D22" s="52">
        <v>3.6</v>
      </c>
      <c r="E22" s="52">
        <v>0.23</v>
      </c>
      <c r="F22" s="52">
        <f t="shared" si="0"/>
        <v>2.8250000000000002</v>
      </c>
      <c r="G22" s="62">
        <f t="shared" si="1"/>
        <v>21.639500000000002</v>
      </c>
      <c r="H22" s="52"/>
    </row>
    <row r="23" spans="1:8" x14ac:dyDescent="0.25">
      <c r="A23" s="52"/>
      <c r="B23" s="52" t="s">
        <v>277</v>
      </c>
      <c r="C23" s="52">
        <v>6</v>
      </c>
      <c r="D23" s="52">
        <v>1.85</v>
      </c>
      <c r="E23" s="52"/>
      <c r="F23" s="52">
        <f t="shared" si="0"/>
        <v>2.8250000000000002</v>
      </c>
      <c r="G23" s="62">
        <f t="shared" si="1"/>
        <v>62.715000000000011</v>
      </c>
      <c r="H23" s="52"/>
    </row>
    <row r="24" spans="1:8" x14ac:dyDescent="0.25">
      <c r="A24" s="52"/>
      <c r="B24" s="52"/>
      <c r="C24" s="52">
        <v>6</v>
      </c>
      <c r="D24" s="52">
        <v>0.65</v>
      </c>
      <c r="E24" s="52"/>
      <c r="F24" s="52">
        <f t="shared" si="0"/>
        <v>2.8250000000000002</v>
      </c>
      <c r="G24" s="62">
        <f t="shared" si="1"/>
        <v>22.035000000000004</v>
      </c>
      <c r="H24" s="52"/>
    </row>
    <row r="25" spans="1:8" x14ac:dyDescent="0.25">
      <c r="A25" s="52"/>
      <c r="B25" s="52" t="s">
        <v>278</v>
      </c>
      <c r="C25" s="52">
        <v>2</v>
      </c>
      <c r="D25" s="52">
        <v>3.4449999999999998</v>
      </c>
      <c r="E25" s="52">
        <v>0.23</v>
      </c>
      <c r="F25" s="52">
        <f t="shared" si="0"/>
        <v>2.8250000000000002</v>
      </c>
      <c r="G25" s="62">
        <f t="shared" si="1"/>
        <v>41.527500000000003</v>
      </c>
      <c r="H25" s="52"/>
    </row>
    <row r="26" spans="1:8" x14ac:dyDescent="0.25">
      <c r="A26" s="52"/>
      <c r="B26" s="52" t="s">
        <v>279</v>
      </c>
      <c r="C26" s="52">
        <v>2</v>
      </c>
      <c r="D26" s="52">
        <v>4.0650000000000004</v>
      </c>
      <c r="E26" s="52">
        <v>0.23</v>
      </c>
      <c r="F26" s="52">
        <f t="shared" si="0"/>
        <v>2.8250000000000002</v>
      </c>
      <c r="G26" s="62">
        <f t="shared" si="1"/>
        <v>48.533500000000011</v>
      </c>
      <c r="H26" s="52"/>
    </row>
    <row r="27" spans="1:8" x14ac:dyDescent="0.25">
      <c r="A27" s="52"/>
      <c r="B27" s="52" t="s">
        <v>280</v>
      </c>
      <c r="C27" s="52">
        <v>2</v>
      </c>
      <c r="D27" s="52">
        <v>1.5349999999999999</v>
      </c>
      <c r="E27" s="52"/>
      <c r="F27" s="52">
        <f t="shared" si="0"/>
        <v>2.8250000000000002</v>
      </c>
      <c r="G27" s="62">
        <f t="shared" si="1"/>
        <v>17.345500000000001</v>
      </c>
      <c r="H27" s="52"/>
    </row>
    <row r="28" spans="1:8" x14ac:dyDescent="0.25">
      <c r="A28" s="52"/>
      <c r="B28" s="52"/>
      <c r="C28" s="52">
        <v>2</v>
      </c>
      <c r="D28" s="52">
        <v>0.65</v>
      </c>
      <c r="E28" s="52"/>
      <c r="F28" s="52">
        <f t="shared" si="0"/>
        <v>2.8250000000000002</v>
      </c>
      <c r="G28" s="62">
        <f t="shared" si="1"/>
        <v>7.3450000000000006</v>
      </c>
      <c r="H28" s="52"/>
    </row>
    <row r="29" spans="1:8" x14ac:dyDescent="0.25">
      <c r="A29" s="52"/>
      <c r="B29" s="52" t="s">
        <v>281</v>
      </c>
      <c r="C29" s="52">
        <v>2</v>
      </c>
      <c r="D29" s="52">
        <v>3.4449999999999998</v>
      </c>
      <c r="E29" s="52">
        <v>0.23</v>
      </c>
      <c r="F29" s="52">
        <f t="shared" si="0"/>
        <v>2.8250000000000002</v>
      </c>
      <c r="G29" s="62">
        <f>+C29*(2*(D29+E29))*F29</f>
        <v>41.527500000000003</v>
      </c>
      <c r="H29" s="52"/>
    </row>
    <row r="30" spans="1:8" x14ac:dyDescent="0.25">
      <c r="G30" s="69">
        <f>SUM(G5:G29)</f>
        <v>1043.9505000000004</v>
      </c>
      <c r="H30" s="52"/>
    </row>
    <row r="31" spans="1:8" x14ac:dyDescent="0.25">
      <c r="A31" s="52"/>
      <c r="B31" s="56" t="s">
        <v>293</v>
      </c>
      <c r="C31" s="52"/>
      <c r="D31" s="52"/>
      <c r="E31" s="52"/>
      <c r="F31" s="52"/>
      <c r="G31" s="62"/>
      <c r="H31" s="52"/>
    </row>
    <row r="32" spans="1:8" x14ac:dyDescent="0.25">
      <c r="A32" s="52"/>
      <c r="B32" s="52" t="s">
        <v>294</v>
      </c>
      <c r="C32" s="52">
        <v>2</v>
      </c>
      <c r="D32" s="52">
        <v>3.0249999999999999</v>
      </c>
      <c r="E32" s="52"/>
      <c r="F32" s="52">
        <f>0.5-0.165</f>
        <v>0.33499999999999996</v>
      </c>
      <c r="G32" s="62">
        <f>+PRODUCT(C32:F32)</f>
        <v>2.0267499999999998</v>
      </c>
      <c r="H32" s="52"/>
    </row>
    <row r="33" spans="1:8" x14ac:dyDescent="0.25">
      <c r="A33" s="52"/>
      <c r="B33" s="52"/>
      <c r="C33" s="52">
        <v>2</v>
      </c>
      <c r="D33" s="52">
        <v>3.0249999999999999</v>
      </c>
      <c r="E33" s="52"/>
      <c r="F33" s="52">
        <f>0.5-0.125</f>
        <v>0.375</v>
      </c>
      <c r="G33" s="62">
        <f>+PRODUCT(C33:F33)</f>
        <v>2.2687499999999998</v>
      </c>
      <c r="H33" s="52"/>
    </row>
    <row r="34" spans="1:8" x14ac:dyDescent="0.25">
      <c r="A34" s="52"/>
      <c r="B34" s="52"/>
      <c r="C34" s="52">
        <v>2</v>
      </c>
      <c r="D34" s="52">
        <v>2.8</v>
      </c>
      <c r="E34" s="52"/>
      <c r="F34" s="52">
        <f>0.5-0.165</f>
        <v>0.33499999999999996</v>
      </c>
      <c r="G34" s="62">
        <f t="shared" ref="G34:G160" si="2">+PRODUCT(C34:F34)</f>
        <v>1.8759999999999997</v>
      </c>
      <c r="H34" s="52"/>
    </row>
    <row r="35" spans="1:8" x14ac:dyDescent="0.25">
      <c r="A35" s="52"/>
      <c r="B35" s="52"/>
      <c r="C35" s="52">
        <v>2</v>
      </c>
      <c r="D35" s="52">
        <v>2.8</v>
      </c>
      <c r="E35" s="52"/>
      <c r="F35" s="52">
        <f>0.5-0.125</f>
        <v>0.375</v>
      </c>
      <c r="G35" s="62">
        <f t="shared" si="2"/>
        <v>2.0999999999999996</v>
      </c>
      <c r="H35" s="52"/>
    </row>
    <row r="36" spans="1:8" x14ac:dyDescent="0.25">
      <c r="A36" s="52"/>
      <c r="B36" s="52" t="s">
        <v>385</v>
      </c>
      <c r="C36" s="52">
        <v>2</v>
      </c>
      <c r="D36" s="52">
        <v>3.0249999999999999</v>
      </c>
      <c r="E36" s="52"/>
      <c r="F36" s="52">
        <v>0.2</v>
      </c>
      <c r="G36" s="62">
        <f t="shared" si="2"/>
        <v>1.21</v>
      </c>
      <c r="H36" s="52"/>
    </row>
    <row r="37" spans="1:8" x14ac:dyDescent="0.25">
      <c r="A37" s="52"/>
      <c r="B37" s="52" t="s">
        <v>385</v>
      </c>
      <c r="C37" s="52">
        <v>2</v>
      </c>
      <c r="D37" s="52">
        <v>2.8</v>
      </c>
      <c r="E37" s="52"/>
      <c r="F37" s="52">
        <v>0.2</v>
      </c>
      <c r="G37" s="62">
        <f t="shared" ref="G37" si="3">+PRODUCT(C37:F37)</f>
        <v>1.1199999999999999</v>
      </c>
      <c r="H37" s="52"/>
    </row>
    <row r="38" spans="1:8" x14ac:dyDescent="0.25">
      <c r="A38" s="52"/>
      <c r="B38" s="52" t="s">
        <v>295</v>
      </c>
      <c r="C38" s="52">
        <v>2</v>
      </c>
      <c r="D38" s="52">
        <v>3.3</v>
      </c>
      <c r="E38" s="52"/>
      <c r="F38" s="52">
        <f>0.5-0.165</f>
        <v>0.33499999999999996</v>
      </c>
      <c r="G38" s="62">
        <f t="shared" si="2"/>
        <v>2.2109999999999999</v>
      </c>
      <c r="H38" s="52"/>
    </row>
    <row r="39" spans="1:8" x14ac:dyDescent="0.25">
      <c r="A39" s="52"/>
      <c r="B39" s="52"/>
      <c r="C39" s="52">
        <v>2</v>
      </c>
      <c r="D39" s="52">
        <v>3.3</v>
      </c>
      <c r="E39" s="52"/>
      <c r="F39" s="52">
        <f>0.5-0.15</f>
        <v>0.35</v>
      </c>
      <c r="G39" s="62">
        <f t="shared" si="2"/>
        <v>2.3099999999999996</v>
      </c>
      <c r="H39" s="52"/>
    </row>
    <row r="40" spans="1:8" x14ac:dyDescent="0.25">
      <c r="A40" s="52"/>
      <c r="B40" s="52" t="s">
        <v>385</v>
      </c>
      <c r="C40" s="52">
        <v>2</v>
      </c>
      <c r="D40" s="52">
        <v>3.3</v>
      </c>
      <c r="E40" s="52"/>
      <c r="F40" s="52">
        <v>0.2</v>
      </c>
      <c r="G40" s="62">
        <f t="shared" si="2"/>
        <v>1.32</v>
      </c>
      <c r="H40" s="52"/>
    </row>
    <row r="41" spans="1:8" x14ac:dyDescent="0.25">
      <c r="A41" s="52"/>
      <c r="B41" s="52" t="s">
        <v>296</v>
      </c>
      <c r="C41" s="52">
        <v>4</v>
      </c>
      <c r="D41" s="52">
        <v>1.395</v>
      </c>
      <c r="E41" s="52"/>
      <c r="F41" s="52">
        <v>0.35</v>
      </c>
      <c r="G41" s="62">
        <f t="shared" si="2"/>
        <v>1.9529999999999998</v>
      </c>
      <c r="H41" s="52"/>
    </row>
    <row r="42" spans="1:8" x14ac:dyDescent="0.25">
      <c r="A42" s="52"/>
      <c r="B42" s="52" t="s">
        <v>385</v>
      </c>
      <c r="C42" s="52">
        <f>+C41</f>
        <v>4</v>
      </c>
      <c r="D42" s="52">
        <v>1.395</v>
      </c>
      <c r="E42" s="52"/>
      <c r="F42" s="52">
        <v>0.1</v>
      </c>
      <c r="G42" s="62">
        <f t="shared" ref="G42" si="4">+PRODUCT(C42:F42)</f>
        <v>0.55800000000000005</v>
      </c>
      <c r="H42" s="52"/>
    </row>
    <row r="43" spans="1:8" x14ac:dyDescent="0.25">
      <c r="A43" s="52"/>
      <c r="B43" s="52" t="s">
        <v>333</v>
      </c>
      <c r="C43" s="52">
        <v>2</v>
      </c>
      <c r="D43" s="52">
        <v>1.1850000000000001</v>
      </c>
      <c r="E43" s="52"/>
      <c r="F43" s="52">
        <v>0.35</v>
      </c>
      <c r="G43" s="62">
        <f t="shared" si="2"/>
        <v>0.82950000000000002</v>
      </c>
      <c r="H43" s="52"/>
    </row>
    <row r="44" spans="1:8" x14ac:dyDescent="0.25">
      <c r="A44" s="52"/>
      <c r="B44" s="52"/>
      <c r="C44" s="52">
        <v>2</v>
      </c>
      <c r="D44" s="52">
        <v>1.1850000000000001</v>
      </c>
      <c r="E44" s="52"/>
      <c r="F44" s="52">
        <f>0.35-0.165</f>
        <v>0.18499999999999997</v>
      </c>
      <c r="G44" s="62">
        <f t="shared" si="2"/>
        <v>0.43844999999999995</v>
      </c>
      <c r="H44" s="52"/>
    </row>
    <row r="45" spans="1:8" x14ac:dyDescent="0.25">
      <c r="A45" s="52"/>
      <c r="B45" s="52" t="s">
        <v>385</v>
      </c>
      <c r="C45" s="52">
        <f>+C44</f>
        <v>2</v>
      </c>
      <c r="D45" s="52">
        <f>+D44</f>
        <v>1.1850000000000001</v>
      </c>
      <c r="E45" s="52"/>
      <c r="F45" s="52">
        <v>0.1</v>
      </c>
      <c r="G45" s="62">
        <f t="shared" si="2"/>
        <v>0.23700000000000002</v>
      </c>
      <c r="H45" s="52"/>
    </row>
    <row r="46" spans="1:8" x14ac:dyDescent="0.25">
      <c r="A46" s="52"/>
      <c r="B46" s="52" t="s">
        <v>334</v>
      </c>
      <c r="C46" s="52">
        <v>2</v>
      </c>
      <c r="D46" s="52">
        <v>1.54</v>
      </c>
      <c r="E46" s="52"/>
      <c r="F46" s="52">
        <v>0.35</v>
      </c>
      <c r="G46" s="62">
        <f t="shared" si="2"/>
        <v>1.0779999999999998</v>
      </c>
      <c r="H46" s="52"/>
    </row>
    <row r="47" spans="1:8" x14ac:dyDescent="0.25">
      <c r="A47" s="52"/>
      <c r="B47" s="52"/>
      <c r="C47" s="52">
        <v>2</v>
      </c>
      <c r="D47" s="52">
        <v>1.87</v>
      </c>
      <c r="E47" s="52"/>
      <c r="F47" s="52">
        <v>0.35</v>
      </c>
      <c r="G47" s="62">
        <f t="shared" si="2"/>
        <v>1.3089999999999999</v>
      </c>
      <c r="H47" s="52"/>
    </row>
    <row r="48" spans="1:8" x14ac:dyDescent="0.25">
      <c r="A48" s="52"/>
      <c r="B48" s="52" t="s">
        <v>385</v>
      </c>
      <c r="C48" s="52">
        <f>+C47</f>
        <v>2</v>
      </c>
      <c r="D48" s="52">
        <f>+D47</f>
        <v>1.87</v>
      </c>
      <c r="E48" s="52"/>
      <c r="F48" s="52">
        <v>0.1</v>
      </c>
      <c r="G48" s="62">
        <f t="shared" ref="G48" si="5">+PRODUCT(C48:F48)</f>
        <v>0.37400000000000005</v>
      </c>
      <c r="H48" s="52"/>
    </row>
    <row r="49" spans="1:8" x14ac:dyDescent="0.25">
      <c r="A49" s="52"/>
      <c r="B49" s="52" t="s">
        <v>335</v>
      </c>
      <c r="C49" s="52">
        <v>2</v>
      </c>
      <c r="D49" s="52">
        <v>0.97</v>
      </c>
      <c r="E49" s="52"/>
      <c r="F49" s="52">
        <v>0.35</v>
      </c>
      <c r="G49" s="62">
        <f t="shared" ref="G49:G51" si="6">+PRODUCT(C49:F49)</f>
        <v>0.67899999999999994</v>
      </c>
      <c r="H49" s="52"/>
    </row>
    <row r="50" spans="1:8" x14ac:dyDescent="0.25">
      <c r="A50" s="52"/>
      <c r="B50" s="52"/>
      <c r="C50" s="52">
        <v>2</v>
      </c>
      <c r="D50" s="52">
        <v>1.07</v>
      </c>
      <c r="E50" s="52"/>
      <c r="F50" s="52">
        <v>0.35</v>
      </c>
      <c r="G50" s="62">
        <f t="shared" si="6"/>
        <v>0.749</v>
      </c>
      <c r="H50" s="52"/>
    </row>
    <row r="51" spans="1:8" x14ac:dyDescent="0.25">
      <c r="A51" s="52"/>
      <c r="B51" s="52" t="s">
        <v>385</v>
      </c>
      <c r="C51" s="52">
        <f>+C50</f>
        <v>2</v>
      </c>
      <c r="D51" s="52">
        <f>+D50</f>
        <v>1.07</v>
      </c>
      <c r="E51" s="52"/>
      <c r="F51" s="52">
        <v>0.1</v>
      </c>
      <c r="G51" s="62">
        <f t="shared" si="6"/>
        <v>0.21400000000000002</v>
      </c>
      <c r="H51" s="52"/>
    </row>
    <row r="52" spans="1:8" x14ac:dyDescent="0.25">
      <c r="A52" s="52"/>
      <c r="B52" s="52" t="s">
        <v>336</v>
      </c>
      <c r="C52" s="52">
        <v>4</v>
      </c>
      <c r="D52" s="52">
        <v>1.4</v>
      </c>
      <c r="E52" s="52"/>
      <c r="F52" s="52">
        <v>0.35</v>
      </c>
      <c r="G52" s="62">
        <f t="shared" ref="G52:G54" si="7">+PRODUCT(C52:F52)</f>
        <v>1.9599999999999997</v>
      </c>
      <c r="H52" s="52"/>
    </row>
    <row r="53" spans="1:8" x14ac:dyDescent="0.25">
      <c r="A53" s="52"/>
      <c r="B53" s="52"/>
      <c r="C53" s="52">
        <v>4</v>
      </c>
      <c r="D53" s="52">
        <v>1.5</v>
      </c>
      <c r="E53" s="52"/>
      <c r="F53" s="52">
        <f>0.35-0.165</f>
        <v>0.18499999999999997</v>
      </c>
      <c r="G53" s="62">
        <f t="shared" si="7"/>
        <v>1.1099999999999999</v>
      </c>
      <c r="H53" s="52"/>
    </row>
    <row r="54" spans="1:8" x14ac:dyDescent="0.25">
      <c r="A54" s="52"/>
      <c r="B54" s="52" t="s">
        <v>385</v>
      </c>
      <c r="C54" s="52">
        <f>+C53</f>
        <v>4</v>
      </c>
      <c r="D54" s="52">
        <f>+D53</f>
        <v>1.5</v>
      </c>
      <c r="E54" s="52"/>
      <c r="F54" s="52">
        <v>0.1</v>
      </c>
      <c r="G54" s="62">
        <f t="shared" si="7"/>
        <v>0.60000000000000009</v>
      </c>
      <c r="H54" s="52"/>
    </row>
    <row r="55" spans="1:8" x14ac:dyDescent="0.25">
      <c r="A55" s="52"/>
      <c r="B55" s="52" t="s">
        <v>337</v>
      </c>
      <c r="C55" s="52">
        <v>2</v>
      </c>
      <c r="D55" s="52">
        <v>1.4</v>
      </c>
      <c r="E55" s="52"/>
      <c r="F55" s="52">
        <v>0.35</v>
      </c>
      <c r="G55" s="62">
        <f t="shared" ref="G55:G57" si="8">+PRODUCT(C55:F55)</f>
        <v>0.97999999999999987</v>
      </c>
      <c r="H55" s="52"/>
    </row>
    <row r="56" spans="1:8" x14ac:dyDescent="0.25">
      <c r="A56" s="52"/>
      <c r="B56" s="52"/>
      <c r="C56" s="52">
        <v>2</v>
      </c>
      <c r="D56" s="52">
        <v>1.5</v>
      </c>
      <c r="E56" s="52"/>
      <c r="F56" s="52">
        <f>0.35-0.165</f>
        <v>0.18499999999999997</v>
      </c>
      <c r="G56" s="62">
        <f t="shared" si="8"/>
        <v>0.55499999999999994</v>
      </c>
      <c r="H56" s="52"/>
    </row>
    <row r="57" spans="1:8" x14ac:dyDescent="0.25">
      <c r="A57" s="52"/>
      <c r="B57" s="52" t="s">
        <v>385</v>
      </c>
      <c r="C57" s="52">
        <f>+C56</f>
        <v>2</v>
      </c>
      <c r="D57" s="52">
        <f>+D56</f>
        <v>1.5</v>
      </c>
      <c r="E57" s="52"/>
      <c r="F57" s="52">
        <v>0.1</v>
      </c>
      <c r="G57" s="62">
        <f t="shared" si="8"/>
        <v>0.30000000000000004</v>
      </c>
      <c r="H57" s="52"/>
    </row>
    <row r="58" spans="1:8" x14ac:dyDescent="0.25">
      <c r="A58" s="52"/>
      <c r="B58" s="52" t="s">
        <v>338</v>
      </c>
      <c r="C58" s="52">
        <v>4</v>
      </c>
      <c r="D58" s="52">
        <v>1.5249999999999999</v>
      </c>
      <c r="E58" s="52"/>
      <c r="F58" s="52">
        <v>0.35</v>
      </c>
      <c r="G58" s="62">
        <f t="shared" ref="G58:G60" si="9">+PRODUCT(C58:F58)</f>
        <v>2.1349999999999998</v>
      </c>
      <c r="H58" s="52"/>
    </row>
    <row r="59" spans="1:8" x14ac:dyDescent="0.25">
      <c r="A59" s="52"/>
      <c r="B59" s="52"/>
      <c r="C59" s="52">
        <v>4</v>
      </c>
      <c r="D59" s="52">
        <v>1.855</v>
      </c>
      <c r="E59" s="52"/>
      <c r="F59" s="52">
        <v>0.35</v>
      </c>
      <c r="G59" s="62">
        <f t="shared" si="9"/>
        <v>2.597</v>
      </c>
      <c r="H59" s="52"/>
    </row>
    <row r="60" spans="1:8" x14ac:dyDescent="0.25">
      <c r="A60" s="52"/>
      <c r="B60" s="52" t="s">
        <v>385</v>
      </c>
      <c r="C60" s="52">
        <f>+C59</f>
        <v>4</v>
      </c>
      <c r="D60" s="52">
        <f>+D59</f>
        <v>1.855</v>
      </c>
      <c r="E60" s="52"/>
      <c r="F60" s="52">
        <v>0.1</v>
      </c>
      <c r="G60" s="62">
        <f t="shared" si="9"/>
        <v>0.74199999999999999</v>
      </c>
      <c r="H60" s="52"/>
    </row>
    <row r="61" spans="1:8" x14ac:dyDescent="0.25">
      <c r="A61" s="52"/>
      <c r="B61" s="52" t="s">
        <v>339</v>
      </c>
      <c r="C61" s="52">
        <v>4</v>
      </c>
      <c r="D61" s="52">
        <v>0.97</v>
      </c>
      <c r="E61" s="52"/>
      <c r="F61" s="52">
        <f>0.35-0.125</f>
        <v>0.22499999999999998</v>
      </c>
      <c r="G61" s="62">
        <f t="shared" ref="G61:G63" si="10">+PRODUCT(C61:F61)</f>
        <v>0.87299999999999989</v>
      </c>
      <c r="H61" s="52"/>
    </row>
    <row r="62" spans="1:8" x14ac:dyDescent="0.25">
      <c r="A62" s="52"/>
      <c r="B62" s="52"/>
      <c r="C62" s="52">
        <v>4</v>
      </c>
      <c r="D62" s="52">
        <v>1.07</v>
      </c>
      <c r="E62" s="52"/>
      <c r="F62" s="52">
        <v>0.35</v>
      </c>
      <c r="G62" s="62">
        <f t="shared" si="10"/>
        <v>1.498</v>
      </c>
      <c r="H62" s="52"/>
    </row>
    <row r="63" spans="1:8" x14ac:dyDescent="0.25">
      <c r="A63" s="52"/>
      <c r="B63" s="52" t="s">
        <v>385</v>
      </c>
      <c r="C63" s="52">
        <f>+C62</f>
        <v>4</v>
      </c>
      <c r="D63" s="52">
        <f>+D62</f>
        <v>1.07</v>
      </c>
      <c r="E63" s="52"/>
      <c r="F63" s="52">
        <v>0.1</v>
      </c>
      <c r="G63" s="62">
        <f t="shared" si="10"/>
        <v>0.42800000000000005</v>
      </c>
      <c r="H63" s="52"/>
    </row>
    <row r="64" spans="1:8" x14ac:dyDescent="0.25">
      <c r="A64" s="52"/>
      <c r="B64" s="52"/>
      <c r="C64" s="52"/>
      <c r="D64" s="52"/>
      <c r="E64" s="52"/>
      <c r="F64" s="52"/>
      <c r="G64" s="62"/>
      <c r="H64" s="52"/>
    </row>
    <row r="65" spans="1:8" x14ac:dyDescent="0.25">
      <c r="A65" s="52"/>
      <c r="B65" s="52"/>
      <c r="C65" s="52"/>
      <c r="D65" s="52"/>
      <c r="E65" s="52"/>
      <c r="F65" s="52"/>
      <c r="G65" s="62"/>
      <c r="H65" s="52"/>
    </row>
    <row r="66" spans="1:8" x14ac:dyDescent="0.25">
      <c r="A66" s="52"/>
      <c r="B66" s="52" t="s">
        <v>297</v>
      </c>
      <c r="C66" s="52">
        <v>4</v>
      </c>
      <c r="D66" s="52">
        <v>1.395</v>
      </c>
      <c r="E66" s="52"/>
      <c r="F66" s="52">
        <v>0.35</v>
      </c>
      <c r="G66" s="62">
        <f t="shared" ref="G66:G67" si="11">+PRODUCT(C66:F66)</f>
        <v>1.9529999999999998</v>
      </c>
      <c r="H66" s="52"/>
    </row>
    <row r="67" spans="1:8" x14ac:dyDescent="0.25">
      <c r="A67" s="52"/>
      <c r="B67" s="52" t="s">
        <v>385</v>
      </c>
      <c r="C67" s="52">
        <f>+C66</f>
        <v>4</v>
      </c>
      <c r="D67" s="52">
        <f>+D66</f>
        <v>1.395</v>
      </c>
      <c r="E67" s="52"/>
      <c r="F67" s="52">
        <v>0.2</v>
      </c>
      <c r="G67" s="62">
        <f t="shared" si="11"/>
        <v>1.1160000000000001</v>
      </c>
      <c r="H67" s="52"/>
    </row>
    <row r="68" spans="1:8" x14ac:dyDescent="0.25">
      <c r="A68" s="52"/>
      <c r="B68" s="52" t="s">
        <v>298</v>
      </c>
      <c r="C68" s="52">
        <v>4</v>
      </c>
      <c r="D68" s="52">
        <v>3.5750000000000002</v>
      </c>
      <c r="E68" s="52"/>
      <c r="F68" s="52">
        <f>0.45-0.125</f>
        <v>0.32500000000000001</v>
      </c>
      <c r="G68" s="62">
        <f t="shared" si="2"/>
        <v>4.6475</v>
      </c>
      <c r="H68" s="52"/>
    </row>
    <row r="69" spans="1:8" x14ac:dyDescent="0.25">
      <c r="A69" s="52"/>
      <c r="B69" s="52"/>
      <c r="C69" s="52">
        <v>4</v>
      </c>
      <c r="D69" s="52">
        <v>3.1</v>
      </c>
      <c r="E69" s="52"/>
      <c r="F69" s="52">
        <f>0.45-0.125</f>
        <v>0.32500000000000001</v>
      </c>
      <c r="G69" s="62">
        <f t="shared" si="2"/>
        <v>4.03</v>
      </c>
      <c r="H69" s="52"/>
    </row>
    <row r="70" spans="1:8" x14ac:dyDescent="0.25">
      <c r="A70" s="52"/>
      <c r="B70" s="52" t="s">
        <v>385</v>
      </c>
      <c r="C70" s="52">
        <v>2</v>
      </c>
      <c r="D70" s="52">
        <v>3.5750000000000002</v>
      </c>
      <c r="E70" s="52"/>
      <c r="F70" s="52">
        <v>0.2</v>
      </c>
      <c r="G70" s="62">
        <f t="shared" si="2"/>
        <v>1.4300000000000002</v>
      </c>
      <c r="H70" s="52"/>
    </row>
    <row r="71" spans="1:8" x14ac:dyDescent="0.25">
      <c r="A71" s="52"/>
      <c r="B71" s="52" t="s">
        <v>385</v>
      </c>
      <c r="C71" s="52">
        <v>2</v>
      </c>
      <c r="D71" s="52">
        <v>3.1</v>
      </c>
      <c r="E71" s="52"/>
      <c r="F71" s="52">
        <v>0.2</v>
      </c>
      <c r="G71" s="62">
        <f t="shared" ref="G71" si="12">+PRODUCT(C71:F71)</f>
        <v>1.2400000000000002</v>
      </c>
      <c r="H71" s="52"/>
    </row>
    <row r="72" spans="1:8" x14ac:dyDescent="0.25">
      <c r="A72" s="52"/>
      <c r="B72" s="52" t="s">
        <v>299</v>
      </c>
      <c r="C72" s="52">
        <v>2</v>
      </c>
      <c r="D72" s="52">
        <v>3.16</v>
      </c>
      <c r="E72" s="52"/>
      <c r="F72" s="52">
        <f>0.35-0.125</f>
        <v>0.22499999999999998</v>
      </c>
      <c r="G72" s="62">
        <f t="shared" si="2"/>
        <v>1.4219999999999999</v>
      </c>
      <c r="H72" s="52"/>
    </row>
    <row r="73" spans="1:8" x14ac:dyDescent="0.25">
      <c r="A73" s="52"/>
      <c r="B73" s="52"/>
      <c r="C73" s="52">
        <v>2</v>
      </c>
      <c r="D73" s="52">
        <v>1.9450000000000001</v>
      </c>
      <c r="E73" s="52"/>
      <c r="F73" s="52">
        <f>0.35-0.125</f>
        <v>0.22499999999999998</v>
      </c>
      <c r="G73" s="62">
        <f t="shared" si="2"/>
        <v>0.87524999999999997</v>
      </c>
      <c r="H73" s="52"/>
    </row>
    <row r="74" spans="1:8" x14ac:dyDescent="0.25">
      <c r="A74" s="52"/>
      <c r="B74" s="52"/>
      <c r="C74" s="52">
        <v>2</v>
      </c>
      <c r="D74" s="52">
        <v>1.0149999999999999</v>
      </c>
      <c r="E74" s="52"/>
      <c r="F74" s="52">
        <v>0.35</v>
      </c>
      <c r="G74" s="62">
        <f t="shared" si="2"/>
        <v>0.71049999999999991</v>
      </c>
      <c r="H74" s="52"/>
    </row>
    <row r="75" spans="1:8" x14ac:dyDescent="0.25">
      <c r="A75" s="52"/>
      <c r="B75" s="52" t="s">
        <v>385</v>
      </c>
      <c r="C75" s="52">
        <v>2</v>
      </c>
      <c r="D75" s="52">
        <v>3.16</v>
      </c>
      <c r="E75" s="52"/>
      <c r="F75" s="52">
        <v>0.2</v>
      </c>
      <c r="G75" s="62">
        <f t="shared" si="2"/>
        <v>1.2640000000000002</v>
      </c>
      <c r="H75" s="52"/>
    </row>
    <row r="76" spans="1:8" x14ac:dyDescent="0.25">
      <c r="A76" s="52"/>
      <c r="B76" s="52" t="s">
        <v>300</v>
      </c>
      <c r="C76" s="52">
        <v>4</v>
      </c>
      <c r="D76" s="52">
        <v>2.7</v>
      </c>
      <c r="E76" s="52"/>
      <c r="F76" s="52">
        <f>0.45-0.125</f>
        <v>0.32500000000000001</v>
      </c>
      <c r="G76" s="62">
        <f t="shared" si="2"/>
        <v>3.5100000000000002</v>
      </c>
      <c r="H76" s="52"/>
    </row>
    <row r="77" spans="1:8" x14ac:dyDescent="0.25">
      <c r="A77" s="52"/>
      <c r="B77" s="52" t="s">
        <v>385</v>
      </c>
      <c r="C77" s="52">
        <v>2</v>
      </c>
      <c r="D77" s="52">
        <v>2.7</v>
      </c>
      <c r="E77" s="52"/>
      <c r="F77" s="52">
        <v>0.2</v>
      </c>
      <c r="G77" s="62">
        <f t="shared" ref="G77" si="13">+PRODUCT(C77:F77)</f>
        <v>1.08</v>
      </c>
      <c r="H77" s="52"/>
    </row>
    <row r="78" spans="1:8" x14ac:dyDescent="0.25">
      <c r="A78" s="52"/>
      <c r="B78" s="52" t="s">
        <v>301</v>
      </c>
      <c r="C78" s="52">
        <v>2</v>
      </c>
      <c r="D78" s="52">
        <v>2.875</v>
      </c>
      <c r="E78" s="52"/>
      <c r="F78" s="52">
        <f>0.5-0.125</f>
        <v>0.375</v>
      </c>
      <c r="G78" s="62">
        <f t="shared" si="2"/>
        <v>2.15625</v>
      </c>
      <c r="H78" s="52"/>
    </row>
    <row r="79" spans="1:8" x14ac:dyDescent="0.25">
      <c r="A79" s="52"/>
      <c r="B79" s="52"/>
      <c r="C79" s="52">
        <v>2</v>
      </c>
      <c r="D79" s="52">
        <v>1.125</v>
      </c>
      <c r="E79" s="52"/>
      <c r="F79" s="52">
        <f>0.5-0.125</f>
        <v>0.375</v>
      </c>
      <c r="G79" s="62">
        <f t="shared" si="2"/>
        <v>0.84375</v>
      </c>
      <c r="H79" s="52"/>
    </row>
    <row r="80" spans="1:8" x14ac:dyDescent="0.25">
      <c r="A80" s="52"/>
      <c r="B80" s="52"/>
      <c r="C80" s="52">
        <v>2</v>
      </c>
      <c r="D80" s="52">
        <v>1.55</v>
      </c>
      <c r="E80" s="52"/>
      <c r="F80" s="52">
        <f>0.5-0.165</f>
        <v>0.33499999999999996</v>
      </c>
      <c r="G80" s="62">
        <f t="shared" si="2"/>
        <v>1.0385</v>
      </c>
      <c r="H80" s="52"/>
    </row>
    <row r="81" spans="1:8" x14ac:dyDescent="0.25">
      <c r="A81" s="52"/>
      <c r="B81" s="52" t="s">
        <v>385</v>
      </c>
      <c r="C81" s="52">
        <v>2</v>
      </c>
      <c r="D81" s="52">
        <v>2.875</v>
      </c>
      <c r="E81" s="52"/>
      <c r="F81" s="52">
        <v>0.2</v>
      </c>
      <c r="G81" s="62">
        <f t="shared" si="2"/>
        <v>1.1500000000000001</v>
      </c>
      <c r="H81" s="52"/>
    </row>
    <row r="82" spans="1:8" x14ac:dyDescent="0.25">
      <c r="A82" s="52"/>
      <c r="B82" s="52" t="s">
        <v>302</v>
      </c>
      <c r="C82" s="52">
        <v>2</v>
      </c>
      <c r="D82" s="52">
        <v>2.93</v>
      </c>
      <c r="E82" s="52"/>
      <c r="F82" s="52">
        <f>0.35-0.15</f>
        <v>0.19999999999999998</v>
      </c>
      <c r="G82" s="62">
        <f t="shared" si="2"/>
        <v>1.1719999999999999</v>
      </c>
      <c r="H82" s="52"/>
    </row>
    <row r="83" spans="1:8" x14ac:dyDescent="0.25">
      <c r="A83" s="52"/>
      <c r="B83" s="52"/>
      <c r="C83" s="52">
        <v>2</v>
      </c>
      <c r="D83" s="52">
        <v>2.93</v>
      </c>
      <c r="E83" s="52"/>
      <c r="F83" s="52">
        <f>0.35-0.165</f>
        <v>0.18499999999999997</v>
      </c>
      <c r="G83" s="62">
        <f t="shared" si="2"/>
        <v>1.0840999999999998</v>
      </c>
      <c r="H83" s="52"/>
    </row>
    <row r="84" spans="1:8" x14ac:dyDescent="0.25">
      <c r="A84" s="52"/>
      <c r="B84" s="52" t="s">
        <v>385</v>
      </c>
      <c r="C84" s="52">
        <v>2</v>
      </c>
      <c r="D84" s="52">
        <v>2.93</v>
      </c>
      <c r="E84" s="52"/>
      <c r="F84" s="52">
        <v>0.2</v>
      </c>
      <c r="G84" s="62">
        <f t="shared" ref="G84" si="14">+PRODUCT(C84:F84)</f>
        <v>1.1720000000000002</v>
      </c>
      <c r="H84" s="52"/>
    </row>
    <row r="85" spans="1:8" x14ac:dyDescent="0.25">
      <c r="A85" s="52"/>
      <c r="B85" s="52" t="s">
        <v>303</v>
      </c>
      <c r="C85" s="52">
        <v>4</v>
      </c>
      <c r="D85" s="52">
        <v>4.6900000000000004</v>
      </c>
      <c r="E85" s="52"/>
      <c r="F85" s="52">
        <f>0.5-0.165</f>
        <v>0.33499999999999996</v>
      </c>
      <c r="G85" s="62">
        <f t="shared" si="2"/>
        <v>6.2846000000000002</v>
      </c>
      <c r="H85" s="52"/>
    </row>
    <row r="86" spans="1:8" x14ac:dyDescent="0.25">
      <c r="A86" s="52"/>
      <c r="B86" s="52"/>
      <c r="C86" s="52">
        <v>4</v>
      </c>
      <c r="D86" s="52">
        <v>4.6900000000000004</v>
      </c>
      <c r="E86" s="52"/>
      <c r="F86" s="52">
        <f>0.5-0.125</f>
        <v>0.375</v>
      </c>
      <c r="G86" s="62">
        <f t="shared" si="2"/>
        <v>7.0350000000000001</v>
      </c>
      <c r="H86" s="52"/>
    </row>
    <row r="87" spans="1:8" x14ac:dyDescent="0.25">
      <c r="A87" s="52"/>
      <c r="B87" s="52" t="s">
        <v>385</v>
      </c>
      <c r="C87" s="52">
        <v>4</v>
      </c>
      <c r="D87" s="52">
        <v>4.6900000000000004</v>
      </c>
      <c r="E87" s="52"/>
      <c r="F87" s="52">
        <v>0.2</v>
      </c>
      <c r="G87" s="62">
        <f t="shared" si="2"/>
        <v>3.7520000000000007</v>
      </c>
      <c r="H87" s="52"/>
    </row>
    <row r="88" spans="1:8" x14ac:dyDescent="0.25">
      <c r="A88" s="52"/>
      <c r="B88" s="52" t="s">
        <v>304</v>
      </c>
      <c r="C88" s="52">
        <v>2</v>
      </c>
      <c r="D88" s="52">
        <v>6.3</v>
      </c>
      <c r="E88" s="52"/>
      <c r="F88" s="52">
        <f>0.5-0.165</f>
        <v>0.33499999999999996</v>
      </c>
      <c r="G88" s="62">
        <f t="shared" si="2"/>
        <v>4.2209999999999992</v>
      </c>
      <c r="H88" s="52"/>
    </row>
    <row r="89" spans="1:8" x14ac:dyDescent="0.25">
      <c r="A89" s="52"/>
      <c r="B89" s="52"/>
      <c r="C89" s="52">
        <v>2</v>
      </c>
      <c r="D89" s="52">
        <v>6.3</v>
      </c>
      <c r="E89" s="52"/>
      <c r="F89" s="52">
        <f>0.5-0.125</f>
        <v>0.375</v>
      </c>
      <c r="G89" s="62">
        <f t="shared" si="2"/>
        <v>4.7249999999999996</v>
      </c>
      <c r="H89" s="52"/>
    </row>
    <row r="90" spans="1:8" x14ac:dyDescent="0.25">
      <c r="A90" s="52"/>
      <c r="B90" s="52" t="s">
        <v>385</v>
      </c>
      <c r="C90" s="52">
        <v>2</v>
      </c>
      <c r="D90" s="52">
        <v>6.3</v>
      </c>
      <c r="E90" s="52"/>
      <c r="F90" s="52">
        <v>0.2</v>
      </c>
      <c r="G90" s="62">
        <f t="shared" ref="G90" si="15">+PRODUCT(C90:F90)</f>
        <v>2.52</v>
      </c>
      <c r="H90" s="52"/>
    </row>
    <row r="91" spans="1:8" x14ac:dyDescent="0.25">
      <c r="A91" s="52"/>
      <c r="B91" s="52" t="s">
        <v>305</v>
      </c>
      <c r="C91" s="52">
        <v>8</v>
      </c>
      <c r="D91" s="52">
        <v>4.6900000000000004</v>
      </c>
      <c r="E91" s="52"/>
      <c r="F91" s="52">
        <f>0.45-0.125</f>
        <v>0.32500000000000001</v>
      </c>
      <c r="G91" s="62">
        <f t="shared" si="2"/>
        <v>12.194000000000001</v>
      </c>
      <c r="H91" s="52"/>
    </row>
    <row r="92" spans="1:8" x14ac:dyDescent="0.25">
      <c r="A92" s="52"/>
      <c r="B92" s="52" t="s">
        <v>385</v>
      </c>
      <c r="C92" s="52">
        <v>4</v>
      </c>
      <c r="D92" s="52">
        <v>4.6900000000000004</v>
      </c>
      <c r="E92" s="52"/>
      <c r="F92" s="52">
        <v>0.2</v>
      </c>
      <c r="G92" s="62">
        <f t="shared" si="2"/>
        <v>3.7520000000000007</v>
      </c>
      <c r="H92" s="52"/>
    </row>
    <row r="93" spans="1:8" x14ac:dyDescent="0.25">
      <c r="A93" s="52"/>
      <c r="B93" s="52" t="s">
        <v>306</v>
      </c>
      <c r="C93" s="52">
        <v>2</v>
      </c>
      <c r="D93" s="52">
        <v>5.76</v>
      </c>
      <c r="E93" s="52"/>
      <c r="F93" s="52">
        <f>0.45-0.125</f>
        <v>0.32500000000000001</v>
      </c>
      <c r="G93" s="62">
        <f t="shared" si="2"/>
        <v>3.7439999999999998</v>
      </c>
      <c r="H93" s="52"/>
    </row>
    <row r="94" spans="1:8" x14ac:dyDescent="0.25">
      <c r="A94" s="52"/>
      <c r="B94" s="52"/>
      <c r="C94" s="52">
        <v>2</v>
      </c>
      <c r="D94" s="52">
        <v>3.15</v>
      </c>
      <c r="E94" s="52"/>
      <c r="F94" s="52">
        <v>0.45</v>
      </c>
      <c r="G94" s="62">
        <f t="shared" si="2"/>
        <v>2.835</v>
      </c>
      <c r="H94" s="52"/>
    </row>
    <row r="95" spans="1:8" x14ac:dyDescent="0.25">
      <c r="A95" s="52"/>
      <c r="B95" s="52"/>
      <c r="C95" s="52">
        <v>2</v>
      </c>
      <c r="D95" s="52">
        <v>2.61</v>
      </c>
      <c r="E95" s="52"/>
      <c r="F95" s="52">
        <f>0.45-0.125</f>
        <v>0.32500000000000001</v>
      </c>
      <c r="G95" s="62">
        <f t="shared" si="2"/>
        <v>1.6964999999999999</v>
      </c>
      <c r="H95" s="52"/>
    </row>
    <row r="96" spans="1:8" x14ac:dyDescent="0.25">
      <c r="A96" s="52"/>
      <c r="B96" s="52" t="s">
        <v>385</v>
      </c>
      <c r="C96" s="52">
        <v>2</v>
      </c>
      <c r="D96" s="52">
        <v>5.76</v>
      </c>
      <c r="E96" s="52"/>
      <c r="F96" s="52">
        <v>0.2</v>
      </c>
      <c r="G96" s="62">
        <f t="shared" ref="G96" si="16">+PRODUCT(C96:F96)</f>
        <v>2.3039999999999998</v>
      </c>
      <c r="H96" s="52"/>
    </row>
    <row r="97" spans="1:8" x14ac:dyDescent="0.25">
      <c r="A97" s="52"/>
      <c r="B97" s="52" t="s">
        <v>307</v>
      </c>
      <c r="C97" s="52">
        <v>2</v>
      </c>
      <c r="D97" s="52">
        <v>1.6</v>
      </c>
      <c r="E97" s="52"/>
      <c r="F97" s="52">
        <f>0.35-0.125</f>
        <v>0.22499999999999998</v>
      </c>
      <c r="G97" s="62">
        <f t="shared" si="2"/>
        <v>0.72</v>
      </c>
      <c r="H97" s="52"/>
    </row>
    <row r="98" spans="1:8" x14ac:dyDescent="0.25">
      <c r="A98" s="52"/>
      <c r="B98" s="52"/>
      <c r="C98" s="52">
        <v>2</v>
      </c>
      <c r="D98" s="52">
        <v>1.1850000000000001</v>
      </c>
      <c r="E98" s="52"/>
      <c r="F98" s="52">
        <v>0.35</v>
      </c>
      <c r="G98" s="62">
        <f t="shared" si="2"/>
        <v>0.82950000000000002</v>
      </c>
      <c r="H98" s="52"/>
    </row>
    <row r="99" spans="1:8" x14ac:dyDescent="0.25">
      <c r="A99" s="52"/>
      <c r="B99" s="52"/>
      <c r="C99" s="52">
        <v>2</v>
      </c>
      <c r="D99" s="52">
        <f>1.6-1.185</f>
        <v>0.41500000000000004</v>
      </c>
      <c r="E99" s="52"/>
      <c r="F99" s="52">
        <f>0.35-0.125</f>
        <v>0.22499999999999998</v>
      </c>
      <c r="G99" s="62">
        <f t="shared" si="2"/>
        <v>0.18675</v>
      </c>
      <c r="H99" s="52"/>
    </row>
    <row r="100" spans="1:8" x14ac:dyDescent="0.25">
      <c r="A100" s="52"/>
      <c r="B100" s="52" t="s">
        <v>385</v>
      </c>
      <c r="C100" s="52">
        <v>2</v>
      </c>
      <c r="D100" s="52">
        <v>1.6</v>
      </c>
      <c r="E100" s="52"/>
      <c r="F100" s="52">
        <v>0.2</v>
      </c>
      <c r="G100" s="62">
        <f t="shared" si="2"/>
        <v>0.64000000000000012</v>
      </c>
      <c r="H100" s="52"/>
    </row>
    <row r="101" spans="1:8" x14ac:dyDescent="0.25">
      <c r="A101" s="52"/>
      <c r="B101" s="52" t="s">
        <v>308</v>
      </c>
      <c r="C101" s="52">
        <v>2</v>
      </c>
      <c r="D101" s="52">
        <v>4.1050000000000004</v>
      </c>
      <c r="E101" s="52"/>
      <c r="F101" s="52">
        <f>0.45-0.125</f>
        <v>0.32500000000000001</v>
      </c>
      <c r="G101" s="62">
        <f t="shared" si="2"/>
        <v>2.6682500000000005</v>
      </c>
      <c r="H101" s="52"/>
    </row>
    <row r="102" spans="1:8" x14ac:dyDescent="0.25">
      <c r="A102" s="52"/>
      <c r="B102" s="52"/>
      <c r="C102" s="52">
        <v>2</v>
      </c>
      <c r="D102" s="52">
        <v>4.1050000000000004</v>
      </c>
      <c r="E102" s="52"/>
      <c r="F102" s="52">
        <f>0.45-0.15</f>
        <v>0.30000000000000004</v>
      </c>
      <c r="G102" s="62">
        <f t="shared" si="2"/>
        <v>2.4630000000000005</v>
      </c>
      <c r="H102" s="52"/>
    </row>
    <row r="103" spans="1:8" x14ac:dyDescent="0.25">
      <c r="A103" s="52"/>
      <c r="B103" s="52" t="s">
        <v>385</v>
      </c>
      <c r="C103" s="52">
        <v>2</v>
      </c>
      <c r="D103" s="52">
        <v>4.1050000000000004</v>
      </c>
      <c r="E103" s="52"/>
      <c r="F103" s="52">
        <v>0.2</v>
      </c>
      <c r="G103" s="62">
        <f t="shared" ref="G103" si="17">+PRODUCT(C103:F103)</f>
        <v>1.6420000000000003</v>
      </c>
      <c r="H103" s="52"/>
    </row>
    <row r="104" spans="1:8" x14ac:dyDescent="0.25">
      <c r="A104" s="52"/>
      <c r="B104" s="52" t="s">
        <v>309</v>
      </c>
      <c r="C104" s="52">
        <v>4</v>
      </c>
      <c r="D104" s="52">
        <v>1.5</v>
      </c>
      <c r="E104" s="52"/>
      <c r="F104" s="52">
        <f>0.45-0.125</f>
        <v>0.32500000000000001</v>
      </c>
      <c r="G104" s="62">
        <f t="shared" si="2"/>
        <v>1.9500000000000002</v>
      </c>
      <c r="H104" s="52"/>
    </row>
    <row r="105" spans="1:8" x14ac:dyDescent="0.25">
      <c r="A105" s="52"/>
      <c r="B105" s="52" t="s">
        <v>385</v>
      </c>
      <c r="C105" s="52">
        <v>2</v>
      </c>
      <c r="D105" s="52">
        <v>1.5</v>
      </c>
      <c r="E105" s="52"/>
      <c r="F105" s="52">
        <v>0.2</v>
      </c>
      <c r="G105" s="62">
        <f t="shared" si="2"/>
        <v>0.60000000000000009</v>
      </c>
      <c r="H105" s="52"/>
    </row>
    <row r="106" spans="1:8" x14ac:dyDescent="0.25">
      <c r="A106" s="52"/>
      <c r="B106" s="52" t="s">
        <v>309</v>
      </c>
      <c r="C106" s="52">
        <v>2</v>
      </c>
      <c r="D106" s="52">
        <v>2.2200000000000002</v>
      </c>
      <c r="E106" s="52"/>
      <c r="F106" s="52">
        <f>0.45-0.15</f>
        <v>0.30000000000000004</v>
      </c>
      <c r="G106" s="62">
        <f t="shared" si="2"/>
        <v>1.3320000000000003</v>
      </c>
      <c r="H106" s="52"/>
    </row>
    <row r="107" spans="1:8" x14ac:dyDescent="0.25">
      <c r="A107" s="52"/>
      <c r="B107" s="52"/>
      <c r="C107" s="52">
        <v>2</v>
      </c>
      <c r="D107" s="52">
        <v>2.2200000000000002</v>
      </c>
      <c r="E107" s="52"/>
      <c r="F107" s="52">
        <f>0.45-0.125</f>
        <v>0.32500000000000001</v>
      </c>
      <c r="G107" s="62">
        <f t="shared" si="2"/>
        <v>1.4430000000000003</v>
      </c>
      <c r="H107" s="52"/>
    </row>
    <row r="108" spans="1:8" x14ac:dyDescent="0.25">
      <c r="A108" s="52"/>
      <c r="B108" s="52" t="s">
        <v>385</v>
      </c>
      <c r="C108" s="52">
        <v>2</v>
      </c>
      <c r="D108" s="52">
        <v>2.2000000000000002</v>
      </c>
      <c r="E108" s="52"/>
      <c r="F108" s="52">
        <v>0.2</v>
      </c>
      <c r="G108" s="62">
        <f t="shared" ref="G108" si="18">+PRODUCT(C108:F108)</f>
        <v>0.88000000000000012</v>
      </c>
      <c r="H108" s="52"/>
    </row>
    <row r="109" spans="1:8" x14ac:dyDescent="0.25">
      <c r="A109" s="52"/>
      <c r="B109" s="52" t="s">
        <v>310</v>
      </c>
      <c r="C109" s="52">
        <v>2</v>
      </c>
      <c r="D109" s="52">
        <v>3.1150000000000002</v>
      </c>
      <c r="E109" s="52"/>
      <c r="F109" s="52">
        <f>0.5-0.125</f>
        <v>0.375</v>
      </c>
      <c r="G109" s="62">
        <f t="shared" si="2"/>
        <v>2.3362500000000002</v>
      </c>
      <c r="H109" s="52"/>
    </row>
    <row r="110" spans="1:8" x14ac:dyDescent="0.25">
      <c r="A110" s="52"/>
      <c r="B110" s="52"/>
      <c r="C110" s="52">
        <v>2</v>
      </c>
      <c r="D110" s="52">
        <v>3.1150000000000002</v>
      </c>
      <c r="E110" s="52"/>
      <c r="F110" s="52">
        <v>0.5</v>
      </c>
      <c r="G110" s="62">
        <f t="shared" ref="G110:G111" si="19">+PRODUCT(C110:F110)</f>
        <v>3.1150000000000002</v>
      </c>
      <c r="H110" s="52"/>
    </row>
    <row r="111" spans="1:8" x14ac:dyDescent="0.25">
      <c r="A111" s="52"/>
      <c r="B111" s="52" t="s">
        <v>385</v>
      </c>
      <c r="C111" s="52">
        <v>2</v>
      </c>
      <c r="D111" s="52">
        <v>3.1150000000000002</v>
      </c>
      <c r="E111" s="52"/>
      <c r="F111" s="52">
        <v>0.2</v>
      </c>
      <c r="G111" s="62">
        <f t="shared" si="19"/>
        <v>1.2460000000000002</v>
      </c>
      <c r="H111" s="52"/>
    </row>
    <row r="112" spans="1:8" x14ac:dyDescent="0.25">
      <c r="A112" s="52"/>
      <c r="B112" s="52" t="s">
        <v>312</v>
      </c>
      <c r="C112" s="52">
        <v>6</v>
      </c>
      <c r="D112" s="52">
        <v>1.02</v>
      </c>
      <c r="E112" s="52"/>
      <c r="F112" s="52">
        <f>0.35-0.125</f>
        <v>0.22499999999999998</v>
      </c>
      <c r="G112" s="62">
        <f t="shared" si="2"/>
        <v>1.3769999999999998</v>
      </c>
      <c r="H112" s="52"/>
    </row>
    <row r="113" spans="1:8" x14ac:dyDescent="0.25">
      <c r="A113" s="52"/>
      <c r="B113" s="52"/>
      <c r="C113" s="52">
        <v>6</v>
      </c>
      <c r="D113" s="52">
        <v>1.1200000000000001</v>
      </c>
      <c r="E113" s="52"/>
      <c r="F113" s="52">
        <v>0.35</v>
      </c>
      <c r="G113" s="62">
        <f t="shared" si="2"/>
        <v>2.3519999999999999</v>
      </c>
      <c r="H113" s="52"/>
    </row>
    <row r="114" spans="1:8" x14ac:dyDescent="0.25">
      <c r="A114" s="52"/>
      <c r="B114" s="52" t="s">
        <v>385</v>
      </c>
      <c r="C114" s="52">
        <v>6</v>
      </c>
      <c r="D114" s="52">
        <v>1.1200000000000001</v>
      </c>
      <c r="E114" s="52"/>
      <c r="F114" s="52">
        <v>0.2</v>
      </c>
      <c r="G114" s="62">
        <f t="shared" si="2"/>
        <v>1.3440000000000003</v>
      </c>
      <c r="H114" s="52"/>
    </row>
    <row r="115" spans="1:8" x14ac:dyDescent="0.25">
      <c r="A115" s="52"/>
      <c r="B115" s="52" t="s">
        <v>311</v>
      </c>
      <c r="C115" s="52">
        <v>6</v>
      </c>
      <c r="D115" s="52">
        <v>3.35</v>
      </c>
      <c r="E115" s="52"/>
      <c r="F115" s="52">
        <f>0.45-0.125</f>
        <v>0.32500000000000001</v>
      </c>
      <c r="G115" s="62">
        <f t="shared" si="2"/>
        <v>6.5325000000000006</v>
      </c>
      <c r="H115" s="52"/>
    </row>
    <row r="116" spans="1:8" x14ac:dyDescent="0.25">
      <c r="A116" s="52"/>
      <c r="B116" s="52"/>
      <c r="C116" s="52">
        <v>6</v>
      </c>
      <c r="D116" s="52">
        <v>3.25</v>
      </c>
      <c r="E116" s="52"/>
      <c r="F116" s="52">
        <f>0.5-0.165</f>
        <v>0.33499999999999996</v>
      </c>
      <c r="G116" s="62">
        <f t="shared" si="2"/>
        <v>6.5324999999999989</v>
      </c>
      <c r="H116" s="52"/>
    </row>
    <row r="117" spans="1:8" x14ac:dyDescent="0.25">
      <c r="A117" s="52"/>
      <c r="B117" s="52" t="s">
        <v>385</v>
      </c>
      <c r="C117" s="52">
        <v>6</v>
      </c>
      <c r="D117" s="52">
        <v>3.25</v>
      </c>
      <c r="E117" s="52"/>
      <c r="F117" s="52">
        <v>0.2</v>
      </c>
      <c r="G117" s="62">
        <f t="shared" ref="G117" si="20">+PRODUCT(C117:F117)</f>
        <v>3.9000000000000004</v>
      </c>
      <c r="H117" s="52"/>
    </row>
    <row r="118" spans="1:8" x14ac:dyDescent="0.25">
      <c r="A118" s="52"/>
      <c r="B118" s="52" t="s">
        <v>311</v>
      </c>
      <c r="C118" s="52">
        <v>6</v>
      </c>
      <c r="D118" s="52">
        <v>3.25</v>
      </c>
      <c r="E118" s="52"/>
      <c r="F118" s="52">
        <f>0.5-0.125</f>
        <v>0.375</v>
      </c>
      <c r="G118" s="62">
        <f t="shared" si="2"/>
        <v>7.3125</v>
      </c>
      <c r="H118" s="52"/>
    </row>
    <row r="119" spans="1:8" x14ac:dyDescent="0.25">
      <c r="A119" s="52"/>
      <c r="B119" s="52"/>
      <c r="C119" s="52">
        <v>6</v>
      </c>
      <c r="D119" s="52">
        <v>2.2650000000000001</v>
      </c>
      <c r="E119" s="52"/>
      <c r="F119" s="52">
        <f>0.5-0.165</f>
        <v>0.33499999999999996</v>
      </c>
      <c r="G119" s="62">
        <f t="shared" si="2"/>
        <v>4.5526499999999999</v>
      </c>
      <c r="H119" s="52"/>
    </row>
    <row r="120" spans="1:8" x14ac:dyDescent="0.25">
      <c r="A120" s="52"/>
      <c r="B120" s="52"/>
      <c r="C120" s="52">
        <v>6</v>
      </c>
      <c r="D120" s="52">
        <v>0.97</v>
      </c>
      <c r="E120" s="52"/>
      <c r="F120" s="52">
        <v>0.5</v>
      </c>
      <c r="G120" s="62">
        <f t="shared" si="2"/>
        <v>2.91</v>
      </c>
      <c r="H120" s="52"/>
    </row>
    <row r="121" spans="1:8" x14ac:dyDescent="0.25">
      <c r="A121" s="52"/>
      <c r="B121" s="52" t="s">
        <v>385</v>
      </c>
      <c r="C121" s="52">
        <v>6</v>
      </c>
      <c r="D121" s="52">
        <v>3.25</v>
      </c>
      <c r="E121" s="52"/>
      <c r="F121" s="52">
        <v>0.2</v>
      </c>
      <c r="G121" s="62">
        <f t="shared" si="2"/>
        <v>3.9000000000000004</v>
      </c>
      <c r="H121" s="52"/>
    </row>
    <row r="122" spans="1:8" x14ac:dyDescent="0.25">
      <c r="A122" s="52"/>
      <c r="B122" s="52" t="s">
        <v>313</v>
      </c>
      <c r="C122" s="52">
        <v>2</v>
      </c>
      <c r="D122" s="52">
        <v>3.2149999999999999</v>
      </c>
      <c r="E122" s="52"/>
      <c r="F122" s="52">
        <f>0.5-0.125</f>
        <v>0.375</v>
      </c>
      <c r="G122" s="62">
        <f t="shared" si="2"/>
        <v>2.4112499999999999</v>
      </c>
      <c r="H122" s="52"/>
    </row>
    <row r="123" spans="1:8" x14ac:dyDescent="0.25">
      <c r="A123" s="52"/>
      <c r="B123" s="52"/>
      <c r="C123" s="52">
        <v>2</v>
      </c>
      <c r="D123" s="52">
        <v>3.2149999999999999</v>
      </c>
      <c r="E123" s="52"/>
      <c r="F123" s="52">
        <f>0.5-0.165</f>
        <v>0.33499999999999996</v>
      </c>
      <c r="G123" s="62">
        <f t="shared" si="2"/>
        <v>2.1540499999999998</v>
      </c>
      <c r="H123" s="52"/>
    </row>
    <row r="124" spans="1:8" x14ac:dyDescent="0.25">
      <c r="A124" s="52"/>
      <c r="B124" s="52" t="s">
        <v>385</v>
      </c>
      <c r="C124" s="52">
        <v>2</v>
      </c>
      <c r="D124" s="52">
        <v>3.2149999999999999</v>
      </c>
      <c r="E124" s="52"/>
      <c r="F124" s="52">
        <v>0.2</v>
      </c>
      <c r="G124" s="62">
        <f t="shared" ref="G124" si="21">+PRODUCT(C124:F124)</f>
        <v>1.286</v>
      </c>
      <c r="H124" s="52"/>
    </row>
    <row r="125" spans="1:8" x14ac:dyDescent="0.25">
      <c r="A125" s="52"/>
      <c r="B125" s="52" t="s">
        <v>314</v>
      </c>
      <c r="C125" s="52">
        <v>2</v>
      </c>
      <c r="D125" s="52">
        <v>2.76</v>
      </c>
      <c r="E125" s="52"/>
      <c r="F125" s="52">
        <v>0.5</v>
      </c>
      <c r="G125" s="62">
        <f t="shared" si="2"/>
        <v>2.76</v>
      </c>
      <c r="H125" s="52"/>
    </row>
    <row r="126" spans="1:8" x14ac:dyDescent="0.25">
      <c r="A126" s="52"/>
      <c r="B126" s="52"/>
      <c r="C126" s="52">
        <v>2</v>
      </c>
      <c r="D126" s="52">
        <v>1.21</v>
      </c>
      <c r="E126" s="52"/>
      <c r="F126" s="52">
        <f>0.5-0.165</f>
        <v>0.33499999999999996</v>
      </c>
      <c r="G126" s="62">
        <f t="shared" si="2"/>
        <v>0.81069999999999987</v>
      </c>
      <c r="H126" s="52"/>
    </row>
    <row r="127" spans="1:8" x14ac:dyDescent="0.25">
      <c r="A127" s="52"/>
      <c r="B127" s="52"/>
      <c r="C127" s="52">
        <v>2</v>
      </c>
      <c r="D127" s="52">
        <v>1.55</v>
      </c>
      <c r="E127" s="52"/>
      <c r="F127" s="52">
        <v>0.5</v>
      </c>
      <c r="G127" s="62">
        <f t="shared" si="2"/>
        <v>1.55</v>
      </c>
      <c r="H127" s="52"/>
    </row>
    <row r="128" spans="1:8" x14ac:dyDescent="0.25">
      <c r="A128" s="52"/>
      <c r="B128" s="52" t="s">
        <v>385</v>
      </c>
      <c r="C128" s="52">
        <v>2</v>
      </c>
      <c r="D128" s="52">
        <v>2.76</v>
      </c>
      <c r="E128" s="52"/>
      <c r="F128" s="52">
        <v>0.23</v>
      </c>
      <c r="G128" s="62">
        <f t="shared" si="2"/>
        <v>1.2696000000000001</v>
      </c>
      <c r="H128" s="52"/>
    </row>
    <row r="129" spans="1:8" x14ac:dyDescent="0.25">
      <c r="A129" s="52"/>
      <c r="B129" s="52" t="s">
        <v>315</v>
      </c>
      <c r="C129" s="52">
        <v>4</v>
      </c>
      <c r="D129" s="52">
        <v>6.79</v>
      </c>
      <c r="E129" s="52"/>
      <c r="F129" s="52">
        <v>0.3</v>
      </c>
      <c r="G129" s="62">
        <f t="shared" si="2"/>
        <v>8.1479999999999997</v>
      </c>
      <c r="H129" s="52"/>
    </row>
    <row r="130" spans="1:8" x14ac:dyDescent="0.25">
      <c r="A130" s="52"/>
      <c r="B130" s="52" t="s">
        <v>385</v>
      </c>
      <c r="C130" s="52">
        <v>2</v>
      </c>
      <c r="D130" s="52">
        <v>6.79</v>
      </c>
      <c r="E130" s="52"/>
      <c r="F130" s="52">
        <v>0.2</v>
      </c>
      <c r="G130" s="62">
        <f t="shared" ref="G130" si="22">+PRODUCT(C130:F130)</f>
        <v>2.7160000000000002</v>
      </c>
      <c r="H130" s="52"/>
    </row>
    <row r="131" spans="1:8" x14ac:dyDescent="0.25">
      <c r="A131" s="52"/>
      <c r="B131" s="52" t="s">
        <v>316</v>
      </c>
      <c r="C131" s="52">
        <v>4</v>
      </c>
      <c r="D131" s="52">
        <v>2.41</v>
      </c>
      <c r="E131" s="52"/>
      <c r="F131" s="52">
        <f>0.35-0.125</f>
        <v>0.22499999999999998</v>
      </c>
      <c r="G131" s="62">
        <f t="shared" si="2"/>
        <v>2.169</v>
      </c>
      <c r="H131" s="52"/>
    </row>
    <row r="132" spans="1:8" x14ac:dyDescent="0.25">
      <c r="A132" s="52"/>
      <c r="B132" s="52" t="s">
        <v>385</v>
      </c>
      <c r="C132" s="52">
        <v>2</v>
      </c>
      <c r="D132" s="52">
        <v>2.41</v>
      </c>
      <c r="E132" s="52"/>
      <c r="F132" s="52">
        <v>0.2</v>
      </c>
      <c r="G132" s="62">
        <f t="shared" si="2"/>
        <v>0.96400000000000008</v>
      </c>
      <c r="H132" s="52"/>
    </row>
    <row r="133" spans="1:8" x14ac:dyDescent="0.25">
      <c r="A133" s="52"/>
      <c r="B133" s="52" t="s">
        <v>386</v>
      </c>
      <c r="C133" s="52">
        <v>2</v>
      </c>
      <c r="D133" s="52">
        <v>5.76</v>
      </c>
      <c r="E133" s="52"/>
      <c r="F133" s="52">
        <f>0.45-0.125</f>
        <v>0.32500000000000001</v>
      </c>
      <c r="G133" s="62">
        <f t="shared" si="2"/>
        <v>3.7439999999999998</v>
      </c>
      <c r="H133" s="52"/>
    </row>
    <row r="134" spans="1:8" x14ac:dyDescent="0.25">
      <c r="A134" s="52"/>
      <c r="B134" s="52"/>
      <c r="C134" s="52">
        <v>2</v>
      </c>
      <c r="D134" s="52">
        <v>3.35</v>
      </c>
      <c r="E134" s="52"/>
      <c r="F134" s="52">
        <v>0.45</v>
      </c>
      <c r="G134" s="62">
        <f t="shared" si="2"/>
        <v>3.0150000000000001</v>
      </c>
      <c r="H134" s="52"/>
    </row>
    <row r="135" spans="1:8" x14ac:dyDescent="0.25">
      <c r="A135" s="52"/>
      <c r="B135" s="52"/>
      <c r="C135" s="52">
        <v>2</v>
      </c>
      <c r="D135" s="52">
        <v>2.41</v>
      </c>
      <c r="E135" s="52"/>
      <c r="F135" s="52">
        <f>0.45-0.125</f>
        <v>0.32500000000000001</v>
      </c>
      <c r="G135" s="62">
        <f t="shared" si="2"/>
        <v>1.5665000000000002</v>
      </c>
      <c r="H135" s="52"/>
    </row>
    <row r="136" spans="1:8" x14ac:dyDescent="0.25">
      <c r="A136" s="52"/>
      <c r="B136" s="52" t="s">
        <v>385</v>
      </c>
      <c r="C136" s="52">
        <v>2</v>
      </c>
      <c r="D136" s="52">
        <v>5.76</v>
      </c>
      <c r="E136" s="52"/>
      <c r="F136" s="52">
        <v>0.2</v>
      </c>
      <c r="G136" s="62">
        <f t="shared" ref="G136" si="23">+PRODUCT(C136:F136)</f>
        <v>2.3039999999999998</v>
      </c>
      <c r="H136" s="52"/>
    </row>
    <row r="137" spans="1:8" x14ac:dyDescent="0.25">
      <c r="A137" s="52"/>
      <c r="B137" s="52" t="s">
        <v>317</v>
      </c>
      <c r="C137" s="52">
        <v>2</v>
      </c>
      <c r="D137" s="52">
        <v>2.2200000000000002</v>
      </c>
      <c r="E137" s="52"/>
      <c r="F137" s="52">
        <f>0.45-0.125</f>
        <v>0.32500000000000001</v>
      </c>
      <c r="G137" s="62">
        <f t="shared" si="2"/>
        <v>1.4430000000000003</v>
      </c>
      <c r="H137" s="52"/>
    </row>
    <row r="138" spans="1:8" x14ac:dyDescent="0.25">
      <c r="A138" s="52"/>
      <c r="B138" s="52"/>
      <c r="C138" s="52">
        <v>2</v>
      </c>
      <c r="D138" s="52">
        <v>2.2200000000000002</v>
      </c>
      <c r="E138" s="52"/>
      <c r="F138" s="52">
        <f>0.45-0.15</f>
        <v>0.30000000000000004</v>
      </c>
      <c r="G138" s="62">
        <f t="shared" si="2"/>
        <v>1.3320000000000003</v>
      </c>
      <c r="H138" s="52"/>
    </row>
    <row r="139" spans="1:8" x14ac:dyDescent="0.25">
      <c r="A139" s="52"/>
      <c r="B139" s="52" t="s">
        <v>385</v>
      </c>
      <c r="C139" s="52">
        <v>2</v>
      </c>
      <c r="D139" s="52">
        <v>2.2200000000000002</v>
      </c>
      <c r="E139" s="52"/>
      <c r="F139" s="52">
        <v>0.2</v>
      </c>
      <c r="G139" s="62">
        <f t="shared" si="2"/>
        <v>0.88800000000000012</v>
      </c>
      <c r="H139" s="52"/>
    </row>
    <row r="140" spans="1:8" x14ac:dyDescent="0.25">
      <c r="A140" s="52"/>
      <c r="B140" s="52" t="s">
        <v>318</v>
      </c>
      <c r="C140" s="52">
        <v>2</v>
      </c>
      <c r="D140" s="52">
        <v>5.63</v>
      </c>
      <c r="E140" s="52"/>
      <c r="F140" s="52">
        <v>0.45</v>
      </c>
      <c r="G140" s="62">
        <f t="shared" si="2"/>
        <v>5.0670000000000002</v>
      </c>
      <c r="H140" s="52"/>
    </row>
    <row r="141" spans="1:8" x14ac:dyDescent="0.25">
      <c r="A141" s="52"/>
      <c r="B141" s="52"/>
      <c r="C141" s="52">
        <v>2</v>
      </c>
      <c r="D141" s="52">
        <v>4.43</v>
      </c>
      <c r="E141" s="52"/>
      <c r="F141" s="52">
        <v>0.45</v>
      </c>
      <c r="G141" s="62">
        <f t="shared" si="2"/>
        <v>3.9869999999999997</v>
      </c>
      <c r="H141" s="52"/>
    </row>
    <row r="142" spans="1:8" x14ac:dyDescent="0.25">
      <c r="A142" s="52"/>
      <c r="B142" s="52"/>
      <c r="C142" s="52">
        <v>2</v>
      </c>
      <c r="D142" s="52">
        <f>+D140-D141</f>
        <v>1.2000000000000002</v>
      </c>
      <c r="E142" s="52"/>
      <c r="F142" s="52">
        <f>0.45-0.125</f>
        <v>0.32500000000000001</v>
      </c>
      <c r="G142" s="62">
        <f t="shared" si="2"/>
        <v>0.78000000000000014</v>
      </c>
      <c r="H142" s="52"/>
    </row>
    <row r="143" spans="1:8" x14ac:dyDescent="0.25">
      <c r="A143" s="52"/>
      <c r="B143" s="52" t="s">
        <v>385</v>
      </c>
      <c r="C143" s="52">
        <v>2</v>
      </c>
      <c r="D143" s="52">
        <v>5.63</v>
      </c>
      <c r="E143" s="52"/>
      <c r="F143" s="52">
        <v>0.2</v>
      </c>
      <c r="G143" s="62">
        <f t="shared" ref="G143" si="24">+PRODUCT(C143:F143)</f>
        <v>2.2520000000000002</v>
      </c>
      <c r="H143" s="52"/>
    </row>
    <row r="144" spans="1:8" x14ac:dyDescent="0.25">
      <c r="A144" s="52"/>
      <c r="B144" s="52" t="s">
        <v>319</v>
      </c>
      <c r="C144" s="52">
        <v>4</v>
      </c>
      <c r="D144" s="52">
        <v>2.085</v>
      </c>
      <c r="E144" s="52"/>
      <c r="F144" s="52">
        <f>0.5-0.125</f>
        <v>0.375</v>
      </c>
      <c r="G144" s="62">
        <f t="shared" si="2"/>
        <v>3.1274999999999999</v>
      </c>
      <c r="H144" s="52"/>
    </row>
    <row r="145" spans="1:8" x14ac:dyDescent="0.25">
      <c r="A145" s="52"/>
      <c r="B145" s="52" t="s">
        <v>385</v>
      </c>
      <c r="C145" s="52">
        <v>2</v>
      </c>
      <c r="D145" s="52">
        <v>2.085</v>
      </c>
      <c r="E145" s="52"/>
      <c r="F145" s="52">
        <v>0.2</v>
      </c>
      <c r="G145" s="62">
        <f t="shared" si="2"/>
        <v>0.83400000000000007</v>
      </c>
      <c r="H145" s="52"/>
    </row>
    <row r="146" spans="1:8" x14ac:dyDescent="0.25">
      <c r="A146" s="52"/>
      <c r="B146" s="52" t="s">
        <v>331</v>
      </c>
      <c r="C146" s="52">
        <v>4</v>
      </c>
      <c r="D146" s="52">
        <v>1.5</v>
      </c>
      <c r="E146" s="52"/>
      <c r="F146" s="52">
        <f>0.45-0.125</f>
        <v>0.32500000000000001</v>
      </c>
      <c r="G146" s="62">
        <f t="shared" si="2"/>
        <v>1.9500000000000002</v>
      </c>
      <c r="H146" s="52"/>
    </row>
    <row r="147" spans="1:8" x14ac:dyDescent="0.25">
      <c r="A147" s="52"/>
      <c r="B147" s="52" t="s">
        <v>385</v>
      </c>
      <c r="C147" s="52">
        <v>2</v>
      </c>
      <c r="D147" s="52">
        <v>1.5</v>
      </c>
      <c r="E147" s="52"/>
      <c r="F147" s="52">
        <v>0.2</v>
      </c>
      <c r="G147" s="62">
        <f t="shared" ref="G147" si="25">+PRODUCT(C147:F147)</f>
        <v>0.60000000000000009</v>
      </c>
      <c r="H147" s="52"/>
    </row>
    <row r="148" spans="1:8" x14ac:dyDescent="0.25">
      <c r="A148" s="52"/>
      <c r="B148" s="52" t="s">
        <v>320</v>
      </c>
      <c r="C148" s="52">
        <f>4*3</f>
        <v>12</v>
      </c>
      <c r="D148" s="52">
        <v>4.72</v>
      </c>
      <c r="E148" s="52"/>
      <c r="F148" s="52">
        <f>0.45-0.125</f>
        <v>0.32500000000000001</v>
      </c>
      <c r="G148" s="62">
        <f t="shared" si="2"/>
        <v>18.408000000000001</v>
      </c>
      <c r="H148" s="52"/>
    </row>
    <row r="149" spans="1:8" x14ac:dyDescent="0.25">
      <c r="A149" s="52"/>
      <c r="B149" s="52" t="s">
        <v>385</v>
      </c>
      <c r="C149" s="52">
        <v>6</v>
      </c>
      <c r="D149" s="52">
        <v>4.72</v>
      </c>
      <c r="E149" s="52"/>
      <c r="F149" s="52">
        <v>0.2</v>
      </c>
      <c r="G149" s="62">
        <f>+PRODUCT(C149:F149)</f>
        <v>5.6640000000000006</v>
      </c>
      <c r="H149" s="52"/>
    </row>
    <row r="150" spans="1:8" x14ac:dyDescent="0.25">
      <c r="A150" s="52"/>
      <c r="B150" s="52" t="s">
        <v>320</v>
      </c>
      <c r="C150" s="52">
        <f>4*3</f>
        <v>12</v>
      </c>
      <c r="D150" s="52">
        <v>3.2349999999999999</v>
      </c>
      <c r="E150" s="52"/>
      <c r="F150" s="52">
        <f>0.45-0.125</f>
        <v>0.32500000000000001</v>
      </c>
      <c r="G150" s="62">
        <f t="shared" si="2"/>
        <v>12.6165</v>
      </c>
      <c r="H150" s="52"/>
    </row>
    <row r="151" spans="1:8" x14ac:dyDescent="0.25">
      <c r="A151" s="52"/>
      <c r="B151" s="52" t="s">
        <v>385</v>
      </c>
      <c r="C151" s="52">
        <v>6</v>
      </c>
      <c r="D151" s="52">
        <v>3.2349999999999999</v>
      </c>
      <c r="E151" s="52"/>
      <c r="F151" s="52">
        <v>0.2</v>
      </c>
      <c r="G151" s="62">
        <f t="shared" ref="G151" si="26">+PRODUCT(C151:F151)</f>
        <v>3.8820000000000001</v>
      </c>
      <c r="H151" s="52"/>
    </row>
    <row r="152" spans="1:8" x14ac:dyDescent="0.25">
      <c r="A152" s="52"/>
      <c r="B152" s="52" t="s">
        <v>332</v>
      </c>
      <c r="C152" s="52">
        <v>2</v>
      </c>
      <c r="D152" s="52">
        <v>5.63</v>
      </c>
      <c r="E152" s="52"/>
      <c r="F152" s="52">
        <v>0.45</v>
      </c>
      <c r="G152" s="62">
        <f t="shared" ref="G152:G155" si="27">+PRODUCT(C152:F152)</f>
        <v>5.0670000000000002</v>
      </c>
      <c r="H152" s="52"/>
    </row>
    <row r="153" spans="1:8" x14ac:dyDescent="0.25">
      <c r="A153" s="52"/>
      <c r="B153" s="52"/>
      <c r="C153" s="52">
        <v>2</v>
      </c>
      <c r="D153" s="52">
        <v>4.43</v>
      </c>
      <c r="E153" s="52"/>
      <c r="F153" s="52">
        <v>0.45</v>
      </c>
      <c r="G153" s="62">
        <f t="shared" si="27"/>
        <v>3.9869999999999997</v>
      </c>
      <c r="H153" s="52"/>
    </row>
    <row r="154" spans="1:8" x14ac:dyDescent="0.25">
      <c r="A154" s="52"/>
      <c r="B154" s="52"/>
      <c r="C154" s="52">
        <v>2</v>
      </c>
      <c r="D154" s="52">
        <f>+D152-D153</f>
        <v>1.2000000000000002</v>
      </c>
      <c r="E154" s="52"/>
      <c r="F154" s="52">
        <f>0.45-0.125</f>
        <v>0.32500000000000001</v>
      </c>
      <c r="G154" s="62">
        <f t="shared" si="27"/>
        <v>0.78000000000000014</v>
      </c>
      <c r="H154" s="52"/>
    </row>
    <row r="155" spans="1:8" x14ac:dyDescent="0.25">
      <c r="A155" s="52"/>
      <c r="B155" s="52" t="s">
        <v>385</v>
      </c>
      <c r="C155" s="52">
        <v>2</v>
      </c>
      <c r="D155" s="52">
        <v>5.63</v>
      </c>
      <c r="E155" s="52"/>
      <c r="F155" s="52">
        <v>0.2</v>
      </c>
      <c r="G155" s="62">
        <f t="shared" si="27"/>
        <v>2.2520000000000002</v>
      </c>
      <c r="H155" s="52"/>
    </row>
    <row r="156" spans="1:8" x14ac:dyDescent="0.25">
      <c r="A156" s="52"/>
      <c r="B156" s="52" t="s">
        <v>321</v>
      </c>
      <c r="C156" s="52">
        <v>6</v>
      </c>
      <c r="D156" s="52">
        <v>3.165</v>
      </c>
      <c r="E156" s="52"/>
      <c r="F156" s="52">
        <f>0.5-0.125</f>
        <v>0.375</v>
      </c>
      <c r="G156" s="62">
        <f t="shared" si="2"/>
        <v>7.1212500000000007</v>
      </c>
      <c r="H156" s="52"/>
    </row>
    <row r="157" spans="1:8" x14ac:dyDescent="0.25">
      <c r="A157" s="52"/>
      <c r="B157" s="52"/>
      <c r="C157" s="52">
        <v>6</v>
      </c>
      <c r="D157" s="52">
        <v>3.165</v>
      </c>
      <c r="E157" s="52"/>
      <c r="F157" s="52">
        <v>0.5</v>
      </c>
      <c r="G157" s="62">
        <f t="shared" si="2"/>
        <v>9.495000000000001</v>
      </c>
      <c r="H157" s="52"/>
    </row>
    <row r="158" spans="1:8" x14ac:dyDescent="0.25">
      <c r="A158" s="52"/>
      <c r="B158" s="52"/>
      <c r="C158" s="52">
        <v>6</v>
      </c>
      <c r="D158" s="52">
        <v>0.51500000000000001</v>
      </c>
      <c r="E158" s="52"/>
      <c r="F158" s="52">
        <v>0.125</v>
      </c>
      <c r="G158" s="62">
        <f t="shared" ref="G158:G159" si="28">+PRODUCT(C158:F158)</f>
        <v>0.38624999999999998</v>
      </c>
      <c r="H158" s="52"/>
    </row>
    <row r="159" spans="1:8" x14ac:dyDescent="0.25">
      <c r="A159" s="52"/>
      <c r="B159" s="52" t="s">
        <v>385</v>
      </c>
      <c r="C159" s="52">
        <v>6</v>
      </c>
      <c r="D159" s="52">
        <v>3.165</v>
      </c>
      <c r="E159" s="52"/>
      <c r="F159" s="52">
        <v>0.2</v>
      </c>
      <c r="G159" s="62">
        <f t="shared" si="28"/>
        <v>3.7980000000000005</v>
      </c>
      <c r="H159" s="52"/>
    </row>
    <row r="160" spans="1:8" x14ac:dyDescent="0.25">
      <c r="A160" s="52"/>
      <c r="B160" s="52" t="s">
        <v>357</v>
      </c>
      <c r="C160" s="52">
        <f>2*3</f>
        <v>6</v>
      </c>
      <c r="D160" s="52">
        <v>2.58</v>
      </c>
      <c r="E160" s="52"/>
      <c r="F160" s="52">
        <f>0.35-0.125</f>
        <v>0.22499999999999998</v>
      </c>
      <c r="G160" s="62">
        <f t="shared" si="2"/>
        <v>3.4829999999999997</v>
      </c>
      <c r="H160" s="52"/>
    </row>
    <row r="161" spans="1:8" x14ac:dyDescent="0.25">
      <c r="A161" s="52"/>
      <c r="B161" s="52"/>
      <c r="C161" s="52">
        <f>2*3</f>
        <v>6</v>
      </c>
      <c r="D161" s="52">
        <v>2.58</v>
      </c>
      <c r="E161" s="52"/>
      <c r="F161" s="52">
        <v>0.35</v>
      </c>
      <c r="G161" s="62">
        <f t="shared" ref="G161:G256" si="29">+PRODUCT(C161:F161)</f>
        <v>5.4180000000000001</v>
      </c>
      <c r="H161" s="52"/>
    </row>
    <row r="162" spans="1:8" x14ac:dyDescent="0.25">
      <c r="A162" s="52"/>
      <c r="B162" s="52" t="s">
        <v>385</v>
      </c>
      <c r="C162" s="52">
        <v>6</v>
      </c>
      <c r="D162" s="52">
        <v>2.58</v>
      </c>
      <c r="E162" s="52"/>
      <c r="F162" s="52">
        <v>0.2</v>
      </c>
      <c r="G162" s="62">
        <f t="shared" si="29"/>
        <v>3.0960000000000001</v>
      </c>
      <c r="H162" s="52"/>
    </row>
    <row r="163" spans="1:8" x14ac:dyDescent="0.25">
      <c r="A163" s="52"/>
      <c r="B163" s="52" t="s">
        <v>322</v>
      </c>
      <c r="C163" s="52">
        <v>2</v>
      </c>
      <c r="D163" s="52">
        <v>5.125</v>
      </c>
      <c r="E163" s="52"/>
      <c r="F163" s="52">
        <f>0.45-0.125</f>
        <v>0.32500000000000001</v>
      </c>
      <c r="G163" s="62">
        <f t="shared" si="29"/>
        <v>3.3312500000000003</v>
      </c>
      <c r="H163" s="52"/>
    </row>
    <row r="164" spans="1:8" x14ac:dyDescent="0.25">
      <c r="A164" s="52"/>
      <c r="B164" s="52"/>
      <c r="C164" s="52">
        <v>2</v>
      </c>
      <c r="D164" s="52">
        <v>5.125</v>
      </c>
      <c r="E164" s="52"/>
      <c r="F164" s="52">
        <f>0.45-0.15</f>
        <v>0.30000000000000004</v>
      </c>
      <c r="G164" s="62">
        <f t="shared" si="29"/>
        <v>3.0750000000000006</v>
      </c>
      <c r="H164" s="52"/>
    </row>
    <row r="165" spans="1:8" x14ac:dyDescent="0.25">
      <c r="A165" s="52"/>
      <c r="B165" s="52" t="s">
        <v>385</v>
      </c>
      <c r="C165" s="52">
        <v>2</v>
      </c>
      <c r="D165" s="52">
        <v>5.125</v>
      </c>
      <c r="E165" s="52"/>
      <c r="F165" s="52">
        <v>0.2</v>
      </c>
      <c r="G165" s="62">
        <f t="shared" ref="G165" si="30">+PRODUCT(C165:F165)</f>
        <v>2.0500000000000003</v>
      </c>
      <c r="H165" s="52"/>
    </row>
    <row r="166" spans="1:8" x14ac:dyDescent="0.25">
      <c r="A166" s="52"/>
      <c r="B166" s="52" t="s">
        <v>323</v>
      </c>
      <c r="C166" s="52">
        <v>2</v>
      </c>
      <c r="D166" s="52">
        <f>5.635-0.23*2</f>
        <v>5.1749999999999998</v>
      </c>
      <c r="E166" s="52"/>
      <c r="F166" s="52">
        <f>0.45-0.125</f>
        <v>0.32500000000000001</v>
      </c>
      <c r="G166" s="62">
        <f t="shared" si="29"/>
        <v>3.36375</v>
      </c>
      <c r="H166" s="52"/>
    </row>
    <row r="167" spans="1:8" x14ac:dyDescent="0.25">
      <c r="A167" s="52"/>
      <c r="B167" s="52"/>
      <c r="C167" s="52">
        <v>2</v>
      </c>
      <c r="D167" s="52">
        <v>1.4</v>
      </c>
      <c r="E167" s="52"/>
      <c r="F167" s="52">
        <f>0.45-0.125</f>
        <v>0.32500000000000001</v>
      </c>
      <c r="G167" s="62">
        <f t="shared" si="29"/>
        <v>0.90999999999999992</v>
      </c>
      <c r="H167" s="52"/>
    </row>
    <row r="168" spans="1:8" x14ac:dyDescent="0.25">
      <c r="A168" s="52"/>
      <c r="B168" s="52"/>
      <c r="C168" s="52">
        <v>4</v>
      </c>
      <c r="D168" s="52">
        <v>1.9</v>
      </c>
      <c r="E168" s="52"/>
      <c r="F168" s="52">
        <v>0.45</v>
      </c>
      <c r="G168" s="62">
        <f t="shared" si="29"/>
        <v>3.42</v>
      </c>
      <c r="H168" s="52"/>
    </row>
    <row r="169" spans="1:8" x14ac:dyDescent="0.25">
      <c r="A169" s="52"/>
      <c r="B169" s="52" t="s">
        <v>385</v>
      </c>
      <c r="C169" s="52">
        <v>2</v>
      </c>
      <c r="D169" s="52">
        <v>5.1749999999999998</v>
      </c>
      <c r="E169" s="52"/>
      <c r="F169" s="52">
        <v>0.23</v>
      </c>
      <c r="G169" s="62">
        <f t="shared" si="29"/>
        <v>2.3805000000000001</v>
      </c>
      <c r="H169" s="52"/>
    </row>
    <row r="170" spans="1:8" x14ac:dyDescent="0.25">
      <c r="A170" s="52"/>
      <c r="B170" s="52" t="s">
        <v>324</v>
      </c>
      <c r="C170" s="52">
        <v>2</v>
      </c>
      <c r="D170" s="52">
        <v>3.95</v>
      </c>
      <c r="E170" s="52"/>
      <c r="F170" s="52">
        <f>0.45-0.125</f>
        <v>0.32500000000000001</v>
      </c>
      <c r="G170" s="62">
        <f t="shared" si="29"/>
        <v>2.5675000000000003</v>
      </c>
      <c r="H170" s="52"/>
    </row>
    <row r="171" spans="1:8" x14ac:dyDescent="0.25">
      <c r="A171" s="52"/>
      <c r="B171" s="52"/>
      <c r="C171" s="52">
        <v>2</v>
      </c>
      <c r="D171" s="52">
        <v>3.95</v>
      </c>
      <c r="E171" s="52"/>
      <c r="F171" s="52">
        <v>0.45</v>
      </c>
      <c r="G171" s="62">
        <f t="shared" si="29"/>
        <v>3.5550000000000002</v>
      </c>
      <c r="H171" s="52"/>
    </row>
    <row r="172" spans="1:8" x14ac:dyDescent="0.25">
      <c r="A172" s="52"/>
      <c r="B172" s="52" t="s">
        <v>385</v>
      </c>
      <c r="C172" s="52">
        <v>2</v>
      </c>
      <c r="D172" s="52">
        <v>3.95</v>
      </c>
      <c r="E172" s="52"/>
      <c r="F172" s="52">
        <v>0.2</v>
      </c>
      <c r="G172" s="62">
        <f t="shared" ref="G172" si="31">+PRODUCT(C172:F172)</f>
        <v>1.58</v>
      </c>
      <c r="H172" s="52"/>
    </row>
    <row r="173" spans="1:8" x14ac:dyDescent="0.25">
      <c r="A173" s="52"/>
      <c r="B173" s="52" t="s">
        <v>325</v>
      </c>
      <c r="C173" s="52">
        <v>2</v>
      </c>
      <c r="D173" s="52">
        <v>2.875</v>
      </c>
      <c r="E173" s="52"/>
      <c r="F173" s="52">
        <f>0.5-0.125</f>
        <v>0.375</v>
      </c>
      <c r="G173" s="62">
        <f t="shared" si="29"/>
        <v>2.15625</v>
      </c>
      <c r="H173" s="52"/>
    </row>
    <row r="174" spans="1:8" x14ac:dyDescent="0.25">
      <c r="A174" s="52"/>
      <c r="B174" s="52"/>
      <c r="C174" s="52">
        <v>2</v>
      </c>
      <c r="D174" s="52">
        <v>1.325</v>
      </c>
      <c r="E174" s="52"/>
      <c r="F174" s="52">
        <f>0.5-0.125</f>
        <v>0.375</v>
      </c>
      <c r="G174" s="62">
        <f t="shared" si="29"/>
        <v>0.99374999999999991</v>
      </c>
      <c r="H174" s="52"/>
    </row>
    <row r="175" spans="1:8" x14ac:dyDescent="0.25">
      <c r="A175" s="52"/>
      <c r="B175" s="52"/>
      <c r="C175" s="52">
        <v>2</v>
      </c>
      <c r="D175" s="52">
        <v>1.55</v>
      </c>
      <c r="E175" s="52"/>
      <c r="F175" s="52">
        <f>0.5-0.165</f>
        <v>0.33499999999999996</v>
      </c>
      <c r="G175" s="62">
        <f t="shared" si="29"/>
        <v>1.0385</v>
      </c>
      <c r="H175" s="52"/>
    </row>
    <row r="176" spans="1:8" x14ac:dyDescent="0.25">
      <c r="A176" s="52"/>
      <c r="B176" s="52" t="s">
        <v>385</v>
      </c>
      <c r="C176" s="52">
        <v>2</v>
      </c>
      <c r="D176" s="52">
        <v>2.875</v>
      </c>
      <c r="E176" s="52"/>
      <c r="F176" s="52">
        <v>0.2</v>
      </c>
      <c r="G176" s="62">
        <f t="shared" si="29"/>
        <v>1.1500000000000001</v>
      </c>
      <c r="H176" s="52"/>
    </row>
    <row r="177" spans="1:8" x14ac:dyDescent="0.25">
      <c r="A177" s="52"/>
      <c r="B177" s="52" t="s">
        <v>326</v>
      </c>
      <c r="C177" s="52">
        <v>2</v>
      </c>
      <c r="D177" s="52">
        <v>2.93</v>
      </c>
      <c r="E177" s="52"/>
      <c r="F177" s="52">
        <f>0.35-0.125</f>
        <v>0.22499999999999998</v>
      </c>
      <c r="G177" s="62">
        <f t="shared" si="29"/>
        <v>1.3185</v>
      </c>
      <c r="H177" s="52"/>
    </row>
    <row r="178" spans="1:8" x14ac:dyDescent="0.25">
      <c r="A178" s="52"/>
      <c r="B178" s="52"/>
      <c r="C178" s="52">
        <v>2</v>
      </c>
      <c r="D178" s="52">
        <v>2.5150000000000001</v>
      </c>
      <c r="E178" s="52"/>
      <c r="F178" s="52">
        <f>0.35-0.165</f>
        <v>0.18499999999999997</v>
      </c>
      <c r="G178" s="62">
        <f t="shared" si="29"/>
        <v>0.93054999999999988</v>
      </c>
      <c r="H178" s="52"/>
    </row>
    <row r="179" spans="1:8" x14ac:dyDescent="0.25">
      <c r="A179" s="52"/>
      <c r="B179" s="52"/>
      <c r="C179" s="52">
        <v>2</v>
      </c>
      <c r="D179" s="52">
        <v>0.41499999999999998</v>
      </c>
      <c r="E179" s="52"/>
      <c r="F179" s="52">
        <v>35</v>
      </c>
      <c r="G179" s="62">
        <f t="shared" si="29"/>
        <v>29.049999999999997</v>
      </c>
      <c r="H179" s="52"/>
    </row>
    <row r="180" spans="1:8" x14ac:dyDescent="0.25">
      <c r="A180" s="52"/>
      <c r="B180" s="52" t="s">
        <v>385</v>
      </c>
      <c r="C180" s="52">
        <v>2</v>
      </c>
      <c r="D180" s="52">
        <v>2.93</v>
      </c>
      <c r="E180" s="52"/>
      <c r="F180" s="52">
        <v>0.2</v>
      </c>
      <c r="G180" s="62">
        <f t="shared" ref="G180" si="32">+PRODUCT(C180:F180)</f>
        <v>1.1720000000000002</v>
      </c>
      <c r="H180" s="52"/>
    </row>
    <row r="181" spans="1:8" x14ac:dyDescent="0.25">
      <c r="A181" s="52"/>
      <c r="B181" s="52" t="s">
        <v>327</v>
      </c>
      <c r="C181" s="52">
        <v>2</v>
      </c>
      <c r="D181" s="52">
        <v>4.0049999999999999</v>
      </c>
      <c r="E181" s="52"/>
      <c r="F181" s="52">
        <f>0.45-0.125</f>
        <v>0.32500000000000001</v>
      </c>
      <c r="G181" s="62">
        <f t="shared" si="29"/>
        <v>2.6032500000000001</v>
      </c>
      <c r="H181" s="52"/>
    </row>
    <row r="182" spans="1:8" x14ac:dyDescent="0.25">
      <c r="A182" s="52"/>
      <c r="B182" s="52"/>
      <c r="C182" s="52">
        <v>2</v>
      </c>
      <c r="D182" s="52">
        <v>4.0049999999999999</v>
      </c>
      <c r="E182" s="52"/>
      <c r="F182" s="52">
        <v>0.45</v>
      </c>
      <c r="G182" s="62">
        <f t="shared" si="29"/>
        <v>3.6044999999999998</v>
      </c>
      <c r="H182" s="52"/>
    </row>
    <row r="183" spans="1:8" x14ac:dyDescent="0.25">
      <c r="A183" s="52"/>
      <c r="B183" s="52" t="s">
        <v>385</v>
      </c>
      <c r="C183" s="52">
        <v>2</v>
      </c>
      <c r="D183" s="52">
        <v>4.0049999999999999</v>
      </c>
      <c r="E183" s="52"/>
      <c r="F183" s="52">
        <v>0.23</v>
      </c>
      <c r="G183" s="62">
        <f t="shared" si="29"/>
        <v>1.8423</v>
      </c>
      <c r="H183" s="52"/>
    </row>
    <row r="184" spans="1:8" x14ac:dyDescent="0.25">
      <c r="A184" s="52"/>
      <c r="B184" s="52" t="s">
        <v>328</v>
      </c>
      <c r="C184" s="52">
        <v>4</v>
      </c>
      <c r="D184" s="52">
        <v>3.2349999999999999</v>
      </c>
      <c r="E184" s="52"/>
      <c r="F184" s="52">
        <f>0.35-0.125</f>
        <v>0.22499999999999998</v>
      </c>
      <c r="G184" s="62">
        <f t="shared" si="29"/>
        <v>2.9114999999999998</v>
      </c>
      <c r="H184" s="52"/>
    </row>
    <row r="185" spans="1:8" x14ac:dyDescent="0.25">
      <c r="A185" s="52"/>
      <c r="B185" s="52"/>
      <c r="C185" s="52">
        <v>4</v>
      </c>
      <c r="D185" s="52">
        <v>1.5</v>
      </c>
      <c r="E185" s="52"/>
      <c r="F185" s="52">
        <f>0.35-0.165</f>
        <v>0.18499999999999997</v>
      </c>
      <c r="G185" s="62">
        <f t="shared" si="29"/>
        <v>1.1099999999999999</v>
      </c>
      <c r="H185" s="52"/>
    </row>
    <row r="186" spans="1:8" x14ac:dyDescent="0.25">
      <c r="A186" s="52"/>
      <c r="B186" s="52" t="s">
        <v>385</v>
      </c>
      <c r="C186" s="52">
        <v>2</v>
      </c>
      <c r="D186" s="52">
        <f>+D185+D184</f>
        <v>4.7349999999999994</v>
      </c>
      <c r="E186" s="52"/>
      <c r="F186" s="52">
        <v>0.2</v>
      </c>
      <c r="G186" s="62">
        <f t="shared" ref="G186" si="33">+PRODUCT(C186:F186)</f>
        <v>1.8939999999999999</v>
      </c>
      <c r="H186" s="52"/>
    </row>
    <row r="187" spans="1:8" x14ac:dyDescent="0.25">
      <c r="A187" s="52"/>
      <c r="B187" s="52" t="s">
        <v>329</v>
      </c>
      <c r="C187" s="52">
        <v>4</v>
      </c>
      <c r="D187" s="52">
        <v>5.0999999999999996</v>
      </c>
      <c r="E187" s="52"/>
      <c r="F187" s="52">
        <f>0.45-0.125</f>
        <v>0.32500000000000001</v>
      </c>
      <c r="G187" s="62">
        <f t="shared" si="29"/>
        <v>6.63</v>
      </c>
      <c r="H187" s="52"/>
    </row>
    <row r="188" spans="1:8" x14ac:dyDescent="0.25">
      <c r="A188" s="52"/>
      <c r="B188" s="52"/>
      <c r="C188" s="52">
        <v>4</v>
      </c>
      <c r="D188" s="52">
        <v>5.0999999999999996</v>
      </c>
      <c r="E188" s="52"/>
      <c r="F188" s="52">
        <f>0.45-0.15</f>
        <v>0.30000000000000004</v>
      </c>
      <c r="G188" s="62">
        <f t="shared" si="29"/>
        <v>6.12</v>
      </c>
      <c r="H188" s="52"/>
    </row>
    <row r="189" spans="1:8" x14ac:dyDescent="0.25">
      <c r="A189" s="52"/>
      <c r="B189" s="52" t="s">
        <v>385</v>
      </c>
      <c r="C189" s="52">
        <v>4</v>
      </c>
      <c r="D189" s="52">
        <v>5.0999999999999996</v>
      </c>
      <c r="E189" s="52"/>
      <c r="F189" s="52">
        <v>0.2</v>
      </c>
      <c r="G189" s="62">
        <f t="shared" si="29"/>
        <v>4.08</v>
      </c>
      <c r="H189" s="52"/>
    </row>
    <row r="190" spans="1:8" x14ac:dyDescent="0.25">
      <c r="A190" s="52"/>
      <c r="B190" s="52" t="s">
        <v>330</v>
      </c>
      <c r="C190" s="52">
        <v>4</v>
      </c>
      <c r="D190" s="52">
        <v>3.19</v>
      </c>
      <c r="E190" s="52"/>
      <c r="F190" s="52">
        <f>0.5-0.125</f>
        <v>0.375</v>
      </c>
      <c r="G190" s="62">
        <f t="shared" si="29"/>
        <v>4.7850000000000001</v>
      </c>
      <c r="H190" s="52"/>
    </row>
    <row r="191" spans="1:8" x14ac:dyDescent="0.25">
      <c r="A191" s="52"/>
      <c r="B191" s="52"/>
      <c r="C191" s="52">
        <v>4</v>
      </c>
      <c r="D191" s="52">
        <v>3.19</v>
      </c>
      <c r="E191" s="52"/>
      <c r="F191" s="52">
        <f>0.5-0.165</f>
        <v>0.33499999999999996</v>
      </c>
      <c r="G191" s="62">
        <f t="shared" si="29"/>
        <v>4.2745999999999995</v>
      </c>
      <c r="H191" s="52"/>
    </row>
    <row r="192" spans="1:8" x14ac:dyDescent="0.25">
      <c r="A192" s="52"/>
      <c r="B192" s="52" t="s">
        <v>385</v>
      </c>
      <c r="C192" s="52">
        <v>4</v>
      </c>
      <c r="D192" s="52">
        <v>3.19</v>
      </c>
      <c r="E192" s="52"/>
      <c r="F192" s="52">
        <v>0.2</v>
      </c>
      <c r="G192" s="62">
        <f t="shared" ref="G192" si="34">+PRODUCT(C192:F192)</f>
        <v>2.552</v>
      </c>
      <c r="H192" s="52"/>
    </row>
    <row r="193" spans="1:8" x14ac:dyDescent="0.25">
      <c r="A193" s="52"/>
      <c r="B193" s="52" t="s">
        <v>340</v>
      </c>
      <c r="C193" s="52">
        <v>6</v>
      </c>
      <c r="D193" s="52">
        <v>0.41499999999999998</v>
      </c>
      <c r="E193" s="52"/>
      <c r="F193" s="52">
        <v>0.5</v>
      </c>
      <c r="G193" s="62">
        <f t="shared" si="29"/>
        <v>1.2449999999999999</v>
      </c>
      <c r="H193" s="52"/>
    </row>
    <row r="194" spans="1:8" x14ac:dyDescent="0.25">
      <c r="A194" s="52"/>
      <c r="B194" s="52"/>
      <c r="C194" s="52">
        <v>6</v>
      </c>
      <c r="D194" s="52">
        <v>0.51500000000000001</v>
      </c>
      <c r="E194" s="52"/>
      <c r="F194" s="52">
        <v>0.5</v>
      </c>
      <c r="G194" s="62">
        <f t="shared" si="29"/>
        <v>1.5449999999999999</v>
      </c>
      <c r="H194" s="52"/>
    </row>
    <row r="195" spans="1:8" x14ac:dyDescent="0.25">
      <c r="A195" s="52"/>
      <c r="B195" s="52" t="s">
        <v>385</v>
      </c>
      <c r="C195" s="52">
        <v>6</v>
      </c>
      <c r="D195" s="52">
        <v>0.51500000000000001</v>
      </c>
      <c r="E195" s="52"/>
      <c r="F195" s="52">
        <v>0.23</v>
      </c>
      <c r="G195" s="62">
        <f t="shared" si="29"/>
        <v>0.7107</v>
      </c>
      <c r="H195" s="52"/>
    </row>
    <row r="196" spans="1:8" x14ac:dyDescent="0.25">
      <c r="A196" s="52"/>
      <c r="B196" s="52" t="s">
        <v>340</v>
      </c>
      <c r="C196" s="52">
        <v>6</v>
      </c>
      <c r="D196" s="52">
        <v>1.81</v>
      </c>
      <c r="E196" s="52"/>
      <c r="F196" s="52">
        <f>0.5-0.125</f>
        <v>0.375</v>
      </c>
      <c r="G196" s="62">
        <f t="shared" si="29"/>
        <v>4.0724999999999998</v>
      </c>
      <c r="H196" s="52"/>
    </row>
    <row r="197" spans="1:8" x14ac:dyDescent="0.25">
      <c r="A197" s="52"/>
      <c r="B197" s="52"/>
      <c r="C197" s="52">
        <v>6</v>
      </c>
      <c r="D197" s="52">
        <v>1.81</v>
      </c>
      <c r="E197" s="52"/>
      <c r="F197" s="52">
        <v>0.5</v>
      </c>
      <c r="G197" s="62">
        <f t="shared" si="29"/>
        <v>5.43</v>
      </c>
      <c r="H197" s="52"/>
    </row>
    <row r="198" spans="1:8" x14ac:dyDescent="0.25">
      <c r="A198" s="52"/>
      <c r="B198" s="52" t="s">
        <v>385</v>
      </c>
      <c r="C198" s="52">
        <v>6</v>
      </c>
      <c r="D198" s="52">
        <v>1.81</v>
      </c>
      <c r="E198" s="52"/>
      <c r="F198" s="52">
        <v>0.23</v>
      </c>
      <c r="G198" s="62">
        <f t="shared" ref="G198" si="35">+PRODUCT(C198:F198)</f>
        <v>2.4977999999999998</v>
      </c>
      <c r="H198" s="52"/>
    </row>
    <row r="199" spans="1:8" x14ac:dyDescent="0.25">
      <c r="A199" s="52"/>
      <c r="B199" s="52" t="s">
        <v>341</v>
      </c>
      <c r="C199" s="52">
        <v>6</v>
      </c>
      <c r="D199" s="52">
        <v>3.55</v>
      </c>
      <c r="E199" s="52"/>
      <c r="F199" s="52">
        <f>0.5-0.125</f>
        <v>0.375</v>
      </c>
      <c r="G199" s="62">
        <f t="shared" si="29"/>
        <v>7.9874999999999989</v>
      </c>
      <c r="H199" s="52"/>
    </row>
    <row r="200" spans="1:8" x14ac:dyDescent="0.25">
      <c r="A200" s="52"/>
      <c r="B200" s="52"/>
      <c r="C200" s="52">
        <v>6</v>
      </c>
      <c r="D200" s="52">
        <v>3.55</v>
      </c>
      <c r="E200" s="52"/>
      <c r="F200" s="52">
        <v>0.5</v>
      </c>
      <c r="G200" s="62">
        <f t="shared" si="29"/>
        <v>10.649999999999999</v>
      </c>
      <c r="H200" s="52"/>
    </row>
    <row r="201" spans="1:8" x14ac:dyDescent="0.25">
      <c r="A201" s="52"/>
      <c r="B201" s="52" t="s">
        <v>385</v>
      </c>
      <c r="C201" s="52">
        <v>6</v>
      </c>
      <c r="D201" s="52">
        <v>3.55</v>
      </c>
      <c r="E201" s="52"/>
      <c r="F201" s="52">
        <v>0.2</v>
      </c>
      <c r="G201" s="62">
        <f t="shared" si="29"/>
        <v>4.26</v>
      </c>
      <c r="H201" s="52"/>
    </row>
    <row r="202" spans="1:8" x14ac:dyDescent="0.25">
      <c r="A202" s="52"/>
      <c r="B202" s="52" t="s">
        <v>342</v>
      </c>
      <c r="C202" s="52">
        <v>12</v>
      </c>
      <c r="D202" s="52">
        <v>3.86</v>
      </c>
      <c r="E202" s="52"/>
      <c r="F202" s="52">
        <f>0.45-0.125</f>
        <v>0.32500000000000001</v>
      </c>
      <c r="G202" s="62">
        <f t="shared" si="29"/>
        <v>15.054</v>
      </c>
      <c r="H202" s="52"/>
    </row>
    <row r="203" spans="1:8" x14ac:dyDescent="0.25">
      <c r="A203" s="52"/>
      <c r="B203" s="52" t="s">
        <v>385</v>
      </c>
      <c r="C203" s="52">
        <v>6</v>
      </c>
      <c r="D203" s="52">
        <v>3.86</v>
      </c>
      <c r="E203" s="52"/>
      <c r="F203" s="52">
        <v>0.2</v>
      </c>
      <c r="G203" s="62">
        <f t="shared" ref="G203" si="36">+PRODUCT(C203:F203)</f>
        <v>4.6320000000000006</v>
      </c>
      <c r="H203" s="52"/>
    </row>
    <row r="204" spans="1:8" x14ac:dyDescent="0.25">
      <c r="A204" s="52"/>
      <c r="B204" s="52" t="s">
        <v>343</v>
      </c>
      <c r="C204" s="52">
        <v>6</v>
      </c>
      <c r="D204" s="52">
        <v>0.41499999999999998</v>
      </c>
      <c r="E204" s="52"/>
      <c r="F204" s="52">
        <v>0.35</v>
      </c>
      <c r="G204" s="62">
        <f t="shared" si="29"/>
        <v>0.87149999999999983</v>
      </c>
      <c r="H204" s="52"/>
    </row>
    <row r="205" spans="1:8" x14ac:dyDescent="0.25">
      <c r="A205" s="52"/>
      <c r="B205" s="52"/>
      <c r="C205" s="52">
        <v>6</v>
      </c>
      <c r="D205" s="52">
        <v>0.51500000000000001</v>
      </c>
      <c r="E205" s="52"/>
      <c r="F205" s="52">
        <f>0.35-0.165</f>
        <v>0.18499999999999997</v>
      </c>
      <c r="G205" s="62">
        <f t="shared" si="29"/>
        <v>0.57164999999999988</v>
      </c>
      <c r="H205" s="52"/>
    </row>
    <row r="206" spans="1:8" x14ac:dyDescent="0.25">
      <c r="A206" s="52"/>
      <c r="B206" s="52" t="s">
        <v>385</v>
      </c>
      <c r="C206" s="52">
        <v>6</v>
      </c>
      <c r="D206" s="52">
        <v>0.51500000000000001</v>
      </c>
      <c r="E206" s="52"/>
      <c r="F206" s="52">
        <v>0.1</v>
      </c>
      <c r="G206" s="62">
        <f t="shared" si="29"/>
        <v>0.309</v>
      </c>
      <c r="H206" s="52"/>
    </row>
    <row r="207" spans="1:8" x14ac:dyDescent="0.25">
      <c r="A207" s="52"/>
      <c r="B207" s="52" t="s">
        <v>344</v>
      </c>
      <c r="C207" s="52">
        <v>12</v>
      </c>
      <c r="D207" s="52">
        <v>3.45</v>
      </c>
      <c r="E207" s="52"/>
      <c r="F207" s="52">
        <f>0.45-0.125</f>
        <v>0.32500000000000001</v>
      </c>
      <c r="G207" s="62">
        <f t="shared" si="29"/>
        <v>13.455000000000002</v>
      </c>
      <c r="H207" s="52"/>
    </row>
    <row r="208" spans="1:8" x14ac:dyDescent="0.25">
      <c r="A208" s="52"/>
      <c r="B208" s="52" t="s">
        <v>385</v>
      </c>
      <c r="C208" s="52">
        <v>6</v>
      </c>
      <c r="D208" s="52">
        <v>3.45</v>
      </c>
      <c r="E208" s="52"/>
      <c r="F208" s="52">
        <v>0.2</v>
      </c>
      <c r="G208" s="62">
        <f t="shared" ref="G208" si="37">+PRODUCT(C208:F208)</f>
        <v>4.1400000000000006</v>
      </c>
      <c r="H208" s="52"/>
    </row>
    <row r="209" spans="1:8" x14ac:dyDescent="0.25">
      <c r="A209" s="52"/>
      <c r="B209" s="52" t="s">
        <v>345</v>
      </c>
      <c r="C209" s="52">
        <v>12</v>
      </c>
      <c r="D209" s="52">
        <v>2.91</v>
      </c>
      <c r="E209" s="52"/>
      <c r="F209" s="52">
        <f>0.45-0.125</f>
        <v>0.32500000000000001</v>
      </c>
      <c r="G209" s="62">
        <f t="shared" si="29"/>
        <v>11.349</v>
      </c>
      <c r="H209" s="52"/>
    </row>
    <row r="210" spans="1:8" x14ac:dyDescent="0.25">
      <c r="A210" s="52"/>
      <c r="B210" s="52" t="s">
        <v>385</v>
      </c>
      <c r="C210" s="52">
        <v>6</v>
      </c>
      <c r="D210" s="52">
        <v>2.91</v>
      </c>
      <c r="E210" s="52"/>
      <c r="F210" s="52">
        <v>0.2</v>
      </c>
      <c r="G210" s="62">
        <f t="shared" si="29"/>
        <v>3.4920000000000004</v>
      </c>
      <c r="H210" s="52"/>
    </row>
    <row r="211" spans="1:8" x14ac:dyDescent="0.25">
      <c r="A211" s="52"/>
      <c r="B211" s="52" t="s">
        <v>346</v>
      </c>
      <c r="C211" s="52">
        <v>12</v>
      </c>
      <c r="D211" s="52">
        <v>3.55</v>
      </c>
      <c r="E211" s="52"/>
      <c r="F211" s="52">
        <f>0.35-0.125</f>
        <v>0.22499999999999998</v>
      </c>
      <c r="G211" s="62">
        <f t="shared" si="29"/>
        <v>9.5849999999999973</v>
      </c>
      <c r="H211" s="52"/>
    </row>
    <row r="212" spans="1:8" x14ac:dyDescent="0.25">
      <c r="A212" s="52"/>
      <c r="B212" s="52" t="s">
        <v>385</v>
      </c>
      <c r="C212" s="52">
        <v>6</v>
      </c>
      <c r="D212" s="52">
        <v>3.55</v>
      </c>
      <c r="E212" s="52"/>
      <c r="F212" s="52">
        <v>0.23</v>
      </c>
      <c r="G212" s="62">
        <f t="shared" ref="G212" si="38">+PRODUCT(C212:F212)</f>
        <v>4.8989999999999991</v>
      </c>
      <c r="H212" s="52"/>
    </row>
    <row r="213" spans="1:8" x14ac:dyDescent="0.25">
      <c r="A213" s="52"/>
      <c r="B213" s="52" t="s">
        <v>347</v>
      </c>
      <c r="C213" s="52">
        <v>4</v>
      </c>
      <c r="D213" s="52">
        <v>3</v>
      </c>
      <c r="E213" s="52"/>
      <c r="F213" s="52">
        <f>0.45-0.125</f>
        <v>0.32500000000000001</v>
      </c>
      <c r="G213" s="62">
        <f t="shared" si="29"/>
        <v>3.9000000000000004</v>
      </c>
      <c r="H213" s="52"/>
    </row>
    <row r="214" spans="1:8" x14ac:dyDescent="0.25">
      <c r="A214" s="52"/>
      <c r="B214" s="52"/>
      <c r="C214" s="52">
        <v>4</v>
      </c>
      <c r="D214" s="52">
        <v>3</v>
      </c>
      <c r="E214" s="52"/>
      <c r="F214" s="52">
        <f>0.45-0.15</f>
        <v>0.30000000000000004</v>
      </c>
      <c r="G214" s="62">
        <f t="shared" si="29"/>
        <v>3.6000000000000005</v>
      </c>
      <c r="H214" s="52"/>
    </row>
    <row r="215" spans="1:8" x14ac:dyDescent="0.25">
      <c r="A215" s="52"/>
      <c r="B215" s="52" t="s">
        <v>385</v>
      </c>
      <c r="C215" s="52">
        <v>4</v>
      </c>
      <c r="D215" s="52">
        <v>3</v>
      </c>
      <c r="E215" s="52"/>
      <c r="F215" s="52">
        <v>0.2</v>
      </c>
      <c r="G215" s="62">
        <f t="shared" si="29"/>
        <v>2.4000000000000004</v>
      </c>
      <c r="H215" s="52"/>
    </row>
    <row r="216" spans="1:8" x14ac:dyDescent="0.25">
      <c r="A216" s="52"/>
      <c r="B216" s="52" t="s">
        <v>348</v>
      </c>
      <c r="C216" s="52">
        <v>2</v>
      </c>
      <c r="D216" s="52">
        <v>4.13</v>
      </c>
      <c r="E216" s="52"/>
      <c r="F216" s="52">
        <f>0.35-0.125</f>
        <v>0.22499999999999998</v>
      </c>
      <c r="G216" s="62">
        <f t="shared" si="29"/>
        <v>1.8584999999999998</v>
      </c>
      <c r="H216" s="52"/>
    </row>
    <row r="217" spans="1:8" x14ac:dyDescent="0.25">
      <c r="A217" s="52"/>
      <c r="B217" s="52"/>
      <c r="C217" s="52">
        <v>2</v>
      </c>
      <c r="D217" s="52">
        <v>4.13</v>
      </c>
      <c r="E217" s="52"/>
      <c r="F217" s="52">
        <f>0.35-0.165</f>
        <v>0.18499999999999997</v>
      </c>
      <c r="G217" s="62">
        <f t="shared" si="29"/>
        <v>1.5280999999999998</v>
      </c>
      <c r="H217" s="52"/>
    </row>
    <row r="218" spans="1:8" x14ac:dyDescent="0.25">
      <c r="A218" s="52"/>
      <c r="B218" s="52" t="s">
        <v>385</v>
      </c>
      <c r="C218" s="52">
        <v>2</v>
      </c>
      <c r="D218" s="52">
        <v>4.13</v>
      </c>
      <c r="E218" s="52"/>
      <c r="F218" s="52">
        <v>0.2</v>
      </c>
      <c r="G218" s="62">
        <f t="shared" ref="G218" si="39">+PRODUCT(C218:F218)</f>
        <v>1.6520000000000001</v>
      </c>
      <c r="H218" s="52"/>
    </row>
    <row r="219" spans="1:8" x14ac:dyDescent="0.25">
      <c r="A219" s="52"/>
      <c r="B219" s="52" t="s">
        <v>349</v>
      </c>
      <c r="C219" s="52">
        <v>6</v>
      </c>
      <c r="D219" s="52">
        <v>3.31</v>
      </c>
      <c r="E219" s="52"/>
      <c r="F219" s="52">
        <f>0.5-0.125</f>
        <v>0.375</v>
      </c>
      <c r="G219" s="62">
        <f t="shared" si="29"/>
        <v>7.4474999999999998</v>
      </c>
      <c r="H219" s="52"/>
    </row>
    <row r="220" spans="1:8" x14ac:dyDescent="0.25">
      <c r="A220" s="52"/>
      <c r="B220" s="52"/>
      <c r="C220" s="52">
        <v>6</v>
      </c>
      <c r="D220" s="52">
        <v>2.5249999999999999</v>
      </c>
      <c r="E220" s="52"/>
      <c r="F220" s="52">
        <f>0.5-0.15</f>
        <v>0.35</v>
      </c>
      <c r="G220" s="62">
        <f t="shared" si="29"/>
        <v>5.3024999999999993</v>
      </c>
      <c r="H220" s="52"/>
    </row>
    <row r="221" spans="1:8" x14ac:dyDescent="0.25">
      <c r="A221" s="52"/>
      <c r="B221" s="52"/>
      <c r="C221" s="52">
        <v>6</v>
      </c>
      <c r="D221" s="52">
        <v>0.78500000000000003</v>
      </c>
      <c r="E221" s="52"/>
      <c r="F221" s="52">
        <f>0.5-0.165</f>
        <v>0.33499999999999996</v>
      </c>
      <c r="G221" s="62">
        <f t="shared" si="29"/>
        <v>1.5778499999999998</v>
      </c>
      <c r="H221" s="52"/>
    </row>
    <row r="222" spans="1:8" x14ac:dyDescent="0.25">
      <c r="A222" s="52"/>
      <c r="B222" s="52" t="s">
        <v>385</v>
      </c>
      <c r="C222" s="52">
        <v>6</v>
      </c>
      <c r="D222" s="52">
        <v>3.31</v>
      </c>
      <c r="E222" s="52"/>
      <c r="F222" s="52">
        <v>0.2</v>
      </c>
      <c r="G222" s="62">
        <f t="shared" si="29"/>
        <v>3.972</v>
      </c>
      <c r="H222" s="52"/>
    </row>
    <row r="223" spans="1:8" x14ac:dyDescent="0.25">
      <c r="A223" s="52"/>
      <c r="B223" s="52" t="s">
        <v>350</v>
      </c>
      <c r="C223" s="52">
        <v>4</v>
      </c>
      <c r="D223" s="52">
        <v>2.1949999999999998</v>
      </c>
      <c r="E223" s="52"/>
      <c r="F223" s="52">
        <f>0.45-0.125</f>
        <v>0.32500000000000001</v>
      </c>
      <c r="G223" s="62">
        <f t="shared" si="29"/>
        <v>2.8534999999999999</v>
      </c>
      <c r="H223" s="52"/>
    </row>
    <row r="224" spans="1:8" x14ac:dyDescent="0.25">
      <c r="A224" s="52"/>
      <c r="B224" s="52"/>
      <c r="C224" s="52">
        <v>4</v>
      </c>
      <c r="D224" s="52">
        <v>2.2949999999999999</v>
      </c>
      <c r="E224" s="52"/>
      <c r="F224" s="52">
        <f>0.45-0.125</f>
        <v>0.32500000000000001</v>
      </c>
      <c r="G224" s="62">
        <f t="shared" si="29"/>
        <v>2.9834999999999998</v>
      </c>
      <c r="H224" s="52"/>
    </row>
    <row r="225" spans="1:8" x14ac:dyDescent="0.25">
      <c r="A225" s="52"/>
      <c r="B225" s="52" t="s">
        <v>385</v>
      </c>
      <c r="C225" s="52">
        <v>4</v>
      </c>
      <c r="D225" s="52">
        <v>2.1949999999999998</v>
      </c>
      <c r="E225" s="52"/>
      <c r="F225" s="52">
        <v>0.2</v>
      </c>
      <c r="G225" s="62">
        <f t="shared" ref="G225" si="40">+PRODUCT(C225:F225)</f>
        <v>1.756</v>
      </c>
      <c r="H225" s="52"/>
    </row>
    <row r="226" spans="1:8" x14ac:dyDescent="0.25">
      <c r="A226" s="52"/>
      <c r="B226" s="52" t="s">
        <v>351</v>
      </c>
      <c r="C226" s="52">
        <v>4</v>
      </c>
      <c r="D226" s="52">
        <v>5.2450000000000001</v>
      </c>
      <c r="E226" s="52"/>
      <c r="F226" s="52">
        <f>0.45-0.15</f>
        <v>0.30000000000000004</v>
      </c>
      <c r="G226" s="62">
        <f t="shared" si="29"/>
        <v>6.2940000000000014</v>
      </c>
      <c r="H226" s="52"/>
    </row>
    <row r="227" spans="1:8" x14ac:dyDescent="0.25">
      <c r="A227" s="52"/>
      <c r="B227" s="52" t="s">
        <v>385</v>
      </c>
      <c r="C227" s="52">
        <v>2</v>
      </c>
      <c r="D227" s="52">
        <v>5.2450000000000001</v>
      </c>
      <c r="E227" s="52"/>
      <c r="F227" s="52">
        <v>0.2</v>
      </c>
      <c r="G227" s="62">
        <f t="shared" si="29"/>
        <v>2.0980000000000003</v>
      </c>
      <c r="H227" s="52"/>
    </row>
    <row r="228" spans="1:8" x14ac:dyDescent="0.25">
      <c r="A228" s="52"/>
      <c r="B228" s="52" t="s">
        <v>352</v>
      </c>
      <c r="C228" s="52">
        <v>2</v>
      </c>
      <c r="D228" s="52">
        <v>3</v>
      </c>
      <c r="E228" s="52"/>
      <c r="F228" s="52">
        <f>0.45-0.15</f>
        <v>0.30000000000000004</v>
      </c>
      <c r="G228" s="62">
        <f t="shared" si="29"/>
        <v>1.8000000000000003</v>
      </c>
      <c r="H228" s="52"/>
    </row>
    <row r="229" spans="1:8" x14ac:dyDescent="0.25">
      <c r="A229" s="52"/>
      <c r="B229" s="52"/>
      <c r="C229" s="52">
        <v>2</v>
      </c>
      <c r="D229" s="52">
        <v>3</v>
      </c>
      <c r="E229" s="52"/>
      <c r="F229" s="52">
        <f>0.45-0.125</f>
        <v>0.32500000000000001</v>
      </c>
      <c r="G229" s="62">
        <f t="shared" si="29"/>
        <v>1.9500000000000002</v>
      </c>
      <c r="H229" s="52"/>
    </row>
    <row r="230" spans="1:8" x14ac:dyDescent="0.25">
      <c r="A230" s="52"/>
      <c r="B230" s="52" t="s">
        <v>385</v>
      </c>
      <c r="C230" s="52">
        <v>2</v>
      </c>
      <c r="D230" s="52">
        <v>3</v>
      </c>
      <c r="E230" s="52"/>
      <c r="F230" s="52">
        <v>0.2</v>
      </c>
      <c r="G230" s="62">
        <f t="shared" ref="G230" si="41">+PRODUCT(C230:F230)</f>
        <v>1.2000000000000002</v>
      </c>
      <c r="H230" s="52"/>
    </row>
    <row r="231" spans="1:8" x14ac:dyDescent="0.25">
      <c r="A231" s="52"/>
      <c r="B231" s="52" t="s">
        <v>353</v>
      </c>
      <c r="C231" s="52">
        <v>2</v>
      </c>
      <c r="D231" s="52">
        <v>1.95</v>
      </c>
      <c r="E231" s="52"/>
      <c r="F231" s="52">
        <f>0.35-0.125</f>
        <v>0.22499999999999998</v>
      </c>
      <c r="G231" s="62">
        <f t="shared" si="29"/>
        <v>0.87749999999999995</v>
      </c>
      <c r="H231" s="52"/>
    </row>
    <row r="232" spans="1:8" x14ac:dyDescent="0.25">
      <c r="A232" s="52"/>
      <c r="B232" s="52"/>
      <c r="C232" s="52">
        <v>2</v>
      </c>
      <c r="D232" s="52">
        <v>1.635</v>
      </c>
      <c r="E232" s="52"/>
      <c r="F232" s="52">
        <f>0.35-0.125</f>
        <v>0.22499999999999998</v>
      </c>
      <c r="G232" s="62">
        <f t="shared" si="29"/>
        <v>0.7357499999999999</v>
      </c>
      <c r="H232" s="52"/>
    </row>
    <row r="233" spans="1:8" x14ac:dyDescent="0.25">
      <c r="A233" s="52"/>
      <c r="B233" s="52"/>
      <c r="C233" s="52">
        <v>2</v>
      </c>
      <c r="D233" s="52">
        <v>0.315</v>
      </c>
      <c r="E233" s="52"/>
      <c r="F233" s="52">
        <v>0.35</v>
      </c>
      <c r="G233" s="62">
        <f t="shared" si="29"/>
        <v>0.22049999999999997</v>
      </c>
      <c r="H233" s="52"/>
    </row>
    <row r="234" spans="1:8" x14ac:dyDescent="0.25">
      <c r="A234" s="52"/>
      <c r="B234" s="52" t="s">
        <v>385</v>
      </c>
      <c r="C234" s="52">
        <v>2</v>
      </c>
      <c r="D234" s="52">
        <v>1.95</v>
      </c>
      <c r="E234" s="52"/>
      <c r="F234" s="52">
        <v>0.2</v>
      </c>
      <c r="G234" s="62">
        <f t="shared" si="29"/>
        <v>0.78</v>
      </c>
      <c r="H234" s="52"/>
    </row>
    <row r="235" spans="1:8" x14ac:dyDescent="0.25">
      <c r="A235" s="52"/>
      <c r="B235" s="52" t="s">
        <v>354</v>
      </c>
      <c r="C235" s="52">
        <v>4</v>
      </c>
      <c r="D235" s="52">
        <v>2.23</v>
      </c>
      <c r="E235" s="52"/>
      <c r="F235" s="52">
        <f>0.45-0.125</f>
        <v>0.32500000000000001</v>
      </c>
      <c r="G235" s="62">
        <f t="shared" si="29"/>
        <v>2.899</v>
      </c>
      <c r="H235" s="52"/>
    </row>
    <row r="236" spans="1:8" x14ac:dyDescent="0.25">
      <c r="A236" s="52"/>
      <c r="B236" s="52" t="s">
        <v>385</v>
      </c>
      <c r="C236" s="52">
        <v>2</v>
      </c>
      <c r="D236" s="52">
        <v>2.23</v>
      </c>
      <c r="E236" s="52"/>
      <c r="F236" s="52">
        <v>0.2</v>
      </c>
      <c r="G236" s="62">
        <f t="shared" ref="G236" si="42">+PRODUCT(C236:F236)</f>
        <v>0.89200000000000002</v>
      </c>
      <c r="H236" s="52"/>
    </row>
    <row r="237" spans="1:8" x14ac:dyDescent="0.25">
      <c r="A237" s="52"/>
      <c r="B237" s="52" t="s">
        <v>355</v>
      </c>
      <c r="C237" s="52">
        <v>2</v>
      </c>
      <c r="D237" s="52">
        <v>5.1449999999999996</v>
      </c>
      <c r="E237" s="52"/>
      <c r="F237" s="52">
        <f>0.5-0.15</f>
        <v>0.35</v>
      </c>
      <c r="G237" s="62">
        <f t="shared" si="29"/>
        <v>3.6014999999999993</v>
      </c>
      <c r="H237" s="52"/>
    </row>
    <row r="238" spans="1:8" x14ac:dyDescent="0.25">
      <c r="A238" s="52"/>
      <c r="B238" s="52"/>
      <c r="C238" s="52">
        <v>2</v>
      </c>
      <c r="D238" s="52">
        <v>2.57</v>
      </c>
      <c r="E238" s="52"/>
      <c r="F238" s="52">
        <v>0.5</v>
      </c>
      <c r="G238" s="62">
        <f t="shared" si="29"/>
        <v>2.57</v>
      </c>
      <c r="H238" s="52"/>
    </row>
    <row r="239" spans="1:8" x14ac:dyDescent="0.25">
      <c r="A239" s="52"/>
      <c r="B239" s="52"/>
      <c r="C239" s="52">
        <v>2</v>
      </c>
      <c r="D239" s="52">
        <v>2.44</v>
      </c>
      <c r="E239" s="52"/>
      <c r="F239" s="52">
        <f>0.5-0.125</f>
        <v>0.375</v>
      </c>
      <c r="G239" s="62">
        <f t="shared" si="29"/>
        <v>1.83</v>
      </c>
      <c r="H239" s="52"/>
    </row>
    <row r="240" spans="1:8" x14ac:dyDescent="0.25">
      <c r="A240" s="52"/>
      <c r="B240" s="52" t="s">
        <v>385</v>
      </c>
      <c r="C240" s="52">
        <v>2</v>
      </c>
      <c r="D240" s="52">
        <v>5.1449999999999996</v>
      </c>
      <c r="E240" s="52"/>
      <c r="F240" s="52">
        <v>0.2</v>
      </c>
      <c r="G240" s="62">
        <f t="shared" si="29"/>
        <v>2.0579999999999998</v>
      </c>
      <c r="H240" s="52"/>
    </row>
    <row r="241" spans="1:8" x14ac:dyDescent="0.25">
      <c r="A241" s="52"/>
      <c r="B241" s="52" t="s">
        <v>356</v>
      </c>
      <c r="C241" s="52">
        <v>2</v>
      </c>
      <c r="D241" s="52">
        <v>3.8</v>
      </c>
      <c r="E241" s="52"/>
      <c r="F241" s="52">
        <v>0.5</v>
      </c>
      <c r="G241" s="62">
        <f t="shared" si="29"/>
        <v>3.8</v>
      </c>
      <c r="H241" s="52"/>
    </row>
    <row r="242" spans="1:8" x14ac:dyDescent="0.25">
      <c r="A242" s="52"/>
      <c r="B242" s="52"/>
      <c r="C242" s="52">
        <v>2</v>
      </c>
      <c r="D242" s="52">
        <v>3.8</v>
      </c>
      <c r="E242" s="52"/>
      <c r="F242" s="52">
        <f>0.5-0.125</f>
        <v>0.375</v>
      </c>
      <c r="G242" s="62">
        <f t="shared" si="29"/>
        <v>2.8499999999999996</v>
      </c>
      <c r="H242" s="52"/>
    </row>
    <row r="243" spans="1:8" x14ac:dyDescent="0.25">
      <c r="A243" s="52"/>
      <c r="B243" s="52" t="s">
        <v>385</v>
      </c>
      <c r="C243" s="52">
        <v>2</v>
      </c>
      <c r="D243" s="52">
        <v>3.8</v>
      </c>
      <c r="E243" s="52"/>
      <c r="F243" s="52">
        <v>0.2</v>
      </c>
      <c r="G243" s="62">
        <f t="shared" ref="G243" si="43">+PRODUCT(C243:F243)</f>
        <v>1.52</v>
      </c>
      <c r="H243" s="52"/>
    </row>
    <row r="244" spans="1:8" x14ac:dyDescent="0.25">
      <c r="A244" s="52"/>
      <c r="B244" s="52" t="s">
        <v>358</v>
      </c>
      <c r="C244" s="52">
        <v>2</v>
      </c>
      <c r="D244" s="52">
        <v>2.95</v>
      </c>
      <c r="E244" s="52"/>
      <c r="F244" s="52">
        <f>0.35-0.125</f>
        <v>0.22499999999999998</v>
      </c>
      <c r="G244" s="62">
        <f t="shared" si="29"/>
        <v>1.3274999999999999</v>
      </c>
      <c r="H244" s="52"/>
    </row>
    <row r="245" spans="1:8" x14ac:dyDescent="0.25">
      <c r="A245" s="52"/>
      <c r="B245" s="52"/>
      <c r="C245" s="52">
        <v>2</v>
      </c>
      <c r="D245" s="52">
        <v>2.95</v>
      </c>
      <c r="E245" s="52"/>
      <c r="F245" s="52">
        <v>0.35</v>
      </c>
      <c r="G245" s="62">
        <f t="shared" si="29"/>
        <v>2.0649999999999999</v>
      </c>
      <c r="H245" s="52"/>
    </row>
    <row r="246" spans="1:8" x14ac:dyDescent="0.25">
      <c r="A246" s="52"/>
      <c r="B246" s="52"/>
      <c r="C246" s="52">
        <v>2</v>
      </c>
      <c r="D246" s="52">
        <v>0.51500000000000001</v>
      </c>
      <c r="E246" s="52"/>
      <c r="F246" s="52">
        <v>0.35</v>
      </c>
      <c r="G246" s="62">
        <f t="shared" si="29"/>
        <v>0.36049999999999999</v>
      </c>
      <c r="H246" s="52"/>
    </row>
    <row r="247" spans="1:8" x14ac:dyDescent="0.25">
      <c r="A247" s="52"/>
      <c r="B247" s="52" t="s">
        <v>385</v>
      </c>
      <c r="C247" s="52">
        <v>2</v>
      </c>
      <c r="D247" s="52">
        <v>2.95</v>
      </c>
      <c r="E247" s="52"/>
      <c r="F247" s="52">
        <v>0.2</v>
      </c>
      <c r="G247" s="62">
        <f t="shared" si="29"/>
        <v>1.1800000000000002</v>
      </c>
      <c r="H247" s="52"/>
    </row>
    <row r="248" spans="1:8" x14ac:dyDescent="0.25">
      <c r="A248" s="52"/>
      <c r="B248" s="52" t="s">
        <v>359</v>
      </c>
      <c r="C248" s="52">
        <v>4</v>
      </c>
      <c r="D248" s="52">
        <v>4.55</v>
      </c>
      <c r="E248" s="52"/>
      <c r="F248" s="52">
        <f>0.45-0.125</f>
        <v>0.32500000000000001</v>
      </c>
      <c r="G248" s="62">
        <f t="shared" si="29"/>
        <v>5.915</v>
      </c>
      <c r="H248" s="52"/>
    </row>
    <row r="249" spans="1:8" x14ac:dyDescent="0.25">
      <c r="A249" s="52"/>
      <c r="B249" s="52" t="s">
        <v>385</v>
      </c>
      <c r="C249" s="52">
        <v>2</v>
      </c>
      <c r="D249" s="52">
        <v>4.55</v>
      </c>
      <c r="E249" s="52"/>
      <c r="F249" s="52">
        <v>0.2</v>
      </c>
      <c r="G249" s="62">
        <f t="shared" ref="G249" si="44">+PRODUCT(C249:F249)</f>
        <v>1.82</v>
      </c>
      <c r="H249" s="52"/>
    </row>
    <row r="250" spans="1:8" x14ac:dyDescent="0.25">
      <c r="A250" s="52"/>
      <c r="B250" s="52" t="s">
        <v>360</v>
      </c>
      <c r="C250" s="52">
        <v>4</v>
      </c>
      <c r="D250" s="52">
        <v>2.5</v>
      </c>
      <c r="E250" s="52"/>
      <c r="F250" s="52">
        <f>0.45-0.125</f>
        <v>0.32500000000000001</v>
      </c>
      <c r="G250" s="62">
        <f t="shared" si="29"/>
        <v>3.25</v>
      </c>
      <c r="H250" s="52"/>
    </row>
    <row r="251" spans="1:8" x14ac:dyDescent="0.25">
      <c r="A251" s="52"/>
      <c r="B251" s="52" t="s">
        <v>385</v>
      </c>
      <c r="C251" s="52">
        <v>2</v>
      </c>
      <c r="D251" s="52">
        <v>2.5</v>
      </c>
      <c r="E251" s="52"/>
      <c r="F251" s="52">
        <v>0.2</v>
      </c>
      <c r="G251" s="62">
        <f t="shared" si="29"/>
        <v>1</v>
      </c>
      <c r="H251" s="52"/>
    </row>
    <row r="252" spans="1:8" x14ac:dyDescent="0.25">
      <c r="A252" s="52"/>
      <c r="B252" s="52" t="s">
        <v>361</v>
      </c>
      <c r="C252" s="52">
        <v>2</v>
      </c>
      <c r="D252" s="52">
        <v>3.05</v>
      </c>
      <c r="E252" s="52"/>
      <c r="F252" s="52">
        <f>0.5-0.125</f>
        <v>0.375</v>
      </c>
      <c r="G252" s="62">
        <f t="shared" si="29"/>
        <v>2.2874999999999996</v>
      </c>
      <c r="H252" s="52"/>
    </row>
    <row r="253" spans="1:8" x14ac:dyDescent="0.25">
      <c r="A253" s="52"/>
      <c r="B253" s="52"/>
      <c r="C253" s="52">
        <v>2</v>
      </c>
      <c r="D253" s="52">
        <v>1.85</v>
      </c>
      <c r="E253" s="52"/>
      <c r="F253" s="52">
        <f>0.5-0.15</f>
        <v>0.35</v>
      </c>
      <c r="G253" s="62">
        <f t="shared" si="29"/>
        <v>1.2949999999999999</v>
      </c>
      <c r="H253" s="52"/>
    </row>
    <row r="254" spans="1:8" x14ac:dyDescent="0.25">
      <c r="A254" s="52"/>
      <c r="B254" s="52"/>
      <c r="C254" s="52">
        <v>2</v>
      </c>
      <c r="D254" s="52">
        <v>1.2</v>
      </c>
      <c r="E254" s="52"/>
      <c r="F254" s="52">
        <f>0.5-0.165</f>
        <v>0.33499999999999996</v>
      </c>
      <c r="G254" s="62">
        <f t="shared" si="29"/>
        <v>0.80399999999999994</v>
      </c>
      <c r="H254" s="52"/>
    </row>
    <row r="255" spans="1:8" x14ac:dyDescent="0.25">
      <c r="A255" s="52"/>
      <c r="B255" s="52" t="s">
        <v>385</v>
      </c>
      <c r="C255" s="52">
        <v>2</v>
      </c>
      <c r="D255" s="52">
        <v>3.05</v>
      </c>
      <c r="E255" s="52"/>
      <c r="F255" s="52">
        <v>0.2</v>
      </c>
      <c r="G255" s="62">
        <f t="shared" ref="G255" si="45">+PRODUCT(C255:F255)</f>
        <v>1.22</v>
      </c>
      <c r="H255" s="52"/>
    </row>
    <row r="256" spans="1:8" x14ac:dyDescent="0.25">
      <c r="A256" s="52"/>
      <c r="B256" s="52" t="s">
        <v>362</v>
      </c>
      <c r="C256" s="52">
        <v>2</v>
      </c>
      <c r="D256" s="52">
        <v>3.1150000000000002</v>
      </c>
      <c r="E256" s="52"/>
      <c r="F256" s="52">
        <f>0.45-0.125</f>
        <v>0.32500000000000001</v>
      </c>
      <c r="G256" s="62">
        <f t="shared" si="29"/>
        <v>2.02475</v>
      </c>
      <c r="H256" s="52"/>
    </row>
    <row r="257" spans="1:8" x14ac:dyDescent="0.25">
      <c r="A257" s="52"/>
      <c r="B257" s="52"/>
      <c r="C257" s="52">
        <v>2</v>
      </c>
      <c r="D257" s="52">
        <v>3.1150000000000002</v>
      </c>
      <c r="E257" s="52"/>
      <c r="F257" s="52">
        <f>0.45-0.15</f>
        <v>0.30000000000000004</v>
      </c>
      <c r="G257" s="62">
        <f t="shared" ref="G257:G352" si="46">+PRODUCT(C257:F257)</f>
        <v>1.8690000000000004</v>
      </c>
      <c r="H257" s="52"/>
    </row>
    <row r="258" spans="1:8" x14ac:dyDescent="0.25">
      <c r="A258" s="52"/>
      <c r="B258" s="52" t="s">
        <v>385</v>
      </c>
      <c r="C258" s="52">
        <v>2</v>
      </c>
      <c r="D258" s="52">
        <v>3.1150000000000002</v>
      </c>
      <c r="E258" s="52"/>
      <c r="F258" s="52">
        <v>0.23</v>
      </c>
      <c r="G258" s="62">
        <f t="shared" si="46"/>
        <v>1.4329000000000001</v>
      </c>
      <c r="H258" s="52"/>
    </row>
    <row r="259" spans="1:8" x14ac:dyDescent="0.25">
      <c r="A259" s="52"/>
      <c r="B259" s="52" t="s">
        <v>363</v>
      </c>
      <c r="C259" s="52">
        <v>2</v>
      </c>
      <c r="D259" s="52">
        <v>2.3450000000000002</v>
      </c>
      <c r="E259" s="52"/>
      <c r="F259" s="52">
        <f>0.35-0.125</f>
        <v>0.22499999999999998</v>
      </c>
      <c r="G259" s="62">
        <f t="shared" si="46"/>
        <v>1.05525</v>
      </c>
      <c r="H259" s="52"/>
    </row>
    <row r="260" spans="1:8" x14ac:dyDescent="0.25">
      <c r="A260" s="52"/>
      <c r="B260" s="52"/>
      <c r="C260" s="52">
        <v>2</v>
      </c>
      <c r="D260" s="52">
        <v>1.845</v>
      </c>
      <c r="E260" s="52"/>
      <c r="F260" s="52">
        <f>0.35-0.165</f>
        <v>0.18499999999999997</v>
      </c>
      <c r="G260" s="62">
        <f t="shared" si="46"/>
        <v>0.68264999999999987</v>
      </c>
      <c r="H260" s="52"/>
    </row>
    <row r="261" spans="1:8" x14ac:dyDescent="0.25">
      <c r="A261" s="52"/>
      <c r="B261" s="52"/>
      <c r="C261" s="52">
        <v>2</v>
      </c>
      <c r="D261" s="52">
        <v>0.5</v>
      </c>
      <c r="E261" s="52"/>
      <c r="F261" s="52">
        <v>0.35</v>
      </c>
      <c r="G261" s="62">
        <f t="shared" si="46"/>
        <v>0.35</v>
      </c>
      <c r="H261" s="52"/>
    </row>
    <row r="262" spans="1:8" x14ac:dyDescent="0.25">
      <c r="A262" s="52"/>
      <c r="B262" s="52" t="s">
        <v>385</v>
      </c>
      <c r="C262" s="52">
        <v>2</v>
      </c>
      <c r="D262" s="52">
        <v>2.3450000000000002</v>
      </c>
      <c r="E262" s="52"/>
      <c r="F262" s="52">
        <v>0.2</v>
      </c>
      <c r="G262" s="62">
        <f t="shared" ref="G262" si="47">+PRODUCT(C262:F262)</f>
        <v>0.93800000000000017</v>
      </c>
      <c r="H262" s="52"/>
    </row>
    <row r="263" spans="1:8" x14ac:dyDescent="0.25">
      <c r="A263" s="52"/>
      <c r="B263" s="52" t="s">
        <v>364</v>
      </c>
      <c r="C263" s="52">
        <v>4</v>
      </c>
      <c r="D263" s="52">
        <v>3.2</v>
      </c>
      <c r="E263" s="52"/>
      <c r="F263" s="52">
        <v>0.5</v>
      </c>
      <c r="G263" s="62">
        <f t="shared" si="46"/>
        <v>6.4</v>
      </c>
      <c r="H263" s="52"/>
    </row>
    <row r="264" spans="1:8" x14ac:dyDescent="0.25">
      <c r="A264" s="52"/>
      <c r="B264" s="52" t="s">
        <v>385</v>
      </c>
      <c r="C264" s="52">
        <v>2</v>
      </c>
      <c r="D264" s="52">
        <v>3.2</v>
      </c>
      <c r="E264" s="52"/>
      <c r="F264" s="52">
        <v>0.23</v>
      </c>
      <c r="G264" s="62">
        <f t="shared" si="46"/>
        <v>1.4720000000000002</v>
      </c>
      <c r="H264" s="52"/>
    </row>
    <row r="265" spans="1:8" x14ac:dyDescent="0.25">
      <c r="A265" s="52"/>
      <c r="B265" s="52" t="s">
        <v>365</v>
      </c>
      <c r="C265" s="52">
        <v>6</v>
      </c>
      <c r="D265" s="52">
        <v>0.35</v>
      </c>
      <c r="E265" s="52"/>
      <c r="F265" s="52">
        <v>0.5</v>
      </c>
      <c r="G265" s="62">
        <f t="shared" si="46"/>
        <v>1.0499999999999998</v>
      </c>
      <c r="H265" s="52"/>
    </row>
    <row r="266" spans="1:8" x14ac:dyDescent="0.25">
      <c r="A266" s="52"/>
      <c r="B266" s="52"/>
      <c r="C266" s="52">
        <v>2</v>
      </c>
      <c r="D266" s="52">
        <v>0.35</v>
      </c>
      <c r="E266" s="52"/>
      <c r="F266" s="52">
        <f>0.5-0.125</f>
        <v>0.375</v>
      </c>
      <c r="G266" s="62">
        <f t="shared" si="46"/>
        <v>0.26249999999999996</v>
      </c>
      <c r="H266" s="52"/>
    </row>
    <row r="267" spans="1:8" x14ac:dyDescent="0.25">
      <c r="A267" s="52"/>
      <c r="B267" s="52" t="s">
        <v>385</v>
      </c>
      <c r="C267" s="52">
        <v>4</v>
      </c>
      <c r="D267" s="52">
        <v>0.35</v>
      </c>
      <c r="E267" s="52"/>
      <c r="F267" s="52">
        <v>0.2</v>
      </c>
      <c r="G267" s="62">
        <f t="shared" ref="G267" si="48">+PRODUCT(C267:F267)</f>
        <v>0.27999999999999997</v>
      </c>
      <c r="H267" s="52"/>
    </row>
    <row r="268" spans="1:8" x14ac:dyDescent="0.25">
      <c r="A268" s="52"/>
      <c r="B268" s="52" t="s">
        <v>366</v>
      </c>
      <c r="C268" s="52">
        <v>4</v>
      </c>
      <c r="D268" s="52">
        <v>1.81</v>
      </c>
      <c r="E268" s="52"/>
      <c r="F268" s="52">
        <f>0.45-0.125</f>
        <v>0.32500000000000001</v>
      </c>
      <c r="G268" s="62">
        <f t="shared" si="46"/>
        <v>2.3530000000000002</v>
      </c>
      <c r="H268" s="52"/>
    </row>
    <row r="269" spans="1:8" x14ac:dyDescent="0.25">
      <c r="A269" s="52"/>
      <c r="B269" s="52" t="s">
        <v>385</v>
      </c>
      <c r="C269" s="52">
        <v>2</v>
      </c>
      <c r="D269" s="52">
        <v>1.81</v>
      </c>
      <c r="E269" s="52"/>
      <c r="F269" s="52">
        <v>0.2</v>
      </c>
      <c r="G269" s="62">
        <f t="shared" si="46"/>
        <v>0.72400000000000009</v>
      </c>
      <c r="H269" s="52"/>
    </row>
    <row r="270" spans="1:8" x14ac:dyDescent="0.25">
      <c r="A270" s="52"/>
      <c r="B270" s="52" t="s">
        <v>368</v>
      </c>
      <c r="C270" s="52">
        <v>2</v>
      </c>
      <c r="D270" s="52">
        <v>3.2</v>
      </c>
      <c r="E270" s="52"/>
      <c r="F270" s="52">
        <v>0.45</v>
      </c>
      <c r="G270" s="62">
        <f t="shared" ref="G270:G272" si="49">+PRODUCT(C270:F270)</f>
        <v>2.8800000000000003</v>
      </c>
      <c r="H270" s="52"/>
    </row>
    <row r="271" spans="1:8" x14ac:dyDescent="0.25">
      <c r="A271" s="52"/>
      <c r="B271" s="52"/>
      <c r="C271" s="52">
        <v>2</v>
      </c>
      <c r="D271" s="52">
        <v>3.2</v>
      </c>
      <c r="E271" s="52"/>
      <c r="F271" s="52">
        <f>0.45-0.125</f>
        <v>0.32500000000000001</v>
      </c>
      <c r="G271" s="62">
        <f t="shared" si="49"/>
        <v>2.08</v>
      </c>
      <c r="H271" s="52"/>
    </row>
    <row r="272" spans="1:8" x14ac:dyDescent="0.25">
      <c r="A272" s="52"/>
      <c r="B272" s="52" t="s">
        <v>385</v>
      </c>
      <c r="C272" s="52">
        <v>2</v>
      </c>
      <c r="D272" s="52">
        <v>3.2</v>
      </c>
      <c r="E272" s="52"/>
      <c r="F272" s="52">
        <v>0.23</v>
      </c>
      <c r="G272" s="62">
        <f t="shared" si="49"/>
        <v>1.4720000000000002</v>
      </c>
      <c r="H272" s="52"/>
    </row>
    <row r="273" spans="1:8" x14ac:dyDescent="0.25">
      <c r="A273" s="52"/>
      <c r="B273" s="52" t="s">
        <v>367</v>
      </c>
      <c r="C273" s="52">
        <v>4</v>
      </c>
      <c r="D273" s="52">
        <v>2.3450000000000002</v>
      </c>
      <c r="E273" s="52"/>
      <c r="F273" s="52">
        <f>0.45-0.125</f>
        <v>0.32500000000000001</v>
      </c>
      <c r="G273" s="62">
        <f>+PRODUCT(C273:F273)</f>
        <v>3.0485000000000002</v>
      </c>
      <c r="H273" s="52"/>
    </row>
    <row r="274" spans="1:8" x14ac:dyDescent="0.25">
      <c r="A274" s="52"/>
      <c r="B274" s="52" t="s">
        <v>385</v>
      </c>
      <c r="C274" s="52">
        <v>2</v>
      </c>
      <c r="D274" s="52">
        <v>2.3450000000000002</v>
      </c>
      <c r="E274" s="52"/>
      <c r="F274" s="52">
        <v>0.2</v>
      </c>
      <c r="G274" s="62">
        <f t="shared" ref="G274" si="50">+PRODUCT(C274:F274)</f>
        <v>0.93800000000000017</v>
      </c>
      <c r="H274" s="52"/>
    </row>
    <row r="275" spans="1:8" x14ac:dyDescent="0.25">
      <c r="A275" s="52"/>
      <c r="B275" s="52" t="s">
        <v>369</v>
      </c>
      <c r="C275" s="52">
        <v>4</v>
      </c>
      <c r="D275" s="52">
        <v>3.43</v>
      </c>
      <c r="E275" s="52"/>
      <c r="F275" s="52">
        <f>0.45-0.125</f>
        <v>0.32500000000000001</v>
      </c>
      <c r="G275" s="62">
        <f t="shared" si="46"/>
        <v>4.4590000000000005</v>
      </c>
      <c r="H275" s="52"/>
    </row>
    <row r="276" spans="1:8" x14ac:dyDescent="0.25">
      <c r="A276" s="52"/>
      <c r="B276" s="52" t="s">
        <v>385</v>
      </c>
      <c r="C276" s="52">
        <v>2</v>
      </c>
      <c r="D276" s="52">
        <v>3.43</v>
      </c>
      <c r="E276" s="52"/>
      <c r="F276" s="52">
        <v>0.23</v>
      </c>
      <c r="G276" s="62">
        <f t="shared" si="46"/>
        <v>1.5778000000000001</v>
      </c>
      <c r="H276" s="52"/>
    </row>
    <row r="277" spans="1:8" x14ac:dyDescent="0.25">
      <c r="A277" s="52"/>
      <c r="B277" s="52" t="s">
        <v>370</v>
      </c>
      <c r="C277" s="52">
        <v>2</v>
      </c>
      <c r="D277" s="52">
        <v>3.43</v>
      </c>
      <c r="E277" s="52"/>
      <c r="F277" s="52">
        <f>0.45-0.125</f>
        <v>0.32500000000000001</v>
      </c>
      <c r="G277" s="62">
        <f t="shared" si="46"/>
        <v>2.2295000000000003</v>
      </c>
      <c r="H277" s="52"/>
    </row>
    <row r="278" spans="1:8" x14ac:dyDescent="0.25">
      <c r="A278" s="52"/>
      <c r="B278" s="52"/>
      <c r="C278" s="52">
        <v>2</v>
      </c>
      <c r="D278" s="52">
        <v>1.2050000000000001</v>
      </c>
      <c r="E278" s="52"/>
      <c r="F278" s="52">
        <f>0.45-0.125</f>
        <v>0.32500000000000001</v>
      </c>
      <c r="G278" s="62">
        <f t="shared" si="46"/>
        <v>0.78325000000000011</v>
      </c>
      <c r="H278" s="52"/>
    </row>
    <row r="279" spans="1:8" x14ac:dyDescent="0.25">
      <c r="A279" s="52"/>
      <c r="B279" s="52"/>
      <c r="C279" s="52">
        <v>2</v>
      </c>
      <c r="D279" s="52">
        <f>+D277-D278</f>
        <v>2.2250000000000001</v>
      </c>
      <c r="E279" s="52"/>
      <c r="F279" s="52">
        <f>0.45-0.15</f>
        <v>0.30000000000000004</v>
      </c>
      <c r="G279" s="62">
        <f t="shared" si="46"/>
        <v>1.3350000000000002</v>
      </c>
      <c r="H279" s="52"/>
    </row>
    <row r="280" spans="1:8" x14ac:dyDescent="0.25">
      <c r="A280" s="52"/>
      <c r="B280" s="52" t="s">
        <v>385</v>
      </c>
      <c r="C280" s="52">
        <v>2</v>
      </c>
      <c r="D280" s="52">
        <v>3.43</v>
      </c>
      <c r="E280" s="52"/>
      <c r="F280" s="52">
        <v>0.2</v>
      </c>
      <c r="G280" s="62">
        <f t="shared" ref="G280" si="51">+PRODUCT(C280:F280)</f>
        <v>1.3720000000000001</v>
      </c>
      <c r="H280" s="52"/>
    </row>
    <row r="281" spans="1:8" x14ac:dyDescent="0.25">
      <c r="A281" s="52"/>
      <c r="B281" s="52" t="s">
        <v>370</v>
      </c>
      <c r="C281" s="52">
        <v>4</v>
      </c>
      <c r="D281" s="52">
        <v>1.99</v>
      </c>
      <c r="E281" s="52"/>
      <c r="F281" s="52">
        <f>0.45-0.125</f>
        <v>0.32500000000000001</v>
      </c>
      <c r="G281" s="62">
        <f t="shared" si="46"/>
        <v>2.5870000000000002</v>
      </c>
      <c r="H281" s="52"/>
    </row>
    <row r="282" spans="1:8" x14ac:dyDescent="0.25">
      <c r="A282" s="52"/>
      <c r="B282" s="52" t="s">
        <v>385</v>
      </c>
      <c r="C282" s="52">
        <v>2</v>
      </c>
      <c r="D282" s="52">
        <v>1.99</v>
      </c>
      <c r="E282" s="52"/>
      <c r="F282" s="52">
        <v>0.2</v>
      </c>
      <c r="G282" s="62">
        <f t="shared" si="46"/>
        <v>0.79600000000000004</v>
      </c>
      <c r="H282" s="52"/>
    </row>
    <row r="283" spans="1:8" x14ac:dyDescent="0.25">
      <c r="A283" s="52"/>
      <c r="B283" s="52" t="s">
        <v>371</v>
      </c>
      <c r="C283" s="52">
        <v>2</v>
      </c>
      <c r="D283" s="52">
        <v>2.2250000000000001</v>
      </c>
      <c r="E283" s="52"/>
      <c r="F283" s="52">
        <f>0.5-0.125</f>
        <v>0.375</v>
      </c>
      <c r="G283" s="62">
        <f t="shared" si="46"/>
        <v>1.6687500000000002</v>
      </c>
      <c r="H283" s="52"/>
    </row>
    <row r="284" spans="1:8" x14ac:dyDescent="0.25">
      <c r="A284" s="52"/>
      <c r="B284" s="52"/>
      <c r="C284" s="52">
        <v>2</v>
      </c>
      <c r="D284" s="52">
        <v>1.5</v>
      </c>
      <c r="E284" s="52"/>
      <c r="F284" s="52">
        <f>0.5-0.165</f>
        <v>0.33499999999999996</v>
      </c>
      <c r="G284" s="62">
        <f t="shared" si="46"/>
        <v>1.0049999999999999</v>
      </c>
      <c r="H284" s="52"/>
    </row>
    <row r="285" spans="1:8" x14ac:dyDescent="0.25">
      <c r="A285" s="52"/>
      <c r="B285" s="52"/>
      <c r="C285" s="52">
        <v>2</v>
      </c>
      <c r="D285" s="52">
        <f>+D283-D284</f>
        <v>0.72500000000000009</v>
      </c>
      <c r="E285" s="52"/>
      <c r="F285" s="52">
        <v>0.5</v>
      </c>
      <c r="G285" s="62">
        <f t="shared" si="46"/>
        <v>0.72500000000000009</v>
      </c>
      <c r="H285" s="52"/>
    </row>
    <row r="286" spans="1:8" x14ac:dyDescent="0.25">
      <c r="A286" s="52"/>
      <c r="B286" s="52" t="s">
        <v>385</v>
      </c>
      <c r="C286" s="52">
        <v>2</v>
      </c>
      <c r="D286" s="52">
        <v>2.2250000000000001</v>
      </c>
      <c r="E286" s="52"/>
      <c r="F286" s="52">
        <v>0.2</v>
      </c>
      <c r="G286" s="62">
        <f t="shared" ref="G286" si="52">+PRODUCT(C286:F286)</f>
        <v>0.89000000000000012</v>
      </c>
      <c r="H286" s="52"/>
    </row>
    <row r="287" spans="1:8" x14ac:dyDescent="0.25">
      <c r="A287" s="52"/>
      <c r="B287" s="52" t="s">
        <v>372</v>
      </c>
      <c r="C287" s="52">
        <v>2</v>
      </c>
      <c r="D287" s="52">
        <v>3.14</v>
      </c>
      <c r="E287" s="52"/>
      <c r="F287" s="52">
        <f>0.45-0.125</f>
        <v>0.32500000000000001</v>
      </c>
      <c r="G287" s="62">
        <f t="shared" si="46"/>
        <v>2.0410000000000004</v>
      </c>
      <c r="H287" s="52"/>
    </row>
    <row r="288" spans="1:8" x14ac:dyDescent="0.25">
      <c r="A288" s="52"/>
      <c r="B288" s="52"/>
      <c r="C288" s="52">
        <v>2</v>
      </c>
      <c r="D288" s="52">
        <v>3.14</v>
      </c>
      <c r="E288" s="52"/>
      <c r="F288" s="52">
        <f>0.45-0.15</f>
        <v>0.30000000000000004</v>
      </c>
      <c r="G288" s="62">
        <f t="shared" si="46"/>
        <v>1.8840000000000003</v>
      </c>
      <c r="H288" s="52"/>
    </row>
    <row r="289" spans="1:8" x14ac:dyDescent="0.25">
      <c r="A289" s="52"/>
      <c r="B289" s="52" t="s">
        <v>385</v>
      </c>
      <c r="C289" s="52">
        <v>2</v>
      </c>
      <c r="D289" s="52">
        <v>3.14</v>
      </c>
      <c r="E289" s="52"/>
      <c r="F289" s="52">
        <v>0.2</v>
      </c>
      <c r="G289" s="62">
        <f t="shared" si="46"/>
        <v>1.2560000000000002</v>
      </c>
      <c r="H289" s="52"/>
    </row>
    <row r="290" spans="1:8" x14ac:dyDescent="0.25">
      <c r="A290" s="52"/>
      <c r="B290" s="52" t="s">
        <v>373</v>
      </c>
      <c r="C290" s="52">
        <v>4</v>
      </c>
      <c r="D290" s="52">
        <v>3.06</v>
      </c>
      <c r="E290" s="52"/>
      <c r="F290" s="52">
        <f>0.45-0.125</f>
        <v>0.32500000000000001</v>
      </c>
      <c r="G290" s="62">
        <f t="shared" si="46"/>
        <v>3.9780000000000002</v>
      </c>
      <c r="H290" s="52"/>
    </row>
    <row r="291" spans="1:8" x14ac:dyDescent="0.25">
      <c r="A291" s="52"/>
      <c r="B291" s="52"/>
      <c r="C291" s="52">
        <v>4</v>
      </c>
      <c r="D291" s="52">
        <v>3.06</v>
      </c>
      <c r="E291" s="52"/>
      <c r="F291" s="52">
        <f>0.45-0.15</f>
        <v>0.30000000000000004</v>
      </c>
      <c r="G291" s="62">
        <f t="shared" si="46"/>
        <v>3.6720000000000006</v>
      </c>
      <c r="H291" s="52"/>
    </row>
    <row r="292" spans="1:8" x14ac:dyDescent="0.25">
      <c r="A292" s="52"/>
      <c r="B292" s="52" t="s">
        <v>385</v>
      </c>
      <c r="C292" s="52">
        <v>4</v>
      </c>
      <c r="D292" s="52">
        <v>3.06</v>
      </c>
      <c r="E292" s="52"/>
      <c r="F292" s="52">
        <v>0.2</v>
      </c>
      <c r="G292" s="62">
        <f t="shared" ref="G292" si="53">+PRODUCT(C292:F292)</f>
        <v>2.4480000000000004</v>
      </c>
      <c r="H292" s="52"/>
    </row>
    <row r="293" spans="1:8" x14ac:dyDescent="0.25">
      <c r="A293" s="52"/>
      <c r="B293" s="52" t="s">
        <v>374</v>
      </c>
      <c r="C293" s="52">
        <v>4</v>
      </c>
      <c r="D293" s="52">
        <v>3.05</v>
      </c>
      <c r="E293" s="52"/>
      <c r="F293" s="52">
        <f>0.35-0.125</f>
        <v>0.22499999999999998</v>
      </c>
      <c r="G293" s="62">
        <f t="shared" si="46"/>
        <v>2.7449999999999997</v>
      </c>
      <c r="H293" s="52"/>
    </row>
    <row r="294" spans="1:8" x14ac:dyDescent="0.25">
      <c r="A294" s="52"/>
      <c r="B294" s="52"/>
      <c r="C294" s="52">
        <v>4</v>
      </c>
      <c r="D294" s="52">
        <v>1.32</v>
      </c>
      <c r="E294" s="52"/>
      <c r="F294" s="52">
        <v>0.35</v>
      </c>
      <c r="G294" s="62">
        <f t="shared" si="46"/>
        <v>1.8479999999999999</v>
      </c>
      <c r="H294" s="52"/>
    </row>
    <row r="295" spans="1:8" x14ac:dyDescent="0.25">
      <c r="A295" s="52"/>
      <c r="B295" s="52"/>
      <c r="C295" s="52">
        <v>4</v>
      </c>
      <c r="D295" s="52">
        <v>1.73</v>
      </c>
      <c r="E295" s="52"/>
      <c r="F295" s="52">
        <f>0.35-0.125</f>
        <v>0.22499999999999998</v>
      </c>
      <c r="G295" s="62">
        <f t="shared" si="46"/>
        <v>1.5569999999999999</v>
      </c>
      <c r="H295" s="52"/>
    </row>
    <row r="296" spans="1:8" x14ac:dyDescent="0.25">
      <c r="A296" s="52"/>
      <c r="B296" s="52" t="s">
        <v>385</v>
      </c>
      <c r="C296" s="52">
        <v>4</v>
      </c>
      <c r="D296" s="52">
        <v>3.05</v>
      </c>
      <c r="E296" s="52"/>
      <c r="F296" s="52">
        <v>0.2</v>
      </c>
      <c r="G296" s="62">
        <f t="shared" si="46"/>
        <v>2.44</v>
      </c>
      <c r="H296" s="52"/>
    </row>
    <row r="297" spans="1:8" x14ac:dyDescent="0.25">
      <c r="A297" s="52"/>
      <c r="B297" s="52" t="s">
        <v>375</v>
      </c>
      <c r="C297" s="52">
        <v>4</v>
      </c>
      <c r="D297" s="52">
        <v>3.3849999999999998</v>
      </c>
      <c r="E297" s="52"/>
      <c r="F297" s="52">
        <f>0.45-0.15</f>
        <v>0.30000000000000004</v>
      </c>
      <c r="G297" s="62">
        <f t="shared" si="46"/>
        <v>4.0620000000000003</v>
      </c>
      <c r="H297" s="52"/>
    </row>
    <row r="298" spans="1:8" x14ac:dyDescent="0.25">
      <c r="A298" s="52"/>
      <c r="B298" s="52"/>
      <c r="C298" s="52">
        <v>4</v>
      </c>
      <c r="D298" s="52">
        <v>3.3849999999999998</v>
      </c>
      <c r="E298" s="52"/>
      <c r="F298" s="52">
        <f>0.45-0.125</f>
        <v>0.32500000000000001</v>
      </c>
      <c r="G298" s="62">
        <f t="shared" si="46"/>
        <v>4.4005000000000001</v>
      </c>
      <c r="H298" s="52"/>
    </row>
    <row r="299" spans="1:8" x14ac:dyDescent="0.25">
      <c r="A299" s="52"/>
      <c r="B299" s="52" t="s">
        <v>385</v>
      </c>
      <c r="C299" s="52">
        <v>4</v>
      </c>
      <c r="D299" s="52">
        <v>3.3849999999999998</v>
      </c>
      <c r="E299" s="52"/>
      <c r="F299" s="52">
        <v>0.2</v>
      </c>
      <c r="G299" s="62">
        <f t="shared" ref="G299" si="54">+PRODUCT(C299:F299)</f>
        <v>2.7080000000000002</v>
      </c>
      <c r="H299" s="52"/>
    </row>
    <row r="300" spans="1:8" x14ac:dyDescent="0.25">
      <c r="A300" s="52"/>
      <c r="B300" s="52" t="s">
        <v>376</v>
      </c>
      <c r="C300" s="52">
        <v>8</v>
      </c>
      <c r="D300" s="52">
        <f>5.15-0.2</f>
        <v>4.95</v>
      </c>
      <c r="E300" s="52"/>
      <c r="F300" s="52">
        <f>0.45-0.125</f>
        <v>0.32500000000000001</v>
      </c>
      <c r="G300" s="62">
        <f t="shared" si="46"/>
        <v>12.870000000000001</v>
      </c>
      <c r="H300" s="52"/>
    </row>
    <row r="301" spans="1:8" x14ac:dyDescent="0.25">
      <c r="A301" s="52"/>
      <c r="B301" s="52" t="s">
        <v>385</v>
      </c>
      <c r="C301" s="52">
        <v>4</v>
      </c>
      <c r="D301" s="52">
        <v>4.95</v>
      </c>
      <c r="E301" s="52"/>
      <c r="F301" s="52">
        <v>0.2</v>
      </c>
      <c r="G301" s="62">
        <f t="shared" si="46"/>
        <v>3.9600000000000004</v>
      </c>
      <c r="H301" s="52"/>
    </row>
    <row r="302" spans="1:8" x14ac:dyDescent="0.25">
      <c r="A302" s="52"/>
      <c r="B302" s="52" t="s">
        <v>377</v>
      </c>
      <c r="C302" s="52">
        <v>4</v>
      </c>
      <c r="D302" s="52">
        <v>1.385</v>
      </c>
      <c r="E302" s="52"/>
      <c r="F302" s="52">
        <v>0.35</v>
      </c>
      <c r="G302" s="62">
        <f t="shared" si="46"/>
        <v>1.9389999999999998</v>
      </c>
      <c r="H302" s="52"/>
    </row>
    <row r="303" spans="1:8" x14ac:dyDescent="0.25">
      <c r="A303" s="52"/>
      <c r="B303" s="52"/>
      <c r="C303" s="52">
        <v>4</v>
      </c>
      <c r="D303" s="52">
        <v>1.385</v>
      </c>
      <c r="E303" s="52"/>
      <c r="F303" s="52">
        <f>0.35-0.125</f>
        <v>0.22499999999999998</v>
      </c>
      <c r="G303" s="62">
        <f t="shared" si="46"/>
        <v>1.2464999999999999</v>
      </c>
      <c r="H303" s="52"/>
    </row>
    <row r="304" spans="1:8" x14ac:dyDescent="0.25">
      <c r="A304" s="52"/>
      <c r="B304" s="52" t="s">
        <v>385</v>
      </c>
      <c r="C304" s="52">
        <v>4</v>
      </c>
      <c r="D304" s="52">
        <v>1.385</v>
      </c>
      <c r="E304" s="52"/>
      <c r="F304" s="52">
        <v>0.23</v>
      </c>
      <c r="G304" s="62">
        <f t="shared" ref="G304" si="55">+PRODUCT(C304:F304)</f>
        <v>1.2742</v>
      </c>
      <c r="H304" s="52"/>
    </row>
    <row r="305" spans="1:11" x14ac:dyDescent="0.25">
      <c r="A305" s="52"/>
      <c r="B305" s="52" t="s">
        <v>378</v>
      </c>
      <c r="C305" s="52">
        <v>4</v>
      </c>
      <c r="D305" s="52">
        <v>3.06</v>
      </c>
      <c r="E305" s="52"/>
      <c r="F305" s="52">
        <f>0.45-0.125</f>
        <v>0.32500000000000001</v>
      </c>
      <c r="G305" s="62">
        <f t="shared" si="46"/>
        <v>3.9780000000000002</v>
      </c>
      <c r="H305" s="52"/>
    </row>
    <row r="306" spans="1:11" x14ac:dyDescent="0.25">
      <c r="A306" s="52"/>
      <c r="B306" s="52"/>
      <c r="C306" s="52">
        <v>4</v>
      </c>
      <c r="D306" s="52">
        <v>1.78</v>
      </c>
      <c r="E306" s="52"/>
      <c r="F306" s="52">
        <f>0.45-0.125</f>
        <v>0.32500000000000001</v>
      </c>
      <c r="G306" s="62">
        <f t="shared" si="46"/>
        <v>2.3140000000000001</v>
      </c>
      <c r="H306" s="52"/>
    </row>
    <row r="307" spans="1:11" x14ac:dyDescent="0.25">
      <c r="A307" s="52"/>
      <c r="B307" s="52"/>
      <c r="C307" s="52">
        <v>4</v>
      </c>
      <c r="D307" s="52">
        <v>1.27</v>
      </c>
      <c r="E307" s="52"/>
      <c r="F307" s="52">
        <f>0.45-0.165</f>
        <v>0.28500000000000003</v>
      </c>
      <c r="G307" s="62">
        <f t="shared" si="46"/>
        <v>1.4478000000000002</v>
      </c>
      <c r="H307" s="52"/>
    </row>
    <row r="308" spans="1:11" x14ac:dyDescent="0.25">
      <c r="A308" s="52"/>
      <c r="B308" s="52" t="s">
        <v>385</v>
      </c>
      <c r="C308" s="52">
        <v>4</v>
      </c>
      <c r="D308" s="52">
        <v>3.06</v>
      </c>
      <c r="E308" s="52"/>
      <c r="F308" s="52">
        <v>0.2</v>
      </c>
      <c r="G308" s="62">
        <f t="shared" si="46"/>
        <v>2.4480000000000004</v>
      </c>
      <c r="H308" s="52"/>
    </row>
    <row r="309" spans="1:11" x14ac:dyDescent="0.25">
      <c r="A309" s="52"/>
      <c r="B309" s="52" t="s">
        <v>378</v>
      </c>
      <c r="C309" s="52">
        <v>8</v>
      </c>
      <c r="D309" s="52">
        <v>1.7</v>
      </c>
      <c r="E309" s="52"/>
      <c r="F309" s="52">
        <f>0.45-0.125</f>
        <v>0.32500000000000001</v>
      </c>
      <c r="G309" s="62">
        <f t="shared" si="46"/>
        <v>4.42</v>
      </c>
      <c r="H309" s="52"/>
    </row>
    <row r="310" spans="1:11" x14ac:dyDescent="0.25">
      <c r="A310" s="52"/>
      <c r="B310" s="52" t="s">
        <v>385</v>
      </c>
      <c r="C310" s="52">
        <v>4</v>
      </c>
      <c r="D310" s="52">
        <v>1.7</v>
      </c>
      <c r="E310" s="52"/>
      <c r="F310" s="52">
        <v>0.2</v>
      </c>
      <c r="G310" s="62">
        <f t="shared" ref="G310" si="56">+PRODUCT(C310:F310)</f>
        <v>1.36</v>
      </c>
      <c r="H310" s="52"/>
    </row>
    <row r="311" spans="1:11" x14ac:dyDescent="0.25">
      <c r="A311" s="52"/>
      <c r="B311" s="52" t="s">
        <v>379</v>
      </c>
      <c r="C311" s="52">
        <v>2</v>
      </c>
      <c r="D311" s="52">
        <v>3.2</v>
      </c>
      <c r="E311" s="52"/>
      <c r="F311" s="52">
        <v>0.35</v>
      </c>
      <c r="G311" s="62">
        <f t="shared" si="46"/>
        <v>2.2399999999999998</v>
      </c>
      <c r="H311" s="52"/>
    </row>
    <row r="312" spans="1:11" x14ac:dyDescent="0.25">
      <c r="A312" s="52"/>
      <c r="B312" s="52"/>
      <c r="C312" s="52">
        <v>2</v>
      </c>
      <c r="D312" s="52">
        <v>3.2</v>
      </c>
      <c r="E312" s="52"/>
      <c r="F312" s="52">
        <f>0.35-0.125</f>
        <v>0.22499999999999998</v>
      </c>
      <c r="G312" s="62">
        <f t="shared" si="46"/>
        <v>1.44</v>
      </c>
      <c r="H312" s="52"/>
    </row>
    <row r="313" spans="1:11" x14ac:dyDescent="0.25">
      <c r="A313" s="52"/>
      <c r="B313" s="52" t="s">
        <v>385</v>
      </c>
      <c r="C313" s="52">
        <v>2</v>
      </c>
      <c r="D313" s="52">
        <v>3.2</v>
      </c>
      <c r="E313" s="52"/>
      <c r="F313" s="52">
        <v>0.2</v>
      </c>
      <c r="G313" s="62">
        <f t="shared" si="46"/>
        <v>1.2800000000000002</v>
      </c>
      <c r="H313" s="52"/>
    </row>
    <row r="314" spans="1:11" x14ac:dyDescent="0.25">
      <c r="A314" s="52"/>
      <c r="B314" s="52" t="s">
        <v>380</v>
      </c>
      <c r="C314" s="52">
        <v>4</v>
      </c>
      <c r="D314" s="52">
        <v>5.28</v>
      </c>
      <c r="E314" s="52"/>
      <c r="F314" s="52">
        <f>0.45-0.125</f>
        <v>0.32500000000000001</v>
      </c>
      <c r="G314" s="62">
        <f t="shared" si="46"/>
        <v>6.8640000000000008</v>
      </c>
      <c r="H314" s="52"/>
    </row>
    <row r="315" spans="1:11" x14ac:dyDescent="0.25">
      <c r="A315" s="52"/>
      <c r="B315" s="52" t="s">
        <v>385</v>
      </c>
      <c r="C315" s="52">
        <v>2</v>
      </c>
      <c r="D315" s="52">
        <v>5.28</v>
      </c>
      <c r="E315" s="52"/>
      <c r="F315" s="52">
        <v>0.2</v>
      </c>
      <c r="G315" s="62">
        <f t="shared" ref="G315" si="57">+PRODUCT(C315:F315)</f>
        <v>2.1120000000000001</v>
      </c>
      <c r="H315" s="52"/>
      <c r="I315" t="s">
        <v>540</v>
      </c>
      <c r="J315" t="s">
        <v>541</v>
      </c>
    </row>
    <row r="316" spans="1:11" x14ac:dyDescent="0.25">
      <c r="A316" s="52"/>
      <c r="B316" s="52"/>
      <c r="C316" s="52"/>
      <c r="D316" s="52"/>
      <c r="E316" s="52"/>
      <c r="F316" s="52"/>
      <c r="H316" s="65">
        <f>SUM(G32:G315)</f>
        <v>784.45730000000015</v>
      </c>
      <c r="I316">
        <f>+SUMIFS(G32:G315,B32:B315,"BOTTOM")</f>
        <v>174.20880000000002</v>
      </c>
      <c r="J316" s="63">
        <f>+I316/0.2</f>
        <v>871.0440000000001</v>
      </c>
      <c r="K316" s="70"/>
    </row>
    <row r="317" spans="1:11" x14ac:dyDescent="0.25">
      <c r="A317" s="52"/>
      <c r="B317" s="56" t="s">
        <v>381</v>
      </c>
      <c r="C317" s="52"/>
      <c r="D317" s="52"/>
      <c r="E317" s="52"/>
      <c r="F317" s="52"/>
      <c r="G317" s="62"/>
      <c r="H317" s="52"/>
    </row>
    <row r="318" spans="1:11" x14ac:dyDescent="0.25">
      <c r="A318" s="52"/>
      <c r="B318" s="56" t="s">
        <v>414</v>
      </c>
      <c r="C318" s="52"/>
      <c r="D318" s="52"/>
      <c r="E318" s="52"/>
      <c r="F318" s="52"/>
      <c r="G318" s="62"/>
      <c r="H318" s="52"/>
    </row>
    <row r="319" spans="1:11" x14ac:dyDescent="0.25">
      <c r="A319" s="52"/>
      <c r="B319" s="52" t="s">
        <v>402</v>
      </c>
      <c r="C319" s="52">
        <v>1</v>
      </c>
      <c r="D319" s="52">
        <v>3.5750000000000002</v>
      </c>
      <c r="E319" s="52">
        <v>3.55</v>
      </c>
      <c r="F319" s="52"/>
      <c r="G319" s="62">
        <f t="shared" si="46"/>
        <v>12.69125</v>
      </c>
      <c r="H319" s="52"/>
    </row>
    <row r="320" spans="1:11" x14ac:dyDescent="0.25">
      <c r="A320" s="52"/>
      <c r="B320" s="52" t="s">
        <v>382</v>
      </c>
      <c r="C320" s="52">
        <v>-1</v>
      </c>
      <c r="D320" s="52">
        <v>0.4</v>
      </c>
      <c r="E320" s="52">
        <v>0.1</v>
      </c>
      <c r="F320" s="52"/>
      <c r="G320" s="62">
        <f t="shared" ref="G320:G321" si="58">+PRODUCT(C320:F320)</f>
        <v>-4.0000000000000008E-2</v>
      </c>
      <c r="H320" s="52"/>
    </row>
    <row r="321" spans="1:8" x14ac:dyDescent="0.25">
      <c r="A321" s="52"/>
      <c r="B321" s="52" t="s">
        <v>389</v>
      </c>
      <c r="C321" s="52">
        <v>-1</v>
      </c>
      <c r="D321" s="52">
        <f>1.42+0.42</f>
        <v>1.8399999999999999</v>
      </c>
      <c r="E321" s="52">
        <v>0.03</v>
      </c>
      <c r="F321" s="52"/>
      <c r="G321" s="62">
        <f t="shared" si="58"/>
        <v>-5.5199999999999992E-2</v>
      </c>
      <c r="H321" s="52"/>
    </row>
    <row r="322" spans="1:8" x14ac:dyDescent="0.25">
      <c r="A322" s="52"/>
      <c r="B322" s="52" t="s">
        <v>387</v>
      </c>
      <c r="C322" s="52">
        <v>1</v>
      </c>
      <c r="D322" s="52">
        <v>3.55</v>
      </c>
      <c r="E322" s="52">
        <v>3.2</v>
      </c>
      <c r="F322" s="52"/>
      <c r="G322" s="62">
        <f t="shared" si="46"/>
        <v>11.36</v>
      </c>
      <c r="H322" s="52"/>
    </row>
    <row r="323" spans="1:8" x14ac:dyDescent="0.25">
      <c r="A323" s="52"/>
      <c r="B323" s="52" t="s">
        <v>382</v>
      </c>
      <c r="C323" s="52">
        <v>-2</v>
      </c>
      <c r="D323" s="52">
        <v>0.4</v>
      </c>
      <c r="E323" s="52">
        <v>0.1</v>
      </c>
      <c r="F323" s="52"/>
      <c r="G323" s="62">
        <f t="shared" si="46"/>
        <v>-8.0000000000000016E-2</v>
      </c>
      <c r="H323" s="52"/>
    </row>
    <row r="324" spans="1:8" x14ac:dyDescent="0.25">
      <c r="A324" s="52"/>
      <c r="B324" s="52" t="s">
        <v>388</v>
      </c>
      <c r="C324" s="52">
        <v>1</v>
      </c>
      <c r="D324" s="52">
        <v>3.145</v>
      </c>
      <c r="E324" s="52">
        <v>3.05</v>
      </c>
      <c r="F324" s="52"/>
      <c r="G324" s="62">
        <f t="shared" si="46"/>
        <v>9.5922499999999999</v>
      </c>
      <c r="H324" s="52"/>
    </row>
    <row r="325" spans="1:8" x14ac:dyDescent="0.25">
      <c r="A325" s="52"/>
      <c r="B325" s="52"/>
      <c r="C325" s="52">
        <v>1</v>
      </c>
      <c r="D325" s="52">
        <v>0.9</v>
      </c>
      <c r="E325" s="52">
        <v>0.4</v>
      </c>
      <c r="F325" s="52"/>
      <c r="G325" s="62">
        <f t="shared" si="46"/>
        <v>0.36000000000000004</v>
      </c>
      <c r="H325" s="52"/>
    </row>
    <row r="326" spans="1:8" x14ac:dyDescent="0.25">
      <c r="A326" s="52"/>
      <c r="B326" s="52" t="s">
        <v>390</v>
      </c>
      <c r="C326" s="52">
        <v>1</v>
      </c>
      <c r="D326" s="52">
        <v>1.165</v>
      </c>
      <c r="E326" s="52">
        <v>0.51500000000000001</v>
      </c>
      <c r="F326" s="52"/>
      <c r="G326" s="62">
        <f t="shared" si="46"/>
        <v>0.59997500000000004</v>
      </c>
      <c r="H326" s="52"/>
    </row>
    <row r="327" spans="1:8" x14ac:dyDescent="0.25">
      <c r="A327" s="52"/>
      <c r="B327" s="52" t="s">
        <v>389</v>
      </c>
      <c r="C327" s="52">
        <v>-1</v>
      </c>
      <c r="D327" s="52">
        <v>0.95</v>
      </c>
      <c r="E327" s="52">
        <v>0.03</v>
      </c>
      <c r="F327" s="52"/>
      <c r="G327" s="62">
        <f t="shared" si="46"/>
        <v>-2.8499999999999998E-2</v>
      </c>
      <c r="H327" s="52"/>
    </row>
    <row r="328" spans="1:8" x14ac:dyDescent="0.25">
      <c r="A328" s="52"/>
      <c r="B328" s="52" t="s">
        <v>383</v>
      </c>
      <c r="C328" s="52">
        <v>1</v>
      </c>
      <c r="D328" s="52">
        <v>3.5750000000000002</v>
      </c>
      <c r="E328" s="52">
        <v>1.57</v>
      </c>
      <c r="F328" s="52"/>
      <c r="G328" s="62">
        <f t="shared" si="46"/>
        <v>5.6127500000000001</v>
      </c>
      <c r="H328" s="52"/>
    </row>
    <row r="329" spans="1:8" x14ac:dyDescent="0.25">
      <c r="A329" s="52"/>
      <c r="B329" s="52" t="s">
        <v>382</v>
      </c>
      <c r="C329" s="52">
        <v>-1</v>
      </c>
      <c r="D329" s="52">
        <v>0.4</v>
      </c>
      <c r="E329" s="52">
        <v>7.0000000000000007E-2</v>
      </c>
      <c r="F329" s="52"/>
      <c r="G329" s="62">
        <f t="shared" si="46"/>
        <v>-2.8000000000000004E-2</v>
      </c>
      <c r="H329" s="52"/>
    </row>
    <row r="330" spans="1:8" x14ac:dyDescent="0.25">
      <c r="A330" s="52"/>
      <c r="B330" s="52" t="s">
        <v>391</v>
      </c>
      <c r="C330" s="52">
        <v>1</v>
      </c>
      <c r="D330" s="52">
        <v>2.5</v>
      </c>
      <c r="E330" s="52">
        <v>1.6</v>
      </c>
      <c r="F330" s="52"/>
      <c r="G330" s="62">
        <f t="shared" ref="G330" si="59">+PRODUCT(C330:F330)</f>
        <v>4</v>
      </c>
      <c r="H330" s="52"/>
    </row>
    <row r="331" spans="1:8" x14ac:dyDescent="0.25">
      <c r="A331" s="52"/>
      <c r="B331" s="52" t="s">
        <v>384</v>
      </c>
      <c r="C331" s="52">
        <v>1</v>
      </c>
      <c r="D331" s="52">
        <v>2.7850000000000001</v>
      </c>
      <c r="E331" s="52">
        <v>1.2</v>
      </c>
      <c r="F331" s="52"/>
      <c r="G331" s="62">
        <f t="shared" si="46"/>
        <v>3.3420000000000001</v>
      </c>
      <c r="H331" s="52"/>
    </row>
    <row r="332" spans="1:8" x14ac:dyDescent="0.25">
      <c r="A332" s="52"/>
      <c r="B332" s="52" t="s">
        <v>393</v>
      </c>
      <c r="C332" s="52">
        <v>1</v>
      </c>
      <c r="D332" s="52">
        <v>6.3650000000000002</v>
      </c>
      <c r="E332" s="52">
        <v>3.72</v>
      </c>
      <c r="F332" s="52"/>
      <c r="G332" s="62">
        <f t="shared" si="46"/>
        <v>23.677800000000001</v>
      </c>
      <c r="H332" s="52"/>
    </row>
    <row r="333" spans="1:8" x14ac:dyDescent="0.25">
      <c r="A333" s="52"/>
      <c r="B333" s="52"/>
      <c r="C333" s="52">
        <v>1</v>
      </c>
      <c r="D333" s="52">
        <v>4.1150000000000002</v>
      </c>
      <c r="E333" s="52">
        <v>0.38500000000000001</v>
      </c>
      <c r="F333" s="52"/>
      <c r="G333" s="62">
        <f t="shared" si="46"/>
        <v>1.5842750000000001</v>
      </c>
      <c r="H333" s="52"/>
    </row>
    <row r="334" spans="1:8" x14ac:dyDescent="0.25">
      <c r="A334" s="52"/>
      <c r="B334" s="52" t="s">
        <v>395</v>
      </c>
      <c r="C334" s="52">
        <v>1</v>
      </c>
      <c r="D334" s="52">
        <v>1.5</v>
      </c>
      <c r="E334" s="52">
        <v>1.0349999999999999</v>
      </c>
      <c r="F334" s="52"/>
      <c r="G334" s="62">
        <f t="shared" si="46"/>
        <v>1.5524999999999998</v>
      </c>
      <c r="H334" s="52"/>
    </row>
    <row r="335" spans="1:8" x14ac:dyDescent="0.25">
      <c r="A335" s="52"/>
      <c r="B335" s="52" t="s">
        <v>394</v>
      </c>
      <c r="C335" s="52">
        <v>1</v>
      </c>
      <c r="D335" s="52">
        <v>2.85</v>
      </c>
      <c r="E335" s="52">
        <v>2.335</v>
      </c>
      <c r="F335" s="52"/>
      <c r="G335" s="62">
        <f t="shared" si="46"/>
        <v>6.6547499999999999</v>
      </c>
      <c r="H335" s="52"/>
    </row>
    <row r="336" spans="1:8" x14ac:dyDescent="0.25">
      <c r="A336" s="52"/>
      <c r="B336" s="52" t="s">
        <v>396</v>
      </c>
      <c r="C336" s="52">
        <v>1</v>
      </c>
      <c r="D336" s="52">
        <v>6.4</v>
      </c>
      <c r="E336" s="52">
        <v>1.55</v>
      </c>
      <c r="F336" s="52"/>
      <c r="G336" s="62">
        <f t="shared" si="46"/>
        <v>9.9200000000000017</v>
      </c>
      <c r="H336" s="52"/>
    </row>
    <row r="337" spans="1:8" x14ac:dyDescent="0.25">
      <c r="A337" s="52"/>
      <c r="B337" s="52" t="s">
        <v>397</v>
      </c>
      <c r="C337" s="52">
        <v>1</v>
      </c>
      <c r="D337" s="52">
        <v>6.4</v>
      </c>
      <c r="E337" s="52"/>
      <c r="F337" s="52">
        <f>0.275+0.1</f>
        <v>0.375</v>
      </c>
      <c r="G337" s="62">
        <f t="shared" si="46"/>
        <v>2.4000000000000004</v>
      </c>
      <c r="H337" s="52"/>
    </row>
    <row r="338" spans="1:8" x14ac:dyDescent="0.25">
      <c r="A338" s="52"/>
      <c r="B338" s="52"/>
      <c r="C338" s="52">
        <v>1</v>
      </c>
      <c r="D338" s="52">
        <f>6.4-0.3</f>
        <v>6.1000000000000005</v>
      </c>
      <c r="E338" s="52"/>
      <c r="F338" s="52">
        <v>0.21</v>
      </c>
      <c r="G338" s="62">
        <f t="shared" si="46"/>
        <v>1.2810000000000001</v>
      </c>
      <c r="H338" s="52"/>
    </row>
    <row r="339" spans="1:8" x14ac:dyDescent="0.25">
      <c r="A339" s="52"/>
      <c r="B339" s="52"/>
      <c r="C339" s="52">
        <v>2</v>
      </c>
      <c r="D339" s="52">
        <v>1.55</v>
      </c>
      <c r="E339" s="52"/>
      <c r="F339" s="52">
        <v>0.375</v>
      </c>
      <c r="G339" s="62">
        <f t="shared" si="46"/>
        <v>1.1625000000000001</v>
      </c>
      <c r="H339" s="52"/>
    </row>
    <row r="340" spans="1:8" x14ac:dyDescent="0.25">
      <c r="A340" s="52"/>
      <c r="B340" s="52"/>
      <c r="C340" s="52">
        <v>2</v>
      </c>
      <c r="D340" s="52">
        <f>1.55-0.15</f>
        <v>1.4000000000000001</v>
      </c>
      <c r="E340" s="52"/>
      <c r="F340" s="52">
        <v>0.21</v>
      </c>
      <c r="G340" s="62">
        <f t="shared" si="46"/>
        <v>0.58800000000000008</v>
      </c>
      <c r="H340" s="52"/>
    </row>
    <row r="341" spans="1:8" x14ac:dyDescent="0.25">
      <c r="A341" s="52"/>
      <c r="B341" s="52" t="s">
        <v>398</v>
      </c>
      <c r="C341" s="52">
        <v>1</v>
      </c>
      <c r="D341" s="52">
        <v>4</v>
      </c>
      <c r="E341" s="52">
        <v>1.55</v>
      </c>
      <c r="F341" s="52"/>
      <c r="G341" s="62">
        <f t="shared" si="46"/>
        <v>6.2</v>
      </c>
      <c r="H341" s="52"/>
    </row>
    <row r="342" spans="1:8" x14ac:dyDescent="0.25">
      <c r="A342" s="52"/>
      <c r="B342" s="52" t="s">
        <v>399</v>
      </c>
      <c r="C342" s="52">
        <v>1</v>
      </c>
      <c r="D342" s="52">
        <v>4</v>
      </c>
      <c r="E342" s="52"/>
      <c r="F342" s="52">
        <v>0.375</v>
      </c>
      <c r="G342" s="62">
        <f t="shared" si="46"/>
        <v>1.5</v>
      </c>
      <c r="H342" s="52"/>
    </row>
    <row r="343" spans="1:8" x14ac:dyDescent="0.25">
      <c r="A343" s="52"/>
      <c r="B343" s="52"/>
      <c r="C343" s="52">
        <v>1</v>
      </c>
      <c r="D343" s="52">
        <v>1.55</v>
      </c>
      <c r="E343" s="52"/>
      <c r="F343" s="52">
        <v>0.375</v>
      </c>
      <c r="G343" s="62">
        <f t="shared" si="46"/>
        <v>0.58125000000000004</v>
      </c>
      <c r="H343" s="52"/>
    </row>
    <row r="344" spans="1:8" x14ac:dyDescent="0.25">
      <c r="A344" s="52"/>
      <c r="B344" s="52"/>
      <c r="C344" s="52">
        <v>1</v>
      </c>
      <c r="D344" s="52">
        <f>4-0.15</f>
        <v>3.85</v>
      </c>
      <c r="E344" s="52"/>
      <c r="F344" s="52">
        <v>0.21</v>
      </c>
      <c r="G344" s="62">
        <f t="shared" si="46"/>
        <v>0.8085</v>
      </c>
      <c r="H344" s="52"/>
    </row>
    <row r="345" spans="1:8" x14ac:dyDescent="0.25">
      <c r="A345" s="52"/>
      <c r="B345" s="52"/>
      <c r="C345" s="52">
        <v>1</v>
      </c>
      <c r="D345" s="52">
        <v>1.4</v>
      </c>
      <c r="E345" s="52"/>
      <c r="F345" s="52">
        <v>0.21</v>
      </c>
      <c r="G345" s="62">
        <f t="shared" si="46"/>
        <v>0.29399999999999998</v>
      </c>
      <c r="H345" s="52"/>
    </row>
    <row r="346" spans="1:8" x14ac:dyDescent="0.25">
      <c r="A346" s="52"/>
      <c r="B346" s="52" t="s">
        <v>400</v>
      </c>
      <c r="C346" s="52">
        <v>1</v>
      </c>
      <c r="D346" s="52">
        <v>1.845</v>
      </c>
      <c r="E346" s="52">
        <v>1.55</v>
      </c>
      <c r="F346" s="52"/>
      <c r="G346" s="62">
        <f t="shared" si="46"/>
        <v>2.85975</v>
      </c>
      <c r="H346" s="52"/>
    </row>
    <row r="347" spans="1:8" x14ac:dyDescent="0.25">
      <c r="A347" s="52"/>
      <c r="B347" s="52"/>
      <c r="C347" s="52">
        <v>-1</v>
      </c>
      <c r="D347" s="52">
        <f>1.845-1.41</f>
        <v>0.43500000000000005</v>
      </c>
      <c r="E347" s="52">
        <f>0.315+0.05</f>
        <v>0.36499999999999999</v>
      </c>
      <c r="F347" s="52"/>
      <c r="G347" s="62">
        <f t="shared" si="46"/>
        <v>-0.15877500000000003</v>
      </c>
      <c r="H347" s="52"/>
    </row>
    <row r="348" spans="1:8" x14ac:dyDescent="0.25">
      <c r="A348" s="52"/>
      <c r="B348" s="52" t="s">
        <v>401</v>
      </c>
      <c r="C348" s="52">
        <v>1</v>
      </c>
      <c r="D348" s="52">
        <v>1.41</v>
      </c>
      <c r="E348" s="52"/>
      <c r="F348" s="52">
        <v>0.375</v>
      </c>
      <c r="G348" s="62">
        <f t="shared" si="46"/>
        <v>0.52874999999999994</v>
      </c>
      <c r="H348" s="52"/>
    </row>
    <row r="349" spans="1:8" x14ac:dyDescent="0.25">
      <c r="A349" s="52"/>
      <c r="B349" s="52"/>
      <c r="C349" s="52">
        <v>1</v>
      </c>
      <c r="D349" s="52">
        <v>1.41</v>
      </c>
      <c r="E349" s="52"/>
      <c r="F349" s="52">
        <v>0.21</v>
      </c>
      <c r="G349" s="62">
        <f t="shared" si="46"/>
        <v>0.29609999999999997</v>
      </c>
      <c r="H349" s="52"/>
    </row>
    <row r="350" spans="1:8" x14ac:dyDescent="0.25">
      <c r="A350" s="52"/>
      <c r="B350" s="56" t="s">
        <v>413</v>
      </c>
      <c r="C350" s="52"/>
      <c r="D350" s="52"/>
      <c r="E350" s="52"/>
      <c r="F350" s="52"/>
      <c r="G350" s="65">
        <f>SUM(G319:G349)</f>
        <v>109.05692499999999</v>
      </c>
      <c r="H350" s="52"/>
    </row>
    <row r="351" spans="1:8" x14ac:dyDescent="0.25">
      <c r="A351" s="52"/>
      <c r="B351" s="52"/>
      <c r="C351" s="52"/>
      <c r="D351" s="52"/>
      <c r="E351" s="52"/>
      <c r="F351" s="52"/>
      <c r="G351" s="62"/>
      <c r="H351" s="52"/>
    </row>
    <row r="352" spans="1:8" x14ac:dyDescent="0.25">
      <c r="A352" s="52"/>
      <c r="B352" s="56" t="s">
        <v>415</v>
      </c>
      <c r="C352" s="52"/>
      <c r="D352" s="52"/>
      <c r="E352" s="52"/>
      <c r="F352" s="52"/>
      <c r="G352" s="62">
        <f t="shared" si="46"/>
        <v>0</v>
      </c>
      <c r="H352" s="52"/>
    </row>
    <row r="353" spans="1:8" x14ac:dyDescent="0.25">
      <c r="A353" s="52"/>
      <c r="B353" s="52" t="s">
        <v>405</v>
      </c>
      <c r="C353" s="52">
        <v>1</v>
      </c>
      <c r="D353" s="52">
        <v>3.56</v>
      </c>
      <c r="E353" s="52">
        <v>3.2749999999999999</v>
      </c>
      <c r="F353" s="52"/>
      <c r="G353" s="62">
        <f t="shared" ref="G353:G408" si="60">+PRODUCT(C353:F353)</f>
        <v>11.659000000000001</v>
      </c>
      <c r="H353" s="52"/>
    </row>
    <row r="354" spans="1:8" x14ac:dyDescent="0.25">
      <c r="A354" s="52"/>
      <c r="B354" s="52" t="s">
        <v>382</v>
      </c>
      <c r="C354" s="52">
        <v>-2</v>
      </c>
      <c r="D354" s="52">
        <v>0.4</v>
      </c>
      <c r="E354" s="52">
        <v>0.1</v>
      </c>
      <c r="F354" s="52"/>
      <c r="G354" s="62">
        <f t="shared" si="60"/>
        <v>-8.0000000000000016E-2</v>
      </c>
      <c r="H354" s="52"/>
    </row>
    <row r="355" spans="1:8" x14ac:dyDescent="0.25">
      <c r="A355" s="52"/>
      <c r="B355" s="52" t="s">
        <v>389</v>
      </c>
      <c r="C355" s="52">
        <v>-1</v>
      </c>
      <c r="D355" s="52">
        <v>0.98499999999999999</v>
      </c>
      <c r="E355" s="52">
        <v>0.03</v>
      </c>
      <c r="F355" s="52"/>
      <c r="G355" s="62">
        <f t="shared" si="60"/>
        <v>-2.955E-2</v>
      </c>
      <c r="H355" s="52"/>
    </row>
    <row r="356" spans="1:8" x14ac:dyDescent="0.25">
      <c r="A356" s="52"/>
      <c r="B356" s="52" t="s">
        <v>404</v>
      </c>
      <c r="C356" s="52">
        <v>1</v>
      </c>
      <c r="D356" s="52">
        <v>3.25</v>
      </c>
      <c r="E356" s="52">
        <v>2.9249999999999998</v>
      </c>
      <c r="F356" s="52"/>
      <c r="G356" s="62">
        <f t="shared" si="60"/>
        <v>9.5062499999999996</v>
      </c>
      <c r="H356" s="52"/>
    </row>
    <row r="357" spans="1:8" x14ac:dyDescent="0.25">
      <c r="A357" s="52"/>
      <c r="B357" s="52" t="s">
        <v>382</v>
      </c>
      <c r="C357" s="52">
        <v>-2</v>
      </c>
      <c r="D357" s="52">
        <v>0.4</v>
      </c>
      <c r="E357" s="52">
        <v>0.1</v>
      </c>
      <c r="F357" s="52"/>
      <c r="G357" s="62">
        <f t="shared" si="60"/>
        <v>-8.0000000000000016E-2</v>
      </c>
      <c r="H357" s="52"/>
    </row>
    <row r="358" spans="1:8" x14ac:dyDescent="0.25">
      <c r="A358" s="52"/>
      <c r="B358" s="52" t="s">
        <v>403</v>
      </c>
      <c r="C358" s="52">
        <v>1</v>
      </c>
      <c r="D358" s="52">
        <v>3.58</v>
      </c>
      <c r="E358" s="52">
        <v>3.05</v>
      </c>
      <c r="F358" s="52"/>
      <c r="G358" s="62">
        <f t="shared" si="60"/>
        <v>10.918999999999999</v>
      </c>
      <c r="H358" s="52"/>
    </row>
    <row r="359" spans="1:8" x14ac:dyDescent="0.25">
      <c r="A359" s="52"/>
      <c r="B359" s="52" t="s">
        <v>384</v>
      </c>
      <c r="C359" s="52">
        <v>1</v>
      </c>
      <c r="D359" s="52">
        <v>2.9249999999999998</v>
      </c>
      <c r="E359" s="52">
        <v>1.7</v>
      </c>
      <c r="F359" s="52"/>
      <c r="G359" s="62">
        <f t="shared" si="60"/>
        <v>4.9724999999999993</v>
      </c>
      <c r="H359" s="52"/>
    </row>
    <row r="360" spans="1:8" x14ac:dyDescent="0.25">
      <c r="A360" s="52"/>
      <c r="B360" s="52" t="s">
        <v>406</v>
      </c>
      <c r="C360" s="52">
        <v>1</v>
      </c>
      <c r="D360" s="52">
        <v>3.2650000000000001</v>
      </c>
      <c r="E360" s="52">
        <v>2.35</v>
      </c>
      <c r="F360" s="52"/>
      <c r="G360" s="62">
        <f t="shared" si="60"/>
        <v>7.6727500000000006</v>
      </c>
      <c r="H360" s="52"/>
    </row>
    <row r="361" spans="1:8" x14ac:dyDescent="0.25">
      <c r="A361" s="52"/>
      <c r="B361" s="52" t="s">
        <v>407</v>
      </c>
      <c r="C361" s="52">
        <v>1</v>
      </c>
      <c r="D361" s="52">
        <v>5.23</v>
      </c>
      <c r="E361" s="52">
        <v>3.33</v>
      </c>
      <c r="F361" s="52"/>
      <c r="G361" s="62">
        <f t="shared" si="60"/>
        <v>17.415900000000001</v>
      </c>
      <c r="H361" s="52"/>
    </row>
    <row r="362" spans="1:8" x14ac:dyDescent="0.25">
      <c r="A362" s="52"/>
      <c r="B362" s="52"/>
      <c r="C362" s="52">
        <v>1</v>
      </c>
      <c r="D362" s="52">
        <v>3.4</v>
      </c>
      <c r="E362" s="52">
        <v>0.94</v>
      </c>
      <c r="F362" s="52"/>
      <c r="G362" s="62">
        <f t="shared" si="60"/>
        <v>3.1959999999999997</v>
      </c>
      <c r="H362" s="52"/>
    </row>
    <row r="363" spans="1:8" x14ac:dyDescent="0.25">
      <c r="A363" s="52"/>
      <c r="B363" s="52"/>
      <c r="C363" s="52">
        <v>1</v>
      </c>
      <c r="D363" s="52">
        <v>2.5499999999999998</v>
      </c>
      <c r="E363" s="52">
        <v>1.47</v>
      </c>
      <c r="F363" s="52"/>
      <c r="G363" s="62">
        <f t="shared" si="60"/>
        <v>3.7484999999999995</v>
      </c>
      <c r="H363" s="52"/>
    </row>
    <row r="364" spans="1:8" x14ac:dyDescent="0.25">
      <c r="A364" s="52"/>
      <c r="B364" s="52" t="s">
        <v>383</v>
      </c>
      <c r="C364" s="52">
        <v>1</v>
      </c>
      <c r="D364" s="52">
        <v>2.2250000000000001</v>
      </c>
      <c r="E364" s="52">
        <v>1.4950000000000001</v>
      </c>
      <c r="F364" s="52"/>
      <c r="G364" s="62">
        <f t="shared" si="60"/>
        <v>3.3263750000000005</v>
      </c>
      <c r="H364" s="52"/>
    </row>
    <row r="365" spans="1:8" x14ac:dyDescent="0.25">
      <c r="A365" s="52"/>
      <c r="B365" s="52" t="s">
        <v>391</v>
      </c>
      <c r="C365" s="52">
        <v>1</v>
      </c>
      <c r="D365" s="52">
        <v>3.3849999999999998</v>
      </c>
      <c r="E365" s="52">
        <v>1.425</v>
      </c>
      <c r="F365" s="52"/>
      <c r="G365" s="62">
        <f t="shared" si="60"/>
        <v>4.8236249999999998</v>
      </c>
      <c r="H365" s="52"/>
    </row>
    <row r="366" spans="1:8" x14ac:dyDescent="0.25">
      <c r="A366" s="52"/>
      <c r="B366" s="52" t="s">
        <v>392</v>
      </c>
      <c r="C366" s="52">
        <v>1</v>
      </c>
      <c r="D366" s="52">
        <v>2.41</v>
      </c>
      <c r="E366" s="52">
        <v>1.4850000000000001</v>
      </c>
      <c r="F366" s="52"/>
      <c r="G366" s="62">
        <f t="shared" si="60"/>
        <v>3.5788500000000005</v>
      </c>
      <c r="H366" s="52"/>
    </row>
    <row r="367" spans="1:8" x14ac:dyDescent="0.25">
      <c r="A367" s="52"/>
      <c r="B367" s="52" t="s">
        <v>408</v>
      </c>
      <c r="C367" s="52">
        <v>1</v>
      </c>
      <c r="D367" s="52">
        <v>4.665</v>
      </c>
      <c r="E367" s="52">
        <v>1.55</v>
      </c>
      <c r="F367" s="52"/>
      <c r="G367" s="62">
        <f t="shared" si="60"/>
        <v>7.2307500000000005</v>
      </c>
      <c r="H367" s="52"/>
    </row>
    <row r="368" spans="1:8" x14ac:dyDescent="0.25">
      <c r="A368" s="52"/>
      <c r="B368" s="52" t="s">
        <v>409</v>
      </c>
      <c r="C368" s="52">
        <v>1</v>
      </c>
      <c r="D368" s="52">
        <v>4.665</v>
      </c>
      <c r="E368" s="52"/>
      <c r="F368" s="52">
        <v>0.375</v>
      </c>
      <c r="G368" s="62">
        <f t="shared" si="60"/>
        <v>1.7493750000000001</v>
      </c>
      <c r="H368" s="52"/>
    </row>
    <row r="369" spans="1:8" x14ac:dyDescent="0.25">
      <c r="A369" s="52"/>
      <c r="B369" s="52"/>
      <c r="C369" s="52">
        <v>1</v>
      </c>
      <c r="D369" s="52">
        <v>4.665</v>
      </c>
      <c r="E369" s="52"/>
      <c r="F369" s="52">
        <v>0.21</v>
      </c>
      <c r="G369" s="62">
        <f t="shared" si="60"/>
        <v>0.97965000000000002</v>
      </c>
      <c r="H369" s="52"/>
    </row>
    <row r="370" spans="1:8" x14ac:dyDescent="0.25">
      <c r="A370" s="52"/>
      <c r="B370" s="52" t="s">
        <v>410</v>
      </c>
      <c r="C370" s="52">
        <v>1</v>
      </c>
      <c r="D370" s="52">
        <f>5.215+0.1</f>
        <v>5.3149999999999995</v>
      </c>
      <c r="E370" s="52">
        <v>1.55</v>
      </c>
      <c r="F370" s="52"/>
      <c r="G370" s="62">
        <f t="shared" si="60"/>
        <v>8.238249999999999</v>
      </c>
      <c r="H370" s="52"/>
    </row>
    <row r="371" spans="1:8" x14ac:dyDescent="0.25">
      <c r="A371" s="52"/>
      <c r="B371" s="52" t="s">
        <v>409</v>
      </c>
      <c r="C371" s="52">
        <v>1</v>
      </c>
      <c r="D371" s="52">
        <v>5.3150000000000004</v>
      </c>
      <c r="E371" s="52"/>
      <c r="F371" s="52">
        <v>0.375</v>
      </c>
      <c r="G371" s="62">
        <f t="shared" si="60"/>
        <v>1.993125</v>
      </c>
      <c r="H371" s="52"/>
    </row>
    <row r="372" spans="1:8" x14ac:dyDescent="0.25">
      <c r="A372" s="52"/>
      <c r="B372" s="52"/>
      <c r="C372" s="52">
        <v>1</v>
      </c>
      <c r="D372" s="52">
        <f>+D371-0.3</f>
        <v>5.0150000000000006</v>
      </c>
      <c r="E372" s="52"/>
      <c r="F372" s="52">
        <v>0.21</v>
      </c>
      <c r="G372" s="62">
        <f t="shared" si="60"/>
        <v>1.05315</v>
      </c>
      <c r="H372" s="52"/>
    </row>
    <row r="373" spans="1:8" x14ac:dyDescent="0.25">
      <c r="A373" s="52"/>
      <c r="B373" s="52"/>
      <c r="C373" s="52">
        <v>2</v>
      </c>
      <c r="D373" s="52">
        <v>1.55</v>
      </c>
      <c r="E373" s="52"/>
      <c r="F373" s="52">
        <v>0.375</v>
      </c>
      <c r="G373" s="62">
        <f t="shared" si="60"/>
        <v>1.1625000000000001</v>
      </c>
      <c r="H373" s="52"/>
    </row>
    <row r="374" spans="1:8" x14ac:dyDescent="0.25">
      <c r="A374" s="52"/>
      <c r="B374" s="52"/>
      <c r="C374" s="52">
        <v>2</v>
      </c>
      <c r="D374" s="52">
        <v>1.4</v>
      </c>
      <c r="E374" s="52"/>
      <c r="F374" s="52">
        <v>0.21</v>
      </c>
      <c r="G374" s="62">
        <f t="shared" si="60"/>
        <v>0.58799999999999997</v>
      </c>
      <c r="H374" s="52"/>
    </row>
    <row r="375" spans="1:8" x14ac:dyDescent="0.25">
      <c r="A375" s="52"/>
      <c r="B375" s="52" t="s">
        <v>411</v>
      </c>
      <c r="C375" s="52">
        <v>1</v>
      </c>
      <c r="D375" s="52">
        <v>3.05</v>
      </c>
      <c r="E375" s="52">
        <v>1.55</v>
      </c>
      <c r="F375" s="52"/>
      <c r="G375" s="62">
        <f t="shared" si="60"/>
        <v>4.7275</v>
      </c>
      <c r="H375" s="52"/>
    </row>
    <row r="376" spans="1:8" x14ac:dyDescent="0.25">
      <c r="A376" s="52"/>
      <c r="B376" s="52" t="s">
        <v>409</v>
      </c>
      <c r="C376" s="52">
        <v>1</v>
      </c>
      <c r="D376" s="52">
        <v>3.05</v>
      </c>
      <c r="E376" s="52"/>
      <c r="F376" s="52">
        <v>0.375</v>
      </c>
      <c r="G376" s="62">
        <f t="shared" si="60"/>
        <v>1.1437499999999998</v>
      </c>
      <c r="H376" s="52"/>
    </row>
    <row r="377" spans="1:8" x14ac:dyDescent="0.25">
      <c r="A377" s="52"/>
      <c r="B377" s="52"/>
      <c r="C377" s="52">
        <v>1</v>
      </c>
      <c r="D377" s="52">
        <v>3.05</v>
      </c>
      <c r="E377" s="52"/>
      <c r="F377" s="52">
        <v>0.21</v>
      </c>
      <c r="G377" s="62">
        <f t="shared" si="60"/>
        <v>0.64049999999999996</v>
      </c>
      <c r="H377" s="52"/>
    </row>
    <row r="378" spans="1:8" x14ac:dyDescent="0.25">
      <c r="A378" s="52"/>
      <c r="B378" s="56" t="s">
        <v>416</v>
      </c>
      <c r="C378" s="52"/>
      <c r="D378" s="52"/>
      <c r="E378" s="52"/>
      <c r="F378" s="52"/>
      <c r="G378" s="65">
        <f>SUM(G352:G377)*3</f>
        <v>330.40724999999998</v>
      </c>
      <c r="H378" s="52"/>
    </row>
    <row r="379" spans="1:8" x14ac:dyDescent="0.25">
      <c r="A379" s="52"/>
      <c r="B379" s="52"/>
      <c r="C379" s="52"/>
      <c r="D379" s="52"/>
      <c r="E379" s="52"/>
      <c r="F379" s="52"/>
      <c r="G379" s="62"/>
      <c r="H379" s="52"/>
    </row>
    <row r="380" spans="1:8" x14ac:dyDescent="0.25">
      <c r="A380" s="52"/>
      <c r="B380" s="56" t="s">
        <v>412</v>
      </c>
      <c r="C380" s="52"/>
      <c r="D380" s="52"/>
      <c r="E380" s="52"/>
      <c r="F380" s="52"/>
      <c r="G380" s="62">
        <f t="shared" si="60"/>
        <v>0</v>
      </c>
      <c r="H380" s="52"/>
    </row>
    <row r="381" spans="1:8" x14ac:dyDescent="0.25">
      <c r="A381" s="52"/>
      <c r="B381" s="52" t="s">
        <v>405</v>
      </c>
      <c r="C381" s="52">
        <v>1</v>
      </c>
      <c r="D381" s="52">
        <v>3.86</v>
      </c>
      <c r="E381" s="52">
        <v>3.25</v>
      </c>
      <c r="F381" s="52"/>
      <c r="G381" s="62">
        <f t="shared" si="60"/>
        <v>12.545</v>
      </c>
      <c r="H381" s="52"/>
    </row>
    <row r="382" spans="1:8" x14ac:dyDescent="0.25">
      <c r="A382" s="52"/>
      <c r="B382" s="52" t="s">
        <v>382</v>
      </c>
      <c r="C382" s="52">
        <v>-2</v>
      </c>
      <c r="D382" s="52">
        <v>0.4</v>
      </c>
      <c r="E382" s="52">
        <v>0.1</v>
      </c>
      <c r="F382" s="52"/>
      <c r="G382" s="62">
        <f t="shared" si="60"/>
        <v>-8.0000000000000016E-2</v>
      </c>
      <c r="H382" s="52"/>
    </row>
    <row r="383" spans="1:8" x14ac:dyDescent="0.25">
      <c r="A383" s="52"/>
      <c r="B383" s="52" t="s">
        <v>404</v>
      </c>
      <c r="C383" s="52">
        <v>1</v>
      </c>
      <c r="D383" s="52">
        <v>3.86</v>
      </c>
      <c r="E383" s="52">
        <v>3.335</v>
      </c>
      <c r="F383" s="52"/>
      <c r="G383" s="62">
        <f t="shared" si="60"/>
        <v>12.873099999999999</v>
      </c>
      <c r="H383" s="52"/>
    </row>
    <row r="384" spans="1:8" x14ac:dyDescent="0.25">
      <c r="A384" s="52"/>
      <c r="B384" s="52" t="s">
        <v>382</v>
      </c>
      <c r="C384" s="52">
        <v>-1</v>
      </c>
      <c r="D384" s="52">
        <v>0.4</v>
      </c>
      <c r="E384" s="52">
        <v>0.1</v>
      </c>
      <c r="F384" s="52"/>
      <c r="G384" s="62">
        <f t="shared" ref="G384" si="61">+PRODUCT(C384:F384)</f>
        <v>-4.0000000000000008E-2</v>
      </c>
      <c r="H384" s="52"/>
    </row>
    <row r="385" spans="1:8" x14ac:dyDescent="0.25">
      <c r="A385" s="52"/>
      <c r="B385" s="52" t="s">
        <v>403</v>
      </c>
      <c r="C385" s="52">
        <v>1</v>
      </c>
      <c r="D385" s="52">
        <v>3.55</v>
      </c>
      <c r="E385" s="52">
        <v>3.2650000000000001</v>
      </c>
      <c r="F385" s="52"/>
      <c r="G385" s="62">
        <f t="shared" si="60"/>
        <v>11.59075</v>
      </c>
      <c r="H385" s="52"/>
    </row>
    <row r="386" spans="1:8" x14ac:dyDescent="0.25">
      <c r="A386" s="52"/>
      <c r="B386" s="52" t="s">
        <v>393</v>
      </c>
      <c r="C386" s="52">
        <v>1</v>
      </c>
      <c r="D386" s="52">
        <v>6.2450000000000001</v>
      </c>
      <c r="E386" s="52">
        <v>3.3149999999999999</v>
      </c>
      <c r="F386" s="52"/>
      <c r="G386" s="62">
        <f t="shared" si="60"/>
        <v>20.702175</v>
      </c>
      <c r="H386" s="52"/>
    </row>
    <row r="387" spans="1:8" x14ac:dyDescent="0.25">
      <c r="A387" s="52"/>
      <c r="B387" s="52"/>
      <c r="C387" s="52">
        <v>1</v>
      </c>
      <c r="D387" s="52">
        <v>3.17</v>
      </c>
      <c r="E387" s="52">
        <v>1.91</v>
      </c>
      <c r="F387" s="52"/>
      <c r="G387" s="62">
        <f t="shared" si="60"/>
        <v>6.0546999999999995</v>
      </c>
      <c r="H387" s="52"/>
    </row>
    <row r="388" spans="1:8" x14ac:dyDescent="0.25">
      <c r="A388" s="52"/>
      <c r="B388" s="52" t="s">
        <v>382</v>
      </c>
      <c r="C388" s="52">
        <v>-2</v>
      </c>
      <c r="D388" s="52">
        <v>0.55000000000000004</v>
      </c>
      <c r="E388" s="52">
        <v>0.1</v>
      </c>
      <c r="F388" s="52"/>
      <c r="G388" s="62">
        <f t="shared" si="60"/>
        <v>-0.11000000000000001</v>
      </c>
      <c r="H388" s="52"/>
    </row>
    <row r="389" spans="1:8" x14ac:dyDescent="0.25">
      <c r="A389" s="52"/>
      <c r="B389" s="52" t="s">
        <v>406</v>
      </c>
      <c r="C389" s="52">
        <v>1</v>
      </c>
      <c r="D389" s="52">
        <v>3.4350000000000001</v>
      </c>
      <c r="E389" s="52">
        <v>2.3450000000000002</v>
      </c>
      <c r="F389" s="52"/>
      <c r="G389" s="62">
        <f t="shared" si="60"/>
        <v>8.0550750000000004</v>
      </c>
      <c r="H389" s="52"/>
    </row>
    <row r="390" spans="1:8" x14ac:dyDescent="0.25">
      <c r="A390" s="52"/>
      <c r="B390" s="52" t="s">
        <v>383</v>
      </c>
      <c r="C390" s="52">
        <v>1</v>
      </c>
      <c r="D390" s="52">
        <v>3.86</v>
      </c>
      <c r="E390" s="52">
        <v>1.44</v>
      </c>
      <c r="F390" s="52"/>
      <c r="G390" s="62">
        <f t="shared" si="60"/>
        <v>5.5583999999999998</v>
      </c>
      <c r="H390" s="52"/>
    </row>
    <row r="391" spans="1:8" x14ac:dyDescent="0.25">
      <c r="A391" s="52"/>
      <c r="B391" s="52" t="s">
        <v>391</v>
      </c>
      <c r="C391" s="52">
        <v>1</v>
      </c>
      <c r="D391" s="52">
        <v>3.55</v>
      </c>
      <c r="E391" s="52">
        <v>1.425</v>
      </c>
      <c r="F391" s="52"/>
      <c r="G391" s="62">
        <f t="shared" si="60"/>
        <v>5.0587499999999999</v>
      </c>
      <c r="H391" s="52"/>
    </row>
    <row r="392" spans="1:8" x14ac:dyDescent="0.25">
      <c r="A392" s="52"/>
      <c r="B392" s="52" t="s">
        <v>392</v>
      </c>
      <c r="C392" s="52">
        <v>1</v>
      </c>
      <c r="D392" s="52">
        <v>3.55</v>
      </c>
      <c r="E392" s="52">
        <v>1.425</v>
      </c>
      <c r="F392" s="52"/>
      <c r="G392" s="62">
        <f t="shared" ref="G392" si="62">+PRODUCT(C392:F392)</f>
        <v>5.0587499999999999</v>
      </c>
      <c r="H392" s="52"/>
    </row>
    <row r="393" spans="1:8" x14ac:dyDescent="0.25">
      <c r="A393" s="52"/>
      <c r="B393" s="52" t="s">
        <v>382</v>
      </c>
      <c r="C393" s="52">
        <v>-1</v>
      </c>
      <c r="D393" s="52">
        <v>0.55000000000000004</v>
      </c>
      <c r="E393" s="52">
        <v>0.1</v>
      </c>
      <c r="F393" s="52"/>
      <c r="G393" s="62">
        <f t="shared" si="60"/>
        <v>-5.5000000000000007E-2</v>
      </c>
      <c r="H393" s="52"/>
    </row>
    <row r="394" spans="1:8" x14ac:dyDescent="0.25">
      <c r="A394" s="52"/>
      <c r="B394" s="52"/>
      <c r="C394" s="52">
        <v>-1</v>
      </c>
      <c r="D394" s="52">
        <v>0.4</v>
      </c>
      <c r="E394" s="52">
        <v>0.03</v>
      </c>
      <c r="F394" s="52"/>
      <c r="G394" s="62">
        <f t="shared" si="60"/>
        <v>-1.2E-2</v>
      </c>
      <c r="H394" s="52"/>
    </row>
    <row r="395" spans="1:8" x14ac:dyDescent="0.25">
      <c r="A395" s="52"/>
      <c r="B395" s="52" t="s">
        <v>390</v>
      </c>
      <c r="C395" s="52">
        <v>1</v>
      </c>
      <c r="D395" s="52">
        <v>1.2450000000000001</v>
      </c>
      <c r="E395" s="52">
        <v>0.51500000000000001</v>
      </c>
      <c r="F395" s="52"/>
      <c r="G395" s="62">
        <f t="shared" si="60"/>
        <v>0.64117500000000005</v>
      </c>
      <c r="H395" s="52"/>
    </row>
    <row r="396" spans="1:8" x14ac:dyDescent="0.25">
      <c r="A396" s="52"/>
      <c r="B396" s="52" t="s">
        <v>408</v>
      </c>
      <c r="C396" s="52">
        <v>1</v>
      </c>
      <c r="D396" s="52">
        <v>5.93</v>
      </c>
      <c r="E396" s="52">
        <v>1.55</v>
      </c>
      <c r="F396" s="52"/>
      <c r="G396" s="62">
        <f t="shared" si="60"/>
        <v>9.1914999999999996</v>
      </c>
      <c r="H396" s="52"/>
    </row>
    <row r="397" spans="1:8" x14ac:dyDescent="0.25">
      <c r="A397" s="52"/>
      <c r="B397" s="52" t="s">
        <v>409</v>
      </c>
      <c r="C397" s="52">
        <v>1</v>
      </c>
      <c r="D397" s="52">
        <v>5.93</v>
      </c>
      <c r="E397" s="52"/>
      <c r="F397" s="52">
        <v>0.375</v>
      </c>
      <c r="G397" s="62">
        <f t="shared" si="60"/>
        <v>2.2237499999999999</v>
      </c>
      <c r="H397" s="52"/>
    </row>
    <row r="398" spans="1:8" x14ac:dyDescent="0.25">
      <c r="A398" s="52"/>
      <c r="B398" s="52"/>
      <c r="C398" s="52">
        <v>1</v>
      </c>
      <c r="D398" s="52">
        <f>+D397-0.3</f>
        <v>5.63</v>
      </c>
      <c r="E398" s="52"/>
      <c r="F398" s="52">
        <v>0.21</v>
      </c>
      <c r="G398" s="62">
        <f t="shared" si="60"/>
        <v>1.1822999999999999</v>
      </c>
      <c r="H398" s="52"/>
    </row>
    <row r="399" spans="1:8" x14ac:dyDescent="0.25">
      <c r="A399" s="52"/>
      <c r="B399" s="52"/>
      <c r="C399" s="52">
        <v>2</v>
      </c>
      <c r="D399" s="52">
        <f>0.985+0.05</f>
        <v>1.0349999999999999</v>
      </c>
      <c r="E399" s="52"/>
      <c r="F399" s="52">
        <v>0.375</v>
      </c>
      <c r="G399" s="62">
        <f t="shared" si="60"/>
        <v>0.77624999999999988</v>
      </c>
      <c r="H399" s="52"/>
    </row>
    <row r="400" spans="1:8" x14ac:dyDescent="0.25">
      <c r="A400" s="52"/>
      <c r="B400" s="52"/>
      <c r="C400" s="52">
        <v>2</v>
      </c>
      <c r="D400" s="52">
        <f>+D399-0.15</f>
        <v>0.8849999999999999</v>
      </c>
      <c r="E400" s="52"/>
      <c r="F400" s="52">
        <v>0.21</v>
      </c>
      <c r="G400" s="62">
        <f t="shared" si="60"/>
        <v>0.37169999999999992</v>
      </c>
      <c r="H400" s="52"/>
    </row>
    <row r="401" spans="1:8" x14ac:dyDescent="0.25">
      <c r="A401" s="52"/>
      <c r="B401" s="52" t="s">
        <v>410</v>
      </c>
      <c r="C401" s="52">
        <v>1</v>
      </c>
      <c r="D401" s="52">
        <f>3.515+0.05</f>
        <v>3.5649999999999999</v>
      </c>
      <c r="E401" s="52">
        <v>1.55</v>
      </c>
      <c r="F401" s="52"/>
      <c r="G401" s="62">
        <f t="shared" si="60"/>
        <v>5.5257500000000004</v>
      </c>
      <c r="H401" s="52"/>
    </row>
    <row r="402" spans="1:8" x14ac:dyDescent="0.25">
      <c r="A402" s="52"/>
      <c r="B402" s="52" t="s">
        <v>409</v>
      </c>
      <c r="C402" s="52">
        <v>1</v>
      </c>
      <c r="D402" s="52">
        <f>3.515+0.05</f>
        <v>3.5649999999999999</v>
      </c>
      <c r="E402" s="52"/>
      <c r="F402" s="52">
        <v>0.375</v>
      </c>
      <c r="G402" s="62">
        <f t="shared" si="60"/>
        <v>1.336875</v>
      </c>
      <c r="H402" s="52"/>
    </row>
    <row r="403" spans="1:8" x14ac:dyDescent="0.25">
      <c r="A403" s="52"/>
      <c r="B403" s="52"/>
      <c r="C403" s="52">
        <v>1</v>
      </c>
      <c r="D403" s="52">
        <f>+D402-0.15</f>
        <v>3.415</v>
      </c>
      <c r="E403" s="52"/>
      <c r="F403" s="52">
        <v>0.21</v>
      </c>
      <c r="G403" s="62">
        <f t="shared" si="60"/>
        <v>0.71714999999999995</v>
      </c>
      <c r="H403" s="52"/>
    </row>
    <row r="404" spans="1:8" x14ac:dyDescent="0.25">
      <c r="A404" s="52"/>
      <c r="B404" s="52"/>
      <c r="C404" s="52">
        <v>1</v>
      </c>
      <c r="D404" s="52">
        <v>1.55</v>
      </c>
      <c r="E404" s="52"/>
      <c r="F404" s="52">
        <v>0.375</v>
      </c>
      <c r="G404" s="62">
        <f t="shared" si="60"/>
        <v>0.58125000000000004</v>
      </c>
      <c r="H404" s="52"/>
    </row>
    <row r="405" spans="1:8" x14ac:dyDescent="0.25">
      <c r="A405" s="52"/>
      <c r="B405" s="52"/>
      <c r="C405" s="52">
        <v>1</v>
      </c>
      <c r="D405" s="52">
        <v>1.4</v>
      </c>
      <c r="E405" s="52"/>
      <c r="F405" s="52">
        <v>0.21</v>
      </c>
      <c r="G405" s="62">
        <f t="shared" si="60"/>
        <v>0.29399999999999998</v>
      </c>
      <c r="H405" s="52"/>
    </row>
    <row r="406" spans="1:8" x14ac:dyDescent="0.25">
      <c r="A406" s="52"/>
      <c r="B406" s="52" t="s">
        <v>411</v>
      </c>
      <c r="C406" s="52">
        <v>1</v>
      </c>
      <c r="D406" s="52">
        <v>1.55</v>
      </c>
      <c r="E406" s="52">
        <v>1.55</v>
      </c>
      <c r="F406" s="52"/>
      <c r="G406" s="62">
        <f t="shared" si="60"/>
        <v>2.4025000000000003</v>
      </c>
      <c r="H406" s="52"/>
    </row>
    <row r="407" spans="1:8" x14ac:dyDescent="0.25">
      <c r="A407" s="52"/>
      <c r="B407" s="52" t="s">
        <v>409</v>
      </c>
      <c r="C407" s="52">
        <v>1</v>
      </c>
      <c r="D407" s="52">
        <v>1.55</v>
      </c>
      <c r="E407" s="52"/>
      <c r="F407" s="52">
        <v>0.375</v>
      </c>
      <c r="G407" s="62">
        <f t="shared" si="60"/>
        <v>0.58125000000000004</v>
      </c>
      <c r="H407" s="52"/>
    </row>
    <row r="408" spans="1:8" x14ac:dyDescent="0.25">
      <c r="A408" s="52"/>
      <c r="B408" s="52"/>
      <c r="C408" s="52">
        <v>1</v>
      </c>
      <c r="D408" s="52">
        <v>1.55</v>
      </c>
      <c r="E408" s="52"/>
      <c r="F408" s="52">
        <v>0.21</v>
      </c>
      <c r="G408" s="62">
        <f t="shared" si="60"/>
        <v>0.32550000000000001</v>
      </c>
      <c r="H408" s="52"/>
    </row>
    <row r="409" spans="1:8" x14ac:dyDescent="0.25">
      <c r="A409" s="52"/>
      <c r="B409" s="56" t="s">
        <v>417</v>
      </c>
      <c r="C409" s="56"/>
      <c r="D409" s="56"/>
      <c r="E409" s="56"/>
      <c r="F409" s="56"/>
      <c r="G409" s="65">
        <f>SUM(G380:G408)*5</f>
        <v>566.75325000000021</v>
      </c>
      <c r="H409" s="52"/>
    </row>
    <row r="410" spans="1:8" x14ac:dyDescent="0.25">
      <c r="A410" s="52"/>
      <c r="B410" s="52"/>
      <c r="C410" s="52"/>
      <c r="D410" s="52"/>
      <c r="E410" s="52"/>
      <c r="F410" s="52"/>
      <c r="G410" s="62"/>
      <c r="H410" s="52"/>
    </row>
    <row r="411" spans="1:8" x14ac:dyDescent="0.25">
      <c r="A411" s="52"/>
      <c r="B411" s="52" t="s">
        <v>418</v>
      </c>
      <c r="C411" s="52">
        <v>1</v>
      </c>
      <c r="D411" s="52">
        <v>5.09</v>
      </c>
      <c r="E411" s="52">
        <v>1.5</v>
      </c>
      <c r="F411" s="52"/>
      <c r="G411" s="62">
        <f t="shared" ref="G411:G418" si="63">+PRODUCT(C411:F411)</f>
        <v>7.6349999999999998</v>
      </c>
      <c r="H411" s="52"/>
    </row>
    <row r="412" spans="1:8" x14ac:dyDescent="0.25">
      <c r="A412" s="52"/>
      <c r="B412" s="52"/>
      <c r="C412" s="52">
        <v>1</v>
      </c>
      <c r="D412" s="52">
        <v>3.14</v>
      </c>
      <c r="E412" s="52">
        <v>0.95499999999999996</v>
      </c>
      <c r="F412" s="52"/>
      <c r="G412" s="62">
        <f t="shared" si="63"/>
        <v>2.9986999999999999</v>
      </c>
      <c r="H412" s="52"/>
    </row>
    <row r="413" spans="1:8" x14ac:dyDescent="0.25">
      <c r="A413" s="52"/>
      <c r="B413" s="52" t="s">
        <v>419</v>
      </c>
      <c r="C413" s="52">
        <v>1</v>
      </c>
      <c r="D413" s="52">
        <v>3.95</v>
      </c>
      <c r="E413" s="52">
        <v>1.61</v>
      </c>
      <c r="F413" s="52"/>
      <c r="G413" s="62">
        <f t="shared" si="63"/>
        <v>6.3595000000000006</v>
      </c>
      <c r="H413" s="52"/>
    </row>
    <row r="414" spans="1:8" x14ac:dyDescent="0.25">
      <c r="A414" s="52"/>
      <c r="B414" s="52"/>
      <c r="C414" s="52">
        <v>1</v>
      </c>
      <c r="D414" s="52">
        <v>5.6349999999999998</v>
      </c>
      <c r="E414" s="52">
        <v>2.44</v>
      </c>
      <c r="F414" s="52"/>
      <c r="G414" s="62">
        <f t="shared" si="63"/>
        <v>13.7494</v>
      </c>
      <c r="H414" s="52"/>
    </row>
    <row r="415" spans="1:8" x14ac:dyDescent="0.25">
      <c r="A415" s="52"/>
      <c r="B415" s="52" t="s">
        <v>420</v>
      </c>
      <c r="C415" s="52">
        <v>1</v>
      </c>
      <c r="D415" s="52">
        <v>4.79</v>
      </c>
      <c r="E415" s="52">
        <v>3.19</v>
      </c>
      <c r="F415" s="52"/>
      <c r="G415" s="62">
        <f t="shared" si="63"/>
        <v>15.280099999999999</v>
      </c>
      <c r="H415" s="52"/>
    </row>
    <row r="416" spans="1:8" x14ac:dyDescent="0.25">
      <c r="A416" s="52"/>
      <c r="B416" s="52"/>
      <c r="C416" s="52">
        <v>1</v>
      </c>
      <c r="D416" s="52">
        <v>1.4</v>
      </c>
      <c r="E416" s="52">
        <v>0.65500000000000003</v>
      </c>
      <c r="F416" s="52"/>
      <c r="G416" s="62">
        <f t="shared" si="63"/>
        <v>0.91699999999999993</v>
      </c>
      <c r="H416" s="52"/>
    </row>
    <row r="417" spans="1:8" x14ac:dyDescent="0.25">
      <c r="A417" s="52"/>
      <c r="B417" s="52" t="s">
        <v>422</v>
      </c>
      <c r="C417" s="52">
        <v>2</v>
      </c>
      <c r="D417" s="52">
        <v>3.2</v>
      </c>
      <c r="E417" s="52">
        <v>1.5</v>
      </c>
      <c r="F417" s="52"/>
      <c r="G417" s="62">
        <f t="shared" si="63"/>
        <v>9.6000000000000014</v>
      </c>
      <c r="H417" s="52"/>
    </row>
    <row r="418" spans="1:8" x14ac:dyDescent="0.25">
      <c r="A418" s="52"/>
      <c r="B418" s="52"/>
      <c r="C418" s="52">
        <v>2</v>
      </c>
      <c r="D418" s="52">
        <v>3.07</v>
      </c>
      <c r="E418" s="52">
        <v>1.5</v>
      </c>
      <c r="F418" s="52"/>
      <c r="G418" s="62">
        <f t="shared" si="63"/>
        <v>9.2099999999999991</v>
      </c>
      <c r="H418" s="52"/>
    </row>
    <row r="419" spans="1:8" x14ac:dyDescent="0.25">
      <c r="A419" s="52"/>
      <c r="B419" s="52" t="s">
        <v>423</v>
      </c>
      <c r="C419" s="52">
        <v>2</v>
      </c>
      <c r="D419" s="52">
        <v>3.2</v>
      </c>
      <c r="E419" s="52">
        <v>1.5</v>
      </c>
      <c r="F419" s="52"/>
      <c r="G419" s="62">
        <f t="shared" ref="G419:G423" si="64">+PRODUCT(C419:F419)</f>
        <v>9.6000000000000014</v>
      </c>
      <c r="H419" s="52"/>
    </row>
    <row r="420" spans="1:8" x14ac:dyDescent="0.25">
      <c r="A420" s="52"/>
      <c r="B420" s="52"/>
      <c r="C420" s="52">
        <v>2</v>
      </c>
      <c r="D420" s="52">
        <v>3.07</v>
      </c>
      <c r="E420" s="52">
        <v>1.5</v>
      </c>
      <c r="F420" s="52"/>
      <c r="G420" s="62">
        <f t="shared" si="64"/>
        <v>9.2099999999999991</v>
      </c>
      <c r="H420" s="52"/>
    </row>
    <row r="421" spans="1:8" x14ac:dyDescent="0.25">
      <c r="A421" s="52"/>
      <c r="B421" s="52" t="s">
        <v>424</v>
      </c>
      <c r="C421" s="52">
        <v>2</v>
      </c>
      <c r="D421" s="52">
        <v>1.5</v>
      </c>
      <c r="E421" s="52">
        <v>1.5249999999999999</v>
      </c>
      <c r="F421" s="52"/>
      <c r="G421" s="62">
        <f t="shared" si="64"/>
        <v>4.5749999999999993</v>
      </c>
      <c r="H421" s="52"/>
    </row>
    <row r="422" spans="1:8" x14ac:dyDescent="0.25">
      <c r="A422" s="52"/>
      <c r="B422" s="52"/>
      <c r="C422" s="52">
        <v>2</v>
      </c>
      <c r="D422" s="52">
        <v>2.4079999999999999</v>
      </c>
      <c r="E422" s="52">
        <v>1.5</v>
      </c>
      <c r="F422" s="52"/>
      <c r="G422" s="62">
        <f t="shared" si="64"/>
        <v>7.2240000000000002</v>
      </c>
      <c r="H422" s="52"/>
    </row>
    <row r="423" spans="1:8" x14ac:dyDescent="0.25">
      <c r="A423" s="52"/>
      <c r="B423" s="52"/>
      <c r="C423" s="52">
        <v>1</v>
      </c>
      <c r="D423" s="52">
        <v>1.0760000000000001</v>
      </c>
      <c r="E423" s="52">
        <v>1.5</v>
      </c>
      <c r="F423" s="52"/>
      <c r="G423" s="62">
        <f t="shared" si="64"/>
        <v>1.6140000000000001</v>
      </c>
      <c r="H423" s="52"/>
    </row>
    <row r="424" spans="1:8" x14ac:dyDescent="0.25">
      <c r="A424" s="52"/>
      <c r="B424" s="52" t="s">
        <v>425</v>
      </c>
      <c r="C424" s="52">
        <v>2</v>
      </c>
      <c r="D424" s="52">
        <v>1.5</v>
      </c>
      <c r="E424" s="52">
        <v>1.5249999999999999</v>
      </c>
      <c r="F424" s="52"/>
      <c r="G424" s="62">
        <f t="shared" ref="G424:G426" si="65">+PRODUCT(C424:F424)</f>
        <v>4.5749999999999993</v>
      </c>
      <c r="H424" s="52"/>
    </row>
    <row r="425" spans="1:8" x14ac:dyDescent="0.25">
      <c r="A425" s="52"/>
      <c r="B425" s="52"/>
      <c r="C425" s="52">
        <v>2</v>
      </c>
      <c r="D425" s="52">
        <v>2.4079999999999999</v>
      </c>
      <c r="E425" s="52">
        <v>1.5</v>
      </c>
      <c r="F425" s="52"/>
      <c r="G425" s="62">
        <f t="shared" si="65"/>
        <v>7.2240000000000002</v>
      </c>
      <c r="H425" s="52"/>
    </row>
    <row r="426" spans="1:8" x14ac:dyDescent="0.25">
      <c r="A426" s="52"/>
      <c r="B426" s="52"/>
      <c r="C426" s="52">
        <v>1</v>
      </c>
      <c r="D426" s="52">
        <v>1.0760000000000001</v>
      </c>
      <c r="E426" s="52">
        <v>1.5</v>
      </c>
      <c r="F426" s="52"/>
      <c r="G426" s="62">
        <f t="shared" si="65"/>
        <v>1.6140000000000001</v>
      </c>
      <c r="H426" s="52"/>
    </row>
    <row r="427" spans="1:8" x14ac:dyDescent="0.25">
      <c r="A427" s="52"/>
      <c r="B427" s="52"/>
      <c r="C427" s="52"/>
      <c r="D427" s="52"/>
      <c r="E427" s="52"/>
      <c r="F427" s="52"/>
      <c r="G427" s="62"/>
      <c r="H427" s="52"/>
    </row>
    <row r="428" spans="1:8" x14ac:dyDescent="0.25">
      <c r="A428" s="52"/>
      <c r="B428" s="56" t="s">
        <v>421</v>
      </c>
      <c r="C428" s="52"/>
      <c r="D428" s="52"/>
      <c r="E428" s="52"/>
      <c r="F428" s="52"/>
      <c r="G428" s="65">
        <f>+SUM(G318:G427)</f>
        <v>1450.1464500000002</v>
      </c>
      <c r="H428" s="52"/>
    </row>
    <row r="429" spans="1:8" x14ac:dyDescent="0.25">
      <c r="A429" s="52"/>
      <c r="B429" s="52"/>
      <c r="C429" s="52"/>
      <c r="D429" s="52"/>
      <c r="E429" s="52"/>
      <c r="F429" s="52"/>
      <c r="G429" s="62"/>
      <c r="H429" s="52"/>
    </row>
    <row r="430" spans="1:8" x14ac:dyDescent="0.25">
      <c r="A430" s="52"/>
      <c r="B430" s="52"/>
      <c r="C430" s="52"/>
      <c r="D430" s="52"/>
      <c r="E430" s="52"/>
      <c r="F430" s="52"/>
      <c r="G430" s="62"/>
      <c r="H430" s="52"/>
    </row>
    <row r="431" spans="1:8" x14ac:dyDescent="0.25">
      <c r="A431" s="52"/>
      <c r="B431" s="52"/>
      <c r="C431" s="52"/>
      <c r="D431" s="52"/>
      <c r="E431" s="52"/>
      <c r="F431" s="52"/>
      <c r="G431" s="62"/>
      <c r="H431" s="52"/>
    </row>
    <row r="432" spans="1:8" x14ac:dyDescent="0.25">
      <c r="A432" s="52"/>
      <c r="B432" s="52"/>
      <c r="C432" s="52"/>
      <c r="D432" s="52"/>
      <c r="E432" s="52"/>
      <c r="F432" s="52"/>
      <c r="G432" s="62"/>
      <c r="H432" s="52"/>
    </row>
    <row r="433" spans="1:8" x14ac:dyDescent="0.25">
      <c r="A433" s="52"/>
      <c r="B433" s="52"/>
      <c r="C433" s="52"/>
      <c r="D433" s="52"/>
      <c r="E433" s="52"/>
      <c r="F433" s="52"/>
      <c r="G433" s="62"/>
      <c r="H433" s="52"/>
    </row>
    <row r="434" spans="1:8" x14ac:dyDescent="0.25">
      <c r="A434" s="52"/>
      <c r="B434" s="52"/>
      <c r="C434" s="52"/>
      <c r="D434" s="52"/>
      <c r="E434" s="52"/>
      <c r="F434" s="52"/>
      <c r="G434" s="62"/>
      <c r="H434" s="52"/>
    </row>
    <row r="435" spans="1:8" x14ac:dyDescent="0.25">
      <c r="A435" s="52"/>
      <c r="B435" s="52"/>
      <c r="C435" s="52"/>
      <c r="D435" s="52"/>
      <c r="E435" s="52"/>
      <c r="F435" s="52"/>
      <c r="G435" s="62"/>
      <c r="H435" s="52"/>
    </row>
  </sheetData>
  <mergeCells count="2">
    <mergeCell ref="A1:H1"/>
    <mergeCell ref="D3:E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175"/>
  <sheetViews>
    <sheetView workbookViewId="0">
      <selection activeCell="B171" sqref="B171"/>
    </sheetView>
  </sheetViews>
  <sheetFormatPr defaultRowHeight="15" x14ac:dyDescent="0.25"/>
  <cols>
    <col min="1" max="1" width="6.28515625" customWidth="1"/>
    <col min="2" max="2" width="31.85546875" customWidth="1"/>
    <col min="3" max="3" width="8.140625" customWidth="1"/>
    <col min="4" max="4" width="8.85546875" bestFit="1" customWidth="1"/>
    <col min="5" max="5" width="8" bestFit="1" customWidth="1"/>
    <col min="6" max="6" width="8.42578125" bestFit="1" customWidth="1"/>
    <col min="7" max="7" width="12.140625" style="63" customWidth="1"/>
    <col min="8" max="8" width="9" customWidth="1"/>
  </cols>
  <sheetData>
    <row r="1" spans="1:8" ht="18.75" x14ac:dyDescent="0.3">
      <c r="A1" s="137" t="s">
        <v>257</v>
      </c>
      <c r="B1" s="138"/>
      <c r="C1" s="138"/>
      <c r="D1" s="138"/>
      <c r="E1" s="138"/>
      <c r="F1" s="138"/>
      <c r="G1" s="138"/>
      <c r="H1" s="139"/>
    </row>
    <row r="2" spans="1:8" x14ac:dyDescent="0.25">
      <c r="A2" s="58" t="s">
        <v>249</v>
      </c>
      <c r="B2" s="58" t="s">
        <v>250</v>
      </c>
      <c r="C2" s="59" t="s">
        <v>251</v>
      </c>
      <c r="D2" s="60" t="s">
        <v>252</v>
      </c>
      <c r="E2" s="59" t="s">
        <v>253</v>
      </c>
      <c r="F2" s="59" t="s">
        <v>254</v>
      </c>
      <c r="G2" s="61" t="s">
        <v>255</v>
      </c>
      <c r="H2" s="58" t="s">
        <v>256</v>
      </c>
    </row>
    <row r="3" spans="1:8" x14ac:dyDescent="0.25">
      <c r="A3" s="52"/>
      <c r="B3" s="56"/>
      <c r="C3" s="52"/>
      <c r="D3" s="140"/>
      <c r="E3" s="141"/>
      <c r="F3" s="52"/>
      <c r="G3" s="65"/>
      <c r="H3" s="52"/>
    </row>
    <row r="4" spans="1:8" x14ac:dyDescent="0.25">
      <c r="A4" s="52"/>
      <c r="B4" s="56" t="s">
        <v>238</v>
      </c>
      <c r="C4" s="52">
        <v>1</v>
      </c>
      <c r="D4" s="73">
        <v>254.2</v>
      </c>
      <c r="E4" s="74"/>
      <c r="F4" s="52">
        <v>0.85</v>
      </c>
      <c r="G4" s="62">
        <f>+PRODUCT(C4:F4)</f>
        <v>216.07</v>
      </c>
      <c r="H4" s="52"/>
    </row>
    <row r="5" spans="1:8" x14ac:dyDescent="0.25">
      <c r="A5" s="52"/>
      <c r="B5" s="56" t="s">
        <v>528</v>
      </c>
      <c r="C5" s="52"/>
      <c r="D5" s="73"/>
      <c r="E5" s="74"/>
      <c r="F5" s="52"/>
      <c r="G5" s="65"/>
      <c r="H5" s="52"/>
    </row>
    <row r="6" spans="1:8" x14ac:dyDescent="0.25">
      <c r="A6" s="52"/>
      <c r="B6" s="52" t="s">
        <v>261</v>
      </c>
      <c r="C6" s="52">
        <v>32</v>
      </c>
      <c r="D6" s="52">
        <v>0.6</v>
      </c>
      <c r="E6" s="52">
        <v>0.3</v>
      </c>
      <c r="F6" s="52">
        <f t="shared" ref="F6:F30" si="0">100.15-98.05-0.45</f>
        <v>1.6500000000000086</v>
      </c>
      <c r="G6" s="62">
        <f>+C6*(2*(D6+E6))*F6</f>
        <v>95.040000000000489</v>
      </c>
      <c r="H6" s="52"/>
    </row>
    <row r="7" spans="1:8" x14ac:dyDescent="0.25">
      <c r="A7" s="52"/>
      <c r="B7" s="52" t="s">
        <v>262</v>
      </c>
      <c r="C7" s="52">
        <v>22</v>
      </c>
      <c r="D7" s="52">
        <v>0.6</v>
      </c>
      <c r="E7" s="52">
        <v>0.3</v>
      </c>
      <c r="F7" s="52">
        <f t="shared" si="0"/>
        <v>1.6500000000000086</v>
      </c>
      <c r="G7" s="62">
        <f t="shared" ref="G7:G29" si="1">+C7*(2*(D7+E7))*F7</f>
        <v>65.34000000000033</v>
      </c>
      <c r="H7" s="52"/>
    </row>
    <row r="8" spans="1:8" x14ac:dyDescent="0.25">
      <c r="A8" s="52"/>
      <c r="B8" s="52" t="s">
        <v>263</v>
      </c>
      <c r="C8" s="52">
        <v>4</v>
      </c>
      <c r="D8" s="52">
        <v>0.6</v>
      </c>
      <c r="E8" s="52">
        <v>0.3</v>
      </c>
      <c r="F8" s="52">
        <f t="shared" si="0"/>
        <v>1.6500000000000086</v>
      </c>
      <c r="G8" s="62">
        <f t="shared" si="1"/>
        <v>11.880000000000061</v>
      </c>
      <c r="H8" s="52"/>
    </row>
    <row r="9" spans="1:8" x14ac:dyDescent="0.25">
      <c r="A9" s="52"/>
      <c r="B9" s="52" t="s">
        <v>264</v>
      </c>
      <c r="C9" s="52">
        <v>16</v>
      </c>
      <c r="D9" s="52">
        <v>0.75</v>
      </c>
      <c r="E9" s="52">
        <v>0.3</v>
      </c>
      <c r="F9" s="52">
        <f t="shared" si="0"/>
        <v>1.6500000000000086</v>
      </c>
      <c r="G9" s="62">
        <f t="shared" si="1"/>
        <v>55.440000000000289</v>
      </c>
      <c r="H9" s="52"/>
    </row>
    <row r="10" spans="1:8" x14ac:dyDescent="0.25">
      <c r="A10" s="52"/>
      <c r="B10" s="52" t="s">
        <v>265</v>
      </c>
      <c r="C10" s="52">
        <v>14</v>
      </c>
      <c r="D10" s="52">
        <v>0.75</v>
      </c>
      <c r="E10" s="52">
        <v>0.3</v>
      </c>
      <c r="F10" s="52">
        <f t="shared" si="0"/>
        <v>1.6500000000000086</v>
      </c>
      <c r="G10" s="62">
        <f t="shared" si="1"/>
        <v>48.510000000000254</v>
      </c>
      <c r="H10" s="52"/>
    </row>
    <row r="11" spans="1:8" x14ac:dyDescent="0.25">
      <c r="A11" s="52"/>
      <c r="B11" s="52" t="s">
        <v>266</v>
      </c>
      <c r="C11" s="52">
        <v>14</v>
      </c>
      <c r="D11" s="52">
        <v>0.71499999999999997</v>
      </c>
      <c r="E11" s="52">
        <v>0.3</v>
      </c>
      <c r="F11" s="52">
        <f t="shared" si="0"/>
        <v>1.6500000000000086</v>
      </c>
      <c r="G11" s="62">
        <f t="shared" si="1"/>
        <v>46.893000000000242</v>
      </c>
      <c r="H11" s="52"/>
    </row>
    <row r="12" spans="1:8" x14ac:dyDescent="0.25">
      <c r="A12" s="52"/>
      <c r="B12" s="52" t="s">
        <v>267</v>
      </c>
      <c r="C12" s="52">
        <v>4</v>
      </c>
      <c r="D12" s="52">
        <v>0.8</v>
      </c>
      <c r="E12" s="52">
        <v>0.3</v>
      </c>
      <c r="F12" s="52">
        <f t="shared" si="0"/>
        <v>1.6500000000000086</v>
      </c>
      <c r="G12" s="62">
        <f t="shared" si="1"/>
        <v>14.520000000000076</v>
      </c>
      <c r="H12" s="52"/>
    </row>
    <row r="13" spans="1:8" x14ac:dyDescent="0.25">
      <c r="A13" s="52"/>
      <c r="B13" s="52" t="s">
        <v>268</v>
      </c>
      <c r="C13" s="52">
        <v>4</v>
      </c>
      <c r="D13" s="52">
        <v>0.6</v>
      </c>
      <c r="E13" s="52">
        <v>0.3</v>
      </c>
      <c r="F13" s="52">
        <f t="shared" si="0"/>
        <v>1.6500000000000086</v>
      </c>
      <c r="G13" s="62">
        <f t="shared" si="1"/>
        <v>11.880000000000061</v>
      </c>
      <c r="H13" s="52"/>
    </row>
    <row r="14" spans="1:8" x14ac:dyDescent="0.25">
      <c r="A14" s="52"/>
      <c r="B14" s="52" t="s">
        <v>269</v>
      </c>
      <c r="C14" s="52">
        <v>2</v>
      </c>
      <c r="D14" s="52">
        <v>1.65</v>
      </c>
      <c r="E14" s="52"/>
      <c r="F14" s="52">
        <f t="shared" si="0"/>
        <v>1.6500000000000086</v>
      </c>
      <c r="G14" s="62">
        <f>+C14*(2*(D14+E14))*F14</f>
        <v>10.890000000000056</v>
      </c>
      <c r="H14" s="52"/>
    </row>
    <row r="15" spans="1:8" x14ac:dyDescent="0.25">
      <c r="A15" s="52"/>
      <c r="B15" s="52"/>
      <c r="C15" s="52">
        <v>2</v>
      </c>
      <c r="D15" s="52">
        <v>0.65</v>
      </c>
      <c r="E15" s="52"/>
      <c r="F15" s="52">
        <f t="shared" si="0"/>
        <v>1.6500000000000086</v>
      </c>
      <c r="G15" s="62">
        <f>+C15*(2*(D15+E15))*F15</f>
        <v>4.2900000000000222</v>
      </c>
      <c r="H15" s="52"/>
    </row>
    <row r="16" spans="1:8" x14ac:dyDescent="0.25">
      <c r="A16" s="52"/>
      <c r="B16" s="52" t="s">
        <v>270</v>
      </c>
      <c r="C16" s="52">
        <v>2</v>
      </c>
      <c r="D16" s="52">
        <v>1.85</v>
      </c>
      <c r="E16" s="52"/>
      <c r="F16" s="52">
        <f t="shared" si="0"/>
        <v>1.6500000000000086</v>
      </c>
      <c r="G16" s="62">
        <f t="shared" si="1"/>
        <v>12.210000000000065</v>
      </c>
      <c r="H16" s="52"/>
    </row>
    <row r="17" spans="1:8" x14ac:dyDescent="0.25">
      <c r="A17" s="52"/>
      <c r="B17" s="52"/>
      <c r="C17" s="52">
        <v>2</v>
      </c>
      <c r="D17" s="52">
        <v>0.65</v>
      </c>
      <c r="E17" s="52"/>
      <c r="F17" s="52">
        <f t="shared" si="0"/>
        <v>1.6500000000000086</v>
      </c>
      <c r="G17" s="62">
        <f t="shared" si="1"/>
        <v>4.2900000000000222</v>
      </c>
      <c r="H17" s="52"/>
    </row>
    <row r="18" spans="1:8" x14ac:dyDescent="0.25">
      <c r="A18" s="52"/>
      <c r="B18" s="52" t="s">
        <v>271</v>
      </c>
      <c r="C18" s="52">
        <v>2</v>
      </c>
      <c r="D18" s="52">
        <v>1</v>
      </c>
      <c r="E18" s="52">
        <v>0.23</v>
      </c>
      <c r="F18" s="52">
        <f t="shared" si="0"/>
        <v>1.6500000000000086</v>
      </c>
      <c r="G18" s="62">
        <f t="shared" si="1"/>
        <v>8.1180000000000412</v>
      </c>
      <c r="H18" s="52"/>
    </row>
    <row r="19" spans="1:8" x14ac:dyDescent="0.25">
      <c r="A19" s="52"/>
      <c r="B19" s="52" t="s">
        <v>272</v>
      </c>
      <c r="C19" s="52">
        <v>2</v>
      </c>
      <c r="D19" s="52">
        <v>1.1499999999999999</v>
      </c>
      <c r="E19" s="52">
        <v>0.23</v>
      </c>
      <c r="F19" s="52">
        <f t="shared" si="0"/>
        <v>1.6500000000000086</v>
      </c>
      <c r="G19" s="62">
        <f t="shared" si="1"/>
        <v>9.1080000000000467</v>
      </c>
      <c r="H19" s="52"/>
    </row>
    <row r="20" spans="1:8" x14ac:dyDescent="0.25">
      <c r="A20" s="52"/>
      <c r="B20" s="52" t="s">
        <v>273</v>
      </c>
      <c r="C20" s="52">
        <v>4</v>
      </c>
      <c r="D20" s="52">
        <v>1.7</v>
      </c>
      <c r="E20" s="52">
        <v>0.23</v>
      </c>
      <c r="F20" s="52">
        <f t="shared" si="0"/>
        <v>1.6500000000000086</v>
      </c>
      <c r="G20" s="62">
        <f t="shared" si="1"/>
        <v>25.476000000000131</v>
      </c>
      <c r="H20" s="52"/>
    </row>
    <row r="21" spans="1:8" x14ac:dyDescent="0.25">
      <c r="A21" s="52"/>
      <c r="B21" s="52" t="s">
        <v>274</v>
      </c>
      <c r="C21" s="52">
        <v>4</v>
      </c>
      <c r="D21" s="52">
        <v>1.1850000000000001</v>
      </c>
      <c r="E21" s="52">
        <v>0.23</v>
      </c>
      <c r="F21" s="52">
        <f t="shared" si="0"/>
        <v>1.6500000000000086</v>
      </c>
      <c r="G21" s="62">
        <f t="shared" si="1"/>
        <v>18.678000000000097</v>
      </c>
      <c r="H21" s="52"/>
    </row>
    <row r="22" spans="1:8" x14ac:dyDescent="0.25">
      <c r="A22" s="52"/>
      <c r="B22" s="52" t="s">
        <v>275</v>
      </c>
      <c r="C22" s="52">
        <v>2</v>
      </c>
      <c r="D22" s="52">
        <v>1.855</v>
      </c>
      <c r="E22" s="52">
        <v>0.23</v>
      </c>
      <c r="F22" s="52">
        <f t="shared" si="0"/>
        <v>1.6500000000000086</v>
      </c>
      <c r="G22" s="62">
        <f t="shared" si="1"/>
        <v>13.761000000000072</v>
      </c>
      <c r="H22" s="52"/>
    </row>
    <row r="23" spans="1:8" x14ac:dyDescent="0.25">
      <c r="A23" s="52"/>
      <c r="B23" s="52" t="s">
        <v>276</v>
      </c>
      <c r="C23" s="52">
        <v>1</v>
      </c>
      <c r="D23" s="52">
        <v>3.6</v>
      </c>
      <c r="E23" s="52">
        <v>0.23</v>
      </c>
      <c r="F23" s="52">
        <f t="shared" si="0"/>
        <v>1.6500000000000086</v>
      </c>
      <c r="G23" s="62">
        <f t="shared" si="1"/>
        <v>12.639000000000065</v>
      </c>
      <c r="H23" s="52"/>
    </row>
    <row r="24" spans="1:8" x14ac:dyDescent="0.25">
      <c r="A24" s="52"/>
      <c r="B24" s="52" t="s">
        <v>277</v>
      </c>
      <c r="C24" s="52">
        <v>6</v>
      </c>
      <c r="D24" s="52">
        <v>1.85</v>
      </c>
      <c r="E24" s="52"/>
      <c r="F24" s="52">
        <f t="shared" si="0"/>
        <v>1.6500000000000086</v>
      </c>
      <c r="G24" s="62">
        <f t="shared" si="1"/>
        <v>36.630000000000194</v>
      </c>
      <c r="H24" s="52"/>
    </row>
    <row r="25" spans="1:8" x14ac:dyDescent="0.25">
      <c r="A25" s="52"/>
      <c r="B25" s="52"/>
      <c r="C25" s="52">
        <v>6</v>
      </c>
      <c r="D25" s="52">
        <v>0.65</v>
      </c>
      <c r="E25" s="52"/>
      <c r="F25" s="52">
        <f t="shared" si="0"/>
        <v>1.6500000000000086</v>
      </c>
      <c r="G25" s="62">
        <f t="shared" si="1"/>
        <v>12.870000000000068</v>
      </c>
      <c r="H25" s="52"/>
    </row>
    <row r="26" spans="1:8" x14ac:dyDescent="0.25">
      <c r="A26" s="52"/>
      <c r="B26" s="52" t="s">
        <v>278</v>
      </c>
      <c r="C26" s="52">
        <v>2</v>
      </c>
      <c r="D26" s="52">
        <v>3.4449999999999998</v>
      </c>
      <c r="E26" s="52">
        <v>0.23</v>
      </c>
      <c r="F26" s="52">
        <f t="shared" si="0"/>
        <v>1.6500000000000086</v>
      </c>
      <c r="G26" s="62">
        <f t="shared" si="1"/>
        <v>24.255000000000123</v>
      </c>
      <c r="H26" s="52"/>
    </row>
    <row r="27" spans="1:8" x14ac:dyDescent="0.25">
      <c r="A27" s="52"/>
      <c r="B27" s="52" t="s">
        <v>279</v>
      </c>
      <c r="C27" s="52">
        <v>2</v>
      </c>
      <c r="D27" s="52">
        <v>4.0650000000000004</v>
      </c>
      <c r="E27" s="52">
        <v>0.23</v>
      </c>
      <c r="F27" s="52">
        <f t="shared" si="0"/>
        <v>1.6500000000000086</v>
      </c>
      <c r="G27" s="62">
        <f t="shared" si="1"/>
        <v>28.347000000000154</v>
      </c>
      <c r="H27" s="52"/>
    </row>
    <row r="28" spans="1:8" x14ac:dyDescent="0.25">
      <c r="A28" s="52"/>
      <c r="B28" s="52" t="s">
        <v>280</v>
      </c>
      <c r="C28" s="52">
        <v>2</v>
      </c>
      <c r="D28" s="52">
        <v>1.5349999999999999</v>
      </c>
      <c r="E28" s="52"/>
      <c r="F28" s="52">
        <f t="shared" si="0"/>
        <v>1.6500000000000086</v>
      </c>
      <c r="G28" s="62">
        <f t="shared" si="1"/>
        <v>10.131000000000052</v>
      </c>
      <c r="H28" s="52"/>
    </row>
    <row r="29" spans="1:8" x14ac:dyDescent="0.25">
      <c r="A29" s="52"/>
      <c r="B29" s="52"/>
      <c r="C29" s="52">
        <v>2</v>
      </c>
      <c r="D29" s="52">
        <v>0.65</v>
      </c>
      <c r="E29" s="52"/>
      <c r="F29" s="52">
        <f t="shared" si="0"/>
        <v>1.6500000000000086</v>
      </c>
      <c r="G29" s="62">
        <f t="shared" si="1"/>
        <v>4.2900000000000222</v>
      </c>
      <c r="H29" s="52"/>
    </row>
    <row r="30" spans="1:8" x14ac:dyDescent="0.25">
      <c r="A30" s="52"/>
      <c r="B30" s="52" t="s">
        <v>281</v>
      </c>
      <c r="C30" s="52">
        <v>2</v>
      </c>
      <c r="D30" s="52">
        <v>3.4449999999999998</v>
      </c>
      <c r="E30" s="52">
        <v>0.23</v>
      </c>
      <c r="F30" s="52">
        <f t="shared" si="0"/>
        <v>1.6500000000000086</v>
      </c>
      <c r="G30" s="62">
        <f>+C30*(2*(D30+E30))*F30</f>
        <v>24.255000000000123</v>
      </c>
      <c r="H30" s="52"/>
    </row>
    <row r="31" spans="1:8" x14ac:dyDescent="0.25">
      <c r="A31" s="52"/>
      <c r="B31" s="52"/>
      <c r="C31" s="52"/>
      <c r="D31" s="52"/>
      <c r="E31" s="52"/>
      <c r="F31" s="52"/>
      <c r="G31" s="65">
        <f>SUM(G6:G30)</f>
        <v>609.7410000000034</v>
      </c>
      <c r="H31" s="56" t="s">
        <v>426</v>
      </c>
    </row>
    <row r="32" spans="1:8" x14ac:dyDescent="0.25">
      <c r="A32" s="52"/>
      <c r="B32" s="56" t="s">
        <v>285</v>
      </c>
      <c r="C32" s="52"/>
      <c r="D32" s="52"/>
      <c r="E32" s="52"/>
      <c r="F32" s="52"/>
      <c r="G32" s="62"/>
      <c r="H32" s="52"/>
    </row>
    <row r="33" spans="1:8" x14ac:dyDescent="0.25">
      <c r="A33" s="52"/>
      <c r="B33" s="52"/>
      <c r="C33" s="52"/>
      <c r="D33" s="52"/>
      <c r="E33" s="52"/>
      <c r="F33" s="52"/>
      <c r="G33" s="62"/>
      <c r="H33" s="52"/>
    </row>
    <row r="34" spans="1:8" x14ac:dyDescent="0.25">
      <c r="A34" s="52"/>
      <c r="B34" s="52" t="s">
        <v>594</v>
      </c>
      <c r="C34" s="52">
        <v>4</v>
      </c>
      <c r="D34" s="52">
        <v>3.0249999999999999</v>
      </c>
      <c r="E34" s="52"/>
      <c r="F34" s="52">
        <v>0.45</v>
      </c>
      <c r="G34" s="62">
        <f>+PRODUCT(C34:F34)</f>
        <v>5.4450000000000003</v>
      </c>
      <c r="H34" s="52"/>
    </row>
    <row r="35" spans="1:8" x14ac:dyDescent="0.25">
      <c r="A35" s="52"/>
      <c r="B35" s="52"/>
      <c r="C35" s="52">
        <v>4</v>
      </c>
      <c r="D35" s="52">
        <v>2.8</v>
      </c>
      <c r="E35" s="52"/>
      <c r="F35" s="52">
        <v>0.45</v>
      </c>
      <c r="G35" s="62">
        <f t="shared" ref="G35:G100" si="2">+PRODUCT(C35:F35)</f>
        <v>5.04</v>
      </c>
      <c r="H35" s="52"/>
    </row>
    <row r="36" spans="1:8" x14ac:dyDescent="0.25">
      <c r="A36" s="52"/>
      <c r="B36" s="52" t="s">
        <v>385</v>
      </c>
      <c r="C36" s="52">
        <v>2</v>
      </c>
      <c r="D36" s="52">
        <v>3.0249999999999999</v>
      </c>
      <c r="E36" s="52"/>
      <c r="F36" s="52">
        <v>0.2</v>
      </c>
      <c r="G36" s="62">
        <f t="shared" si="2"/>
        <v>1.21</v>
      </c>
      <c r="H36" s="52"/>
    </row>
    <row r="37" spans="1:8" x14ac:dyDescent="0.25">
      <c r="A37" s="52"/>
      <c r="B37" s="52"/>
      <c r="C37" s="52">
        <v>2</v>
      </c>
      <c r="D37" s="52">
        <v>2.8</v>
      </c>
      <c r="E37" s="52"/>
      <c r="F37" s="52">
        <v>0.2</v>
      </c>
      <c r="G37" s="62">
        <f t="shared" si="2"/>
        <v>1.1199999999999999</v>
      </c>
      <c r="H37" s="52"/>
    </row>
    <row r="38" spans="1:8" x14ac:dyDescent="0.25">
      <c r="A38" s="52"/>
      <c r="B38" s="52" t="s">
        <v>595</v>
      </c>
      <c r="C38" s="52">
        <v>4</v>
      </c>
      <c r="D38" s="52">
        <v>3.3</v>
      </c>
      <c r="E38" s="52"/>
      <c r="F38" s="52">
        <v>0.45</v>
      </c>
      <c r="G38" s="62">
        <f t="shared" si="2"/>
        <v>5.9399999999999995</v>
      </c>
      <c r="H38" s="52"/>
    </row>
    <row r="39" spans="1:8" x14ac:dyDescent="0.25">
      <c r="A39" s="52"/>
      <c r="B39" s="52" t="s">
        <v>385</v>
      </c>
      <c r="C39" s="52">
        <v>2</v>
      </c>
      <c r="D39" s="52">
        <v>3.3</v>
      </c>
      <c r="E39" s="52"/>
      <c r="F39" s="52">
        <v>0.2</v>
      </c>
      <c r="G39" s="62">
        <f t="shared" si="2"/>
        <v>1.32</v>
      </c>
      <c r="H39" s="52"/>
    </row>
    <row r="40" spans="1:8" x14ac:dyDescent="0.25">
      <c r="A40" s="52"/>
      <c r="B40" s="52" t="s">
        <v>597</v>
      </c>
      <c r="C40" s="52">
        <v>8</v>
      </c>
      <c r="D40" s="52">
        <v>1.395</v>
      </c>
      <c r="E40" s="52"/>
      <c r="F40" s="52">
        <v>0.45</v>
      </c>
      <c r="G40" s="62">
        <f t="shared" si="2"/>
        <v>5.0220000000000002</v>
      </c>
      <c r="H40" s="52"/>
    </row>
    <row r="41" spans="1:8" x14ac:dyDescent="0.25">
      <c r="A41" s="52"/>
      <c r="B41" s="52" t="s">
        <v>385</v>
      </c>
      <c r="C41" s="52">
        <v>4</v>
      </c>
      <c r="D41" s="52">
        <v>1.395</v>
      </c>
      <c r="E41" s="52"/>
      <c r="F41" s="52">
        <v>0.1</v>
      </c>
      <c r="G41" s="62">
        <f t="shared" si="2"/>
        <v>0.55800000000000005</v>
      </c>
      <c r="H41" s="52"/>
    </row>
    <row r="42" spans="1:8" x14ac:dyDescent="0.25">
      <c r="A42" s="52"/>
      <c r="B42" s="52" t="s">
        <v>597</v>
      </c>
      <c r="C42" s="52">
        <v>12</v>
      </c>
      <c r="D42" s="52">
        <v>1.4</v>
      </c>
      <c r="E42" s="52"/>
      <c r="F42" s="52">
        <v>0.45</v>
      </c>
      <c r="G42" s="62">
        <f t="shared" ref="G42:G43" si="3">+PRODUCT(C42:F42)</f>
        <v>7.5599999999999987</v>
      </c>
      <c r="H42" s="52"/>
    </row>
    <row r="43" spans="1:8" x14ac:dyDescent="0.25">
      <c r="A43" s="52"/>
      <c r="B43" s="52" t="s">
        <v>385</v>
      </c>
      <c r="C43" s="52">
        <v>6</v>
      </c>
      <c r="D43" s="52">
        <v>1.4</v>
      </c>
      <c r="E43" s="52"/>
      <c r="F43" s="52">
        <v>0.1</v>
      </c>
      <c r="G43" s="62">
        <f t="shared" si="3"/>
        <v>0.83999999999999986</v>
      </c>
      <c r="H43" s="52"/>
    </row>
    <row r="44" spans="1:8" x14ac:dyDescent="0.25">
      <c r="A44" s="52"/>
      <c r="B44" s="52" t="s">
        <v>597</v>
      </c>
      <c r="C44" s="52">
        <v>4</v>
      </c>
      <c r="D44" s="52">
        <v>1.2</v>
      </c>
      <c r="E44" s="52"/>
      <c r="F44" s="52">
        <v>0.45</v>
      </c>
      <c r="G44" s="62">
        <f t="shared" ref="G44:G45" si="4">+PRODUCT(C44:F44)</f>
        <v>2.16</v>
      </c>
      <c r="H44" s="52"/>
    </row>
    <row r="45" spans="1:8" x14ac:dyDescent="0.25">
      <c r="A45" s="52"/>
      <c r="B45" s="52" t="s">
        <v>385</v>
      </c>
      <c r="C45" s="52">
        <v>2</v>
      </c>
      <c r="D45" s="52">
        <v>1.2</v>
      </c>
      <c r="E45" s="52"/>
      <c r="F45" s="52">
        <v>0.1</v>
      </c>
      <c r="G45" s="62">
        <f t="shared" si="4"/>
        <v>0.24</v>
      </c>
      <c r="H45" s="52"/>
    </row>
    <row r="46" spans="1:8" x14ac:dyDescent="0.25">
      <c r="A46" s="52"/>
      <c r="B46" s="52" t="s">
        <v>597</v>
      </c>
      <c r="C46" s="52">
        <v>12</v>
      </c>
      <c r="D46" s="52">
        <v>1.55</v>
      </c>
      <c r="E46" s="52"/>
      <c r="F46" s="52">
        <v>0.45</v>
      </c>
      <c r="G46" s="62">
        <f t="shared" ref="G46:G47" si="5">+PRODUCT(C46:F46)</f>
        <v>8.370000000000001</v>
      </c>
      <c r="H46" s="52"/>
    </row>
    <row r="47" spans="1:8" x14ac:dyDescent="0.25">
      <c r="A47" s="52"/>
      <c r="B47" s="52" t="s">
        <v>385</v>
      </c>
      <c r="C47" s="52">
        <v>6</v>
      </c>
      <c r="D47" s="52">
        <v>1.55</v>
      </c>
      <c r="E47" s="52"/>
      <c r="F47" s="52">
        <v>0.1</v>
      </c>
      <c r="G47" s="62">
        <f t="shared" si="5"/>
        <v>0.93000000000000016</v>
      </c>
      <c r="H47" s="52"/>
    </row>
    <row r="48" spans="1:8" x14ac:dyDescent="0.25">
      <c r="A48" s="52"/>
      <c r="B48" s="52" t="s">
        <v>597</v>
      </c>
      <c r="C48" s="52">
        <v>12</v>
      </c>
      <c r="D48" s="52">
        <v>0.97</v>
      </c>
      <c r="E48" s="52"/>
      <c r="F48" s="52">
        <v>0.45</v>
      </c>
      <c r="G48" s="62">
        <f t="shared" ref="G48:G49" si="6">+PRODUCT(C48:F48)</f>
        <v>5.2380000000000004</v>
      </c>
      <c r="H48" s="52"/>
    </row>
    <row r="49" spans="1:8" x14ac:dyDescent="0.25">
      <c r="A49" s="52"/>
      <c r="B49" s="52" t="s">
        <v>385</v>
      </c>
      <c r="C49" s="52">
        <v>6</v>
      </c>
      <c r="D49" s="52">
        <v>0.97</v>
      </c>
      <c r="E49" s="52"/>
      <c r="F49" s="52">
        <v>0.1</v>
      </c>
      <c r="G49" s="62">
        <f t="shared" si="6"/>
        <v>0.58200000000000007</v>
      </c>
      <c r="H49" s="52"/>
    </row>
    <row r="50" spans="1:8" x14ac:dyDescent="0.25">
      <c r="A50" s="52"/>
      <c r="B50" s="52" t="s">
        <v>598</v>
      </c>
      <c r="C50" s="52">
        <v>4</v>
      </c>
      <c r="D50" s="52">
        <v>1.395</v>
      </c>
      <c r="E50" s="52"/>
      <c r="F50" s="52">
        <v>0.45</v>
      </c>
      <c r="G50" s="62">
        <f t="shared" ref="G50:G51" si="7">+PRODUCT(C50:F50)</f>
        <v>2.5110000000000001</v>
      </c>
      <c r="H50" s="52"/>
    </row>
    <row r="51" spans="1:8" x14ac:dyDescent="0.25">
      <c r="A51" s="52"/>
      <c r="B51" s="52" t="s">
        <v>385</v>
      </c>
      <c r="C51" s="52">
        <v>6</v>
      </c>
      <c r="D51" s="52">
        <v>1.395</v>
      </c>
      <c r="E51" s="52"/>
      <c r="F51" s="52">
        <v>0.2</v>
      </c>
      <c r="G51" s="62">
        <f t="shared" si="7"/>
        <v>1.6740000000000004</v>
      </c>
      <c r="H51" s="52"/>
    </row>
    <row r="52" spans="1:8" x14ac:dyDescent="0.25">
      <c r="A52" s="52"/>
      <c r="B52" s="52" t="s">
        <v>599</v>
      </c>
      <c r="C52" s="52">
        <v>4</v>
      </c>
      <c r="D52" s="52">
        <v>3.1</v>
      </c>
      <c r="E52" s="52"/>
      <c r="F52" s="52">
        <v>0.45</v>
      </c>
      <c r="G52" s="62">
        <f t="shared" si="2"/>
        <v>5.58</v>
      </c>
      <c r="H52" s="52"/>
    </row>
    <row r="53" spans="1:8" x14ac:dyDescent="0.25">
      <c r="A53" s="52"/>
      <c r="B53" s="52" t="s">
        <v>385</v>
      </c>
      <c r="C53" s="52">
        <v>2</v>
      </c>
      <c r="D53" s="52">
        <v>3.1</v>
      </c>
      <c r="E53" s="52"/>
      <c r="F53" s="52">
        <v>0.2</v>
      </c>
      <c r="G53" s="62">
        <f t="shared" si="2"/>
        <v>1.2400000000000002</v>
      </c>
      <c r="H53" s="52"/>
    </row>
    <row r="54" spans="1:8" x14ac:dyDescent="0.25">
      <c r="A54" s="52"/>
      <c r="B54" s="52" t="s">
        <v>600</v>
      </c>
      <c r="C54" s="52">
        <v>1</v>
      </c>
      <c r="D54" s="52">
        <f>18.91-2.4</f>
        <v>16.510000000000002</v>
      </c>
      <c r="E54" s="52"/>
      <c r="F54" s="52">
        <v>0.45</v>
      </c>
      <c r="G54" s="62">
        <f t="shared" si="2"/>
        <v>7.4295000000000009</v>
      </c>
      <c r="H54" s="52"/>
    </row>
    <row r="55" spans="1:8" x14ac:dyDescent="0.25">
      <c r="A55" s="52"/>
      <c r="B55" s="52" t="s">
        <v>385</v>
      </c>
      <c r="C55" s="52">
        <v>1</v>
      </c>
      <c r="D55" s="52">
        <f>18.91-2.4</f>
        <v>16.510000000000002</v>
      </c>
      <c r="E55" s="52"/>
      <c r="F55" s="52">
        <v>0.2</v>
      </c>
      <c r="G55" s="62">
        <f t="shared" si="2"/>
        <v>3.3020000000000005</v>
      </c>
      <c r="H55" s="52"/>
    </row>
    <row r="56" spans="1:8" x14ac:dyDescent="0.25">
      <c r="A56" s="52"/>
      <c r="B56" s="52" t="s">
        <v>601</v>
      </c>
      <c r="C56" s="52">
        <v>4</v>
      </c>
      <c r="D56" s="52">
        <v>2.875</v>
      </c>
      <c r="E56" s="52"/>
      <c r="F56" s="52">
        <v>0.45</v>
      </c>
      <c r="G56" s="62">
        <f t="shared" si="2"/>
        <v>5.1749999999999998</v>
      </c>
      <c r="H56" s="52"/>
    </row>
    <row r="57" spans="1:8" x14ac:dyDescent="0.25">
      <c r="A57" s="52"/>
      <c r="B57" s="52" t="s">
        <v>385</v>
      </c>
      <c r="C57" s="52">
        <v>2</v>
      </c>
      <c r="D57" s="52">
        <v>2.875</v>
      </c>
      <c r="E57" s="52"/>
      <c r="F57" s="52">
        <v>0.2</v>
      </c>
      <c r="G57" s="62">
        <f t="shared" si="2"/>
        <v>1.1500000000000001</v>
      </c>
      <c r="H57" s="52"/>
    </row>
    <row r="58" spans="1:8" x14ac:dyDescent="0.25">
      <c r="A58" s="52"/>
      <c r="B58" s="52" t="s">
        <v>601</v>
      </c>
      <c r="C58" s="52">
        <v>4</v>
      </c>
      <c r="D58" s="52">
        <v>2.93</v>
      </c>
      <c r="E58" s="52"/>
      <c r="F58" s="52">
        <v>0.45</v>
      </c>
      <c r="G58" s="62">
        <f t="shared" si="2"/>
        <v>5.274</v>
      </c>
      <c r="H58" s="52"/>
    </row>
    <row r="59" spans="1:8" x14ac:dyDescent="0.25">
      <c r="A59" s="52"/>
      <c r="B59" s="52" t="s">
        <v>385</v>
      </c>
      <c r="C59" s="52">
        <v>2</v>
      </c>
      <c r="D59" s="52">
        <v>2.93</v>
      </c>
      <c r="E59" s="52"/>
      <c r="F59" s="52">
        <v>0.2</v>
      </c>
      <c r="G59" s="62">
        <f t="shared" si="2"/>
        <v>1.1720000000000002</v>
      </c>
      <c r="H59" s="52"/>
    </row>
    <row r="60" spans="1:8" x14ac:dyDescent="0.25">
      <c r="A60" s="52"/>
      <c r="B60" s="52" t="s">
        <v>602</v>
      </c>
      <c r="C60" s="52">
        <v>4</v>
      </c>
      <c r="D60" s="52">
        <v>3.16</v>
      </c>
      <c r="E60" s="52"/>
      <c r="F60" s="52">
        <v>0.45</v>
      </c>
      <c r="G60" s="62">
        <f t="shared" si="2"/>
        <v>5.6880000000000006</v>
      </c>
      <c r="H60" s="52"/>
    </row>
    <row r="61" spans="1:8" x14ac:dyDescent="0.25">
      <c r="A61" s="52"/>
      <c r="B61" s="52" t="s">
        <v>385</v>
      </c>
      <c r="C61" s="52">
        <v>2</v>
      </c>
      <c r="D61" s="52">
        <v>3.16</v>
      </c>
      <c r="E61" s="52"/>
      <c r="F61" s="52">
        <v>0.2</v>
      </c>
      <c r="G61" s="62">
        <f t="shared" si="2"/>
        <v>1.2640000000000002</v>
      </c>
      <c r="H61" s="52"/>
    </row>
    <row r="62" spans="1:8" x14ac:dyDescent="0.25">
      <c r="A62" s="52"/>
      <c r="B62" s="52" t="s">
        <v>603</v>
      </c>
      <c r="C62" s="52">
        <v>4</v>
      </c>
      <c r="D62" s="52">
        <v>5.6349999999999998</v>
      </c>
      <c r="E62" s="52"/>
      <c r="F62" s="52">
        <v>0.45</v>
      </c>
      <c r="G62" s="62">
        <f t="shared" si="2"/>
        <v>10.143000000000001</v>
      </c>
      <c r="H62" s="52"/>
    </row>
    <row r="63" spans="1:8" x14ac:dyDescent="0.25">
      <c r="A63" s="52"/>
      <c r="B63" s="52" t="s">
        <v>385</v>
      </c>
      <c r="C63" s="52">
        <v>2</v>
      </c>
      <c r="D63" s="52">
        <v>5.6349999999999998</v>
      </c>
      <c r="E63" s="52"/>
      <c r="F63" s="52">
        <v>0.2</v>
      </c>
      <c r="G63" s="62">
        <f t="shared" si="2"/>
        <v>2.254</v>
      </c>
      <c r="H63" s="52"/>
    </row>
    <row r="64" spans="1:8" x14ac:dyDescent="0.25">
      <c r="A64" s="52"/>
      <c r="B64" s="52" t="s">
        <v>604</v>
      </c>
      <c r="C64" s="52">
        <v>4</v>
      </c>
      <c r="D64" s="52">
        <v>4.6900000000000004</v>
      </c>
      <c r="E64" s="52"/>
      <c r="F64" s="52">
        <v>0.45</v>
      </c>
      <c r="G64" s="62">
        <f t="shared" si="2"/>
        <v>8.4420000000000002</v>
      </c>
      <c r="H64" s="52"/>
    </row>
    <row r="65" spans="1:8" x14ac:dyDescent="0.25">
      <c r="A65" s="52"/>
      <c r="B65" s="52" t="s">
        <v>385</v>
      </c>
      <c r="C65" s="52">
        <v>2</v>
      </c>
      <c r="D65" s="52">
        <v>4.6900000000000004</v>
      </c>
      <c r="E65" s="52"/>
      <c r="F65" s="52">
        <v>0.2</v>
      </c>
      <c r="G65" s="62">
        <f t="shared" si="2"/>
        <v>1.8760000000000003</v>
      </c>
      <c r="H65" s="52"/>
    </row>
    <row r="66" spans="1:8" x14ac:dyDescent="0.25">
      <c r="A66" s="52"/>
      <c r="B66" s="52" t="s">
        <v>605</v>
      </c>
      <c r="C66" s="52">
        <v>4</v>
      </c>
      <c r="D66" s="52">
        <v>5.76</v>
      </c>
      <c r="E66" s="52"/>
      <c r="F66" s="52">
        <v>0.45</v>
      </c>
      <c r="G66" s="62">
        <f t="shared" si="2"/>
        <v>10.368</v>
      </c>
      <c r="H66" s="52"/>
    </row>
    <row r="67" spans="1:8" x14ac:dyDescent="0.25">
      <c r="A67" s="52"/>
      <c r="B67" s="52" t="s">
        <v>385</v>
      </c>
      <c r="C67" s="52">
        <v>2</v>
      </c>
      <c r="D67" s="52">
        <v>5.76</v>
      </c>
      <c r="E67" s="52"/>
      <c r="F67" s="52">
        <v>0.2</v>
      </c>
      <c r="G67" s="62">
        <f t="shared" si="2"/>
        <v>2.3039999999999998</v>
      </c>
      <c r="H67" s="52"/>
    </row>
    <row r="68" spans="1:8" x14ac:dyDescent="0.25">
      <c r="A68" s="52"/>
      <c r="B68" s="52" t="s">
        <v>606</v>
      </c>
      <c r="C68" s="52">
        <v>4</v>
      </c>
      <c r="D68" s="52">
        <v>2.2200000000000002</v>
      </c>
      <c r="E68" s="52"/>
      <c r="F68" s="52">
        <v>0.45</v>
      </c>
      <c r="G68" s="62">
        <f t="shared" si="2"/>
        <v>3.9960000000000004</v>
      </c>
      <c r="H68" s="52"/>
    </row>
    <row r="69" spans="1:8" x14ac:dyDescent="0.25">
      <c r="A69" s="52"/>
      <c r="B69" s="52" t="s">
        <v>385</v>
      </c>
      <c r="C69" s="52">
        <v>2</v>
      </c>
      <c r="D69" s="52">
        <v>2.2200000000000002</v>
      </c>
      <c r="E69" s="52"/>
      <c r="F69" s="52">
        <v>0.2</v>
      </c>
      <c r="G69" s="62">
        <f t="shared" si="2"/>
        <v>0.88800000000000012</v>
      </c>
      <c r="H69" s="52"/>
    </row>
    <row r="70" spans="1:8" x14ac:dyDescent="0.25">
      <c r="A70" s="52"/>
      <c r="B70" s="52" t="s">
        <v>612</v>
      </c>
      <c r="C70" s="52">
        <v>4</v>
      </c>
      <c r="D70" s="52">
        <v>3.1150000000000002</v>
      </c>
      <c r="E70" s="52"/>
      <c r="F70" s="52">
        <v>0.45</v>
      </c>
      <c r="G70" s="62">
        <f t="shared" si="2"/>
        <v>5.6070000000000002</v>
      </c>
      <c r="H70" s="52"/>
    </row>
    <row r="71" spans="1:8" x14ac:dyDescent="0.25">
      <c r="A71" s="52"/>
      <c r="B71" s="52" t="s">
        <v>385</v>
      </c>
      <c r="C71" s="52">
        <v>2</v>
      </c>
      <c r="D71" s="52">
        <v>3.1150000000000002</v>
      </c>
      <c r="E71" s="52"/>
      <c r="F71" s="52">
        <v>0.2</v>
      </c>
      <c r="G71" s="62">
        <f t="shared" si="2"/>
        <v>1.2460000000000002</v>
      </c>
      <c r="H71" s="52"/>
    </row>
    <row r="72" spans="1:8" x14ac:dyDescent="0.25">
      <c r="A72" s="52"/>
      <c r="B72" s="52" t="s">
        <v>613</v>
      </c>
      <c r="C72" s="52">
        <v>12</v>
      </c>
      <c r="D72" s="52">
        <v>7.6050000000000004</v>
      </c>
      <c r="E72" s="52"/>
      <c r="F72" s="52">
        <v>0.45</v>
      </c>
      <c r="G72" s="62">
        <f t="shared" si="2"/>
        <v>41.067</v>
      </c>
      <c r="H72" s="52"/>
    </row>
    <row r="73" spans="1:8" x14ac:dyDescent="0.25">
      <c r="A73" s="52"/>
      <c r="B73" s="52" t="s">
        <v>385</v>
      </c>
      <c r="C73" s="52">
        <v>6</v>
      </c>
      <c r="D73" s="52">
        <v>7.6050000000000004</v>
      </c>
      <c r="E73" s="52"/>
      <c r="F73" s="52">
        <v>0.2</v>
      </c>
      <c r="G73" s="62">
        <f t="shared" si="2"/>
        <v>9.1260000000000012</v>
      </c>
      <c r="H73" s="52"/>
    </row>
    <row r="74" spans="1:8" x14ac:dyDescent="0.25">
      <c r="A74" s="52"/>
      <c r="B74" s="52" t="s">
        <v>614</v>
      </c>
      <c r="C74" s="52">
        <v>4</v>
      </c>
      <c r="D74" s="52">
        <v>3.2149999999999999</v>
      </c>
      <c r="E74" s="52"/>
      <c r="F74" s="52">
        <v>0.45</v>
      </c>
      <c r="G74" s="62">
        <f t="shared" si="2"/>
        <v>5.7869999999999999</v>
      </c>
      <c r="H74" s="52"/>
    </row>
    <row r="75" spans="1:8" x14ac:dyDescent="0.25">
      <c r="A75" s="52"/>
      <c r="B75" s="52" t="s">
        <v>385</v>
      </c>
      <c r="C75" s="52">
        <v>2</v>
      </c>
      <c r="D75" s="52">
        <v>3.2149999999999999</v>
      </c>
      <c r="E75" s="52"/>
      <c r="F75" s="52">
        <v>0.2</v>
      </c>
      <c r="G75" s="62">
        <f t="shared" si="2"/>
        <v>1.286</v>
      </c>
      <c r="H75" s="52"/>
    </row>
    <row r="76" spans="1:8" x14ac:dyDescent="0.25">
      <c r="A76" s="52"/>
      <c r="B76" s="52" t="s">
        <v>615</v>
      </c>
      <c r="C76" s="52">
        <v>4</v>
      </c>
      <c r="D76" s="52">
        <v>2.76</v>
      </c>
      <c r="E76" s="52"/>
      <c r="F76" s="52">
        <v>0.45</v>
      </c>
      <c r="G76" s="62">
        <f t="shared" si="2"/>
        <v>4.968</v>
      </c>
      <c r="H76" s="52"/>
    </row>
    <row r="77" spans="1:8" x14ac:dyDescent="0.25">
      <c r="A77" s="52"/>
      <c r="B77" s="52" t="s">
        <v>385</v>
      </c>
      <c r="C77" s="52">
        <v>2</v>
      </c>
      <c r="D77" s="52">
        <v>2.76</v>
      </c>
      <c r="E77" s="52"/>
      <c r="F77" s="52">
        <v>0.23</v>
      </c>
      <c r="G77" s="62">
        <f t="shared" si="2"/>
        <v>1.2696000000000001</v>
      </c>
      <c r="H77" s="52"/>
    </row>
    <row r="78" spans="1:8" x14ac:dyDescent="0.25">
      <c r="A78" s="52"/>
      <c r="B78" s="52" t="s">
        <v>616</v>
      </c>
      <c r="C78" s="52">
        <v>4</v>
      </c>
      <c r="D78" s="52">
        <f>17.43-1.185-0.3-0.6</f>
        <v>15.345000000000001</v>
      </c>
      <c r="E78" s="52"/>
      <c r="F78" s="52">
        <v>0.45</v>
      </c>
      <c r="G78" s="62">
        <f t="shared" si="2"/>
        <v>27.621000000000002</v>
      </c>
      <c r="H78" s="52"/>
    </row>
    <row r="79" spans="1:8" x14ac:dyDescent="0.25">
      <c r="A79" s="52"/>
      <c r="B79" s="52" t="s">
        <v>385</v>
      </c>
      <c r="C79" s="52">
        <v>2</v>
      </c>
      <c r="D79" s="52">
        <f>17.43-1.185-0.3-0.6</f>
        <v>15.345000000000001</v>
      </c>
      <c r="E79" s="52"/>
      <c r="F79" s="52">
        <v>0.23</v>
      </c>
      <c r="G79" s="62">
        <f t="shared" si="2"/>
        <v>7.0587000000000009</v>
      </c>
      <c r="H79" s="52"/>
    </row>
    <row r="80" spans="1:8" x14ac:dyDescent="0.25">
      <c r="A80" s="52"/>
      <c r="B80" s="52" t="s">
        <v>617</v>
      </c>
      <c r="C80" s="52">
        <v>4</v>
      </c>
      <c r="D80" s="52">
        <v>8.02</v>
      </c>
      <c r="E80" s="52"/>
      <c r="F80" s="52">
        <v>0.45</v>
      </c>
      <c r="G80" s="62">
        <f t="shared" si="2"/>
        <v>14.436</v>
      </c>
      <c r="H80" s="52"/>
    </row>
    <row r="81" spans="1:8" x14ac:dyDescent="0.25">
      <c r="A81" s="52"/>
      <c r="B81" s="52" t="s">
        <v>385</v>
      </c>
      <c r="C81" s="52">
        <v>2</v>
      </c>
      <c r="D81" s="52">
        <v>8.02</v>
      </c>
      <c r="E81" s="52"/>
      <c r="F81" s="52">
        <v>0.2</v>
      </c>
      <c r="G81" s="62">
        <f t="shared" si="2"/>
        <v>3.2080000000000002</v>
      </c>
      <c r="H81" s="52"/>
    </row>
    <row r="82" spans="1:8" x14ac:dyDescent="0.25">
      <c r="A82" s="52"/>
      <c r="B82" s="52" t="s">
        <v>618</v>
      </c>
      <c r="C82" s="52">
        <v>4</v>
      </c>
      <c r="D82" s="52">
        <v>5.72</v>
      </c>
      <c r="E82" s="52"/>
      <c r="F82" s="52">
        <v>0.45</v>
      </c>
      <c r="G82" s="62">
        <f t="shared" si="2"/>
        <v>10.295999999999999</v>
      </c>
      <c r="H82" s="52"/>
    </row>
    <row r="83" spans="1:8" x14ac:dyDescent="0.25">
      <c r="A83" s="52"/>
      <c r="B83" s="52" t="s">
        <v>385</v>
      </c>
      <c r="C83" s="52">
        <v>2</v>
      </c>
      <c r="D83" s="52">
        <v>5.72</v>
      </c>
      <c r="E83" s="52"/>
      <c r="F83" s="52">
        <v>0.2</v>
      </c>
      <c r="G83" s="62">
        <f t="shared" si="2"/>
        <v>2.2879999999999998</v>
      </c>
      <c r="H83" s="52"/>
    </row>
    <row r="84" spans="1:8" x14ac:dyDescent="0.25">
      <c r="A84" s="52"/>
      <c r="B84" s="52" t="s">
        <v>619</v>
      </c>
      <c r="C84" s="52">
        <v>4</v>
      </c>
      <c r="D84" s="52">
        <f>8.07-0.3</f>
        <v>7.7700000000000005</v>
      </c>
      <c r="E84" s="52"/>
      <c r="F84" s="52">
        <v>0.45</v>
      </c>
      <c r="G84" s="62">
        <f t="shared" si="2"/>
        <v>13.986000000000001</v>
      </c>
      <c r="H84" s="52"/>
    </row>
    <row r="85" spans="1:8" x14ac:dyDescent="0.25">
      <c r="A85" s="52"/>
      <c r="B85" s="52" t="s">
        <v>385</v>
      </c>
      <c r="C85" s="52">
        <v>2</v>
      </c>
      <c r="D85" s="52">
        <f>8.07-0.3</f>
        <v>7.7700000000000005</v>
      </c>
      <c r="E85" s="52"/>
      <c r="F85" s="52">
        <v>0.2</v>
      </c>
      <c r="G85" s="62">
        <f t="shared" si="2"/>
        <v>3.1080000000000005</v>
      </c>
      <c r="H85" s="52"/>
    </row>
    <row r="86" spans="1:8" x14ac:dyDescent="0.25">
      <c r="A86" s="52"/>
      <c r="B86" s="52" t="s">
        <v>620</v>
      </c>
      <c r="C86" s="52">
        <v>12</v>
      </c>
      <c r="D86" s="52">
        <f>8.255-0.3</f>
        <v>7.955000000000001</v>
      </c>
      <c r="E86" s="52"/>
      <c r="F86" s="52">
        <v>0.45</v>
      </c>
      <c r="G86" s="62">
        <f t="shared" si="2"/>
        <v>42.957000000000008</v>
      </c>
      <c r="H86" s="52"/>
    </row>
    <row r="87" spans="1:8" x14ac:dyDescent="0.25">
      <c r="A87" s="52"/>
      <c r="B87" s="52" t="s">
        <v>385</v>
      </c>
      <c r="C87" s="52">
        <v>6</v>
      </c>
      <c r="D87" s="52">
        <f>8.255-0.3</f>
        <v>7.955000000000001</v>
      </c>
      <c r="E87" s="52"/>
      <c r="F87" s="52">
        <v>0.2</v>
      </c>
      <c r="G87" s="62">
        <f t="shared" si="2"/>
        <v>9.5460000000000012</v>
      </c>
      <c r="H87" s="52"/>
    </row>
    <row r="88" spans="1:8" x14ac:dyDescent="0.25">
      <c r="A88" s="52"/>
      <c r="B88" s="52" t="s">
        <v>621</v>
      </c>
      <c r="C88" s="52">
        <v>12</v>
      </c>
      <c r="D88" s="52">
        <f>6.345-0.6</f>
        <v>5.7450000000000001</v>
      </c>
      <c r="E88" s="52"/>
      <c r="F88" s="52">
        <v>0.45</v>
      </c>
      <c r="G88" s="62">
        <f t="shared" si="2"/>
        <v>31.023</v>
      </c>
      <c r="H88" s="52"/>
    </row>
    <row r="89" spans="1:8" x14ac:dyDescent="0.25">
      <c r="A89" s="52"/>
      <c r="B89" s="52" t="s">
        <v>385</v>
      </c>
      <c r="C89" s="52">
        <v>6</v>
      </c>
      <c r="D89" s="52">
        <f>6.345-0.6</f>
        <v>5.7450000000000001</v>
      </c>
      <c r="E89" s="52"/>
      <c r="F89" s="52">
        <v>0.2</v>
      </c>
      <c r="G89" s="62">
        <f t="shared" si="2"/>
        <v>6.8940000000000001</v>
      </c>
      <c r="H89" s="52"/>
    </row>
    <row r="90" spans="1:8" x14ac:dyDescent="0.25">
      <c r="A90" s="52"/>
      <c r="B90" s="52" t="s">
        <v>622</v>
      </c>
      <c r="C90" s="52">
        <v>4</v>
      </c>
      <c r="D90" s="52">
        <v>5.125</v>
      </c>
      <c r="E90" s="52"/>
      <c r="F90" s="52">
        <v>0.45</v>
      </c>
      <c r="G90" s="62">
        <f t="shared" si="2"/>
        <v>9.2249999999999996</v>
      </c>
      <c r="H90" s="52"/>
    </row>
    <row r="91" spans="1:8" x14ac:dyDescent="0.25">
      <c r="A91" s="52"/>
      <c r="B91" s="52" t="s">
        <v>385</v>
      </c>
      <c r="C91" s="52">
        <v>2</v>
      </c>
      <c r="D91" s="52">
        <v>5.125</v>
      </c>
      <c r="E91" s="52"/>
      <c r="F91" s="52">
        <v>0.2</v>
      </c>
      <c r="G91" s="62">
        <f t="shared" si="2"/>
        <v>2.0500000000000003</v>
      </c>
      <c r="H91" s="52"/>
    </row>
    <row r="92" spans="1:8" x14ac:dyDescent="0.25">
      <c r="A92" s="52"/>
      <c r="B92" s="52" t="s">
        <v>623</v>
      </c>
      <c r="C92" s="52">
        <v>4</v>
      </c>
      <c r="D92" s="52">
        <v>1.4</v>
      </c>
      <c r="E92" s="52"/>
      <c r="F92" s="52">
        <v>0.45</v>
      </c>
      <c r="G92" s="62">
        <f t="shared" si="2"/>
        <v>2.52</v>
      </c>
      <c r="H92" s="52"/>
    </row>
    <row r="93" spans="1:8" x14ac:dyDescent="0.25">
      <c r="A93" s="52"/>
      <c r="B93" s="52" t="s">
        <v>385</v>
      </c>
      <c r="C93" s="52">
        <v>2</v>
      </c>
      <c r="D93" s="52">
        <v>1.4</v>
      </c>
      <c r="E93" s="52"/>
      <c r="F93" s="52">
        <v>0.23</v>
      </c>
      <c r="G93" s="62">
        <f t="shared" si="2"/>
        <v>0.64400000000000002</v>
      </c>
      <c r="H93" s="52"/>
    </row>
    <row r="94" spans="1:8" x14ac:dyDescent="0.25">
      <c r="A94" s="52"/>
      <c r="B94" s="52" t="s">
        <v>624</v>
      </c>
      <c r="C94" s="52">
        <v>4</v>
      </c>
      <c r="D94" s="52">
        <f>7.425-0.6</f>
        <v>6.8250000000000002</v>
      </c>
      <c r="E94" s="52"/>
      <c r="F94" s="52">
        <v>0.45</v>
      </c>
      <c r="G94" s="62">
        <f t="shared" si="2"/>
        <v>12.285</v>
      </c>
      <c r="H94" s="52"/>
    </row>
    <row r="95" spans="1:8" x14ac:dyDescent="0.25">
      <c r="A95" s="52"/>
      <c r="B95" s="52" t="s">
        <v>385</v>
      </c>
      <c r="C95" s="52">
        <v>2</v>
      </c>
      <c r="D95" s="52">
        <f>7.425-0.6</f>
        <v>6.8250000000000002</v>
      </c>
      <c r="E95" s="52"/>
      <c r="F95" s="52">
        <v>0.2</v>
      </c>
      <c r="G95" s="62">
        <f t="shared" si="2"/>
        <v>2.7300000000000004</v>
      </c>
      <c r="H95" s="52"/>
    </row>
    <row r="96" spans="1:8" x14ac:dyDescent="0.25">
      <c r="A96" s="52"/>
      <c r="B96" s="52" t="s">
        <v>624</v>
      </c>
      <c r="C96" s="52">
        <v>4</v>
      </c>
      <c r="D96" s="52">
        <v>2.93</v>
      </c>
      <c r="E96" s="52"/>
      <c r="F96" s="52">
        <v>0.45</v>
      </c>
      <c r="G96" s="62">
        <f t="shared" si="2"/>
        <v>5.274</v>
      </c>
      <c r="H96" s="52"/>
    </row>
    <row r="97" spans="1:8" x14ac:dyDescent="0.25">
      <c r="A97" s="52"/>
      <c r="B97" s="52" t="s">
        <v>385</v>
      </c>
      <c r="C97" s="52">
        <v>2</v>
      </c>
      <c r="D97" s="52">
        <v>2.93</v>
      </c>
      <c r="E97" s="52"/>
      <c r="F97" s="52">
        <v>0.23</v>
      </c>
      <c r="G97" s="62">
        <f t="shared" si="2"/>
        <v>1.3478000000000001</v>
      </c>
      <c r="H97" s="52"/>
    </row>
    <row r="98" spans="1:8" x14ac:dyDescent="0.25">
      <c r="A98" s="52"/>
      <c r="B98" s="52" t="s">
        <v>626</v>
      </c>
      <c r="C98" s="52">
        <v>2</v>
      </c>
      <c r="D98" s="52">
        <f>18.91-2.4</f>
        <v>16.510000000000002</v>
      </c>
      <c r="E98" s="52"/>
      <c r="F98" s="52">
        <v>0.45</v>
      </c>
      <c r="G98" s="62">
        <f t="shared" si="2"/>
        <v>14.859000000000002</v>
      </c>
      <c r="H98" s="52"/>
    </row>
    <row r="99" spans="1:8" x14ac:dyDescent="0.25">
      <c r="A99" s="52"/>
      <c r="B99" s="52" t="s">
        <v>385</v>
      </c>
      <c r="C99" s="52">
        <v>1</v>
      </c>
      <c r="D99" s="52">
        <f>18.91-2.4</f>
        <v>16.510000000000002</v>
      </c>
      <c r="E99" s="52"/>
      <c r="F99" s="52">
        <v>0.23</v>
      </c>
      <c r="G99" s="62">
        <f t="shared" si="2"/>
        <v>3.7973000000000003</v>
      </c>
      <c r="H99" s="52"/>
    </row>
    <row r="100" spans="1:8" x14ac:dyDescent="0.25">
      <c r="A100" s="52"/>
      <c r="B100" s="52" t="s">
        <v>627</v>
      </c>
      <c r="C100" s="52">
        <v>4</v>
      </c>
      <c r="D100" s="52">
        <v>3.53</v>
      </c>
      <c r="E100" s="52"/>
      <c r="F100" s="52">
        <v>0.45</v>
      </c>
      <c r="G100" s="62">
        <f t="shared" si="2"/>
        <v>6.3540000000000001</v>
      </c>
      <c r="H100" s="52"/>
    </row>
    <row r="101" spans="1:8" x14ac:dyDescent="0.25">
      <c r="A101" s="52"/>
      <c r="B101" s="52" t="s">
        <v>385</v>
      </c>
      <c r="C101" s="52">
        <v>2</v>
      </c>
      <c r="D101" s="52">
        <v>3.53</v>
      </c>
      <c r="E101" s="52"/>
      <c r="F101" s="52">
        <v>0.23</v>
      </c>
      <c r="G101" s="62">
        <f t="shared" ref="G101:G164" si="8">+PRODUCT(C101:F101)</f>
        <v>1.6237999999999999</v>
      </c>
      <c r="H101" s="52"/>
    </row>
    <row r="102" spans="1:8" x14ac:dyDescent="0.25">
      <c r="A102" s="52"/>
      <c r="B102" s="52" t="s">
        <v>628</v>
      </c>
      <c r="C102" s="52">
        <v>4</v>
      </c>
      <c r="D102" s="52">
        <v>3.03</v>
      </c>
      <c r="E102" s="52"/>
      <c r="F102" s="52">
        <v>0.45</v>
      </c>
      <c r="G102" s="62">
        <f t="shared" si="8"/>
        <v>5.4539999999999997</v>
      </c>
      <c r="H102" s="52"/>
    </row>
    <row r="103" spans="1:8" x14ac:dyDescent="0.25">
      <c r="A103" s="52"/>
      <c r="B103" s="52" t="s">
        <v>385</v>
      </c>
      <c r="C103" s="52">
        <v>2</v>
      </c>
      <c r="D103" s="52">
        <v>3.03</v>
      </c>
      <c r="E103" s="52"/>
      <c r="F103" s="52">
        <v>0.2</v>
      </c>
      <c r="G103" s="62">
        <f t="shared" si="8"/>
        <v>1.212</v>
      </c>
      <c r="H103" s="52"/>
    </row>
    <row r="104" spans="1:8" x14ac:dyDescent="0.25">
      <c r="A104" s="52"/>
      <c r="B104" s="52" t="s">
        <v>629</v>
      </c>
      <c r="C104" s="52">
        <v>4</v>
      </c>
      <c r="D104" s="52">
        <v>10.199999999999999</v>
      </c>
      <c r="E104" s="52"/>
      <c r="F104" s="52">
        <v>0.45</v>
      </c>
      <c r="G104" s="62">
        <f t="shared" si="8"/>
        <v>18.36</v>
      </c>
      <c r="H104" s="52"/>
    </row>
    <row r="105" spans="1:8" x14ac:dyDescent="0.25">
      <c r="A105" s="52"/>
      <c r="B105" s="52" t="s">
        <v>385</v>
      </c>
      <c r="C105" s="52">
        <v>2</v>
      </c>
      <c r="D105" s="52">
        <v>10.199999999999999</v>
      </c>
      <c r="E105" s="52"/>
      <c r="F105" s="52">
        <v>0.2</v>
      </c>
      <c r="G105" s="62">
        <f t="shared" si="8"/>
        <v>4.08</v>
      </c>
      <c r="H105" s="52"/>
    </row>
    <row r="106" spans="1:8" x14ac:dyDescent="0.25">
      <c r="A106" s="52"/>
      <c r="B106" s="52" t="s">
        <v>630</v>
      </c>
      <c r="C106" s="52">
        <v>4</v>
      </c>
      <c r="D106" s="52">
        <v>6.38</v>
      </c>
      <c r="E106" s="52"/>
      <c r="F106" s="52">
        <v>0.45</v>
      </c>
      <c r="G106" s="62">
        <f t="shared" si="8"/>
        <v>11.484</v>
      </c>
      <c r="H106" s="52"/>
    </row>
    <row r="107" spans="1:8" x14ac:dyDescent="0.25">
      <c r="A107" s="52"/>
      <c r="B107" s="52" t="s">
        <v>385</v>
      </c>
      <c r="C107" s="52">
        <v>2</v>
      </c>
      <c r="D107" s="52">
        <v>6.38</v>
      </c>
      <c r="E107" s="52"/>
      <c r="F107" s="52">
        <v>0.2</v>
      </c>
      <c r="G107" s="62">
        <f t="shared" si="8"/>
        <v>2.552</v>
      </c>
      <c r="H107" s="52"/>
    </row>
    <row r="108" spans="1:8" x14ac:dyDescent="0.25">
      <c r="A108" s="52"/>
      <c r="B108" s="52" t="s">
        <v>631</v>
      </c>
      <c r="C108" s="52">
        <v>12</v>
      </c>
      <c r="D108" s="52">
        <v>5.36</v>
      </c>
      <c r="E108" s="52"/>
      <c r="F108" s="52">
        <v>0.45</v>
      </c>
      <c r="G108" s="62">
        <f t="shared" si="8"/>
        <v>28.944000000000003</v>
      </c>
      <c r="H108" s="52"/>
    </row>
    <row r="109" spans="1:8" x14ac:dyDescent="0.25">
      <c r="A109" s="52"/>
      <c r="B109" s="52" t="s">
        <v>385</v>
      </c>
      <c r="C109" s="52">
        <v>6</v>
      </c>
      <c r="D109" s="52">
        <v>5.36</v>
      </c>
      <c r="E109" s="52"/>
      <c r="F109" s="52">
        <v>0.2</v>
      </c>
      <c r="G109" s="62">
        <f t="shared" si="8"/>
        <v>6.4320000000000013</v>
      </c>
      <c r="H109" s="52"/>
    </row>
    <row r="110" spans="1:8" x14ac:dyDescent="0.25">
      <c r="A110" s="52"/>
      <c r="B110" s="52" t="s">
        <v>633</v>
      </c>
      <c r="C110" s="52">
        <v>40</v>
      </c>
      <c r="D110" s="52">
        <v>0.51500000000000001</v>
      </c>
      <c r="E110" s="52"/>
      <c r="F110" s="52">
        <v>0.45</v>
      </c>
      <c r="G110" s="62">
        <f t="shared" si="8"/>
        <v>9.2700000000000014</v>
      </c>
      <c r="H110" s="52"/>
    </row>
    <row r="111" spans="1:8" x14ac:dyDescent="0.25">
      <c r="A111" s="52"/>
      <c r="B111" s="52" t="s">
        <v>385</v>
      </c>
      <c r="C111" s="52">
        <v>20</v>
      </c>
      <c r="D111" s="52">
        <v>0.51500000000000001</v>
      </c>
      <c r="E111" s="52"/>
      <c r="F111" s="52">
        <v>0.1</v>
      </c>
      <c r="G111" s="62">
        <f t="shared" si="8"/>
        <v>1.03</v>
      </c>
      <c r="H111" s="52"/>
    </row>
    <row r="112" spans="1:8" x14ac:dyDescent="0.25">
      <c r="A112" s="52"/>
      <c r="B112" s="52" t="s">
        <v>634</v>
      </c>
      <c r="C112" s="52">
        <v>12</v>
      </c>
      <c r="D112" s="52">
        <v>3.45</v>
      </c>
      <c r="E112" s="52"/>
      <c r="F112" s="52">
        <v>0.45</v>
      </c>
      <c r="G112" s="62">
        <f t="shared" si="8"/>
        <v>18.630000000000003</v>
      </c>
      <c r="H112" s="52"/>
    </row>
    <row r="113" spans="1:8" x14ac:dyDescent="0.25">
      <c r="A113" s="52"/>
      <c r="B113" s="52" t="s">
        <v>385</v>
      </c>
      <c r="C113" s="52">
        <v>6</v>
      </c>
      <c r="D113" s="52">
        <v>3.45</v>
      </c>
      <c r="E113" s="52"/>
      <c r="F113" s="52">
        <v>0.2</v>
      </c>
      <c r="G113" s="62">
        <f t="shared" si="8"/>
        <v>4.1400000000000006</v>
      </c>
      <c r="H113" s="52"/>
    </row>
    <row r="114" spans="1:8" x14ac:dyDescent="0.25">
      <c r="A114" s="52"/>
      <c r="B114" s="52" t="s">
        <v>632</v>
      </c>
      <c r="C114" s="52">
        <v>12</v>
      </c>
      <c r="D114" s="52">
        <v>2.91</v>
      </c>
      <c r="E114" s="52"/>
      <c r="F114" s="52">
        <v>0.45</v>
      </c>
      <c r="G114" s="62">
        <f t="shared" si="8"/>
        <v>15.714</v>
      </c>
      <c r="H114" s="52"/>
    </row>
    <row r="115" spans="1:8" x14ac:dyDescent="0.25">
      <c r="A115" s="52"/>
      <c r="B115" s="52" t="s">
        <v>385</v>
      </c>
      <c r="C115" s="52">
        <v>6</v>
      </c>
      <c r="D115" s="52">
        <v>2.91</v>
      </c>
      <c r="E115" s="52"/>
      <c r="F115" s="52">
        <v>0.2</v>
      </c>
      <c r="G115" s="62">
        <f t="shared" si="8"/>
        <v>3.4920000000000004</v>
      </c>
      <c r="H115" s="52"/>
    </row>
    <row r="116" spans="1:8" x14ac:dyDescent="0.25">
      <c r="A116" s="52"/>
      <c r="B116" s="52" t="s">
        <v>635</v>
      </c>
      <c r="C116" s="52">
        <v>4</v>
      </c>
      <c r="D116" s="52">
        <f>7.88-1.5</f>
        <v>6.38</v>
      </c>
      <c r="E116" s="52"/>
      <c r="F116" s="52">
        <v>0.45</v>
      </c>
      <c r="G116" s="62">
        <f t="shared" si="8"/>
        <v>11.484</v>
      </c>
      <c r="H116" s="52"/>
    </row>
    <row r="117" spans="1:8" x14ac:dyDescent="0.25">
      <c r="A117" s="52"/>
      <c r="B117" s="52" t="s">
        <v>385</v>
      </c>
      <c r="C117" s="52">
        <v>2</v>
      </c>
      <c r="D117" s="52">
        <f>7.88-1.5</f>
        <v>6.38</v>
      </c>
      <c r="E117" s="52"/>
      <c r="F117" s="52">
        <v>0.2</v>
      </c>
      <c r="G117" s="62">
        <f t="shared" si="8"/>
        <v>2.552</v>
      </c>
      <c r="H117" s="52"/>
    </row>
    <row r="118" spans="1:8" x14ac:dyDescent="0.25">
      <c r="A118" s="52"/>
      <c r="B118" s="52" t="s">
        <v>625</v>
      </c>
      <c r="C118" s="52">
        <v>12</v>
      </c>
      <c r="D118" s="52">
        <v>3.31</v>
      </c>
      <c r="E118" s="52"/>
      <c r="F118" s="52">
        <v>0.45</v>
      </c>
      <c r="G118" s="62">
        <f t="shared" si="8"/>
        <v>17.873999999999999</v>
      </c>
      <c r="H118" s="52"/>
    </row>
    <row r="119" spans="1:8" x14ac:dyDescent="0.25">
      <c r="A119" s="52"/>
      <c r="B119" s="52" t="s">
        <v>385</v>
      </c>
      <c r="C119" s="52">
        <v>6</v>
      </c>
      <c r="D119" s="52">
        <v>3.31</v>
      </c>
      <c r="E119" s="52"/>
      <c r="F119" s="52">
        <v>0.2</v>
      </c>
      <c r="G119" s="62">
        <f t="shared" si="8"/>
        <v>3.972</v>
      </c>
      <c r="H119" s="52"/>
    </row>
    <row r="120" spans="1:8" x14ac:dyDescent="0.25">
      <c r="A120" s="52"/>
      <c r="B120" s="52" t="s">
        <v>636</v>
      </c>
      <c r="C120" s="52">
        <v>8</v>
      </c>
      <c r="D120" s="52">
        <v>2.1949999999999998</v>
      </c>
      <c r="E120" s="52"/>
      <c r="F120" s="52">
        <v>0.45</v>
      </c>
      <c r="G120" s="62">
        <f t="shared" si="8"/>
        <v>7.9019999999999992</v>
      </c>
      <c r="H120" s="52"/>
    </row>
    <row r="121" spans="1:8" x14ac:dyDescent="0.25">
      <c r="A121" s="52"/>
      <c r="B121" s="52" t="s">
        <v>385</v>
      </c>
      <c r="C121" s="52">
        <v>4</v>
      </c>
      <c r="D121" s="52">
        <v>2.1949999999999998</v>
      </c>
      <c r="E121" s="52"/>
      <c r="F121" s="52">
        <v>0.2</v>
      </c>
      <c r="G121" s="62">
        <f t="shared" si="8"/>
        <v>1.756</v>
      </c>
      <c r="H121" s="52"/>
    </row>
    <row r="122" spans="1:8" x14ac:dyDescent="0.25">
      <c r="A122" s="52"/>
      <c r="B122" s="52" t="s">
        <v>637</v>
      </c>
      <c r="C122" s="52">
        <v>4</v>
      </c>
      <c r="D122" s="52">
        <v>5.2450000000000001</v>
      </c>
      <c r="E122" s="52"/>
      <c r="F122" s="52">
        <v>0.45</v>
      </c>
      <c r="G122" s="62">
        <f t="shared" si="8"/>
        <v>9.4410000000000007</v>
      </c>
      <c r="H122" s="52"/>
    </row>
    <row r="123" spans="1:8" x14ac:dyDescent="0.25">
      <c r="A123" s="52"/>
      <c r="B123" s="52" t="s">
        <v>385</v>
      </c>
      <c r="C123" s="52">
        <v>2</v>
      </c>
      <c r="D123" s="52">
        <v>5.2450000000000001</v>
      </c>
      <c r="E123" s="52"/>
      <c r="F123" s="52">
        <v>0.2</v>
      </c>
      <c r="G123" s="62">
        <f t="shared" si="8"/>
        <v>2.0980000000000003</v>
      </c>
      <c r="H123" s="52"/>
    </row>
    <row r="124" spans="1:8" x14ac:dyDescent="0.25">
      <c r="A124" s="52"/>
      <c r="B124" s="52" t="s">
        <v>638</v>
      </c>
      <c r="C124" s="52">
        <v>4</v>
      </c>
      <c r="D124" s="52">
        <v>2.23</v>
      </c>
      <c r="E124" s="52"/>
      <c r="F124" s="52">
        <v>0.45</v>
      </c>
      <c r="G124" s="62">
        <f t="shared" si="8"/>
        <v>4.0140000000000002</v>
      </c>
      <c r="H124" s="52"/>
    </row>
    <row r="125" spans="1:8" x14ac:dyDescent="0.25">
      <c r="A125" s="52"/>
      <c r="B125" s="52" t="s">
        <v>385</v>
      </c>
      <c r="C125" s="52">
        <v>2</v>
      </c>
      <c r="D125" s="52">
        <v>2.23</v>
      </c>
      <c r="E125" s="52"/>
      <c r="F125" s="52">
        <v>0.2</v>
      </c>
      <c r="G125" s="62">
        <f t="shared" si="8"/>
        <v>0.89200000000000002</v>
      </c>
      <c r="H125" s="52"/>
    </row>
    <row r="126" spans="1:8" x14ac:dyDescent="0.25">
      <c r="A126" s="52"/>
      <c r="B126" s="52" t="s">
        <v>639</v>
      </c>
      <c r="C126" s="52">
        <v>4</v>
      </c>
      <c r="D126" s="52">
        <f>5.65-0.75</f>
        <v>4.9000000000000004</v>
      </c>
      <c r="E126" s="52"/>
      <c r="F126" s="52">
        <v>0.45</v>
      </c>
      <c r="G126" s="62">
        <f t="shared" si="8"/>
        <v>8.82</v>
      </c>
      <c r="H126" s="52"/>
    </row>
    <row r="127" spans="1:8" x14ac:dyDescent="0.25">
      <c r="A127" s="52"/>
      <c r="B127" s="52" t="s">
        <v>385</v>
      </c>
      <c r="C127" s="52">
        <v>2</v>
      </c>
      <c r="D127" s="52">
        <f>5.65-0.75</f>
        <v>4.9000000000000004</v>
      </c>
      <c r="E127" s="52"/>
      <c r="F127" s="52">
        <v>0.2</v>
      </c>
      <c r="G127" s="62">
        <f t="shared" si="8"/>
        <v>1.9600000000000002</v>
      </c>
      <c r="H127" s="52"/>
    </row>
    <row r="128" spans="1:8" x14ac:dyDescent="0.25">
      <c r="A128" s="52"/>
      <c r="B128" s="52" t="s">
        <v>640</v>
      </c>
      <c r="C128" s="52">
        <v>4</v>
      </c>
      <c r="D128" s="52">
        <v>5.1449999999999996</v>
      </c>
      <c r="E128" s="52"/>
      <c r="F128" s="52">
        <v>0.45</v>
      </c>
      <c r="G128" s="62">
        <f t="shared" si="8"/>
        <v>9.2609999999999992</v>
      </c>
      <c r="H128" s="52"/>
    </row>
    <row r="129" spans="1:8" x14ac:dyDescent="0.25">
      <c r="A129" s="52"/>
      <c r="B129" s="52" t="s">
        <v>385</v>
      </c>
      <c r="C129" s="52">
        <v>2</v>
      </c>
      <c r="D129" s="52">
        <v>5.1449999999999996</v>
      </c>
      <c r="E129" s="52"/>
      <c r="F129" s="52">
        <v>0.2</v>
      </c>
      <c r="G129" s="62">
        <f t="shared" si="8"/>
        <v>2.0579999999999998</v>
      </c>
      <c r="H129" s="52"/>
    </row>
    <row r="130" spans="1:8" x14ac:dyDescent="0.25">
      <c r="A130" s="52"/>
      <c r="B130" s="52" t="s">
        <v>641</v>
      </c>
      <c r="C130" s="52">
        <v>4</v>
      </c>
      <c r="D130" s="52">
        <v>3.2</v>
      </c>
      <c r="E130" s="52"/>
      <c r="F130" s="52">
        <v>0.45</v>
      </c>
      <c r="G130" s="62">
        <f t="shared" si="8"/>
        <v>5.7600000000000007</v>
      </c>
      <c r="H130" s="52"/>
    </row>
    <row r="131" spans="1:8" x14ac:dyDescent="0.25">
      <c r="A131" s="52"/>
      <c r="B131" s="52" t="s">
        <v>385</v>
      </c>
      <c r="C131" s="52">
        <v>2</v>
      </c>
      <c r="D131" s="52">
        <v>3.2</v>
      </c>
      <c r="E131" s="52"/>
      <c r="F131" s="52">
        <v>0.23</v>
      </c>
      <c r="G131" s="62">
        <f t="shared" si="8"/>
        <v>1.4720000000000002</v>
      </c>
      <c r="H131" s="52"/>
    </row>
    <row r="132" spans="1:8" x14ac:dyDescent="0.25">
      <c r="A132" s="52"/>
      <c r="B132" s="52" t="s">
        <v>642</v>
      </c>
      <c r="C132" s="52">
        <v>4</v>
      </c>
      <c r="D132" s="52">
        <v>2.95</v>
      </c>
      <c r="E132" s="52"/>
      <c r="F132" s="52">
        <v>0.45</v>
      </c>
      <c r="G132" s="62">
        <f t="shared" si="8"/>
        <v>5.3100000000000005</v>
      </c>
      <c r="H132" s="52"/>
    </row>
    <row r="133" spans="1:8" x14ac:dyDescent="0.25">
      <c r="A133" s="52"/>
      <c r="B133" s="52" t="s">
        <v>385</v>
      </c>
      <c r="C133" s="52">
        <v>2</v>
      </c>
      <c r="D133" s="52">
        <v>2.95</v>
      </c>
      <c r="E133" s="52"/>
      <c r="F133" s="52">
        <v>0.2</v>
      </c>
      <c r="G133" s="62">
        <f t="shared" si="8"/>
        <v>1.1800000000000002</v>
      </c>
      <c r="H133" s="52"/>
    </row>
    <row r="134" spans="1:8" x14ac:dyDescent="0.25">
      <c r="A134" s="52"/>
      <c r="B134" s="52" t="s">
        <v>643</v>
      </c>
      <c r="C134" s="52">
        <v>4</v>
      </c>
      <c r="D134" s="52">
        <v>3.8</v>
      </c>
      <c r="E134" s="52"/>
      <c r="F134" s="52">
        <v>0.45</v>
      </c>
      <c r="G134" s="62">
        <f t="shared" si="8"/>
        <v>6.84</v>
      </c>
      <c r="H134" s="52"/>
    </row>
    <row r="135" spans="1:8" x14ac:dyDescent="0.25">
      <c r="A135" s="52"/>
      <c r="B135" s="52" t="s">
        <v>385</v>
      </c>
      <c r="C135" s="52">
        <v>2</v>
      </c>
      <c r="D135" s="52">
        <v>3.8</v>
      </c>
      <c r="E135" s="52"/>
      <c r="F135" s="52">
        <v>0.2</v>
      </c>
      <c r="G135" s="62">
        <f t="shared" si="8"/>
        <v>1.52</v>
      </c>
      <c r="H135" s="52"/>
    </row>
    <row r="136" spans="1:8" x14ac:dyDescent="0.25">
      <c r="A136" s="52"/>
      <c r="B136" s="52" t="s">
        <v>644</v>
      </c>
      <c r="C136" s="52">
        <v>4</v>
      </c>
      <c r="D136" s="52">
        <v>4.55</v>
      </c>
      <c r="E136" s="52"/>
      <c r="F136" s="52">
        <v>0.45</v>
      </c>
      <c r="G136" s="62">
        <f t="shared" si="8"/>
        <v>8.19</v>
      </c>
      <c r="H136" s="52"/>
    </row>
    <row r="137" spans="1:8" x14ac:dyDescent="0.25">
      <c r="A137" s="52"/>
      <c r="B137" s="52" t="s">
        <v>385</v>
      </c>
      <c r="C137" s="52">
        <v>2</v>
      </c>
      <c r="D137" s="52">
        <v>4.55</v>
      </c>
      <c r="E137" s="52"/>
      <c r="F137" s="52">
        <v>0.2</v>
      </c>
      <c r="G137" s="62">
        <f t="shared" si="8"/>
        <v>1.82</v>
      </c>
      <c r="H137" s="52"/>
    </row>
    <row r="138" spans="1:8" x14ac:dyDescent="0.25">
      <c r="A138" s="52"/>
      <c r="B138" s="52" t="s">
        <v>645</v>
      </c>
      <c r="C138" s="52">
        <v>4</v>
      </c>
      <c r="D138" s="52">
        <v>3.05</v>
      </c>
      <c r="E138" s="52"/>
      <c r="F138" s="52">
        <v>0.45</v>
      </c>
      <c r="G138" s="62">
        <f t="shared" si="8"/>
        <v>5.49</v>
      </c>
      <c r="H138" s="52"/>
    </row>
    <row r="139" spans="1:8" x14ac:dyDescent="0.25">
      <c r="A139" s="52"/>
      <c r="B139" s="52" t="s">
        <v>385</v>
      </c>
      <c r="C139" s="52">
        <v>2</v>
      </c>
      <c r="D139" s="52">
        <v>3.05</v>
      </c>
      <c r="E139" s="52"/>
      <c r="F139" s="52">
        <v>0.2</v>
      </c>
      <c r="G139" s="62">
        <f t="shared" si="8"/>
        <v>1.22</v>
      </c>
      <c r="H139" s="52"/>
    </row>
    <row r="140" spans="1:8" x14ac:dyDescent="0.25">
      <c r="A140" s="52"/>
      <c r="B140" s="52" t="s">
        <v>646</v>
      </c>
      <c r="C140" s="52">
        <v>4</v>
      </c>
      <c r="D140" s="52">
        <v>3.1150000000000002</v>
      </c>
      <c r="E140" s="52"/>
      <c r="F140" s="52">
        <v>0.45</v>
      </c>
      <c r="G140" s="62">
        <f t="shared" si="8"/>
        <v>5.6070000000000002</v>
      </c>
      <c r="H140" s="52"/>
    </row>
    <row r="141" spans="1:8" x14ac:dyDescent="0.25">
      <c r="A141" s="52"/>
      <c r="B141" s="52" t="s">
        <v>385</v>
      </c>
      <c r="C141" s="52">
        <v>2</v>
      </c>
      <c r="D141" s="52">
        <v>3.1150000000000002</v>
      </c>
      <c r="E141" s="52"/>
      <c r="F141" s="52">
        <v>0.2</v>
      </c>
      <c r="G141" s="62">
        <f t="shared" si="8"/>
        <v>1.2460000000000002</v>
      </c>
      <c r="H141" s="52"/>
    </row>
    <row r="142" spans="1:8" x14ac:dyDescent="0.25">
      <c r="A142" s="52"/>
      <c r="B142" s="52" t="s">
        <v>647</v>
      </c>
      <c r="C142" s="52">
        <v>4</v>
      </c>
      <c r="D142" s="52">
        <v>1.41</v>
      </c>
      <c r="E142" s="52"/>
      <c r="F142" s="52">
        <v>0.45</v>
      </c>
      <c r="G142" s="62">
        <f t="shared" si="8"/>
        <v>2.5379999999999998</v>
      </c>
      <c r="H142" s="52"/>
    </row>
    <row r="143" spans="1:8" x14ac:dyDescent="0.25">
      <c r="A143" s="52"/>
      <c r="B143" s="52" t="s">
        <v>385</v>
      </c>
      <c r="C143" s="52">
        <v>2</v>
      </c>
      <c r="D143" s="52">
        <v>1.41</v>
      </c>
      <c r="E143" s="52"/>
      <c r="F143" s="52">
        <v>0.2</v>
      </c>
      <c r="G143" s="62">
        <f t="shared" si="8"/>
        <v>0.56399999999999995</v>
      </c>
      <c r="H143" s="52"/>
    </row>
    <row r="144" spans="1:8" x14ac:dyDescent="0.25">
      <c r="A144" s="52"/>
      <c r="B144" s="52" t="s">
        <v>648</v>
      </c>
      <c r="C144" s="52">
        <v>4</v>
      </c>
      <c r="D144" s="52">
        <v>0.35</v>
      </c>
      <c r="E144" s="52"/>
      <c r="F144" s="52">
        <v>0.45</v>
      </c>
      <c r="G144" s="62">
        <f t="shared" si="8"/>
        <v>0.63</v>
      </c>
      <c r="H144" s="52"/>
    </row>
    <row r="145" spans="1:8" x14ac:dyDescent="0.25">
      <c r="A145" s="52"/>
      <c r="B145" s="52" t="s">
        <v>385</v>
      </c>
      <c r="C145" s="52">
        <v>2</v>
      </c>
      <c r="D145" s="52">
        <v>0.35</v>
      </c>
      <c r="E145" s="52"/>
      <c r="F145" s="52">
        <v>0.2</v>
      </c>
      <c r="G145" s="62">
        <f t="shared" si="8"/>
        <v>0.13999999999999999</v>
      </c>
      <c r="H145" s="52"/>
    </row>
    <row r="146" spans="1:8" x14ac:dyDescent="0.25">
      <c r="A146" s="52"/>
      <c r="B146" s="52" t="s">
        <v>649</v>
      </c>
      <c r="C146" s="52">
        <v>4</v>
      </c>
      <c r="D146" s="52">
        <v>2.37</v>
      </c>
      <c r="E146" s="52"/>
      <c r="F146" s="52">
        <v>0.45</v>
      </c>
      <c r="G146" s="62">
        <f t="shared" si="8"/>
        <v>4.266</v>
      </c>
      <c r="H146" s="52"/>
    </row>
    <row r="147" spans="1:8" x14ac:dyDescent="0.25">
      <c r="A147" s="52"/>
      <c r="B147" s="52" t="s">
        <v>385</v>
      </c>
      <c r="C147" s="52">
        <v>2</v>
      </c>
      <c r="D147" s="52">
        <v>2.37</v>
      </c>
      <c r="E147" s="52"/>
      <c r="F147" s="52">
        <v>0.2</v>
      </c>
      <c r="G147" s="62">
        <f t="shared" si="8"/>
        <v>0.94800000000000006</v>
      </c>
      <c r="H147" s="52"/>
    </row>
    <row r="148" spans="1:8" x14ac:dyDescent="0.25">
      <c r="A148" s="52"/>
      <c r="B148" s="52" t="s">
        <v>650</v>
      </c>
      <c r="C148" s="52">
        <v>4</v>
      </c>
      <c r="D148" s="52">
        <v>3.2</v>
      </c>
      <c r="E148" s="52"/>
      <c r="F148" s="52">
        <v>0.45</v>
      </c>
      <c r="G148" s="62">
        <f t="shared" si="8"/>
        <v>5.7600000000000007</v>
      </c>
      <c r="H148" s="52"/>
    </row>
    <row r="149" spans="1:8" x14ac:dyDescent="0.25">
      <c r="A149" s="52"/>
      <c r="B149" s="52" t="s">
        <v>385</v>
      </c>
      <c r="C149" s="52">
        <v>2</v>
      </c>
      <c r="D149" s="52">
        <v>3.2</v>
      </c>
      <c r="E149" s="52"/>
      <c r="F149" s="52">
        <v>0.2</v>
      </c>
      <c r="G149" s="62">
        <f t="shared" si="8"/>
        <v>1.2800000000000002</v>
      </c>
      <c r="H149" s="52"/>
    </row>
    <row r="150" spans="1:8" x14ac:dyDescent="0.25">
      <c r="A150" s="52"/>
      <c r="B150" s="52" t="s">
        <v>661</v>
      </c>
      <c r="C150" s="52">
        <v>4</v>
      </c>
      <c r="D150" s="52">
        <f>15.59-0.3*2-0.23*2</f>
        <v>14.53</v>
      </c>
      <c r="E150" s="52"/>
      <c r="F150" s="52">
        <v>0.45</v>
      </c>
      <c r="G150" s="62">
        <f t="shared" si="8"/>
        <v>26.154</v>
      </c>
      <c r="H150" s="52"/>
    </row>
    <row r="151" spans="1:8" x14ac:dyDescent="0.25">
      <c r="A151" s="52"/>
      <c r="B151" s="52" t="s">
        <v>385</v>
      </c>
      <c r="C151" s="52">
        <v>2</v>
      </c>
      <c r="D151" s="52">
        <f>15.59-0.3*2-0.23*2</f>
        <v>14.53</v>
      </c>
      <c r="E151" s="52"/>
      <c r="F151" s="52">
        <v>0.2</v>
      </c>
      <c r="G151" s="62">
        <f t="shared" si="8"/>
        <v>5.8120000000000003</v>
      </c>
      <c r="H151" s="52"/>
    </row>
    <row r="152" spans="1:8" x14ac:dyDescent="0.25">
      <c r="A152" s="52"/>
      <c r="B152" s="52" t="s">
        <v>652</v>
      </c>
      <c r="C152" s="52">
        <v>8</v>
      </c>
      <c r="D152" s="52">
        <v>2.2250000000000001</v>
      </c>
      <c r="E152" s="52"/>
      <c r="F152" s="52">
        <v>0.45</v>
      </c>
      <c r="G152" s="62">
        <f t="shared" si="8"/>
        <v>8.01</v>
      </c>
      <c r="H152" s="52"/>
    </row>
    <row r="153" spans="1:8" x14ac:dyDescent="0.25">
      <c r="A153" s="52"/>
      <c r="B153" s="52" t="s">
        <v>385</v>
      </c>
      <c r="C153" s="52">
        <v>4</v>
      </c>
      <c r="D153" s="52">
        <v>2.2250000000000001</v>
      </c>
      <c r="E153" s="52"/>
      <c r="F153" s="52">
        <v>0.2</v>
      </c>
      <c r="G153" s="62">
        <f t="shared" si="8"/>
        <v>1.7800000000000002</v>
      </c>
      <c r="H153" s="52"/>
    </row>
    <row r="154" spans="1:8" x14ac:dyDescent="0.25">
      <c r="A154" s="52"/>
      <c r="B154" s="52" t="s">
        <v>653</v>
      </c>
      <c r="C154" s="52">
        <v>4</v>
      </c>
      <c r="D154" s="52">
        <v>3.06</v>
      </c>
      <c r="E154" s="52"/>
      <c r="F154" s="52">
        <v>0.45</v>
      </c>
      <c r="G154" s="62">
        <f t="shared" si="8"/>
        <v>5.508</v>
      </c>
      <c r="H154" s="52"/>
    </row>
    <row r="155" spans="1:8" x14ac:dyDescent="0.25">
      <c r="A155" s="52"/>
      <c r="B155" s="52" t="s">
        <v>385</v>
      </c>
      <c r="C155" s="52">
        <v>2</v>
      </c>
      <c r="D155" s="52">
        <v>3.06</v>
      </c>
      <c r="E155" s="52"/>
      <c r="F155" s="52">
        <v>0.2</v>
      </c>
      <c r="G155" s="62">
        <f t="shared" si="8"/>
        <v>1.2240000000000002</v>
      </c>
      <c r="H155" s="52"/>
    </row>
    <row r="156" spans="1:8" x14ac:dyDescent="0.25">
      <c r="A156" s="52"/>
      <c r="B156" s="52" t="s">
        <v>654</v>
      </c>
      <c r="C156" s="52">
        <v>4</v>
      </c>
      <c r="D156" s="52">
        <v>3.06</v>
      </c>
      <c r="E156" s="52"/>
      <c r="F156" s="52">
        <v>0.45</v>
      </c>
      <c r="G156" s="62">
        <f t="shared" si="8"/>
        <v>5.508</v>
      </c>
      <c r="H156" s="52"/>
    </row>
    <row r="157" spans="1:8" x14ac:dyDescent="0.25">
      <c r="A157" s="52"/>
      <c r="B157" s="52" t="s">
        <v>385</v>
      </c>
      <c r="C157" s="52">
        <v>2</v>
      </c>
      <c r="D157" s="52">
        <v>3.06</v>
      </c>
      <c r="E157" s="52"/>
      <c r="F157" s="52">
        <v>0.2</v>
      </c>
      <c r="G157" s="62">
        <f t="shared" si="8"/>
        <v>1.2240000000000002</v>
      </c>
      <c r="H157" s="52"/>
    </row>
    <row r="158" spans="1:8" x14ac:dyDescent="0.25">
      <c r="A158" s="52"/>
      <c r="B158" s="52" t="s">
        <v>655</v>
      </c>
      <c r="C158" s="52">
        <v>4</v>
      </c>
      <c r="D158" s="52">
        <v>1.6</v>
      </c>
      <c r="E158" s="52"/>
      <c r="F158" s="52">
        <v>0.45</v>
      </c>
      <c r="G158" s="62">
        <f t="shared" si="8"/>
        <v>2.8800000000000003</v>
      </c>
      <c r="H158" s="52"/>
    </row>
    <row r="159" spans="1:8" x14ac:dyDescent="0.25">
      <c r="A159" s="52"/>
      <c r="B159" s="52" t="s">
        <v>385</v>
      </c>
      <c r="C159" s="52">
        <v>2</v>
      </c>
      <c r="D159" s="52">
        <v>1.6</v>
      </c>
      <c r="E159" s="52"/>
      <c r="F159" s="52">
        <v>0.2</v>
      </c>
      <c r="G159" s="62">
        <f t="shared" si="8"/>
        <v>0.64000000000000012</v>
      </c>
      <c r="H159" s="52"/>
    </row>
    <row r="160" spans="1:8" x14ac:dyDescent="0.25">
      <c r="A160" s="52"/>
      <c r="B160" s="52" t="s">
        <v>656</v>
      </c>
      <c r="C160" s="52">
        <v>8</v>
      </c>
      <c r="D160" s="52">
        <v>3.05</v>
      </c>
      <c r="E160" s="52"/>
      <c r="F160" s="52">
        <v>0.45</v>
      </c>
      <c r="G160" s="62">
        <f t="shared" si="8"/>
        <v>10.98</v>
      </c>
      <c r="H160" s="52"/>
    </row>
    <row r="161" spans="1:9" x14ac:dyDescent="0.25">
      <c r="A161" s="52"/>
      <c r="B161" s="52" t="s">
        <v>385</v>
      </c>
      <c r="C161" s="52">
        <v>4</v>
      </c>
      <c r="D161" s="52">
        <v>3.05</v>
      </c>
      <c r="E161" s="52"/>
      <c r="F161" s="52">
        <v>0.2</v>
      </c>
      <c r="G161" s="62">
        <f t="shared" si="8"/>
        <v>2.44</v>
      </c>
      <c r="H161" s="52"/>
    </row>
    <row r="162" spans="1:9" x14ac:dyDescent="0.25">
      <c r="A162" s="52"/>
      <c r="B162" s="52" t="s">
        <v>657</v>
      </c>
      <c r="C162" s="52">
        <v>4</v>
      </c>
      <c r="D162" s="52">
        <f>7-0.46</f>
        <v>6.54</v>
      </c>
      <c r="E162" s="52"/>
      <c r="F162" s="52">
        <v>0.45</v>
      </c>
      <c r="G162" s="62">
        <f t="shared" si="8"/>
        <v>11.772</v>
      </c>
      <c r="H162" s="52"/>
    </row>
    <row r="163" spans="1:9" x14ac:dyDescent="0.25">
      <c r="A163" s="52"/>
      <c r="B163" s="52" t="s">
        <v>385</v>
      </c>
      <c r="C163" s="52">
        <v>2</v>
      </c>
      <c r="D163" s="52">
        <f>7-0.46</f>
        <v>6.54</v>
      </c>
      <c r="E163" s="52"/>
      <c r="F163" s="52">
        <v>0.2</v>
      </c>
      <c r="G163" s="62">
        <f t="shared" si="8"/>
        <v>2.6160000000000001</v>
      </c>
      <c r="H163" s="52"/>
    </row>
    <row r="164" spans="1:9" x14ac:dyDescent="0.25">
      <c r="A164" s="52"/>
      <c r="B164" s="52" t="s">
        <v>658</v>
      </c>
      <c r="C164" s="52">
        <v>4</v>
      </c>
      <c r="D164" s="52">
        <f>7-0.6-0.23</f>
        <v>6.17</v>
      </c>
      <c r="E164" s="52"/>
      <c r="F164" s="52">
        <v>0.45</v>
      </c>
      <c r="G164" s="62">
        <f t="shared" si="8"/>
        <v>11.106</v>
      </c>
      <c r="H164" s="52"/>
    </row>
    <row r="165" spans="1:9" x14ac:dyDescent="0.25">
      <c r="A165" s="52"/>
      <c r="B165" s="52" t="s">
        <v>385</v>
      </c>
      <c r="C165" s="52">
        <v>2</v>
      </c>
      <c r="D165" s="52">
        <f>7-0.6-0.23</f>
        <v>6.17</v>
      </c>
      <c r="E165" s="52"/>
      <c r="F165" s="52">
        <v>0.2</v>
      </c>
      <c r="G165" s="62">
        <f t="shared" ref="G165:G171" si="9">+PRODUCT(C165:F165)</f>
        <v>2.468</v>
      </c>
      <c r="H165" s="52"/>
    </row>
    <row r="166" spans="1:9" x14ac:dyDescent="0.25">
      <c r="A166" s="52"/>
      <c r="B166" s="52" t="s">
        <v>659</v>
      </c>
      <c r="C166" s="52">
        <v>8</v>
      </c>
      <c r="D166" s="52">
        <v>3.05</v>
      </c>
      <c r="E166" s="52"/>
      <c r="F166" s="52">
        <v>0.45</v>
      </c>
      <c r="G166" s="62">
        <f t="shared" si="9"/>
        <v>10.98</v>
      </c>
      <c r="H166" s="52"/>
    </row>
    <row r="167" spans="1:9" x14ac:dyDescent="0.25">
      <c r="A167" s="52"/>
      <c r="B167" s="52" t="s">
        <v>385</v>
      </c>
      <c r="C167" s="52">
        <v>4</v>
      </c>
      <c r="D167" s="52">
        <v>3.05</v>
      </c>
      <c r="E167" s="52"/>
      <c r="F167" s="52">
        <v>0.2</v>
      </c>
      <c r="G167" s="62">
        <f t="shared" si="9"/>
        <v>2.44</v>
      </c>
      <c r="H167" s="52"/>
    </row>
    <row r="168" spans="1:9" x14ac:dyDescent="0.25">
      <c r="A168" s="52"/>
      <c r="B168" s="52" t="s">
        <v>659</v>
      </c>
      <c r="C168" s="52">
        <v>8</v>
      </c>
      <c r="D168" s="52">
        <v>1.7</v>
      </c>
      <c r="E168" s="52"/>
      <c r="F168" s="52">
        <v>0.45</v>
      </c>
      <c r="G168" s="62">
        <f t="shared" si="9"/>
        <v>6.12</v>
      </c>
      <c r="H168" s="52"/>
    </row>
    <row r="169" spans="1:9" x14ac:dyDescent="0.25">
      <c r="A169" s="52"/>
      <c r="B169" s="52" t="s">
        <v>385</v>
      </c>
      <c r="C169" s="52">
        <v>4</v>
      </c>
      <c r="D169" s="52">
        <v>1.7</v>
      </c>
      <c r="E169" s="52"/>
      <c r="F169" s="52">
        <v>0.2</v>
      </c>
      <c r="G169" s="62">
        <f t="shared" si="9"/>
        <v>1.36</v>
      </c>
      <c r="H169" s="52"/>
    </row>
    <row r="170" spans="1:9" x14ac:dyDescent="0.25">
      <c r="A170" s="52"/>
      <c r="B170" s="52" t="s">
        <v>660</v>
      </c>
      <c r="C170" s="52">
        <v>4</v>
      </c>
      <c r="D170" s="52">
        <v>3.17</v>
      </c>
      <c r="E170" s="52"/>
      <c r="F170" s="52">
        <v>0.45</v>
      </c>
      <c r="G170" s="62">
        <f t="shared" si="9"/>
        <v>5.7060000000000004</v>
      </c>
      <c r="H170" s="52"/>
    </row>
    <row r="171" spans="1:9" x14ac:dyDescent="0.25">
      <c r="A171" s="52"/>
      <c r="B171" s="52" t="s">
        <v>385</v>
      </c>
      <c r="C171" s="52">
        <v>2</v>
      </c>
      <c r="D171" s="52">
        <v>3.17</v>
      </c>
      <c r="E171" s="52"/>
      <c r="F171" s="52">
        <v>0.2</v>
      </c>
      <c r="G171" s="62">
        <f t="shared" si="9"/>
        <v>1.268</v>
      </c>
      <c r="H171" s="52"/>
    </row>
    <row r="172" spans="1:9" x14ac:dyDescent="0.25">
      <c r="A172" s="52"/>
      <c r="B172" s="52"/>
      <c r="C172" s="52"/>
      <c r="D172" s="52"/>
      <c r="E172" s="52"/>
      <c r="F172" s="52"/>
      <c r="G172" s="62"/>
      <c r="H172" s="65">
        <f>+SUM(G34:G171)</f>
        <v>843.44870000000037</v>
      </c>
      <c r="I172" s="91" t="s">
        <v>426</v>
      </c>
    </row>
    <row r="173" spans="1:9" x14ac:dyDescent="0.25">
      <c r="A173" s="52"/>
      <c r="B173" s="52"/>
      <c r="C173" s="52"/>
      <c r="D173" s="52"/>
      <c r="E173" s="52"/>
      <c r="F173" s="52"/>
      <c r="G173" s="62"/>
      <c r="H173" s="52"/>
    </row>
    <row r="174" spans="1:9" x14ac:dyDescent="0.25">
      <c r="A174" s="52"/>
      <c r="B174" s="52"/>
      <c r="C174" s="52"/>
      <c r="D174" s="52"/>
      <c r="E174" s="52"/>
      <c r="F174" s="52"/>
      <c r="G174" s="62"/>
      <c r="H174" s="52"/>
    </row>
    <row r="175" spans="1:9" x14ac:dyDescent="0.25">
      <c r="A175" s="52"/>
      <c r="B175" s="52"/>
      <c r="C175" s="52"/>
      <c r="D175" s="52"/>
      <c r="E175" s="52"/>
      <c r="F175" s="52"/>
      <c r="G175" s="62"/>
      <c r="H175" s="52"/>
    </row>
  </sheetData>
  <mergeCells count="2">
    <mergeCell ref="A1:H1"/>
    <mergeCell ref="D3:E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3"/>
  <sheetViews>
    <sheetView topLeftCell="A291" workbookViewId="0">
      <selection activeCell="M308" sqref="M308:M309"/>
    </sheetView>
  </sheetViews>
  <sheetFormatPr defaultRowHeight="15" x14ac:dyDescent="0.25"/>
  <cols>
    <col min="1" max="1" width="6.28515625" customWidth="1"/>
    <col min="2" max="2" width="31.85546875" customWidth="1"/>
    <col min="3" max="3" width="8.140625" customWidth="1"/>
    <col min="4" max="4" width="8.85546875" bestFit="1" customWidth="1"/>
    <col min="5" max="5" width="8" bestFit="1" customWidth="1"/>
    <col min="6" max="6" width="8.42578125" bestFit="1" customWidth="1"/>
    <col min="7" max="7" width="12.140625" style="63" customWidth="1"/>
    <col min="8" max="8" width="9" customWidth="1"/>
  </cols>
  <sheetData>
    <row r="1" spans="1:10" ht="18.75" x14ac:dyDescent="0.3">
      <c r="A1" s="137" t="s">
        <v>257</v>
      </c>
      <c r="B1" s="138"/>
      <c r="C1" s="138"/>
      <c r="D1" s="138"/>
      <c r="E1" s="138"/>
      <c r="F1" s="138"/>
      <c r="G1" s="138"/>
      <c r="H1" s="139"/>
    </row>
    <row r="2" spans="1:10" x14ac:dyDescent="0.25">
      <c r="A2" s="58" t="s">
        <v>249</v>
      </c>
      <c r="B2" s="58" t="s">
        <v>250</v>
      </c>
      <c r="C2" s="59" t="s">
        <v>251</v>
      </c>
      <c r="D2" s="60" t="s">
        <v>252</v>
      </c>
      <c r="E2" s="59" t="s">
        <v>253</v>
      </c>
      <c r="F2" s="59" t="s">
        <v>254</v>
      </c>
      <c r="G2" s="61" t="s">
        <v>255</v>
      </c>
      <c r="H2" s="58" t="s">
        <v>256</v>
      </c>
    </row>
    <row r="3" spans="1:10" x14ac:dyDescent="0.25">
      <c r="A3" s="52"/>
      <c r="B3" s="56" t="s">
        <v>546</v>
      </c>
      <c r="C3" s="52"/>
      <c r="D3" s="140"/>
      <c r="E3" s="141"/>
      <c r="F3" s="52"/>
      <c r="G3" s="65"/>
      <c r="H3" s="52"/>
    </row>
    <row r="4" spans="1:10" x14ac:dyDescent="0.25">
      <c r="A4" s="52"/>
      <c r="B4" s="52" t="s">
        <v>547</v>
      </c>
      <c r="C4" s="52">
        <v>1</v>
      </c>
      <c r="D4" s="52">
        <v>3.0249999999999999</v>
      </c>
      <c r="E4" s="52">
        <v>0.2</v>
      </c>
      <c r="F4" s="52">
        <f>2.95-0.5</f>
        <v>2.4500000000000002</v>
      </c>
      <c r="G4" s="76">
        <f>+PRODUCT(C4:F4)</f>
        <v>1.4822500000000001</v>
      </c>
      <c r="H4" s="52"/>
    </row>
    <row r="5" spans="1:10" x14ac:dyDescent="0.25">
      <c r="A5" s="52"/>
      <c r="B5" s="52"/>
      <c r="C5" s="52">
        <v>1</v>
      </c>
      <c r="D5" s="52">
        <v>3.8</v>
      </c>
      <c r="E5" s="52">
        <v>0.2</v>
      </c>
      <c r="F5" s="52">
        <f>2.95-0.5</f>
        <v>2.4500000000000002</v>
      </c>
      <c r="G5" s="62">
        <f t="shared" ref="G5:G312" si="0">+PRODUCT(C5:F5)</f>
        <v>1.8620000000000001</v>
      </c>
      <c r="H5" s="52"/>
      <c r="J5" s="75"/>
    </row>
    <row r="6" spans="1:10" x14ac:dyDescent="0.25">
      <c r="A6" s="52"/>
      <c r="B6" s="52" t="s">
        <v>548</v>
      </c>
      <c r="C6" s="52">
        <v>1</v>
      </c>
      <c r="D6" s="52">
        <v>2.44</v>
      </c>
      <c r="E6" s="52">
        <v>0.1</v>
      </c>
      <c r="F6" s="52">
        <f>2.95-0.45</f>
        <v>2.5</v>
      </c>
      <c r="G6" s="62">
        <f t="shared" si="0"/>
        <v>0.61</v>
      </c>
      <c r="H6" s="52"/>
    </row>
    <row r="7" spans="1:10" x14ac:dyDescent="0.25">
      <c r="A7" s="52"/>
      <c r="B7" s="52"/>
      <c r="C7" s="52">
        <v>1</v>
      </c>
      <c r="D7" s="52">
        <v>1.57</v>
      </c>
      <c r="E7" s="52">
        <v>0.1</v>
      </c>
      <c r="F7" s="52">
        <f>2.95-0.45</f>
        <v>2.5</v>
      </c>
      <c r="G7" s="62">
        <f t="shared" si="0"/>
        <v>0.39250000000000007</v>
      </c>
      <c r="H7" s="52"/>
    </row>
    <row r="8" spans="1:10" x14ac:dyDescent="0.25">
      <c r="A8" s="52"/>
      <c r="B8" s="52"/>
      <c r="C8" s="52">
        <v>1</v>
      </c>
      <c r="D8" s="52">
        <v>2.04</v>
      </c>
      <c r="E8" s="52">
        <v>0.23</v>
      </c>
      <c r="F8" s="52">
        <f>2.95-0.35</f>
        <v>2.6</v>
      </c>
      <c r="G8" s="62">
        <f t="shared" si="0"/>
        <v>1.2199200000000001</v>
      </c>
      <c r="H8" s="52"/>
    </row>
    <row r="9" spans="1:10" x14ac:dyDescent="0.25">
      <c r="A9" s="52"/>
      <c r="B9" s="52"/>
      <c r="C9" s="52">
        <v>1</v>
      </c>
      <c r="D9" s="52">
        <v>1.1200000000000001</v>
      </c>
      <c r="E9" s="52">
        <v>0.1</v>
      </c>
      <c r="F9" s="52">
        <f>2.95-0.35</f>
        <v>2.6</v>
      </c>
      <c r="G9" s="62">
        <f t="shared" si="0"/>
        <v>0.29120000000000007</v>
      </c>
      <c r="H9" s="52"/>
    </row>
    <row r="10" spans="1:10" x14ac:dyDescent="0.25">
      <c r="A10" s="52"/>
      <c r="B10" s="52" t="s">
        <v>549</v>
      </c>
      <c r="C10" s="52">
        <v>1</v>
      </c>
      <c r="D10" s="52">
        <v>4.4000000000000004</v>
      </c>
      <c r="E10" s="52">
        <v>0.1</v>
      </c>
      <c r="F10" s="52">
        <f>2.95-0.45</f>
        <v>2.5</v>
      </c>
      <c r="G10" s="62">
        <f t="shared" si="0"/>
        <v>1.1000000000000001</v>
      </c>
      <c r="H10" s="52"/>
    </row>
    <row r="11" spans="1:10" x14ac:dyDescent="0.25">
      <c r="A11" s="52"/>
      <c r="B11" s="52"/>
      <c r="C11" s="52">
        <v>1</v>
      </c>
      <c r="D11" s="52">
        <v>0.15</v>
      </c>
      <c r="E11" s="52">
        <v>0.2</v>
      </c>
      <c r="F11" s="52">
        <f>2.95-0.45</f>
        <v>2.5</v>
      </c>
      <c r="G11" s="62">
        <f t="shared" ref="G11" si="1">+PRODUCT(C11:F11)</f>
        <v>7.4999999999999997E-2</v>
      </c>
      <c r="H11" s="52"/>
    </row>
    <row r="12" spans="1:10" x14ac:dyDescent="0.25">
      <c r="A12" s="52"/>
      <c r="B12" s="52" t="s">
        <v>550</v>
      </c>
      <c r="C12" s="52">
        <v>-1</v>
      </c>
      <c r="D12" s="52">
        <v>2.0649999999999999</v>
      </c>
      <c r="E12" s="52">
        <v>0.2</v>
      </c>
      <c r="F12" s="52">
        <v>2.4</v>
      </c>
      <c r="G12" s="62">
        <f t="shared" si="0"/>
        <v>-0.99120000000000008</v>
      </c>
      <c r="H12" s="52"/>
    </row>
    <row r="13" spans="1:10" x14ac:dyDescent="0.25">
      <c r="A13" s="52"/>
      <c r="B13" s="52" t="s">
        <v>551</v>
      </c>
      <c r="C13" s="52">
        <v>-1</v>
      </c>
      <c r="D13" s="52">
        <v>0.55000000000000004</v>
      </c>
      <c r="E13" s="52">
        <v>0.2</v>
      </c>
      <c r="F13" s="52">
        <v>1.3</v>
      </c>
      <c r="G13" s="62">
        <f t="shared" si="0"/>
        <v>-0.14300000000000002</v>
      </c>
      <c r="H13" s="52"/>
    </row>
    <row r="14" spans="1:10" x14ac:dyDescent="0.25">
      <c r="A14" s="52"/>
      <c r="B14" s="52" t="s">
        <v>552</v>
      </c>
      <c r="C14" s="52">
        <v>-1</v>
      </c>
      <c r="D14" s="52">
        <v>1</v>
      </c>
      <c r="E14" s="52">
        <v>0.1</v>
      </c>
      <c r="F14" s="52">
        <v>2.2000000000000002</v>
      </c>
      <c r="G14" s="62">
        <f t="shared" si="0"/>
        <v>-0.22000000000000003</v>
      </c>
      <c r="H14" s="52"/>
    </row>
    <row r="15" spans="1:10" x14ac:dyDescent="0.25">
      <c r="A15" s="52"/>
      <c r="B15" s="52" t="s">
        <v>553</v>
      </c>
      <c r="C15" s="52">
        <v>-1</v>
      </c>
      <c r="D15" s="52">
        <v>0.75</v>
      </c>
      <c r="E15" s="52">
        <v>0.1</v>
      </c>
      <c r="F15" s="52">
        <v>2.2000000000000002</v>
      </c>
      <c r="G15" s="62">
        <f t="shared" si="0"/>
        <v>-0.16500000000000004</v>
      </c>
      <c r="H15" s="52"/>
    </row>
    <row r="16" spans="1:10" x14ac:dyDescent="0.25">
      <c r="A16" s="52"/>
      <c r="B16" s="52" t="s">
        <v>554</v>
      </c>
      <c r="C16" s="52">
        <v>1</v>
      </c>
      <c r="D16" s="52">
        <v>2.8</v>
      </c>
      <c r="E16" s="52">
        <v>0.2</v>
      </c>
      <c r="F16" s="52">
        <f>2.95-0.5</f>
        <v>2.4500000000000002</v>
      </c>
      <c r="G16" s="62">
        <f t="shared" si="0"/>
        <v>1.3719999999999999</v>
      </c>
      <c r="H16" s="52"/>
    </row>
    <row r="17" spans="1:8" x14ac:dyDescent="0.25">
      <c r="A17" s="52"/>
      <c r="B17" s="52"/>
      <c r="C17" s="52">
        <v>1</v>
      </c>
      <c r="D17" s="52">
        <v>3.05</v>
      </c>
      <c r="E17" s="52">
        <v>0.1</v>
      </c>
      <c r="F17" s="52">
        <f>2.95-0.5</f>
        <v>2.4500000000000002</v>
      </c>
      <c r="G17" s="62">
        <f t="shared" si="0"/>
        <v>0.74725000000000008</v>
      </c>
      <c r="H17" s="52"/>
    </row>
    <row r="18" spans="1:8" x14ac:dyDescent="0.25">
      <c r="A18" s="52"/>
      <c r="B18" s="52"/>
      <c r="C18" s="52">
        <v>1</v>
      </c>
      <c r="D18" s="52">
        <v>3.1</v>
      </c>
      <c r="E18" s="52">
        <v>0.1</v>
      </c>
      <c r="F18" s="52">
        <f>2.95-0.45</f>
        <v>2.5</v>
      </c>
      <c r="G18" s="62">
        <f t="shared" si="0"/>
        <v>0.77500000000000013</v>
      </c>
      <c r="H18" s="52"/>
    </row>
    <row r="19" spans="1:8" x14ac:dyDescent="0.25">
      <c r="A19" s="52"/>
      <c r="B19" s="52" t="s">
        <v>550</v>
      </c>
      <c r="C19" s="52">
        <v>-1</v>
      </c>
      <c r="D19" s="52">
        <v>2.0649999999999999</v>
      </c>
      <c r="E19" s="52">
        <v>0.2</v>
      </c>
      <c r="F19" s="52">
        <v>2.4</v>
      </c>
      <c r="G19" s="62">
        <f t="shared" ref="G19:G20" si="2">+PRODUCT(C19:F19)</f>
        <v>-0.99120000000000008</v>
      </c>
      <c r="H19" s="52"/>
    </row>
    <row r="20" spans="1:8" x14ac:dyDescent="0.25">
      <c r="A20" s="52"/>
      <c r="B20" s="52" t="s">
        <v>552</v>
      </c>
      <c r="C20" s="52">
        <v>-1</v>
      </c>
      <c r="D20" s="52">
        <v>1</v>
      </c>
      <c r="E20" s="52">
        <v>0.1</v>
      </c>
      <c r="F20" s="52">
        <v>2.2000000000000002</v>
      </c>
      <c r="G20" s="62">
        <f t="shared" si="2"/>
        <v>-0.22000000000000003</v>
      </c>
      <c r="H20" s="52"/>
    </row>
    <row r="21" spans="1:8" x14ac:dyDescent="0.25">
      <c r="A21" s="52"/>
      <c r="B21" s="52" t="s">
        <v>555</v>
      </c>
      <c r="C21" s="52">
        <v>1</v>
      </c>
      <c r="D21" s="52">
        <v>1.885</v>
      </c>
      <c r="E21" s="52">
        <v>0.2</v>
      </c>
      <c r="F21" s="52">
        <f>2.95-0.35</f>
        <v>2.6</v>
      </c>
      <c r="G21" s="62">
        <f t="shared" si="0"/>
        <v>0.98020000000000007</v>
      </c>
      <c r="H21" s="52"/>
    </row>
    <row r="22" spans="1:8" x14ac:dyDescent="0.25">
      <c r="A22" s="52"/>
      <c r="B22" s="52"/>
      <c r="C22" s="52">
        <v>1</v>
      </c>
      <c r="D22" s="52">
        <v>515</v>
      </c>
      <c r="E22" s="52">
        <v>0.1</v>
      </c>
      <c r="F22" s="52">
        <f>2.95-0.125</f>
        <v>2.8250000000000002</v>
      </c>
      <c r="G22" s="62">
        <f t="shared" si="0"/>
        <v>145.48750000000001</v>
      </c>
      <c r="H22" s="52"/>
    </row>
    <row r="23" spans="1:8" x14ac:dyDescent="0.25">
      <c r="A23" s="52"/>
      <c r="B23" s="52"/>
      <c r="C23" s="52">
        <v>1</v>
      </c>
      <c r="D23" s="52">
        <v>1.0649999999999999</v>
      </c>
      <c r="E23" s="52">
        <v>0.1</v>
      </c>
      <c r="F23" s="52">
        <f>2.95-0.125</f>
        <v>2.8250000000000002</v>
      </c>
      <c r="G23" s="62">
        <f t="shared" si="0"/>
        <v>0.30086250000000003</v>
      </c>
      <c r="H23" s="52"/>
    </row>
    <row r="24" spans="1:8" x14ac:dyDescent="0.25">
      <c r="A24" s="52"/>
      <c r="B24" s="52"/>
      <c r="C24" s="52">
        <v>1</v>
      </c>
      <c r="D24" s="52">
        <v>3.1150000000000002</v>
      </c>
      <c r="E24" s="52">
        <v>0.2</v>
      </c>
      <c r="F24" s="52">
        <f>2.95-0.5</f>
        <v>2.4500000000000002</v>
      </c>
      <c r="G24" s="62">
        <f t="shared" si="0"/>
        <v>1.5263500000000003</v>
      </c>
      <c r="H24" s="52"/>
    </row>
    <row r="25" spans="1:8" x14ac:dyDescent="0.25">
      <c r="A25" s="52"/>
      <c r="B25" s="52"/>
      <c r="C25" s="52">
        <v>1</v>
      </c>
      <c r="D25" s="52">
        <v>1</v>
      </c>
      <c r="E25" s="52">
        <v>0.1</v>
      </c>
      <c r="F25" s="52">
        <v>2.5</v>
      </c>
      <c r="G25" s="62">
        <f t="shared" si="0"/>
        <v>0.25</v>
      </c>
      <c r="H25" s="52"/>
    </row>
    <row r="26" spans="1:8" x14ac:dyDescent="0.25">
      <c r="A26" s="52"/>
      <c r="B26" s="52" t="s">
        <v>548</v>
      </c>
      <c r="C26" s="52">
        <v>1</v>
      </c>
      <c r="D26" s="52">
        <v>2.7</v>
      </c>
      <c r="E26" s="52">
        <v>0.1</v>
      </c>
      <c r="F26" s="52">
        <v>2.5</v>
      </c>
      <c r="G26" s="62">
        <f t="shared" si="0"/>
        <v>0.67500000000000004</v>
      </c>
      <c r="H26" s="52"/>
    </row>
    <row r="27" spans="1:8" x14ac:dyDescent="0.25">
      <c r="A27" s="52"/>
      <c r="B27" s="52"/>
      <c r="C27" s="52">
        <v>1</v>
      </c>
      <c r="D27" s="52">
        <v>1.6</v>
      </c>
      <c r="E27" s="52">
        <v>0.1</v>
      </c>
      <c r="F27" s="52">
        <v>2.5</v>
      </c>
      <c r="G27" s="62">
        <f t="shared" si="0"/>
        <v>0.40000000000000008</v>
      </c>
      <c r="H27" s="52"/>
    </row>
    <row r="28" spans="1:8" x14ac:dyDescent="0.25">
      <c r="A28" s="52"/>
      <c r="B28" s="52"/>
      <c r="C28" s="52">
        <v>1</v>
      </c>
      <c r="D28" s="52">
        <v>1.6</v>
      </c>
      <c r="E28" s="52">
        <v>0.1</v>
      </c>
      <c r="F28" s="52">
        <f>2.95-0.35</f>
        <v>2.6</v>
      </c>
      <c r="G28" s="62">
        <f t="shared" si="0"/>
        <v>0.41600000000000009</v>
      </c>
      <c r="H28" s="52"/>
    </row>
    <row r="29" spans="1:8" x14ac:dyDescent="0.25">
      <c r="A29" s="52"/>
      <c r="B29" s="52"/>
      <c r="C29" s="52">
        <v>1</v>
      </c>
      <c r="D29" s="52">
        <v>1.915</v>
      </c>
      <c r="E29" s="52">
        <v>0.23</v>
      </c>
      <c r="F29" s="52">
        <v>2.5</v>
      </c>
      <c r="G29" s="62">
        <f t="shared" si="0"/>
        <v>1.1011250000000001</v>
      </c>
      <c r="H29" s="52"/>
    </row>
    <row r="30" spans="1:8" x14ac:dyDescent="0.25">
      <c r="A30" s="52"/>
      <c r="B30" s="52" t="s">
        <v>556</v>
      </c>
      <c r="C30" s="52">
        <v>-1</v>
      </c>
      <c r="D30" s="52">
        <v>1.5</v>
      </c>
      <c r="E30" s="52">
        <v>0.2</v>
      </c>
      <c r="F30" s="52">
        <v>1.5</v>
      </c>
      <c r="G30" s="62">
        <f t="shared" ref="G30:G33" si="3">+PRODUCT(C30:F30)</f>
        <v>-0.45000000000000007</v>
      </c>
      <c r="H30" s="52"/>
    </row>
    <row r="31" spans="1:8" x14ac:dyDescent="0.25">
      <c r="A31" s="52"/>
      <c r="B31" s="52" t="s">
        <v>551</v>
      </c>
      <c r="C31" s="52">
        <v>-1</v>
      </c>
      <c r="D31" s="52">
        <v>0.55000000000000004</v>
      </c>
      <c r="E31" s="52">
        <v>0.2</v>
      </c>
      <c r="F31" s="52">
        <v>1.3</v>
      </c>
      <c r="G31" s="62">
        <f t="shared" si="3"/>
        <v>-0.14300000000000002</v>
      </c>
      <c r="H31" s="52"/>
    </row>
    <row r="32" spans="1:8" x14ac:dyDescent="0.25">
      <c r="A32" s="52"/>
      <c r="B32" s="52" t="s">
        <v>552</v>
      </c>
      <c r="C32" s="52">
        <v>-1</v>
      </c>
      <c r="D32" s="52">
        <v>1</v>
      </c>
      <c r="E32" s="52">
        <v>0.1</v>
      </c>
      <c r="F32" s="52">
        <v>2.2000000000000002</v>
      </c>
      <c r="G32" s="62">
        <f t="shared" si="3"/>
        <v>-0.22000000000000003</v>
      </c>
      <c r="H32" s="52"/>
    </row>
    <row r="33" spans="1:8" x14ac:dyDescent="0.25">
      <c r="A33" s="52"/>
      <c r="B33" s="52" t="s">
        <v>553</v>
      </c>
      <c r="C33" s="52">
        <v>-2</v>
      </c>
      <c r="D33" s="52">
        <v>0.75</v>
      </c>
      <c r="E33" s="52">
        <v>0.1</v>
      </c>
      <c r="F33" s="52">
        <v>2.2000000000000002</v>
      </c>
      <c r="G33" s="62">
        <f t="shared" si="3"/>
        <v>-0.33000000000000007</v>
      </c>
      <c r="H33" s="52"/>
    </row>
    <row r="34" spans="1:8" x14ac:dyDescent="0.25">
      <c r="A34" s="52"/>
      <c r="B34" s="52" t="s">
        <v>557</v>
      </c>
      <c r="C34" s="52">
        <v>1</v>
      </c>
      <c r="D34" s="52">
        <v>3.3</v>
      </c>
      <c r="E34" s="52">
        <v>0.2</v>
      </c>
      <c r="F34" s="52">
        <v>2.4500000000000002</v>
      </c>
      <c r="G34" s="62">
        <f t="shared" si="0"/>
        <v>1.6170000000000002</v>
      </c>
      <c r="H34" s="52"/>
    </row>
    <row r="35" spans="1:8" x14ac:dyDescent="0.25">
      <c r="A35" s="52"/>
      <c r="B35" s="52"/>
      <c r="C35" s="52">
        <v>1</v>
      </c>
      <c r="D35" s="52">
        <v>1.5</v>
      </c>
      <c r="E35" s="52">
        <v>0.2</v>
      </c>
      <c r="F35" s="52">
        <v>2.5</v>
      </c>
      <c r="G35" s="62">
        <f t="shared" si="0"/>
        <v>0.75000000000000011</v>
      </c>
      <c r="H35" s="52"/>
    </row>
    <row r="36" spans="1:8" x14ac:dyDescent="0.25">
      <c r="A36" s="52"/>
      <c r="B36" s="52" t="s">
        <v>558</v>
      </c>
      <c r="C36" s="52">
        <v>-1</v>
      </c>
      <c r="D36" s="52">
        <v>2.4500000000000002</v>
      </c>
      <c r="E36" s="52">
        <v>0.2</v>
      </c>
      <c r="F36" s="52">
        <v>2.4</v>
      </c>
      <c r="G36" s="62">
        <f t="shared" si="0"/>
        <v>-1.1760000000000002</v>
      </c>
      <c r="H36" s="52"/>
    </row>
    <row r="37" spans="1:8" x14ac:dyDescent="0.25">
      <c r="A37" s="52"/>
      <c r="B37" s="52" t="s">
        <v>559</v>
      </c>
      <c r="C37" s="52">
        <v>-1</v>
      </c>
      <c r="D37" s="52">
        <v>1.2</v>
      </c>
      <c r="E37" s="52">
        <v>0.2</v>
      </c>
      <c r="F37" s="52">
        <v>2.4</v>
      </c>
      <c r="G37" s="62">
        <f t="shared" si="0"/>
        <v>-0.57599999999999996</v>
      </c>
      <c r="H37" s="52"/>
    </row>
    <row r="38" spans="1:8" x14ac:dyDescent="0.25">
      <c r="A38" s="52"/>
      <c r="B38" s="52" t="s">
        <v>394</v>
      </c>
      <c r="C38" s="52">
        <v>1</v>
      </c>
      <c r="D38" s="52">
        <f>2.605-0.9</f>
        <v>1.7050000000000001</v>
      </c>
      <c r="E38" s="52">
        <v>0.1</v>
      </c>
      <c r="F38" s="52">
        <v>2.5</v>
      </c>
      <c r="G38" s="62">
        <f t="shared" si="0"/>
        <v>0.42625000000000002</v>
      </c>
      <c r="H38" s="52"/>
    </row>
    <row r="39" spans="1:8" x14ac:dyDescent="0.25">
      <c r="A39" s="52"/>
      <c r="B39" s="52"/>
      <c r="C39" s="52">
        <v>1</v>
      </c>
      <c r="D39" s="52">
        <v>2.3450000000000002</v>
      </c>
      <c r="E39" s="52">
        <v>0.1</v>
      </c>
      <c r="F39" s="52">
        <v>2.5</v>
      </c>
      <c r="G39" s="62">
        <f t="shared" si="0"/>
        <v>0.58625000000000016</v>
      </c>
      <c r="H39" s="52"/>
    </row>
    <row r="40" spans="1:8" x14ac:dyDescent="0.25">
      <c r="A40" s="52"/>
      <c r="B40" s="52"/>
      <c r="C40" s="52">
        <v>1</v>
      </c>
      <c r="D40" s="52">
        <v>2.3450000000000002</v>
      </c>
      <c r="E40" s="52">
        <v>0.1</v>
      </c>
      <c r="F40" s="52">
        <v>2.6</v>
      </c>
      <c r="G40" s="62">
        <f t="shared" ref="G40:G41" si="4">+PRODUCT(C40:F40)</f>
        <v>0.60970000000000013</v>
      </c>
      <c r="H40" s="52"/>
    </row>
    <row r="41" spans="1:8" x14ac:dyDescent="0.25">
      <c r="A41" s="52"/>
      <c r="B41" s="52" t="s">
        <v>560</v>
      </c>
      <c r="C41" s="52">
        <v>-1</v>
      </c>
      <c r="D41" s="52">
        <v>1.365</v>
      </c>
      <c r="E41" s="52">
        <v>0.1</v>
      </c>
      <c r="F41" s="52">
        <v>2.4</v>
      </c>
      <c r="G41" s="62">
        <f t="shared" si="4"/>
        <v>-0.3276</v>
      </c>
      <c r="H41" s="52"/>
    </row>
    <row r="42" spans="1:8" x14ac:dyDescent="0.25">
      <c r="A42" s="52"/>
      <c r="B42" s="52"/>
      <c r="C42" s="52"/>
      <c r="D42" s="52"/>
      <c r="E42" s="52"/>
      <c r="F42" s="52"/>
      <c r="G42" s="62">
        <f t="shared" si="0"/>
        <v>0</v>
      </c>
      <c r="H42" s="52"/>
    </row>
    <row r="43" spans="1:8" x14ac:dyDescent="0.25">
      <c r="A43" s="52"/>
      <c r="B43" s="56" t="s">
        <v>561</v>
      </c>
      <c r="C43" s="52"/>
      <c r="D43" s="52"/>
      <c r="E43" s="52"/>
      <c r="F43" s="52"/>
      <c r="G43" s="62">
        <f t="shared" si="0"/>
        <v>0</v>
      </c>
      <c r="H43" s="52"/>
    </row>
    <row r="44" spans="1:8" x14ac:dyDescent="0.25">
      <c r="A44" s="52"/>
      <c r="B44" s="52" t="s">
        <v>562</v>
      </c>
      <c r="C44" s="52">
        <v>1</v>
      </c>
      <c r="D44" s="52">
        <v>2.2200000000000002</v>
      </c>
      <c r="E44" s="52">
        <v>0.1</v>
      </c>
      <c r="F44" s="52">
        <v>2.5</v>
      </c>
      <c r="G44" s="62">
        <f t="shared" si="0"/>
        <v>0.55500000000000005</v>
      </c>
      <c r="H44" s="52"/>
    </row>
    <row r="45" spans="1:8" x14ac:dyDescent="0.25">
      <c r="A45" s="52"/>
      <c r="B45" s="52"/>
      <c r="C45" s="52">
        <v>1</v>
      </c>
      <c r="D45" s="52">
        <v>3.0649999999999999</v>
      </c>
      <c r="E45" s="52">
        <v>0.1</v>
      </c>
      <c r="F45" s="52">
        <v>2.5</v>
      </c>
      <c r="G45" s="62">
        <f t="shared" si="0"/>
        <v>0.76624999999999999</v>
      </c>
      <c r="H45" s="52"/>
    </row>
    <row r="46" spans="1:8" x14ac:dyDescent="0.25">
      <c r="A46" s="52"/>
      <c r="B46" s="52"/>
      <c r="C46" s="52">
        <v>1</v>
      </c>
      <c r="D46" s="52">
        <v>1.55</v>
      </c>
      <c r="E46" s="52">
        <v>0.2</v>
      </c>
      <c r="F46" s="52">
        <v>2.4500000000000002</v>
      </c>
      <c r="G46" s="62">
        <f t="shared" si="0"/>
        <v>0.75950000000000017</v>
      </c>
      <c r="H46" s="52"/>
    </row>
    <row r="47" spans="1:8" x14ac:dyDescent="0.25">
      <c r="A47" s="52"/>
      <c r="B47" s="52"/>
      <c r="C47" s="78">
        <v>1</v>
      </c>
      <c r="D47" s="78">
        <v>3.43</v>
      </c>
      <c r="E47" s="78">
        <v>0.2</v>
      </c>
      <c r="F47" s="78">
        <v>2.5</v>
      </c>
      <c r="G47" s="79">
        <f t="shared" ref="G47" si="5">+PRODUCT(C47:F47)</f>
        <v>1.7150000000000001</v>
      </c>
      <c r="H47" s="78"/>
    </row>
    <row r="48" spans="1:8" x14ac:dyDescent="0.25">
      <c r="A48" s="52"/>
      <c r="B48" s="52" t="s">
        <v>548</v>
      </c>
      <c r="C48" s="52">
        <v>1</v>
      </c>
      <c r="D48" s="52">
        <v>1.325</v>
      </c>
      <c r="E48" s="52">
        <v>0.1</v>
      </c>
      <c r="F48" s="52">
        <v>2.4500000000000002</v>
      </c>
      <c r="G48" s="62">
        <f t="shared" si="0"/>
        <v>0.32462500000000005</v>
      </c>
      <c r="H48" s="52"/>
    </row>
    <row r="49" spans="1:8" x14ac:dyDescent="0.25">
      <c r="A49" s="52"/>
      <c r="B49" s="52"/>
      <c r="C49" s="52">
        <v>1</v>
      </c>
      <c r="D49" s="52">
        <v>2.3250000000000002</v>
      </c>
      <c r="E49" s="52">
        <v>0.1</v>
      </c>
      <c r="F49" s="52">
        <v>2.4500000000000002</v>
      </c>
      <c r="G49" s="62">
        <f t="shared" si="0"/>
        <v>0.56962500000000016</v>
      </c>
      <c r="H49" s="52"/>
    </row>
    <row r="50" spans="1:8" x14ac:dyDescent="0.25">
      <c r="A50" s="52"/>
      <c r="B50" s="52"/>
      <c r="C50" s="52">
        <v>1</v>
      </c>
      <c r="D50" s="52">
        <v>1.395</v>
      </c>
      <c r="E50" s="52">
        <v>0.1</v>
      </c>
      <c r="F50" s="52">
        <f>2.95-0.35</f>
        <v>2.6</v>
      </c>
      <c r="G50" s="62">
        <f t="shared" si="0"/>
        <v>0.36270000000000002</v>
      </c>
      <c r="H50" s="52"/>
    </row>
    <row r="51" spans="1:8" x14ac:dyDescent="0.25">
      <c r="A51" s="52"/>
      <c r="B51" s="52"/>
      <c r="C51" s="52">
        <v>1</v>
      </c>
      <c r="D51" s="52">
        <v>1.99</v>
      </c>
      <c r="E51" s="52">
        <v>0.23</v>
      </c>
      <c r="F51" s="52">
        <v>2.5</v>
      </c>
      <c r="G51" s="62">
        <f>+PRODUCT(C51:F51)</f>
        <v>1.14425</v>
      </c>
      <c r="H51" s="52"/>
    </row>
    <row r="52" spans="1:8" x14ac:dyDescent="0.25">
      <c r="A52" s="52"/>
      <c r="B52" s="52" t="s">
        <v>560</v>
      </c>
      <c r="C52" s="52">
        <v>-1</v>
      </c>
      <c r="D52" s="52">
        <v>1.365</v>
      </c>
      <c r="E52" s="52">
        <v>0.2</v>
      </c>
      <c r="F52" s="52">
        <v>2.4</v>
      </c>
      <c r="G52" s="62">
        <f t="shared" si="0"/>
        <v>-0.6552</v>
      </c>
      <c r="H52" s="52"/>
    </row>
    <row r="53" spans="1:8" x14ac:dyDescent="0.25">
      <c r="A53" s="52"/>
      <c r="B53" s="52" t="s">
        <v>551</v>
      </c>
      <c r="C53" s="52">
        <v>-1</v>
      </c>
      <c r="D53" s="52">
        <v>0.55000000000000004</v>
      </c>
      <c r="E53" s="52">
        <v>0.2</v>
      </c>
      <c r="F53" s="52">
        <v>1.3</v>
      </c>
      <c r="G53" s="62">
        <f t="shared" si="0"/>
        <v>-0.14300000000000002</v>
      </c>
      <c r="H53" s="52"/>
    </row>
    <row r="54" spans="1:8" x14ac:dyDescent="0.25">
      <c r="A54" s="52"/>
      <c r="B54" s="52" t="s">
        <v>552</v>
      </c>
      <c r="C54" s="52">
        <v>-1</v>
      </c>
      <c r="D54" s="52">
        <v>1</v>
      </c>
      <c r="E54" s="52">
        <v>0.1</v>
      </c>
      <c r="F54" s="52">
        <v>2.2000000000000002</v>
      </c>
      <c r="G54" s="62">
        <f t="shared" si="0"/>
        <v>-0.22000000000000003</v>
      </c>
      <c r="H54" s="52"/>
    </row>
    <row r="55" spans="1:8" x14ac:dyDescent="0.25">
      <c r="A55" s="52"/>
      <c r="B55" s="52" t="s">
        <v>553</v>
      </c>
      <c r="C55" s="52">
        <v>-1</v>
      </c>
      <c r="D55" s="52">
        <v>0.75</v>
      </c>
      <c r="E55" s="52">
        <v>0.1</v>
      </c>
      <c r="F55" s="52">
        <v>2.2000000000000002</v>
      </c>
      <c r="G55" s="62">
        <f t="shared" si="0"/>
        <v>-0.16500000000000004</v>
      </c>
      <c r="H55" s="52"/>
    </row>
    <row r="56" spans="1:8" x14ac:dyDescent="0.25">
      <c r="A56" s="52"/>
      <c r="B56" s="52" t="s">
        <v>563</v>
      </c>
      <c r="C56" s="52">
        <v>1</v>
      </c>
      <c r="D56" s="52">
        <v>1.395</v>
      </c>
      <c r="E56" s="52">
        <v>0.1</v>
      </c>
      <c r="F56" s="52">
        <f>2.95-0.35</f>
        <v>2.6</v>
      </c>
      <c r="G56" s="62">
        <f t="shared" si="0"/>
        <v>0.36270000000000002</v>
      </c>
      <c r="H56" s="52"/>
    </row>
    <row r="57" spans="1:8" x14ac:dyDescent="0.25">
      <c r="A57" s="52"/>
      <c r="B57" s="52" t="s">
        <v>564</v>
      </c>
      <c r="C57" s="52">
        <v>-1</v>
      </c>
      <c r="D57" s="52">
        <v>0.9</v>
      </c>
      <c r="E57" s="52">
        <v>0.1</v>
      </c>
      <c r="F57" s="52">
        <v>2.0499999999999998</v>
      </c>
      <c r="G57" s="62">
        <f t="shared" si="0"/>
        <v>-0.1845</v>
      </c>
      <c r="H57" s="52"/>
    </row>
    <row r="58" spans="1:8" x14ac:dyDescent="0.25">
      <c r="A58" s="52"/>
      <c r="B58" s="52" t="s">
        <v>557</v>
      </c>
      <c r="C58" s="52">
        <v>1</v>
      </c>
      <c r="D58" s="52">
        <v>2.93</v>
      </c>
      <c r="E58" s="52">
        <v>0.2</v>
      </c>
      <c r="F58" s="52">
        <f>2.95-0.35</f>
        <v>2.6</v>
      </c>
      <c r="G58" s="62">
        <f t="shared" si="0"/>
        <v>1.5236000000000003</v>
      </c>
      <c r="H58" s="52"/>
    </row>
    <row r="59" spans="1:8" x14ac:dyDescent="0.25">
      <c r="A59" s="52"/>
      <c r="B59" s="52"/>
      <c r="C59" s="52">
        <v>0.5</v>
      </c>
      <c r="D59" s="52">
        <v>6.99</v>
      </c>
      <c r="E59" s="52">
        <v>0.2</v>
      </c>
      <c r="F59" s="52">
        <v>2.5</v>
      </c>
      <c r="G59" s="62">
        <f t="shared" si="0"/>
        <v>1.7475000000000001</v>
      </c>
      <c r="H59" s="52"/>
    </row>
    <row r="60" spans="1:8" x14ac:dyDescent="0.25">
      <c r="A60" s="52"/>
      <c r="B60" s="52" t="s">
        <v>565</v>
      </c>
      <c r="C60" s="52">
        <v>1</v>
      </c>
      <c r="D60" s="52">
        <v>1.42</v>
      </c>
      <c r="E60" s="52">
        <v>0.1</v>
      </c>
      <c r="F60" s="52">
        <f>2.95-0.35</f>
        <v>2.6</v>
      </c>
      <c r="G60" s="62">
        <f t="shared" si="0"/>
        <v>0.36919999999999997</v>
      </c>
      <c r="H60" s="52"/>
    </row>
    <row r="61" spans="1:8" x14ac:dyDescent="0.25">
      <c r="A61" s="52"/>
      <c r="B61" s="52" t="s">
        <v>564</v>
      </c>
      <c r="C61" s="52">
        <v>-1</v>
      </c>
      <c r="D61" s="52">
        <v>0.9</v>
      </c>
      <c r="E61" s="52">
        <v>0.1</v>
      </c>
      <c r="F61" s="52">
        <v>2.0499999999999998</v>
      </c>
      <c r="G61" s="62">
        <f t="shared" ref="G61" si="6">+PRODUCT(C61:F61)</f>
        <v>-0.1845</v>
      </c>
      <c r="H61" s="52"/>
    </row>
    <row r="62" spans="1:8" x14ac:dyDescent="0.25">
      <c r="A62" s="52"/>
      <c r="B62" s="52"/>
      <c r="C62" s="52">
        <v>1</v>
      </c>
      <c r="D62" s="52">
        <v>0.41499999999999998</v>
      </c>
      <c r="E62" s="52">
        <v>0.2</v>
      </c>
      <c r="F62" s="52">
        <v>2.4500000000000002</v>
      </c>
      <c r="G62" s="62">
        <f t="shared" si="0"/>
        <v>0.20335000000000003</v>
      </c>
      <c r="H62" s="52"/>
    </row>
    <row r="63" spans="1:8" x14ac:dyDescent="0.25">
      <c r="A63" s="52"/>
      <c r="B63" s="52" t="s">
        <v>550</v>
      </c>
      <c r="C63" s="52">
        <v>-1</v>
      </c>
      <c r="D63" s="52">
        <v>2.0649999999999999</v>
      </c>
      <c r="E63" s="52">
        <v>0.2</v>
      </c>
      <c r="F63" s="52">
        <v>2.4</v>
      </c>
      <c r="G63" s="62">
        <f t="shared" si="0"/>
        <v>-0.99120000000000008</v>
      </c>
      <c r="H63" s="52"/>
    </row>
    <row r="64" spans="1:8" x14ac:dyDescent="0.25">
      <c r="A64" s="52"/>
      <c r="B64" s="52" t="s">
        <v>566</v>
      </c>
      <c r="C64" s="52">
        <v>1</v>
      </c>
      <c r="D64" s="52">
        <v>3.05</v>
      </c>
      <c r="E64" s="52">
        <v>0.1</v>
      </c>
      <c r="F64" s="52">
        <v>2.6</v>
      </c>
      <c r="G64" s="62">
        <f t="shared" si="0"/>
        <v>0.79300000000000004</v>
      </c>
      <c r="H64" s="52"/>
    </row>
    <row r="65" spans="1:8" x14ac:dyDescent="0.25">
      <c r="A65" s="52"/>
      <c r="B65" s="52"/>
      <c r="C65" s="52">
        <v>1</v>
      </c>
      <c r="D65" s="52">
        <v>4.6900000000000004</v>
      </c>
      <c r="E65" s="52">
        <v>0.2</v>
      </c>
      <c r="F65" s="52">
        <v>2.4500000000000002</v>
      </c>
      <c r="G65" s="62">
        <f t="shared" si="0"/>
        <v>2.2981000000000007</v>
      </c>
      <c r="H65" s="52"/>
    </row>
    <row r="66" spans="1:8" x14ac:dyDescent="0.25">
      <c r="A66" s="52"/>
      <c r="B66" s="52"/>
      <c r="C66" s="52">
        <v>1</v>
      </c>
      <c r="D66" s="52">
        <v>3.35</v>
      </c>
      <c r="E66" s="52">
        <v>0.1</v>
      </c>
      <c r="F66" s="52">
        <v>2.5</v>
      </c>
      <c r="G66" s="62">
        <f t="shared" si="0"/>
        <v>0.83750000000000002</v>
      </c>
      <c r="H66" s="52"/>
    </row>
    <row r="67" spans="1:8" x14ac:dyDescent="0.25">
      <c r="A67" s="52"/>
      <c r="B67" s="52"/>
      <c r="C67" s="52">
        <v>1</v>
      </c>
      <c r="D67" s="52">
        <v>3.05</v>
      </c>
      <c r="E67" s="52">
        <v>0.1</v>
      </c>
      <c r="F67" s="52">
        <v>2.4500000000000002</v>
      </c>
      <c r="G67" s="62">
        <f t="shared" si="0"/>
        <v>0.74725000000000008</v>
      </c>
      <c r="H67" s="52"/>
    </row>
    <row r="68" spans="1:8" x14ac:dyDescent="0.25">
      <c r="A68" s="52"/>
      <c r="B68" s="52"/>
      <c r="C68" s="52">
        <v>1</v>
      </c>
      <c r="D68" s="52">
        <f>4.77-1.215</f>
        <v>3.5549999999999997</v>
      </c>
      <c r="E68" s="52">
        <v>0.1</v>
      </c>
      <c r="F68" s="52">
        <v>2.5</v>
      </c>
      <c r="G68" s="62">
        <f t="shared" si="0"/>
        <v>0.88874999999999993</v>
      </c>
      <c r="H68" s="52"/>
    </row>
    <row r="69" spans="1:8" x14ac:dyDescent="0.25">
      <c r="A69" s="52"/>
      <c r="B69" s="52" t="s">
        <v>550</v>
      </c>
      <c r="C69" s="52">
        <v>-1</v>
      </c>
      <c r="D69" s="52">
        <v>2.0649999999999999</v>
      </c>
      <c r="E69" s="52">
        <v>0.2</v>
      </c>
      <c r="F69" s="52">
        <v>2.4</v>
      </c>
      <c r="G69" s="62">
        <f t="shared" ref="G69" si="7">+PRODUCT(C69:F69)</f>
        <v>-0.99120000000000008</v>
      </c>
      <c r="H69" s="52"/>
    </row>
    <row r="70" spans="1:8" x14ac:dyDescent="0.25">
      <c r="A70" s="52"/>
      <c r="B70" s="52" t="s">
        <v>567</v>
      </c>
      <c r="C70" s="52">
        <v>-1</v>
      </c>
      <c r="D70" s="52">
        <v>1.55</v>
      </c>
      <c r="E70" s="52">
        <v>0.2</v>
      </c>
      <c r="F70" s="52">
        <v>2.4</v>
      </c>
      <c r="G70" s="62">
        <f t="shared" ref="G70:G71" si="8">+PRODUCT(C70:F70)</f>
        <v>-0.74400000000000011</v>
      </c>
      <c r="H70" s="52"/>
    </row>
    <row r="71" spans="1:8" x14ac:dyDescent="0.25">
      <c r="A71" s="52"/>
      <c r="B71" s="52" t="s">
        <v>552</v>
      </c>
      <c r="C71" s="52">
        <v>-1</v>
      </c>
      <c r="D71" s="52">
        <v>1</v>
      </c>
      <c r="E71" s="52">
        <v>0.1</v>
      </c>
      <c r="F71" s="52">
        <v>2.2000000000000002</v>
      </c>
      <c r="G71" s="62">
        <f t="shared" si="8"/>
        <v>-0.22000000000000003</v>
      </c>
      <c r="H71" s="52"/>
    </row>
    <row r="72" spans="1:8" x14ac:dyDescent="0.25">
      <c r="A72" s="52"/>
      <c r="B72" s="52" t="s">
        <v>568</v>
      </c>
      <c r="C72" s="52">
        <v>1</v>
      </c>
      <c r="D72" s="52">
        <v>3.05</v>
      </c>
      <c r="E72" s="52">
        <v>0.2</v>
      </c>
      <c r="F72" s="52">
        <v>2.4500000000000002</v>
      </c>
      <c r="G72" s="62">
        <f t="shared" si="0"/>
        <v>1.4945000000000002</v>
      </c>
      <c r="H72" s="52"/>
    </row>
    <row r="73" spans="1:8" x14ac:dyDescent="0.25">
      <c r="A73" s="52"/>
      <c r="B73" s="52"/>
      <c r="C73" s="52">
        <v>0.5</v>
      </c>
      <c r="D73" s="52">
        <v>5.28</v>
      </c>
      <c r="E73" s="52">
        <v>0.2</v>
      </c>
      <c r="F73" s="52">
        <v>2.5</v>
      </c>
      <c r="G73" s="62">
        <f t="shared" si="0"/>
        <v>1.32</v>
      </c>
      <c r="H73" s="52"/>
    </row>
    <row r="74" spans="1:8" x14ac:dyDescent="0.25">
      <c r="A74" s="52"/>
      <c r="B74" s="52"/>
      <c r="C74" s="52">
        <v>1</v>
      </c>
      <c r="D74" s="52">
        <v>2.4249999999999998</v>
      </c>
      <c r="E74" s="52">
        <v>0.1</v>
      </c>
      <c r="F74" s="52">
        <v>2.5</v>
      </c>
      <c r="G74" s="62">
        <f t="shared" si="0"/>
        <v>0.60624999999999996</v>
      </c>
      <c r="H74" s="52"/>
    </row>
    <row r="75" spans="1:8" x14ac:dyDescent="0.25">
      <c r="A75" s="52"/>
      <c r="B75" s="52"/>
      <c r="C75" s="52">
        <v>1</v>
      </c>
      <c r="D75" s="52">
        <v>0.6</v>
      </c>
      <c r="E75" s="52">
        <v>0.1</v>
      </c>
      <c r="F75" s="52">
        <v>2.5</v>
      </c>
      <c r="G75" s="62">
        <f t="shared" si="0"/>
        <v>0.15</v>
      </c>
      <c r="H75" s="52"/>
    </row>
    <row r="76" spans="1:8" x14ac:dyDescent="0.25">
      <c r="A76" s="52"/>
      <c r="B76" s="52"/>
      <c r="C76" s="52">
        <v>1</v>
      </c>
      <c r="D76" s="52">
        <v>1.7</v>
      </c>
      <c r="E76" s="52">
        <v>0.1</v>
      </c>
      <c r="F76" s="52">
        <f>2.95-0.125</f>
        <v>2.8250000000000002</v>
      </c>
      <c r="G76" s="62">
        <f t="shared" si="0"/>
        <v>0.48025000000000007</v>
      </c>
      <c r="H76" s="52"/>
    </row>
    <row r="77" spans="1:8" x14ac:dyDescent="0.25">
      <c r="A77" s="52"/>
      <c r="B77" s="52"/>
      <c r="C77" s="52">
        <v>1</v>
      </c>
      <c r="D77" s="52">
        <v>3.35</v>
      </c>
      <c r="E77" s="52">
        <v>0.2</v>
      </c>
      <c r="F77" s="52">
        <v>2.5</v>
      </c>
      <c r="G77" s="62">
        <f t="shared" ref="G77" si="9">+PRODUCT(C77:F77)</f>
        <v>1.675</v>
      </c>
      <c r="H77" s="52"/>
    </row>
    <row r="78" spans="1:8" x14ac:dyDescent="0.25">
      <c r="A78" s="52"/>
      <c r="B78" s="52" t="s">
        <v>548</v>
      </c>
      <c r="C78" s="52">
        <v>1</v>
      </c>
      <c r="D78" s="52">
        <v>1.6</v>
      </c>
      <c r="E78" s="52">
        <v>0.2</v>
      </c>
      <c r="F78" s="52">
        <f>2.95-0.35</f>
        <v>2.6</v>
      </c>
      <c r="G78" s="62">
        <f t="shared" si="0"/>
        <v>0.83200000000000018</v>
      </c>
      <c r="H78" s="52"/>
    </row>
    <row r="79" spans="1:8" x14ac:dyDescent="0.25">
      <c r="A79" s="52"/>
      <c r="B79" s="52"/>
      <c r="C79" s="52">
        <v>0.5</v>
      </c>
      <c r="D79" s="52">
        <v>2.41</v>
      </c>
      <c r="E79" s="52">
        <v>0.23</v>
      </c>
      <c r="F79" s="52">
        <f>2.95-0.35</f>
        <v>2.6</v>
      </c>
      <c r="G79" s="62">
        <f t="shared" si="0"/>
        <v>0.72059000000000006</v>
      </c>
      <c r="H79" s="52"/>
    </row>
    <row r="80" spans="1:8" x14ac:dyDescent="0.25">
      <c r="A80" s="52"/>
      <c r="B80" s="52" t="s">
        <v>558</v>
      </c>
      <c r="C80" s="52">
        <v>-1</v>
      </c>
      <c r="D80" s="52">
        <v>2.4500000000000002</v>
      </c>
      <c r="E80" s="52">
        <v>0.2</v>
      </c>
      <c r="F80" s="52">
        <v>2.4</v>
      </c>
      <c r="G80" s="62">
        <f t="shared" ref="G80:G83" si="10">+PRODUCT(C80:F80)</f>
        <v>-1.1760000000000002</v>
      </c>
      <c r="H80" s="52"/>
    </row>
    <row r="81" spans="1:8" x14ac:dyDescent="0.25">
      <c r="A81" s="52"/>
      <c r="B81" s="52" t="s">
        <v>551</v>
      </c>
      <c r="C81" s="52">
        <v>-1</v>
      </c>
      <c r="D81" s="52">
        <v>0.55000000000000004</v>
      </c>
      <c r="E81" s="52">
        <v>0.2</v>
      </c>
      <c r="F81" s="52">
        <v>1.3</v>
      </c>
      <c r="G81" s="62">
        <f t="shared" si="10"/>
        <v>-0.14300000000000002</v>
      </c>
      <c r="H81" s="52"/>
    </row>
    <row r="82" spans="1:8" x14ac:dyDescent="0.25">
      <c r="A82" s="52"/>
      <c r="B82" s="52" t="s">
        <v>552</v>
      </c>
      <c r="C82" s="52">
        <v>-1</v>
      </c>
      <c r="D82" s="52">
        <v>1</v>
      </c>
      <c r="E82" s="52">
        <v>0.1</v>
      </c>
      <c r="F82" s="52">
        <v>2.2000000000000002</v>
      </c>
      <c r="G82" s="62">
        <f t="shared" si="10"/>
        <v>-0.22000000000000003</v>
      </c>
      <c r="H82" s="52"/>
    </row>
    <row r="83" spans="1:8" x14ac:dyDescent="0.25">
      <c r="A83" s="52"/>
      <c r="B83" s="52" t="s">
        <v>553</v>
      </c>
      <c r="C83" s="52">
        <v>-1</v>
      </c>
      <c r="D83" s="52">
        <v>0.75</v>
      </c>
      <c r="E83" s="52">
        <v>0.1</v>
      </c>
      <c r="F83" s="52">
        <v>2.2000000000000002</v>
      </c>
      <c r="G83" s="62">
        <f t="shared" si="10"/>
        <v>-0.16500000000000004</v>
      </c>
      <c r="H83" s="52"/>
    </row>
    <row r="84" spans="1:8" x14ac:dyDescent="0.25">
      <c r="A84" s="52"/>
      <c r="B84" s="52" t="s">
        <v>569</v>
      </c>
      <c r="C84" s="52">
        <v>1</v>
      </c>
      <c r="D84" s="52">
        <v>1.5249999999999999</v>
      </c>
      <c r="E84" s="52">
        <v>0.1</v>
      </c>
      <c r="F84" s="52">
        <f>2.95-0.125</f>
        <v>2.8250000000000002</v>
      </c>
      <c r="G84" s="62">
        <f t="shared" si="0"/>
        <v>0.43081250000000004</v>
      </c>
      <c r="H84" s="52"/>
    </row>
    <row r="85" spans="1:8" x14ac:dyDescent="0.25">
      <c r="A85" s="52"/>
      <c r="B85" s="52"/>
      <c r="C85" s="52">
        <v>1</v>
      </c>
      <c r="D85" s="52">
        <v>2.2850000000000001</v>
      </c>
      <c r="E85" s="52">
        <v>0.1</v>
      </c>
      <c r="F85" s="52">
        <v>2.5</v>
      </c>
      <c r="G85" s="62">
        <f t="shared" si="0"/>
        <v>0.57125000000000004</v>
      </c>
      <c r="H85" s="52"/>
    </row>
    <row r="86" spans="1:8" x14ac:dyDescent="0.25">
      <c r="A86" s="52"/>
      <c r="B86" s="52"/>
      <c r="C86" s="52">
        <v>1</v>
      </c>
      <c r="D86" s="52">
        <v>0.6</v>
      </c>
      <c r="E86" s="52">
        <v>0.23</v>
      </c>
      <c r="F86" s="52">
        <v>2.5</v>
      </c>
      <c r="G86" s="62">
        <f t="shared" si="0"/>
        <v>0.34500000000000003</v>
      </c>
      <c r="H86" s="52"/>
    </row>
    <row r="87" spans="1:8" x14ac:dyDescent="0.25">
      <c r="A87" s="52"/>
      <c r="B87" s="52"/>
      <c r="C87" s="52">
        <v>1</v>
      </c>
      <c r="D87" s="52">
        <v>1.385</v>
      </c>
      <c r="E87" s="52">
        <v>0.23</v>
      </c>
      <c r="F87" s="52">
        <v>2.6</v>
      </c>
      <c r="G87" s="62">
        <f t="shared" si="0"/>
        <v>0.82823000000000002</v>
      </c>
      <c r="H87" s="52"/>
    </row>
    <row r="88" spans="1:8" x14ac:dyDescent="0.25">
      <c r="A88" s="52"/>
      <c r="B88" s="52" t="s">
        <v>570</v>
      </c>
      <c r="C88" s="52">
        <v>1</v>
      </c>
      <c r="D88" s="52">
        <v>1.47</v>
      </c>
      <c r="E88" s="52">
        <v>0.2</v>
      </c>
      <c r="F88" s="52">
        <v>2.5</v>
      </c>
      <c r="G88" s="62">
        <f t="shared" si="0"/>
        <v>0.73499999999999999</v>
      </c>
      <c r="H88" s="52"/>
    </row>
    <row r="89" spans="1:8" x14ac:dyDescent="0.25">
      <c r="A89" s="52"/>
      <c r="B89" s="52" t="s">
        <v>571</v>
      </c>
      <c r="C89" s="52">
        <v>-1</v>
      </c>
      <c r="D89" s="52">
        <v>1.2</v>
      </c>
      <c r="E89" s="52">
        <v>0.2</v>
      </c>
      <c r="F89" s="52">
        <v>2.4</v>
      </c>
      <c r="G89" s="62">
        <f t="shared" si="0"/>
        <v>-0.57599999999999996</v>
      </c>
      <c r="H89" s="52"/>
    </row>
    <row r="90" spans="1:8" x14ac:dyDescent="0.25">
      <c r="A90" s="52"/>
      <c r="B90" s="52" t="s">
        <v>551</v>
      </c>
      <c r="C90" s="52">
        <v>-1</v>
      </c>
      <c r="D90" s="52">
        <v>0.55000000000000004</v>
      </c>
      <c r="E90" s="52">
        <v>0.23</v>
      </c>
      <c r="F90" s="52">
        <v>1.3</v>
      </c>
      <c r="G90" s="62">
        <f t="shared" si="0"/>
        <v>-0.16445000000000004</v>
      </c>
      <c r="H90" s="52"/>
    </row>
    <row r="91" spans="1:8" x14ac:dyDescent="0.25">
      <c r="A91" s="52"/>
      <c r="B91" s="52" t="s">
        <v>553</v>
      </c>
      <c r="C91" s="52">
        <v>-1</v>
      </c>
      <c r="D91" s="52">
        <v>0.75</v>
      </c>
      <c r="E91" s="52">
        <v>0.1</v>
      </c>
      <c r="F91" s="52">
        <v>2.2000000000000002</v>
      </c>
      <c r="G91" s="62">
        <f t="shared" si="0"/>
        <v>-0.16500000000000004</v>
      </c>
      <c r="H91" s="52"/>
    </row>
    <row r="92" spans="1:8" x14ac:dyDescent="0.25">
      <c r="A92" s="52"/>
      <c r="B92" s="56" t="s">
        <v>572</v>
      </c>
      <c r="C92" s="52"/>
      <c r="D92" s="52"/>
      <c r="E92" s="52"/>
      <c r="F92" s="52"/>
      <c r="G92" s="62">
        <f t="shared" ref="G92:G99" si="11">+PRODUCT(C92:F92)</f>
        <v>0</v>
      </c>
      <c r="H92" s="52"/>
    </row>
    <row r="93" spans="1:8" x14ac:dyDescent="0.25">
      <c r="A93" s="52"/>
      <c r="B93" s="52" t="s">
        <v>562</v>
      </c>
      <c r="C93" s="52">
        <v>1</v>
      </c>
      <c r="D93" s="52">
        <v>2.2200000000000002</v>
      </c>
      <c r="E93" s="52">
        <v>0.1</v>
      </c>
      <c r="F93" s="52">
        <v>2.5</v>
      </c>
      <c r="G93" s="62">
        <f t="shared" si="11"/>
        <v>0.55500000000000005</v>
      </c>
      <c r="H93" s="52"/>
    </row>
    <row r="94" spans="1:8" x14ac:dyDescent="0.25">
      <c r="A94" s="52"/>
      <c r="B94" s="52"/>
      <c r="C94" s="52">
        <v>1</v>
      </c>
      <c r="D94" s="52">
        <v>3.0649999999999999</v>
      </c>
      <c r="E94" s="52">
        <v>0.1</v>
      </c>
      <c r="F94" s="52">
        <v>2.5</v>
      </c>
      <c r="G94" s="62">
        <f t="shared" si="11"/>
        <v>0.76624999999999999</v>
      </c>
      <c r="H94" s="52"/>
    </row>
    <row r="95" spans="1:8" x14ac:dyDescent="0.25">
      <c r="A95" s="52"/>
      <c r="B95" s="52"/>
      <c r="C95" s="52">
        <v>1</v>
      </c>
      <c r="D95" s="52">
        <v>1.55</v>
      </c>
      <c r="E95" s="52">
        <v>0.2</v>
      </c>
      <c r="F95" s="52">
        <v>2.4500000000000002</v>
      </c>
      <c r="G95" s="62">
        <f t="shared" si="11"/>
        <v>0.75950000000000017</v>
      </c>
      <c r="H95" s="52"/>
    </row>
    <row r="96" spans="1:8" x14ac:dyDescent="0.25">
      <c r="A96" s="52"/>
      <c r="B96" s="52"/>
      <c r="C96" s="78">
        <v>1</v>
      </c>
      <c r="D96" s="78">
        <v>3.43</v>
      </c>
      <c r="E96" s="78">
        <v>0.23</v>
      </c>
      <c r="F96" s="78">
        <v>2.5</v>
      </c>
      <c r="G96" s="79">
        <f t="shared" si="11"/>
        <v>1.9722500000000001</v>
      </c>
      <c r="H96" s="78"/>
    </row>
    <row r="97" spans="1:8" x14ac:dyDescent="0.25">
      <c r="A97" s="52"/>
      <c r="B97" s="52" t="s">
        <v>548</v>
      </c>
      <c r="C97" s="52">
        <v>1</v>
      </c>
      <c r="D97" s="52">
        <v>1.325</v>
      </c>
      <c r="E97" s="52">
        <v>0.1</v>
      </c>
      <c r="F97" s="52">
        <v>2.4500000000000002</v>
      </c>
      <c r="G97" s="62">
        <f t="shared" si="11"/>
        <v>0.32462500000000005</v>
      </c>
      <c r="H97" s="52"/>
    </row>
    <row r="98" spans="1:8" x14ac:dyDescent="0.25">
      <c r="A98" s="52"/>
      <c r="B98" s="52"/>
      <c r="C98" s="52">
        <v>1</v>
      </c>
      <c r="D98" s="52">
        <v>2.3250000000000002</v>
      </c>
      <c r="E98" s="52">
        <v>0.1</v>
      </c>
      <c r="F98" s="52">
        <v>2.4500000000000002</v>
      </c>
      <c r="G98" s="62">
        <f t="shared" si="11"/>
        <v>0.56962500000000016</v>
      </c>
      <c r="H98" s="52"/>
    </row>
    <row r="99" spans="1:8" x14ac:dyDescent="0.25">
      <c r="A99" s="52"/>
      <c r="B99" s="52"/>
      <c r="C99" s="52">
        <v>1</v>
      </c>
      <c r="D99" s="52">
        <v>1.395</v>
      </c>
      <c r="E99" s="52">
        <v>0.1</v>
      </c>
      <c r="F99" s="52">
        <f>2.95-0.35</f>
        <v>2.6</v>
      </c>
      <c r="G99" s="62">
        <f t="shared" si="11"/>
        <v>0.36270000000000002</v>
      </c>
      <c r="H99" s="52"/>
    </row>
    <row r="100" spans="1:8" x14ac:dyDescent="0.25">
      <c r="A100" s="52"/>
      <c r="B100" s="52"/>
      <c r="C100" s="52">
        <v>1</v>
      </c>
      <c r="D100" s="52">
        <v>1.99</v>
      </c>
      <c r="E100" s="52">
        <v>0.23</v>
      </c>
      <c r="F100" s="52">
        <v>2.5</v>
      </c>
      <c r="G100" s="62">
        <f>+PRODUCT(C100:F100)</f>
        <v>1.14425</v>
      </c>
      <c r="H100" s="52"/>
    </row>
    <row r="101" spans="1:8" x14ac:dyDescent="0.25">
      <c r="A101" s="52"/>
      <c r="B101" s="52" t="s">
        <v>560</v>
      </c>
      <c r="C101" s="52">
        <v>-1</v>
      </c>
      <c r="D101" s="52">
        <v>1.365</v>
      </c>
      <c r="E101" s="52">
        <v>0.2</v>
      </c>
      <c r="F101" s="52">
        <v>2.4</v>
      </c>
      <c r="G101" s="62">
        <f t="shared" ref="G101:G140" si="12">+PRODUCT(C101:F101)</f>
        <v>-0.6552</v>
      </c>
      <c r="H101" s="52"/>
    </row>
    <row r="102" spans="1:8" x14ac:dyDescent="0.25">
      <c r="A102" s="52"/>
      <c r="B102" s="52" t="s">
        <v>551</v>
      </c>
      <c r="C102" s="52">
        <v>-1</v>
      </c>
      <c r="D102" s="52">
        <v>0.55000000000000004</v>
      </c>
      <c r="E102" s="52">
        <v>0.2</v>
      </c>
      <c r="F102" s="52">
        <v>1.3</v>
      </c>
      <c r="G102" s="62">
        <f t="shared" si="12"/>
        <v>-0.14300000000000002</v>
      </c>
      <c r="H102" s="52"/>
    </row>
    <row r="103" spans="1:8" x14ac:dyDescent="0.25">
      <c r="A103" s="52"/>
      <c r="B103" s="52" t="s">
        <v>552</v>
      </c>
      <c r="C103" s="52">
        <v>-1</v>
      </c>
      <c r="D103" s="52">
        <v>1</v>
      </c>
      <c r="E103" s="52">
        <v>0.1</v>
      </c>
      <c r="F103" s="52">
        <v>2.2000000000000002</v>
      </c>
      <c r="G103" s="62">
        <f t="shared" si="12"/>
        <v>-0.22000000000000003</v>
      </c>
      <c r="H103" s="52"/>
    </row>
    <row r="104" spans="1:8" x14ac:dyDescent="0.25">
      <c r="A104" s="52"/>
      <c r="B104" s="52" t="s">
        <v>553</v>
      </c>
      <c r="C104" s="52">
        <v>-1</v>
      </c>
      <c r="D104" s="52">
        <v>0.75</v>
      </c>
      <c r="E104" s="52">
        <v>0.1</v>
      </c>
      <c r="F104" s="52">
        <v>2.2000000000000002</v>
      </c>
      <c r="G104" s="62">
        <f t="shared" si="12"/>
        <v>-0.16500000000000004</v>
      </c>
      <c r="H104" s="52"/>
    </row>
    <row r="105" spans="1:8" x14ac:dyDescent="0.25">
      <c r="A105" s="52"/>
      <c r="B105" s="52" t="s">
        <v>563</v>
      </c>
      <c r="C105" s="52">
        <v>1</v>
      </c>
      <c r="D105" s="52">
        <v>1.395</v>
      </c>
      <c r="E105" s="52">
        <v>0.1</v>
      </c>
      <c r="F105" s="52">
        <f>2.95-0.35</f>
        <v>2.6</v>
      </c>
      <c r="G105" s="62">
        <f t="shared" si="12"/>
        <v>0.36270000000000002</v>
      </c>
      <c r="H105" s="52"/>
    </row>
    <row r="106" spans="1:8" x14ac:dyDescent="0.25">
      <c r="A106" s="52"/>
      <c r="B106" s="52" t="s">
        <v>564</v>
      </c>
      <c r="C106" s="52">
        <v>-1</v>
      </c>
      <c r="D106" s="52">
        <v>0.9</v>
      </c>
      <c r="E106" s="52">
        <v>0.1</v>
      </c>
      <c r="F106" s="52">
        <v>2.0499999999999998</v>
      </c>
      <c r="G106" s="62">
        <f t="shared" si="12"/>
        <v>-0.1845</v>
      </c>
      <c r="H106" s="52"/>
    </row>
    <row r="107" spans="1:8" x14ac:dyDescent="0.25">
      <c r="A107" s="52"/>
      <c r="B107" s="52" t="s">
        <v>557</v>
      </c>
      <c r="C107" s="52">
        <v>1</v>
      </c>
      <c r="D107" s="52">
        <v>2.93</v>
      </c>
      <c r="E107" s="52">
        <v>0.2</v>
      </c>
      <c r="F107" s="52">
        <f>2.95-0.35</f>
        <v>2.6</v>
      </c>
      <c r="G107" s="62">
        <f t="shared" si="12"/>
        <v>1.5236000000000003</v>
      </c>
      <c r="H107" s="52"/>
    </row>
    <row r="108" spans="1:8" x14ac:dyDescent="0.25">
      <c r="A108" s="52"/>
      <c r="B108" s="52"/>
      <c r="C108" s="52">
        <v>0.5</v>
      </c>
      <c r="D108" s="52">
        <v>6.99</v>
      </c>
      <c r="E108" s="52">
        <v>0.2</v>
      </c>
      <c r="F108" s="52">
        <v>2.5</v>
      </c>
      <c r="G108" s="62">
        <f t="shared" si="12"/>
        <v>1.7475000000000001</v>
      </c>
      <c r="H108" s="52"/>
    </row>
    <row r="109" spans="1:8" x14ac:dyDescent="0.25">
      <c r="A109" s="52"/>
      <c r="B109" s="52" t="s">
        <v>565</v>
      </c>
      <c r="C109" s="52">
        <v>1</v>
      </c>
      <c r="D109" s="52">
        <v>1.42</v>
      </c>
      <c r="E109" s="52">
        <v>0.1</v>
      </c>
      <c r="F109" s="52">
        <f>2.95-0.35</f>
        <v>2.6</v>
      </c>
      <c r="G109" s="62">
        <f t="shared" si="12"/>
        <v>0.36919999999999997</v>
      </c>
      <c r="H109" s="52"/>
    </row>
    <row r="110" spans="1:8" x14ac:dyDescent="0.25">
      <c r="A110" s="52"/>
      <c r="B110" s="52" t="s">
        <v>564</v>
      </c>
      <c r="C110" s="52">
        <v>-1</v>
      </c>
      <c r="D110" s="52">
        <v>0.9</v>
      </c>
      <c r="E110" s="52">
        <v>0.1</v>
      </c>
      <c r="F110" s="52">
        <v>2.0499999999999998</v>
      </c>
      <c r="G110" s="62">
        <f t="shared" si="12"/>
        <v>-0.1845</v>
      </c>
      <c r="H110" s="52"/>
    </row>
    <row r="111" spans="1:8" x14ac:dyDescent="0.25">
      <c r="A111" s="52"/>
      <c r="B111" s="52"/>
      <c r="C111" s="52">
        <v>1</v>
      </c>
      <c r="D111" s="52">
        <v>0.41499999999999998</v>
      </c>
      <c r="E111" s="52">
        <v>0.2</v>
      </c>
      <c r="F111" s="52">
        <v>2.4500000000000002</v>
      </c>
      <c r="G111" s="62">
        <f t="shared" si="12"/>
        <v>0.20335000000000003</v>
      </c>
      <c r="H111" s="52"/>
    </row>
    <row r="112" spans="1:8" x14ac:dyDescent="0.25">
      <c r="A112" s="52"/>
      <c r="B112" s="52" t="s">
        <v>550</v>
      </c>
      <c r="C112" s="52">
        <v>-1</v>
      </c>
      <c r="D112" s="52">
        <v>2.0649999999999999</v>
      </c>
      <c r="E112" s="52">
        <v>0.2</v>
      </c>
      <c r="F112" s="52">
        <v>2.4</v>
      </c>
      <c r="G112" s="62">
        <f t="shared" si="12"/>
        <v>-0.99120000000000008</v>
      </c>
      <c r="H112" s="52"/>
    </row>
    <row r="113" spans="1:8" x14ac:dyDescent="0.25">
      <c r="A113" s="52"/>
      <c r="B113" s="52" t="s">
        <v>566</v>
      </c>
      <c r="C113" s="52">
        <v>1</v>
      </c>
      <c r="D113" s="52">
        <v>3.05</v>
      </c>
      <c r="E113" s="52">
        <v>0.1</v>
      </c>
      <c r="F113" s="52">
        <v>2.6</v>
      </c>
      <c r="G113" s="62">
        <f t="shared" si="12"/>
        <v>0.79300000000000004</v>
      </c>
      <c r="H113" s="52"/>
    </row>
    <row r="114" spans="1:8" x14ac:dyDescent="0.25">
      <c r="A114" s="52"/>
      <c r="B114" s="52"/>
      <c r="C114" s="52">
        <v>1</v>
      </c>
      <c r="D114" s="52">
        <v>4.6900000000000004</v>
      </c>
      <c r="E114" s="52">
        <v>0.2</v>
      </c>
      <c r="F114" s="52">
        <v>2.4500000000000002</v>
      </c>
      <c r="G114" s="62">
        <f t="shared" si="12"/>
        <v>2.2981000000000007</v>
      </c>
      <c r="H114" s="52"/>
    </row>
    <row r="115" spans="1:8" x14ac:dyDescent="0.25">
      <c r="A115" s="52"/>
      <c r="B115" s="52"/>
      <c r="C115" s="52">
        <v>1</v>
      </c>
      <c r="D115" s="52">
        <v>3.35</v>
      </c>
      <c r="E115" s="52">
        <v>0.1</v>
      </c>
      <c r="F115" s="52">
        <v>2.5</v>
      </c>
      <c r="G115" s="62">
        <f t="shared" si="12"/>
        <v>0.83750000000000002</v>
      </c>
      <c r="H115" s="52"/>
    </row>
    <row r="116" spans="1:8" x14ac:dyDescent="0.25">
      <c r="A116" s="52"/>
      <c r="B116" s="52"/>
      <c r="C116" s="52">
        <v>1</v>
      </c>
      <c r="D116" s="52">
        <v>3.05</v>
      </c>
      <c r="E116" s="52">
        <v>0.1</v>
      </c>
      <c r="F116" s="52">
        <v>2.4500000000000002</v>
      </c>
      <c r="G116" s="62">
        <f t="shared" si="12"/>
        <v>0.74725000000000008</v>
      </c>
      <c r="H116" s="52"/>
    </row>
    <row r="117" spans="1:8" x14ac:dyDescent="0.25">
      <c r="A117" s="52"/>
      <c r="B117" s="52"/>
      <c r="C117" s="52">
        <v>1</v>
      </c>
      <c r="D117" s="52">
        <f>4.77-1.215</f>
        <v>3.5549999999999997</v>
      </c>
      <c r="E117" s="52">
        <v>0.1</v>
      </c>
      <c r="F117" s="52">
        <v>2.5</v>
      </c>
      <c r="G117" s="62">
        <f t="shared" si="12"/>
        <v>0.88874999999999993</v>
      </c>
      <c r="H117" s="52"/>
    </row>
    <row r="118" spans="1:8" x14ac:dyDescent="0.25">
      <c r="A118" s="52"/>
      <c r="B118" s="52" t="s">
        <v>550</v>
      </c>
      <c r="C118" s="52">
        <v>-1</v>
      </c>
      <c r="D118" s="52">
        <v>2.0649999999999999</v>
      </c>
      <c r="E118" s="52">
        <v>0.2</v>
      </c>
      <c r="F118" s="52">
        <v>2.4</v>
      </c>
      <c r="G118" s="62">
        <f t="shared" si="12"/>
        <v>-0.99120000000000008</v>
      </c>
      <c r="H118" s="52"/>
    </row>
    <row r="119" spans="1:8" x14ac:dyDescent="0.25">
      <c r="A119" s="52"/>
      <c r="B119" s="52" t="s">
        <v>567</v>
      </c>
      <c r="C119" s="52">
        <v>-1</v>
      </c>
      <c r="D119" s="52">
        <v>1.55</v>
      </c>
      <c r="E119" s="52">
        <v>0.2</v>
      </c>
      <c r="F119" s="52">
        <v>2.4</v>
      </c>
      <c r="G119" s="62">
        <f t="shared" si="12"/>
        <v>-0.74400000000000011</v>
      </c>
      <c r="H119" s="52"/>
    </row>
    <row r="120" spans="1:8" x14ac:dyDescent="0.25">
      <c r="A120" s="52"/>
      <c r="B120" s="52" t="s">
        <v>552</v>
      </c>
      <c r="C120" s="52">
        <v>-1</v>
      </c>
      <c r="D120" s="52">
        <v>1</v>
      </c>
      <c r="E120" s="52">
        <v>0.1</v>
      </c>
      <c r="F120" s="52">
        <v>2.2000000000000002</v>
      </c>
      <c r="G120" s="62">
        <f t="shared" si="12"/>
        <v>-0.22000000000000003</v>
      </c>
      <c r="H120" s="52"/>
    </row>
    <row r="121" spans="1:8" x14ac:dyDescent="0.25">
      <c r="A121" s="52"/>
      <c r="B121" s="52" t="s">
        <v>568</v>
      </c>
      <c r="C121" s="52">
        <v>1</v>
      </c>
      <c r="D121" s="52">
        <v>3.05</v>
      </c>
      <c r="E121" s="52">
        <v>0.2</v>
      </c>
      <c r="F121" s="52">
        <v>2.4500000000000002</v>
      </c>
      <c r="G121" s="62">
        <f t="shared" si="12"/>
        <v>1.4945000000000002</v>
      </c>
      <c r="H121" s="52"/>
    </row>
    <row r="122" spans="1:8" x14ac:dyDescent="0.25">
      <c r="A122" s="52"/>
      <c r="B122" s="52"/>
      <c r="C122" s="52">
        <v>0.5</v>
      </c>
      <c r="D122" s="52">
        <v>5.28</v>
      </c>
      <c r="E122" s="52">
        <v>0.2</v>
      </c>
      <c r="F122" s="52">
        <v>2.5</v>
      </c>
      <c r="G122" s="62">
        <f t="shared" si="12"/>
        <v>1.32</v>
      </c>
      <c r="H122" s="52"/>
    </row>
    <row r="123" spans="1:8" x14ac:dyDescent="0.25">
      <c r="A123" s="52"/>
      <c r="B123" s="52"/>
      <c r="C123" s="52">
        <v>1</v>
      </c>
      <c r="D123" s="52">
        <v>2.4249999999999998</v>
      </c>
      <c r="E123" s="52">
        <v>0.1</v>
      </c>
      <c r="F123" s="52">
        <v>2.5</v>
      </c>
      <c r="G123" s="62">
        <f t="shared" si="12"/>
        <v>0.60624999999999996</v>
      </c>
      <c r="H123" s="52"/>
    </row>
    <row r="124" spans="1:8" x14ac:dyDescent="0.25">
      <c r="A124" s="52"/>
      <c r="B124" s="52"/>
      <c r="C124" s="52">
        <v>1</v>
      </c>
      <c r="D124" s="52">
        <v>0.6</v>
      </c>
      <c r="E124" s="52">
        <v>0.1</v>
      </c>
      <c r="F124" s="52">
        <v>2.5</v>
      </c>
      <c r="G124" s="62">
        <f t="shared" si="12"/>
        <v>0.15</v>
      </c>
      <c r="H124" s="52"/>
    </row>
    <row r="125" spans="1:8" x14ac:dyDescent="0.25">
      <c r="A125" s="52"/>
      <c r="B125" s="52"/>
      <c r="C125" s="52">
        <v>1</v>
      </c>
      <c r="D125" s="52">
        <v>1.7</v>
      </c>
      <c r="E125" s="52">
        <v>0.1</v>
      </c>
      <c r="F125" s="52">
        <f>2.95-0.125</f>
        <v>2.8250000000000002</v>
      </c>
      <c r="G125" s="62">
        <f t="shared" si="12"/>
        <v>0.48025000000000007</v>
      </c>
      <c r="H125" s="52"/>
    </row>
    <row r="126" spans="1:8" x14ac:dyDescent="0.25">
      <c r="A126" s="52"/>
      <c r="B126" s="52"/>
      <c r="C126" s="52">
        <v>1</v>
      </c>
      <c r="D126" s="52">
        <v>3.35</v>
      </c>
      <c r="E126" s="52">
        <v>0.2</v>
      </c>
      <c r="F126" s="52">
        <v>2.5</v>
      </c>
      <c r="G126" s="62">
        <f t="shared" si="12"/>
        <v>1.675</v>
      </c>
      <c r="H126" s="52"/>
    </row>
    <row r="127" spans="1:8" x14ac:dyDescent="0.25">
      <c r="A127" s="52"/>
      <c r="B127" s="52" t="s">
        <v>548</v>
      </c>
      <c r="C127" s="52">
        <v>1</v>
      </c>
      <c r="D127" s="52">
        <v>1.6</v>
      </c>
      <c r="E127" s="52">
        <v>0.2</v>
      </c>
      <c r="F127" s="52">
        <f>2.95-0.35</f>
        <v>2.6</v>
      </c>
      <c r="G127" s="62">
        <f t="shared" si="12"/>
        <v>0.83200000000000018</v>
      </c>
      <c r="H127" s="52"/>
    </row>
    <row r="128" spans="1:8" x14ac:dyDescent="0.25">
      <c r="A128" s="52"/>
      <c r="B128" s="52"/>
      <c r="C128" s="52">
        <v>0.5</v>
      </c>
      <c r="D128" s="52">
        <v>2.41</v>
      </c>
      <c r="E128" s="52">
        <v>0.23</v>
      </c>
      <c r="F128" s="52">
        <f>2.95-0.35</f>
        <v>2.6</v>
      </c>
      <c r="G128" s="62">
        <f t="shared" si="12"/>
        <v>0.72059000000000006</v>
      </c>
      <c r="H128" s="52"/>
    </row>
    <row r="129" spans="1:8" x14ac:dyDescent="0.25">
      <c r="A129" s="52"/>
      <c r="B129" s="52" t="s">
        <v>558</v>
      </c>
      <c r="C129" s="52">
        <v>-1</v>
      </c>
      <c r="D129" s="52">
        <v>2.4500000000000002</v>
      </c>
      <c r="E129" s="52">
        <v>0.2</v>
      </c>
      <c r="F129" s="52">
        <v>2.4</v>
      </c>
      <c r="G129" s="62">
        <f t="shared" si="12"/>
        <v>-1.1760000000000002</v>
      </c>
      <c r="H129" s="52"/>
    </row>
    <row r="130" spans="1:8" x14ac:dyDescent="0.25">
      <c r="A130" s="52"/>
      <c r="B130" s="52" t="s">
        <v>551</v>
      </c>
      <c r="C130" s="52">
        <v>-1</v>
      </c>
      <c r="D130" s="52">
        <v>0.55000000000000004</v>
      </c>
      <c r="E130" s="52">
        <v>0.2</v>
      </c>
      <c r="F130" s="52">
        <v>1.3</v>
      </c>
      <c r="G130" s="62">
        <f t="shared" si="12"/>
        <v>-0.14300000000000002</v>
      </c>
      <c r="H130" s="52"/>
    </row>
    <row r="131" spans="1:8" x14ac:dyDescent="0.25">
      <c r="A131" s="52"/>
      <c r="B131" s="52" t="s">
        <v>552</v>
      </c>
      <c r="C131" s="52">
        <v>-1</v>
      </c>
      <c r="D131" s="52">
        <v>1</v>
      </c>
      <c r="E131" s="52">
        <v>0.1</v>
      </c>
      <c r="F131" s="52">
        <v>2.2000000000000002</v>
      </c>
      <c r="G131" s="62">
        <f t="shared" si="12"/>
        <v>-0.22000000000000003</v>
      </c>
      <c r="H131" s="52"/>
    </row>
    <row r="132" spans="1:8" x14ac:dyDescent="0.25">
      <c r="A132" s="52"/>
      <c r="B132" s="52" t="s">
        <v>553</v>
      </c>
      <c r="C132" s="52">
        <v>-1</v>
      </c>
      <c r="D132" s="52">
        <v>0.75</v>
      </c>
      <c r="E132" s="52">
        <v>0.1</v>
      </c>
      <c r="F132" s="52">
        <v>2.2000000000000002</v>
      </c>
      <c r="G132" s="62">
        <f t="shared" si="12"/>
        <v>-0.16500000000000004</v>
      </c>
      <c r="H132" s="52"/>
    </row>
    <row r="133" spans="1:8" x14ac:dyDescent="0.25">
      <c r="A133" s="52"/>
      <c r="B133" s="52" t="s">
        <v>569</v>
      </c>
      <c r="C133" s="52">
        <v>1</v>
      </c>
      <c r="D133" s="52">
        <v>1.5249999999999999</v>
      </c>
      <c r="E133" s="52">
        <v>0.1</v>
      </c>
      <c r="F133" s="52">
        <f>2.95-0.125</f>
        <v>2.8250000000000002</v>
      </c>
      <c r="G133" s="62">
        <f t="shared" si="12"/>
        <v>0.43081250000000004</v>
      </c>
      <c r="H133" s="52"/>
    </row>
    <row r="134" spans="1:8" x14ac:dyDescent="0.25">
      <c r="A134" s="52"/>
      <c r="B134" s="52"/>
      <c r="C134" s="52">
        <v>1</v>
      </c>
      <c r="D134" s="52">
        <v>2.2850000000000001</v>
      </c>
      <c r="E134" s="52">
        <v>0.1</v>
      </c>
      <c r="F134" s="52">
        <v>2.5</v>
      </c>
      <c r="G134" s="62">
        <f t="shared" si="12"/>
        <v>0.57125000000000004</v>
      </c>
      <c r="H134" s="52"/>
    </row>
    <row r="135" spans="1:8" x14ac:dyDescent="0.25">
      <c r="A135" s="52"/>
      <c r="B135" s="52"/>
      <c r="C135" s="52">
        <v>1</v>
      </c>
      <c r="D135" s="52">
        <v>0.6</v>
      </c>
      <c r="E135" s="52">
        <v>0.23</v>
      </c>
      <c r="F135" s="52">
        <v>2.5</v>
      </c>
      <c r="G135" s="62">
        <f t="shared" si="12"/>
        <v>0.34500000000000003</v>
      </c>
      <c r="H135" s="52"/>
    </row>
    <row r="136" spans="1:8" x14ac:dyDescent="0.25">
      <c r="A136" s="52"/>
      <c r="B136" s="52"/>
      <c r="C136" s="52">
        <v>1</v>
      </c>
      <c r="D136" s="52">
        <v>1.385</v>
      </c>
      <c r="E136" s="52">
        <v>0.23</v>
      </c>
      <c r="F136" s="52">
        <v>2.6</v>
      </c>
      <c r="G136" s="62">
        <f t="shared" si="12"/>
        <v>0.82823000000000002</v>
      </c>
      <c r="H136" s="52"/>
    </row>
    <row r="137" spans="1:8" x14ac:dyDescent="0.25">
      <c r="A137" s="52"/>
      <c r="B137" s="52" t="s">
        <v>570</v>
      </c>
      <c r="C137" s="52">
        <v>1</v>
      </c>
      <c r="D137" s="52">
        <v>1.47</v>
      </c>
      <c r="E137" s="52">
        <v>0.2</v>
      </c>
      <c r="F137" s="52">
        <v>2.5</v>
      </c>
      <c r="G137" s="62">
        <f t="shared" si="12"/>
        <v>0.73499999999999999</v>
      </c>
      <c r="H137" s="52"/>
    </row>
    <row r="138" spans="1:8" x14ac:dyDescent="0.25">
      <c r="A138" s="52"/>
      <c r="B138" s="52" t="s">
        <v>571</v>
      </c>
      <c r="C138" s="52">
        <v>-1</v>
      </c>
      <c r="D138" s="52">
        <v>1.2</v>
      </c>
      <c r="E138" s="52">
        <v>0.2</v>
      </c>
      <c r="F138" s="52">
        <v>2.4</v>
      </c>
      <c r="G138" s="62">
        <f t="shared" si="12"/>
        <v>-0.57599999999999996</v>
      </c>
      <c r="H138" s="52"/>
    </row>
    <row r="139" spans="1:8" x14ac:dyDescent="0.25">
      <c r="A139" s="52"/>
      <c r="B139" s="52" t="s">
        <v>551</v>
      </c>
      <c r="C139" s="52">
        <v>-1</v>
      </c>
      <c r="D139" s="52">
        <v>0.55000000000000004</v>
      </c>
      <c r="E139" s="52">
        <v>0.23</v>
      </c>
      <c r="F139" s="52">
        <v>1.3</v>
      </c>
      <c r="G139" s="62">
        <f t="shared" si="12"/>
        <v>-0.16445000000000004</v>
      </c>
      <c r="H139" s="52"/>
    </row>
    <row r="140" spans="1:8" x14ac:dyDescent="0.25">
      <c r="A140" s="52"/>
      <c r="B140" s="52" t="s">
        <v>553</v>
      </c>
      <c r="C140" s="52">
        <v>-1</v>
      </c>
      <c r="D140" s="52">
        <v>0.75</v>
      </c>
      <c r="E140" s="52">
        <v>0.1</v>
      </c>
      <c r="F140" s="52">
        <v>2.2000000000000002</v>
      </c>
      <c r="G140" s="62">
        <f t="shared" si="12"/>
        <v>-0.16500000000000004</v>
      </c>
      <c r="H140" s="52"/>
    </row>
    <row r="141" spans="1:8" x14ac:dyDescent="0.25">
      <c r="A141" s="52"/>
      <c r="B141" s="52"/>
      <c r="C141" s="52"/>
      <c r="D141" s="52"/>
      <c r="E141" s="52"/>
      <c r="F141" s="52"/>
      <c r="G141" s="62">
        <f t="shared" si="0"/>
        <v>0</v>
      </c>
      <c r="H141" s="52"/>
    </row>
    <row r="142" spans="1:8" x14ac:dyDescent="0.25">
      <c r="A142" s="52"/>
      <c r="B142" s="56" t="s">
        <v>573</v>
      </c>
      <c r="C142" s="52"/>
      <c r="D142" s="52"/>
      <c r="E142" s="52"/>
      <c r="F142" s="52"/>
      <c r="G142" s="62">
        <f t="shared" si="0"/>
        <v>0</v>
      </c>
      <c r="H142" s="52"/>
    </row>
    <row r="143" spans="1:8" x14ac:dyDescent="0.25">
      <c r="A143" s="52"/>
      <c r="B143" s="52" t="s">
        <v>574</v>
      </c>
      <c r="C143" s="52">
        <v>1</v>
      </c>
      <c r="D143" s="52">
        <v>3.105</v>
      </c>
      <c r="E143" s="52">
        <v>0.2</v>
      </c>
      <c r="F143" s="52">
        <v>2.4500000000000002</v>
      </c>
      <c r="G143" s="62">
        <f t="shared" si="0"/>
        <v>1.5214500000000002</v>
      </c>
      <c r="H143" s="52"/>
    </row>
    <row r="144" spans="1:8" x14ac:dyDescent="0.25">
      <c r="A144" s="52"/>
      <c r="B144" s="52"/>
      <c r="C144" s="52">
        <v>1</v>
      </c>
      <c r="D144" s="52">
        <v>2.91</v>
      </c>
      <c r="E144" s="52">
        <v>0.1</v>
      </c>
      <c r="F144" s="52">
        <v>2.5</v>
      </c>
      <c r="G144" s="62">
        <f t="shared" si="0"/>
        <v>0.72750000000000004</v>
      </c>
      <c r="H144" s="52"/>
    </row>
    <row r="145" spans="1:8" x14ac:dyDescent="0.25">
      <c r="A145" s="52"/>
      <c r="B145" s="52"/>
      <c r="C145" s="52">
        <v>1</v>
      </c>
      <c r="D145" s="52">
        <v>4.72</v>
      </c>
      <c r="E145" s="52">
        <v>0.1</v>
      </c>
      <c r="F145" s="52">
        <v>2.5</v>
      </c>
      <c r="G145" s="62">
        <f t="shared" si="0"/>
        <v>1.18</v>
      </c>
      <c r="H145" s="52"/>
    </row>
    <row r="146" spans="1:8" x14ac:dyDescent="0.25">
      <c r="A146" s="52"/>
      <c r="B146" s="52" t="s">
        <v>548</v>
      </c>
      <c r="C146" s="52">
        <v>1</v>
      </c>
      <c r="D146" s="52">
        <v>3.36</v>
      </c>
      <c r="E146" s="52">
        <v>0.1</v>
      </c>
      <c r="F146" s="52">
        <v>2.5</v>
      </c>
      <c r="G146" s="62">
        <f t="shared" si="0"/>
        <v>0.84000000000000008</v>
      </c>
      <c r="H146" s="52"/>
    </row>
    <row r="147" spans="1:8" x14ac:dyDescent="0.25">
      <c r="A147" s="52"/>
      <c r="B147" s="52"/>
      <c r="C147" s="52">
        <v>1</v>
      </c>
      <c r="D147" s="52">
        <v>1.54</v>
      </c>
      <c r="E147" s="52">
        <v>0.1</v>
      </c>
      <c r="F147" s="52">
        <f>2.95-0.125</f>
        <v>2.8250000000000002</v>
      </c>
      <c r="G147" s="62">
        <f t="shared" si="0"/>
        <v>0.4350500000000001</v>
      </c>
      <c r="H147" s="52"/>
    </row>
    <row r="148" spans="1:8" x14ac:dyDescent="0.25">
      <c r="A148" s="52"/>
      <c r="B148" s="52"/>
      <c r="C148" s="52">
        <v>1</v>
      </c>
      <c r="D148" s="52">
        <v>1.1200000000000001</v>
      </c>
      <c r="E148" s="52">
        <v>0.1</v>
      </c>
      <c r="F148" s="52">
        <f>2.95-0.35</f>
        <v>2.6</v>
      </c>
      <c r="G148" s="62">
        <f t="shared" si="0"/>
        <v>0.29120000000000007</v>
      </c>
      <c r="H148" s="52"/>
    </row>
    <row r="149" spans="1:8" x14ac:dyDescent="0.25">
      <c r="A149" s="52"/>
      <c r="B149" s="52" t="s">
        <v>575</v>
      </c>
      <c r="C149" s="52">
        <v>1</v>
      </c>
      <c r="D149" s="52">
        <v>0.51500000000000001</v>
      </c>
      <c r="E149" s="52">
        <v>0.1</v>
      </c>
      <c r="F149" s="52">
        <v>2.6</v>
      </c>
      <c r="G149" s="62">
        <f t="shared" si="0"/>
        <v>0.13390000000000002</v>
      </c>
      <c r="H149" s="52"/>
    </row>
    <row r="150" spans="1:8" x14ac:dyDescent="0.25">
      <c r="A150" s="52"/>
      <c r="B150" s="52"/>
      <c r="C150" s="52">
        <v>1</v>
      </c>
      <c r="D150" s="52">
        <v>1.54</v>
      </c>
      <c r="E150" s="52">
        <v>0.1</v>
      </c>
      <c r="F150" s="52">
        <v>2.6</v>
      </c>
      <c r="G150" s="62">
        <f t="shared" si="0"/>
        <v>0.40040000000000009</v>
      </c>
      <c r="H150" s="52"/>
    </row>
    <row r="151" spans="1:8" x14ac:dyDescent="0.25">
      <c r="A151" s="52"/>
      <c r="B151" s="52" t="s">
        <v>564</v>
      </c>
      <c r="C151" s="52">
        <v>-1</v>
      </c>
      <c r="D151" s="52">
        <v>0.9</v>
      </c>
      <c r="E151" s="52">
        <v>0.1</v>
      </c>
      <c r="F151" s="52">
        <v>2.0499999999999998</v>
      </c>
      <c r="G151" s="62">
        <f t="shared" si="0"/>
        <v>-0.1845</v>
      </c>
      <c r="H151" s="52"/>
    </row>
    <row r="152" spans="1:8" x14ac:dyDescent="0.25">
      <c r="A152" s="52"/>
      <c r="B152" s="52"/>
      <c r="C152" s="52">
        <v>1</v>
      </c>
      <c r="D152" s="52">
        <v>0.51500000000000001</v>
      </c>
      <c r="E152" s="52">
        <v>0.23</v>
      </c>
      <c r="F152" s="52">
        <v>2.4500000000000002</v>
      </c>
      <c r="G152" s="62">
        <f t="shared" si="0"/>
        <v>0.29020250000000003</v>
      </c>
      <c r="H152" s="52"/>
    </row>
    <row r="153" spans="1:8" x14ac:dyDescent="0.25">
      <c r="A153" s="52"/>
      <c r="B153" s="52"/>
      <c r="C153" s="52">
        <v>1</v>
      </c>
      <c r="D153" s="52">
        <v>1.81</v>
      </c>
      <c r="E153" s="52">
        <v>0.23</v>
      </c>
      <c r="F153" s="52">
        <v>2.4500000000000002</v>
      </c>
      <c r="G153" s="62">
        <f t="shared" si="0"/>
        <v>1.019935</v>
      </c>
      <c r="H153" s="52"/>
    </row>
    <row r="154" spans="1:8" x14ac:dyDescent="0.25">
      <c r="A154" s="52"/>
      <c r="B154" s="52" t="s">
        <v>550</v>
      </c>
      <c r="C154" s="52">
        <v>-1</v>
      </c>
      <c r="D154" s="52">
        <v>2.0649999999999999</v>
      </c>
      <c r="E154" s="52">
        <v>0.2</v>
      </c>
      <c r="F154" s="52">
        <v>2.4</v>
      </c>
      <c r="G154" s="62">
        <f t="shared" ref="G154:G157" si="13">+PRODUCT(C154:F154)</f>
        <v>-0.99120000000000008</v>
      </c>
      <c r="H154" s="52"/>
    </row>
    <row r="155" spans="1:8" x14ac:dyDescent="0.25">
      <c r="A155" s="52"/>
      <c r="B155" s="52" t="s">
        <v>551</v>
      </c>
      <c r="C155" s="52">
        <v>-1</v>
      </c>
      <c r="D155" s="52">
        <v>0.55000000000000004</v>
      </c>
      <c r="E155" s="52">
        <v>0.2</v>
      </c>
      <c r="F155" s="52">
        <v>1.3</v>
      </c>
      <c r="G155" s="62">
        <f t="shared" si="13"/>
        <v>-0.14300000000000002</v>
      </c>
      <c r="H155" s="52"/>
    </row>
    <row r="156" spans="1:8" x14ac:dyDescent="0.25">
      <c r="A156" s="52"/>
      <c r="B156" s="52" t="s">
        <v>552</v>
      </c>
      <c r="C156" s="52">
        <v>-1</v>
      </c>
      <c r="D156" s="52">
        <v>1</v>
      </c>
      <c r="E156" s="52">
        <v>0.1</v>
      </c>
      <c r="F156" s="52">
        <v>2.2000000000000002</v>
      </c>
      <c r="G156" s="62">
        <f t="shared" si="13"/>
        <v>-0.22000000000000003</v>
      </c>
      <c r="H156" s="52"/>
    </row>
    <row r="157" spans="1:8" x14ac:dyDescent="0.25">
      <c r="A157" s="52"/>
      <c r="B157" s="52" t="s">
        <v>553</v>
      </c>
      <c r="C157" s="52">
        <v>-1</v>
      </c>
      <c r="D157" s="52">
        <v>0.75</v>
      </c>
      <c r="E157" s="52">
        <v>0.1</v>
      </c>
      <c r="F157" s="52">
        <v>2.2000000000000002</v>
      </c>
      <c r="G157" s="62">
        <f t="shared" si="13"/>
        <v>-0.16500000000000004</v>
      </c>
      <c r="H157" s="52"/>
    </row>
    <row r="158" spans="1:8" x14ac:dyDescent="0.25">
      <c r="A158" s="52"/>
      <c r="B158" s="52" t="s">
        <v>576</v>
      </c>
      <c r="C158" s="52">
        <v>1</v>
      </c>
      <c r="D158" s="52">
        <v>2.2650000000000001</v>
      </c>
      <c r="E158" s="52">
        <v>0.2</v>
      </c>
      <c r="F158" s="52">
        <v>2.4500000000000002</v>
      </c>
      <c r="G158" s="62">
        <f t="shared" si="0"/>
        <v>1.1098500000000002</v>
      </c>
      <c r="H158" s="52"/>
    </row>
    <row r="159" spans="1:8" x14ac:dyDescent="0.25">
      <c r="A159" s="52"/>
      <c r="B159" s="52"/>
      <c r="C159" s="52">
        <v>1</v>
      </c>
      <c r="D159" s="52">
        <v>0.51500000000000001</v>
      </c>
      <c r="E159" s="52">
        <v>0.1</v>
      </c>
      <c r="F159" s="52">
        <v>2.6</v>
      </c>
      <c r="G159" s="62">
        <f t="shared" si="0"/>
        <v>0.13390000000000002</v>
      </c>
      <c r="H159" s="52"/>
    </row>
    <row r="160" spans="1:8" x14ac:dyDescent="0.25">
      <c r="A160" s="52"/>
      <c r="B160" s="52"/>
      <c r="C160" s="52">
        <v>1</v>
      </c>
      <c r="D160" s="52">
        <v>0.97</v>
      </c>
      <c r="E160" s="52">
        <v>0.1</v>
      </c>
      <c r="F160" s="52">
        <v>2.6</v>
      </c>
      <c r="G160" s="62">
        <f t="shared" si="0"/>
        <v>0.25220000000000004</v>
      </c>
      <c r="H160" s="52"/>
    </row>
    <row r="161" spans="1:8" x14ac:dyDescent="0.25">
      <c r="A161" s="52"/>
      <c r="B161" s="52"/>
      <c r="C161" s="52">
        <v>1</v>
      </c>
      <c r="D161" s="52">
        <v>0.98499999999999999</v>
      </c>
      <c r="E161" s="52">
        <v>0.2</v>
      </c>
      <c r="F161" s="52">
        <v>2.4500000000000002</v>
      </c>
      <c r="G161" s="62">
        <f t="shared" si="0"/>
        <v>0.48265000000000008</v>
      </c>
      <c r="H161" s="52"/>
    </row>
    <row r="162" spans="1:8" x14ac:dyDescent="0.25">
      <c r="A162" s="52"/>
      <c r="B162" s="52"/>
      <c r="C162" s="52">
        <v>1</v>
      </c>
      <c r="D162" s="52">
        <v>2.3250000000000002</v>
      </c>
      <c r="E162" s="52">
        <v>0.1</v>
      </c>
      <c r="F162" s="52">
        <v>2.4500000000000002</v>
      </c>
      <c r="G162" s="62">
        <f t="shared" si="0"/>
        <v>0.56962500000000016</v>
      </c>
      <c r="H162" s="52"/>
    </row>
    <row r="163" spans="1:8" x14ac:dyDescent="0.25">
      <c r="A163" s="52"/>
      <c r="B163" s="52"/>
      <c r="C163" s="52">
        <v>1</v>
      </c>
      <c r="D163" s="52">
        <v>3.2349999999999999</v>
      </c>
      <c r="E163" s="52">
        <v>0.1</v>
      </c>
      <c r="F163" s="52">
        <v>2.5</v>
      </c>
      <c r="G163" s="62">
        <f t="shared" si="0"/>
        <v>0.80875000000000008</v>
      </c>
      <c r="H163" s="52"/>
    </row>
    <row r="164" spans="1:8" x14ac:dyDescent="0.25">
      <c r="A164" s="52"/>
      <c r="B164" s="52" t="s">
        <v>550</v>
      </c>
      <c r="C164" s="52">
        <v>-1</v>
      </c>
      <c r="D164" s="52">
        <v>2.0649999999999999</v>
      </c>
      <c r="E164" s="52">
        <v>0.2</v>
      </c>
      <c r="F164" s="52">
        <v>2.4</v>
      </c>
      <c r="G164" s="62">
        <f t="shared" si="0"/>
        <v>-0.99120000000000008</v>
      </c>
      <c r="H164" s="52"/>
    </row>
    <row r="165" spans="1:8" x14ac:dyDescent="0.25">
      <c r="A165" s="52"/>
      <c r="B165" s="52" t="s">
        <v>552</v>
      </c>
      <c r="C165" s="52">
        <v>-1</v>
      </c>
      <c r="D165" s="52">
        <v>1</v>
      </c>
      <c r="E165" s="52">
        <v>0.1</v>
      </c>
      <c r="F165" s="52">
        <v>2.2000000000000002</v>
      </c>
      <c r="G165" s="62">
        <f t="shared" si="0"/>
        <v>-0.22000000000000003</v>
      </c>
      <c r="H165" s="52"/>
    </row>
    <row r="166" spans="1:8" x14ac:dyDescent="0.25">
      <c r="A166" s="52"/>
      <c r="B166" s="52" t="s">
        <v>577</v>
      </c>
      <c r="C166" s="52">
        <v>1</v>
      </c>
      <c r="D166" s="52">
        <v>3.55</v>
      </c>
      <c r="E166" s="52">
        <v>0.2</v>
      </c>
      <c r="F166" s="52">
        <v>2.4500000000000002</v>
      </c>
      <c r="G166" s="62">
        <f t="shared" si="0"/>
        <v>1.7395</v>
      </c>
      <c r="H166" s="52"/>
    </row>
    <row r="167" spans="1:8" x14ac:dyDescent="0.25">
      <c r="A167" s="52"/>
      <c r="B167" s="52"/>
      <c r="C167" s="52">
        <v>1</v>
      </c>
      <c r="D167" s="52">
        <v>2.02</v>
      </c>
      <c r="E167" s="52">
        <v>0.2</v>
      </c>
      <c r="F167" s="52">
        <v>2.4500000000000002</v>
      </c>
      <c r="G167" s="62">
        <f t="shared" si="0"/>
        <v>0.98980000000000012</v>
      </c>
      <c r="H167" s="52"/>
    </row>
    <row r="168" spans="1:8" x14ac:dyDescent="0.25">
      <c r="A168" s="52"/>
      <c r="B168" s="52"/>
      <c r="C168" s="52">
        <v>1</v>
      </c>
      <c r="D168" s="52">
        <v>0.51500000000000001</v>
      </c>
      <c r="E168" s="52">
        <v>0.1</v>
      </c>
      <c r="F168" s="52">
        <f>2.95-0.125</f>
        <v>2.8250000000000002</v>
      </c>
      <c r="G168" s="62">
        <f t="shared" si="0"/>
        <v>0.14548750000000002</v>
      </c>
      <c r="H168" s="52"/>
    </row>
    <row r="169" spans="1:8" x14ac:dyDescent="0.25">
      <c r="A169" s="52"/>
      <c r="B169" s="52"/>
      <c r="C169" s="52">
        <v>1</v>
      </c>
      <c r="D169" s="52">
        <v>1.145</v>
      </c>
      <c r="E169" s="52">
        <v>0.1</v>
      </c>
      <c r="F169" s="52">
        <f>2.95-0.125</f>
        <v>2.8250000000000002</v>
      </c>
      <c r="G169" s="62">
        <f t="shared" si="0"/>
        <v>0.32346250000000004</v>
      </c>
      <c r="H169" s="52"/>
    </row>
    <row r="170" spans="1:8" x14ac:dyDescent="0.25">
      <c r="A170" s="52"/>
      <c r="B170" s="52"/>
      <c r="C170" s="52">
        <v>1</v>
      </c>
      <c r="D170" s="52">
        <v>1.1499999999999999</v>
      </c>
      <c r="E170" s="52">
        <v>0.1</v>
      </c>
      <c r="F170" s="52">
        <v>2.5</v>
      </c>
      <c r="G170" s="62">
        <f t="shared" si="0"/>
        <v>0.28749999999999998</v>
      </c>
      <c r="H170" s="52"/>
    </row>
    <row r="171" spans="1:8" x14ac:dyDescent="0.25">
      <c r="A171" s="52"/>
      <c r="B171" s="52" t="s">
        <v>548</v>
      </c>
      <c r="C171" s="52">
        <v>1</v>
      </c>
      <c r="D171" s="52">
        <v>2.37</v>
      </c>
      <c r="E171" s="52">
        <v>0.1</v>
      </c>
      <c r="F171" s="52">
        <v>2.5</v>
      </c>
      <c r="G171" s="62">
        <f t="shared" si="0"/>
        <v>0.59250000000000003</v>
      </c>
      <c r="H171" s="52"/>
    </row>
    <row r="172" spans="1:8" x14ac:dyDescent="0.25">
      <c r="A172" s="52"/>
      <c r="B172" s="52"/>
      <c r="C172" s="52">
        <v>1</v>
      </c>
      <c r="D172" s="52">
        <v>3.28</v>
      </c>
      <c r="E172" s="52">
        <v>0.1</v>
      </c>
      <c r="F172" s="52">
        <f>2.95-0.125</f>
        <v>2.8250000000000002</v>
      </c>
      <c r="G172" s="62">
        <f t="shared" si="0"/>
        <v>0.92660000000000009</v>
      </c>
      <c r="H172" s="52"/>
    </row>
    <row r="173" spans="1:8" x14ac:dyDescent="0.25">
      <c r="A173" s="52"/>
      <c r="B173" s="52"/>
      <c r="C173" s="52">
        <v>1</v>
      </c>
      <c r="D173" s="52">
        <v>2.2999999999999998</v>
      </c>
      <c r="E173" s="52">
        <v>0.23</v>
      </c>
      <c r="F173" s="52">
        <v>2.6</v>
      </c>
      <c r="G173" s="62">
        <f t="shared" si="0"/>
        <v>1.3754000000000002</v>
      </c>
      <c r="H173" s="52"/>
    </row>
    <row r="174" spans="1:8" x14ac:dyDescent="0.25">
      <c r="A174" s="52"/>
      <c r="B174" s="52"/>
      <c r="C174" s="52">
        <v>1</v>
      </c>
      <c r="D174" s="52">
        <v>2.5750000000000002</v>
      </c>
      <c r="E174" s="52">
        <v>0.2</v>
      </c>
      <c r="F174" s="52">
        <v>2.6</v>
      </c>
      <c r="G174" s="62">
        <f t="shared" si="0"/>
        <v>1.3390000000000002</v>
      </c>
      <c r="H174" s="52"/>
    </row>
    <row r="175" spans="1:8" x14ac:dyDescent="0.25">
      <c r="A175" s="52"/>
      <c r="B175" s="52"/>
      <c r="C175" s="52">
        <v>1</v>
      </c>
      <c r="D175" s="52">
        <v>1.85</v>
      </c>
      <c r="E175" s="52">
        <v>0.1</v>
      </c>
      <c r="F175" s="52">
        <v>2.5</v>
      </c>
      <c r="G175" s="62">
        <f t="shared" si="0"/>
        <v>0.46250000000000008</v>
      </c>
      <c r="H175" s="52"/>
    </row>
    <row r="176" spans="1:8" x14ac:dyDescent="0.25">
      <c r="A176" s="52"/>
      <c r="B176" s="52" t="s">
        <v>578</v>
      </c>
      <c r="C176" s="52">
        <v>-2</v>
      </c>
      <c r="D176" s="52">
        <v>0.55000000000000004</v>
      </c>
      <c r="E176" s="52">
        <v>0.2</v>
      </c>
      <c r="F176" s="52">
        <v>1.3</v>
      </c>
      <c r="G176" s="62">
        <f t="shared" si="0"/>
        <v>-0.28600000000000003</v>
      </c>
      <c r="H176" s="52"/>
    </row>
    <row r="177" spans="1:8" x14ac:dyDescent="0.25">
      <c r="A177" s="52"/>
      <c r="B177" s="52" t="s">
        <v>552</v>
      </c>
      <c r="C177" s="52">
        <v>-1</v>
      </c>
      <c r="D177" s="52">
        <v>1</v>
      </c>
      <c r="E177" s="52">
        <v>0.1</v>
      </c>
      <c r="F177" s="52">
        <v>2.2000000000000002</v>
      </c>
      <c r="G177" s="62">
        <f t="shared" si="0"/>
        <v>-0.22000000000000003</v>
      </c>
      <c r="H177" s="52"/>
    </row>
    <row r="178" spans="1:8" x14ac:dyDescent="0.25">
      <c r="A178" s="52"/>
      <c r="B178" s="52" t="s">
        <v>553</v>
      </c>
      <c r="C178" s="52">
        <v>-2</v>
      </c>
      <c r="D178" s="52">
        <v>0.75</v>
      </c>
      <c r="E178" s="52">
        <v>0.1</v>
      </c>
      <c r="F178" s="52">
        <v>2.2000000000000002</v>
      </c>
      <c r="G178" s="62">
        <f t="shared" si="0"/>
        <v>-0.33000000000000007</v>
      </c>
      <c r="H178" s="52"/>
    </row>
    <row r="179" spans="1:8" x14ac:dyDescent="0.25">
      <c r="A179" s="52"/>
      <c r="B179" s="52" t="s">
        <v>579</v>
      </c>
      <c r="C179" s="52">
        <v>-1</v>
      </c>
      <c r="D179" s="52">
        <v>1.5</v>
      </c>
      <c r="E179" s="52">
        <v>0.2</v>
      </c>
      <c r="F179" s="52">
        <v>1.5</v>
      </c>
      <c r="G179" s="62">
        <f t="shared" si="0"/>
        <v>-0.45000000000000007</v>
      </c>
      <c r="H179" s="52"/>
    </row>
    <row r="180" spans="1:8" x14ac:dyDescent="0.25">
      <c r="A180" s="52"/>
      <c r="B180" s="52" t="s">
        <v>557</v>
      </c>
      <c r="C180" s="52">
        <v>1</v>
      </c>
      <c r="D180" s="52">
        <v>3.2149999999999999</v>
      </c>
      <c r="E180" s="52">
        <v>0.2</v>
      </c>
      <c r="F180" s="52">
        <v>2.4500000000000002</v>
      </c>
      <c r="G180" s="62">
        <f t="shared" si="0"/>
        <v>1.5753500000000003</v>
      </c>
      <c r="H180" s="52"/>
    </row>
    <row r="181" spans="1:8" x14ac:dyDescent="0.25">
      <c r="A181" s="52"/>
      <c r="B181" s="52"/>
      <c r="C181" s="52">
        <v>1</v>
      </c>
      <c r="D181" s="52">
        <v>2.57</v>
      </c>
      <c r="E181" s="52">
        <v>0.2</v>
      </c>
      <c r="F181" s="52">
        <v>2.4500000000000002</v>
      </c>
      <c r="G181" s="62">
        <f t="shared" si="0"/>
        <v>1.2593000000000001</v>
      </c>
      <c r="H181" s="52"/>
    </row>
    <row r="182" spans="1:8" x14ac:dyDescent="0.25">
      <c r="A182" s="52"/>
      <c r="B182" s="52"/>
      <c r="C182" s="52">
        <v>1</v>
      </c>
      <c r="D182" s="52">
        <v>2.5550000000000002</v>
      </c>
      <c r="E182" s="52">
        <v>0.1</v>
      </c>
      <c r="F182" s="52">
        <v>2.4500000000000002</v>
      </c>
      <c r="G182" s="62">
        <f t="shared" si="0"/>
        <v>0.62597500000000006</v>
      </c>
      <c r="H182" s="52"/>
    </row>
    <row r="183" spans="1:8" x14ac:dyDescent="0.25">
      <c r="A183" s="52"/>
      <c r="B183" s="52"/>
      <c r="C183" s="52">
        <v>1</v>
      </c>
      <c r="D183" s="52">
        <v>1.175</v>
      </c>
      <c r="E183" s="52">
        <v>0.1</v>
      </c>
      <c r="F183" s="52">
        <f>2.95-0.125</f>
        <v>2.8250000000000002</v>
      </c>
      <c r="G183" s="62">
        <f t="shared" si="0"/>
        <v>0.33193750000000005</v>
      </c>
      <c r="H183" s="52"/>
    </row>
    <row r="184" spans="1:8" x14ac:dyDescent="0.25">
      <c r="A184" s="52"/>
      <c r="B184" s="52"/>
      <c r="C184" s="52">
        <v>1</v>
      </c>
      <c r="D184" s="52">
        <v>1.69</v>
      </c>
      <c r="E184" s="52">
        <v>0.2</v>
      </c>
      <c r="F184" s="52">
        <f>2.95-0.125</f>
        <v>2.8250000000000002</v>
      </c>
      <c r="G184" s="62">
        <f t="shared" si="0"/>
        <v>0.95485000000000009</v>
      </c>
      <c r="H184" s="52"/>
    </row>
    <row r="185" spans="1:8" x14ac:dyDescent="0.25">
      <c r="A185" s="52"/>
      <c r="B185" s="52" t="s">
        <v>558</v>
      </c>
      <c r="C185" s="52">
        <v>-1</v>
      </c>
      <c r="D185" s="52">
        <v>2.4500000000000002</v>
      </c>
      <c r="E185" s="52">
        <v>0.2</v>
      </c>
      <c r="F185" s="52">
        <v>2.4</v>
      </c>
      <c r="G185" s="62">
        <f t="shared" si="0"/>
        <v>-1.1760000000000002</v>
      </c>
      <c r="H185" s="52"/>
    </row>
    <row r="186" spans="1:8" x14ac:dyDescent="0.25">
      <c r="A186" s="52"/>
      <c r="B186" s="52"/>
      <c r="C186" s="52">
        <v>-1</v>
      </c>
      <c r="D186" s="52">
        <v>1.2</v>
      </c>
      <c r="E186" s="52">
        <v>0.2</v>
      </c>
      <c r="F186" s="52">
        <v>2.4</v>
      </c>
      <c r="G186" s="62">
        <f t="shared" si="0"/>
        <v>-0.57599999999999996</v>
      </c>
      <c r="H186" s="52"/>
    </row>
    <row r="187" spans="1:8" x14ac:dyDescent="0.25">
      <c r="A187" s="52"/>
      <c r="B187" s="52" t="s">
        <v>394</v>
      </c>
      <c r="C187" s="52">
        <v>1</v>
      </c>
      <c r="D187" s="52">
        <f>1.56+0.875</f>
        <v>2.4350000000000001</v>
      </c>
      <c r="E187" s="52">
        <v>0.1</v>
      </c>
      <c r="F187" s="52">
        <v>2.5</v>
      </c>
      <c r="G187" s="62">
        <f t="shared" si="0"/>
        <v>0.60875000000000001</v>
      </c>
      <c r="H187" s="52"/>
    </row>
    <row r="188" spans="1:8" x14ac:dyDescent="0.25">
      <c r="A188" s="52"/>
      <c r="B188" s="52"/>
      <c r="C188" s="52">
        <v>1</v>
      </c>
      <c r="D188" s="52">
        <v>2.2949999999999999</v>
      </c>
      <c r="E188" s="52">
        <v>0.1</v>
      </c>
      <c r="F188" s="52">
        <v>2.5</v>
      </c>
      <c r="G188" s="62">
        <f t="shared" si="0"/>
        <v>0.57374999999999998</v>
      </c>
      <c r="H188" s="52"/>
    </row>
    <row r="189" spans="1:8" x14ac:dyDescent="0.25">
      <c r="A189" s="52"/>
      <c r="B189" s="52"/>
      <c r="C189" s="52">
        <v>1</v>
      </c>
      <c r="D189" s="52">
        <v>1.9650000000000001</v>
      </c>
      <c r="E189" s="52">
        <v>0.2</v>
      </c>
      <c r="F189" s="52">
        <v>2.6</v>
      </c>
      <c r="G189" s="62">
        <f t="shared" si="0"/>
        <v>1.0218</v>
      </c>
      <c r="H189" s="52"/>
    </row>
    <row r="190" spans="1:8" x14ac:dyDescent="0.25">
      <c r="A190" s="52"/>
      <c r="B190" s="52" t="s">
        <v>575</v>
      </c>
      <c r="C190" s="52">
        <v>1</v>
      </c>
      <c r="D190" s="52">
        <v>3.15</v>
      </c>
      <c r="E190" s="52">
        <v>0.1</v>
      </c>
      <c r="F190" s="52">
        <v>2.6</v>
      </c>
      <c r="G190" s="62">
        <f t="shared" si="0"/>
        <v>0.81900000000000006</v>
      </c>
      <c r="H190" s="52"/>
    </row>
    <row r="191" spans="1:8" x14ac:dyDescent="0.25">
      <c r="A191" s="52"/>
      <c r="B191" s="52"/>
      <c r="C191" s="52">
        <v>1</v>
      </c>
      <c r="D191" s="52">
        <v>1.5</v>
      </c>
      <c r="E191" s="52">
        <v>0.1</v>
      </c>
      <c r="F191" s="52">
        <v>2.6</v>
      </c>
      <c r="G191" s="62">
        <f t="shared" si="0"/>
        <v>0.39000000000000007</v>
      </c>
      <c r="H191" s="52"/>
    </row>
    <row r="192" spans="1:8" x14ac:dyDescent="0.25">
      <c r="A192" s="52"/>
      <c r="B192" s="52"/>
      <c r="C192" s="52">
        <v>-1</v>
      </c>
      <c r="D192" s="52">
        <v>0.9</v>
      </c>
      <c r="E192" s="52">
        <v>0.1</v>
      </c>
      <c r="F192" s="52">
        <v>2.0499999999999998</v>
      </c>
      <c r="G192" s="62">
        <f t="shared" si="0"/>
        <v>-0.1845</v>
      </c>
      <c r="H192" s="52"/>
    </row>
    <row r="193" spans="1:8" x14ac:dyDescent="0.25">
      <c r="A193" s="52"/>
      <c r="B193" s="52" t="s">
        <v>580</v>
      </c>
      <c r="C193" s="52">
        <v>-1</v>
      </c>
      <c r="D193" s="52">
        <v>1.55</v>
      </c>
      <c r="E193" s="52">
        <v>0.2</v>
      </c>
      <c r="F193" s="52">
        <v>2.4</v>
      </c>
      <c r="G193" s="62">
        <f t="shared" si="0"/>
        <v>-0.74400000000000011</v>
      </c>
      <c r="H193" s="52"/>
    </row>
    <row r="194" spans="1:8" x14ac:dyDescent="0.25">
      <c r="A194" s="52"/>
      <c r="B194" s="52"/>
      <c r="C194" s="52">
        <v>1</v>
      </c>
      <c r="D194" s="52">
        <v>4.7350000000000003</v>
      </c>
      <c r="E194" s="52">
        <v>0.2</v>
      </c>
      <c r="F194" s="52">
        <v>2.6</v>
      </c>
      <c r="G194" s="62">
        <f t="shared" si="0"/>
        <v>2.4622000000000002</v>
      </c>
      <c r="H194" s="52"/>
    </row>
    <row r="195" spans="1:8" x14ac:dyDescent="0.25">
      <c r="A195" s="52"/>
      <c r="B195" s="56" t="s">
        <v>581</v>
      </c>
      <c r="C195" s="52"/>
      <c r="D195" s="52"/>
      <c r="E195" s="52"/>
      <c r="F195" s="52"/>
      <c r="G195" s="62">
        <f t="shared" ref="G195:G244" si="14">+PRODUCT(C195:F195)</f>
        <v>0</v>
      </c>
      <c r="H195" s="52"/>
    </row>
    <row r="196" spans="1:8" x14ac:dyDescent="0.25">
      <c r="A196" s="52"/>
      <c r="B196" s="52" t="s">
        <v>574</v>
      </c>
      <c r="C196" s="52">
        <v>1</v>
      </c>
      <c r="D196" s="52">
        <v>3.105</v>
      </c>
      <c r="E196" s="52">
        <v>0.2</v>
      </c>
      <c r="F196" s="52">
        <v>2.4500000000000002</v>
      </c>
      <c r="G196" s="62">
        <f t="shared" si="14"/>
        <v>1.5214500000000002</v>
      </c>
      <c r="H196" s="52"/>
    </row>
    <row r="197" spans="1:8" x14ac:dyDescent="0.25">
      <c r="A197" s="52"/>
      <c r="B197" s="52"/>
      <c r="C197" s="52">
        <v>1</v>
      </c>
      <c r="D197" s="52">
        <v>2.91</v>
      </c>
      <c r="E197" s="52">
        <v>0.1</v>
      </c>
      <c r="F197" s="52">
        <v>2.5</v>
      </c>
      <c r="G197" s="62">
        <f t="shared" si="14"/>
        <v>0.72750000000000004</v>
      </c>
      <c r="H197" s="52"/>
    </row>
    <row r="198" spans="1:8" x14ac:dyDescent="0.25">
      <c r="A198" s="52"/>
      <c r="B198" s="52"/>
      <c r="C198" s="52">
        <v>1</v>
      </c>
      <c r="D198" s="52">
        <v>4.72</v>
      </c>
      <c r="E198" s="52">
        <v>0.1</v>
      </c>
      <c r="F198" s="52">
        <v>2.5</v>
      </c>
      <c r="G198" s="62">
        <f t="shared" si="14"/>
        <v>1.18</v>
      </c>
      <c r="H198" s="52"/>
    </row>
    <row r="199" spans="1:8" x14ac:dyDescent="0.25">
      <c r="A199" s="52"/>
      <c r="B199" s="52" t="s">
        <v>548</v>
      </c>
      <c r="C199" s="52">
        <v>1</v>
      </c>
      <c r="D199" s="52">
        <v>3.36</v>
      </c>
      <c r="E199" s="52">
        <v>0.1</v>
      </c>
      <c r="F199" s="52">
        <v>2.5</v>
      </c>
      <c r="G199" s="62">
        <f t="shared" si="14"/>
        <v>0.84000000000000008</v>
      </c>
      <c r="H199" s="52"/>
    </row>
    <row r="200" spans="1:8" x14ac:dyDescent="0.25">
      <c r="A200" s="52"/>
      <c r="B200" s="52"/>
      <c r="C200" s="52">
        <v>1</v>
      </c>
      <c r="D200" s="52">
        <v>1.54</v>
      </c>
      <c r="E200" s="52">
        <v>0.1</v>
      </c>
      <c r="F200" s="52">
        <f>2.95-0.125</f>
        <v>2.8250000000000002</v>
      </c>
      <c r="G200" s="62">
        <f t="shared" si="14"/>
        <v>0.4350500000000001</v>
      </c>
      <c r="H200" s="52"/>
    </row>
    <row r="201" spans="1:8" x14ac:dyDescent="0.25">
      <c r="A201" s="52"/>
      <c r="B201" s="52"/>
      <c r="C201" s="52">
        <v>1</v>
      </c>
      <c r="D201" s="52">
        <v>1.1200000000000001</v>
      </c>
      <c r="E201" s="52">
        <v>0.1</v>
      </c>
      <c r="F201" s="52">
        <f>2.95-0.35</f>
        <v>2.6</v>
      </c>
      <c r="G201" s="62">
        <f t="shared" si="14"/>
        <v>0.29120000000000007</v>
      </c>
      <c r="H201" s="52"/>
    </row>
    <row r="202" spans="1:8" x14ac:dyDescent="0.25">
      <c r="A202" s="52"/>
      <c r="B202" s="52" t="s">
        <v>575</v>
      </c>
      <c r="C202" s="52">
        <v>1</v>
      </c>
      <c r="D202" s="52">
        <v>0.51500000000000001</v>
      </c>
      <c r="E202" s="52">
        <v>0.1</v>
      </c>
      <c r="F202" s="52">
        <v>2.6</v>
      </c>
      <c r="G202" s="62">
        <f t="shared" si="14"/>
        <v>0.13390000000000002</v>
      </c>
      <c r="H202" s="52"/>
    </row>
    <row r="203" spans="1:8" x14ac:dyDescent="0.25">
      <c r="A203" s="52"/>
      <c r="B203" s="52"/>
      <c r="C203" s="52">
        <v>1</v>
      </c>
      <c r="D203" s="52">
        <v>1.54</v>
      </c>
      <c r="E203" s="52">
        <v>0.1</v>
      </c>
      <c r="F203" s="52">
        <v>2.6</v>
      </c>
      <c r="G203" s="62">
        <f t="shared" si="14"/>
        <v>0.40040000000000009</v>
      </c>
      <c r="H203" s="52"/>
    </row>
    <row r="204" spans="1:8" x14ac:dyDescent="0.25">
      <c r="A204" s="52"/>
      <c r="B204" s="52" t="s">
        <v>564</v>
      </c>
      <c r="C204" s="52">
        <v>-1</v>
      </c>
      <c r="D204" s="52">
        <v>0.9</v>
      </c>
      <c r="E204" s="52">
        <v>0.1</v>
      </c>
      <c r="F204" s="52">
        <v>2.0499999999999998</v>
      </c>
      <c r="G204" s="62">
        <f t="shared" si="14"/>
        <v>-0.1845</v>
      </c>
      <c r="H204" s="52"/>
    </row>
    <row r="205" spans="1:8" x14ac:dyDescent="0.25">
      <c r="A205" s="52"/>
      <c r="B205" s="52"/>
      <c r="C205" s="52">
        <v>1</v>
      </c>
      <c r="D205" s="52">
        <v>0.51500000000000001</v>
      </c>
      <c r="E205" s="52">
        <v>0.23</v>
      </c>
      <c r="F205" s="52">
        <v>2.4500000000000002</v>
      </c>
      <c r="G205" s="62">
        <f t="shared" si="14"/>
        <v>0.29020250000000003</v>
      </c>
      <c r="H205" s="52"/>
    </row>
    <row r="206" spans="1:8" x14ac:dyDescent="0.25">
      <c r="A206" s="52"/>
      <c r="B206" s="52"/>
      <c r="C206" s="52">
        <v>1</v>
      </c>
      <c r="D206" s="52">
        <v>1.81</v>
      </c>
      <c r="E206" s="52">
        <v>0.23</v>
      </c>
      <c r="F206" s="52">
        <v>2.4500000000000002</v>
      </c>
      <c r="G206" s="62">
        <f t="shared" si="14"/>
        <v>1.019935</v>
      </c>
      <c r="H206" s="52"/>
    </row>
    <row r="207" spans="1:8" x14ac:dyDescent="0.25">
      <c r="A207" s="52"/>
      <c r="B207" s="52" t="s">
        <v>550</v>
      </c>
      <c r="C207" s="52">
        <v>-1</v>
      </c>
      <c r="D207" s="52">
        <v>2.0649999999999999</v>
      </c>
      <c r="E207" s="52">
        <v>0.2</v>
      </c>
      <c r="F207" s="52">
        <v>2.4</v>
      </c>
      <c r="G207" s="62">
        <f t="shared" si="14"/>
        <v>-0.99120000000000008</v>
      </c>
      <c r="H207" s="52"/>
    </row>
    <row r="208" spans="1:8" x14ac:dyDescent="0.25">
      <c r="A208" s="52"/>
      <c r="B208" s="52" t="s">
        <v>551</v>
      </c>
      <c r="C208" s="52">
        <v>-1</v>
      </c>
      <c r="D208" s="52">
        <v>0.55000000000000004</v>
      </c>
      <c r="E208" s="52">
        <v>0.2</v>
      </c>
      <c r="F208" s="52">
        <v>1.3</v>
      </c>
      <c r="G208" s="62">
        <f t="shared" si="14"/>
        <v>-0.14300000000000002</v>
      </c>
      <c r="H208" s="52"/>
    </row>
    <row r="209" spans="1:8" x14ac:dyDescent="0.25">
      <c r="A209" s="52"/>
      <c r="B209" s="52" t="s">
        <v>552</v>
      </c>
      <c r="C209" s="52">
        <v>-1</v>
      </c>
      <c r="D209" s="52">
        <v>1</v>
      </c>
      <c r="E209" s="52">
        <v>0.1</v>
      </c>
      <c r="F209" s="52">
        <v>2.2000000000000002</v>
      </c>
      <c r="G209" s="62">
        <f t="shared" si="14"/>
        <v>-0.22000000000000003</v>
      </c>
      <c r="H209" s="52"/>
    </row>
    <row r="210" spans="1:8" x14ac:dyDescent="0.25">
      <c r="A210" s="52"/>
      <c r="B210" s="52" t="s">
        <v>553</v>
      </c>
      <c r="C210" s="52">
        <v>-1</v>
      </c>
      <c r="D210" s="52">
        <v>0.75</v>
      </c>
      <c r="E210" s="52">
        <v>0.1</v>
      </c>
      <c r="F210" s="52">
        <v>2.2000000000000002</v>
      </c>
      <c r="G210" s="62">
        <f t="shared" si="14"/>
        <v>-0.16500000000000004</v>
      </c>
      <c r="H210" s="52"/>
    </row>
    <row r="211" spans="1:8" x14ac:dyDescent="0.25">
      <c r="A211" s="52"/>
      <c r="B211" s="52" t="s">
        <v>576</v>
      </c>
      <c r="C211" s="52">
        <v>1</v>
      </c>
      <c r="D211" s="52">
        <v>2.2650000000000001</v>
      </c>
      <c r="E211" s="52">
        <v>0.2</v>
      </c>
      <c r="F211" s="52">
        <v>2.4500000000000002</v>
      </c>
      <c r="G211" s="62">
        <f t="shared" si="14"/>
        <v>1.1098500000000002</v>
      </c>
      <c r="H211" s="52"/>
    </row>
    <row r="212" spans="1:8" x14ac:dyDescent="0.25">
      <c r="A212" s="52"/>
      <c r="B212" s="52"/>
      <c r="C212" s="52">
        <v>1</v>
      </c>
      <c r="D212" s="52">
        <v>0.51500000000000001</v>
      </c>
      <c r="E212" s="52">
        <v>0.1</v>
      </c>
      <c r="F212" s="52">
        <v>2.6</v>
      </c>
      <c r="G212" s="62">
        <f t="shared" si="14"/>
        <v>0.13390000000000002</v>
      </c>
      <c r="H212" s="52"/>
    </row>
    <row r="213" spans="1:8" x14ac:dyDescent="0.25">
      <c r="A213" s="52"/>
      <c r="B213" s="52"/>
      <c r="C213" s="52">
        <v>1</v>
      </c>
      <c r="D213" s="52">
        <v>0.97</v>
      </c>
      <c r="E213" s="52">
        <v>0.1</v>
      </c>
      <c r="F213" s="52">
        <v>2.6</v>
      </c>
      <c r="G213" s="62">
        <f t="shared" si="14"/>
        <v>0.25220000000000004</v>
      </c>
      <c r="H213" s="52"/>
    </row>
    <row r="214" spans="1:8" x14ac:dyDescent="0.25">
      <c r="A214" s="52"/>
      <c r="B214" s="52"/>
      <c r="C214" s="52">
        <v>1</v>
      </c>
      <c r="D214" s="52">
        <v>0.98499999999999999</v>
      </c>
      <c r="E214" s="52">
        <v>0.2</v>
      </c>
      <c r="F214" s="52">
        <v>2.4500000000000002</v>
      </c>
      <c r="G214" s="62">
        <f t="shared" si="14"/>
        <v>0.48265000000000008</v>
      </c>
      <c r="H214" s="52"/>
    </row>
    <row r="215" spans="1:8" x14ac:dyDescent="0.25">
      <c r="A215" s="52"/>
      <c r="B215" s="52"/>
      <c r="C215" s="52">
        <v>1</v>
      </c>
      <c r="D215" s="52">
        <v>2.3250000000000002</v>
      </c>
      <c r="E215" s="52">
        <v>0.1</v>
      </c>
      <c r="F215" s="52">
        <v>2.4500000000000002</v>
      </c>
      <c r="G215" s="62">
        <f t="shared" si="14"/>
        <v>0.56962500000000016</v>
      </c>
      <c r="H215" s="52"/>
    </row>
    <row r="216" spans="1:8" x14ac:dyDescent="0.25">
      <c r="A216" s="52"/>
      <c r="B216" s="52"/>
      <c r="C216" s="52">
        <v>1</v>
      </c>
      <c r="D216" s="52">
        <v>3.2349999999999999</v>
      </c>
      <c r="E216" s="52">
        <v>0.1</v>
      </c>
      <c r="F216" s="52">
        <v>2.5</v>
      </c>
      <c r="G216" s="62">
        <f t="shared" si="14"/>
        <v>0.80875000000000008</v>
      </c>
      <c r="H216" s="52"/>
    </row>
    <row r="217" spans="1:8" x14ac:dyDescent="0.25">
      <c r="A217" s="52"/>
      <c r="B217" s="52" t="s">
        <v>550</v>
      </c>
      <c r="C217" s="52">
        <v>-1</v>
      </c>
      <c r="D217" s="52">
        <v>2.0649999999999999</v>
      </c>
      <c r="E217" s="52">
        <v>0.2</v>
      </c>
      <c r="F217" s="52">
        <v>2.4</v>
      </c>
      <c r="G217" s="62">
        <f t="shared" si="14"/>
        <v>-0.99120000000000008</v>
      </c>
      <c r="H217" s="52"/>
    </row>
    <row r="218" spans="1:8" x14ac:dyDescent="0.25">
      <c r="A218" s="52"/>
      <c r="B218" s="52" t="s">
        <v>552</v>
      </c>
      <c r="C218" s="52">
        <v>-1</v>
      </c>
      <c r="D218" s="52">
        <v>1</v>
      </c>
      <c r="E218" s="52">
        <v>0.1</v>
      </c>
      <c r="F218" s="52">
        <v>2.2000000000000002</v>
      </c>
      <c r="G218" s="62">
        <f t="shared" si="14"/>
        <v>-0.22000000000000003</v>
      </c>
      <c r="H218" s="52"/>
    </row>
    <row r="219" spans="1:8" x14ac:dyDescent="0.25">
      <c r="A219" s="52"/>
      <c r="B219" s="52" t="s">
        <v>577</v>
      </c>
      <c r="C219" s="52">
        <v>1</v>
      </c>
      <c r="D219" s="52">
        <v>3.55</v>
      </c>
      <c r="E219" s="52">
        <v>0.2</v>
      </c>
      <c r="F219" s="52">
        <v>2.4500000000000002</v>
      </c>
      <c r="G219" s="62">
        <f t="shared" si="14"/>
        <v>1.7395</v>
      </c>
      <c r="H219" s="52"/>
    </row>
    <row r="220" spans="1:8" x14ac:dyDescent="0.25">
      <c r="A220" s="52"/>
      <c r="B220" s="52"/>
      <c r="C220" s="52">
        <v>1</v>
      </c>
      <c r="D220" s="52">
        <v>2.02</v>
      </c>
      <c r="E220" s="52">
        <v>0.2</v>
      </c>
      <c r="F220" s="52">
        <v>2.4500000000000002</v>
      </c>
      <c r="G220" s="62">
        <f t="shared" si="14"/>
        <v>0.98980000000000012</v>
      </c>
      <c r="H220" s="52"/>
    </row>
    <row r="221" spans="1:8" x14ac:dyDescent="0.25">
      <c r="A221" s="52"/>
      <c r="B221" s="52"/>
      <c r="C221" s="52">
        <v>1</v>
      </c>
      <c r="D221" s="52">
        <v>0.51500000000000001</v>
      </c>
      <c r="E221" s="52">
        <v>0.1</v>
      </c>
      <c r="F221" s="52">
        <f>2.95-0.125</f>
        <v>2.8250000000000002</v>
      </c>
      <c r="G221" s="62">
        <f t="shared" si="14"/>
        <v>0.14548750000000002</v>
      </c>
      <c r="H221" s="52"/>
    </row>
    <row r="222" spans="1:8" x14ac:dyDescent="0.25">
      <c r="A222" s="52"/>
      <c r="B222" s="52"/>
      <c r="C222" s="52">
        <v>1</v>
      </c>
      <c r="D222" s="52">
        <v>1.145</v>
      </c>
      <c r="E222" s="52">
        <v>0.1</v>
      </c>
      <c r="F222" s="52">
        <f>2.95-0.125</f>
        <v>2.8250000000000002</v>
      </c>
      <c r="G222" s="62">
        <f t="shared" si="14"/>
        <v>0.32346250000000004</v>
      </c>
      <c r="H222" s="52"/>
    </row>
    <row r="223" spans="1:8" x14ac:dyDescent="0.25">
      <c r="A223" s="52"/>
      <c r="B223" s="52"/>
      <c r="C223" s="52">
        <v>1</v>
      </c>
      <c r="D223" s="52">
        <v>1.1499999999999999</v>
      </c>
      <c r="E223" s="52">
        <v>0.1</v>
      </c>
      <c r="F223" s="52">
        <v>2.5</v>
      </c>
      <c r="G223" s="62">
        <f t="shared" si="14"/>
        <v>0.28749999999999998</v>
      </c>
      <c r="H223" s="52"/>
    </row>
    <row r="224" spans="1:8" x14ac:dyDescent="0.25">
      <c r="A224" s="52"/>
      <c r="B224" s="52" t="s">
        <v>548</v>
      </c>
      <c r="C224" s="52">
        <v>1</v>
      </c>
      <c r="D224" s="52">
        <v>2.37</v>
      </c>
      <c r="E224" s="52">
        <v>0.1</v>
      </c>
      <c r="F224" s="52">
        <v>2.5</v>
      </c>
      <c r="G224" s="62">
        <f t="shared" si="14"/>
        <v>0.59250000000000003</v>
      </c>
      <c r="H224" s="52"/>
    </row>
    <row r="225" spans="1:8" x14ac:dyDescent="0.25">
      <c r="A225" s="52"/>
      <c r="B225" s="52"/>
      <c r="C225" s="52">
        <v>1</v>
      </c>
      <c r="D225" s="52">
        <v>3.28</v>
      </c>
      <c r="E225" s="52">
        <v>0.1</v>
      </c>
      <c r="F225" s="52">
        <f>2.95-0.125</f>
        <v>2.8250000000000002</v>
      </c>
      <c r="G225" s="62">
        <f t="shared" si="14"/>
        <v>0.92660000000000009</v>
      </c>
      <c r="H225" s="52"/>
    </row>
    <row r="226" spans="1:8" x14ac:dyDescent="0.25">
      <c r="A226" s="52"/>
      <c r="B226" s="52"/>
      <c r="C226" s="52">
        <v>1</v>
      </c>
      <c r="D226" s="52">
        <v>2.2999999999999998</v>
      </c>
      <c r="E226" s="52">
        <v>0.23</v>
      </c>
      <c r="F226" s="52">
        <v>2.6</v>
      </c>
      <c r="G226" s="62">
        <f t="shared" si="14"/>
        <v>1.3754000000000002</v>
      </c>
      <c r="H226" s="52"/>
    </row>
    <row r="227" spans="1:8" x14ac:dyDescent="0.25">
      <c r="A227" s="52"/>
      <c r="B227" s="52"/>
      <c r="C227" s="52">
        <v>1</v>
      </c>
      <c r="D227" s="52">
        <v>2.5750000000000002</v>
      </c>
      <c r="E227" s="52">
        <v>0.2</v>
      </c>
      <c r="F227" s="52">
        <v>2.6</v>
      </c>
      <c r="G227" s="62">
        <f t="shared" si="14"/>
        <v>1.3390000000000002</v>
      </c>
      <c r="H227" s="52"/>
    </row>
    <row r="228" spans="1:8" x14ac:dyDescent="0.25">
      <c r="A228" s="52"/>
      <c r="B228" s="52"/>
      <c r="C228" s="52">
        <v>1</v>
      </c>
      <c r="D228" s="52">
        <v>1.85</v>
      </c>
      <c r="E228" s="52">
        <v>0.1</v>
      </c>
      <c r="F228" s="52">
        <v>2.5</v>
      </c>
      <c r="G228" s="62">
        <f t="shared" si="14"/>
        <v>0.46250000000000008</v>
      </c>
      <c r="H228" s="52"/>
    </row>
    <row r="229" spans="1:8" x14ac:dyDescent="0.25">
      <c r="A229" s="52"/>
      <c r="B229" s="52" t="s">
        <v>578</v>
      </c>
      <c r="C229" s="52">
        <v>-2</v>
      </c>
      <c r="D229" s="52">
        <v>0.55000000000000004</v>
      </c>
      <c r="E229" s="52">
        <v>0.2</v>
      </c>
      <c r="F229" s="52">
        <v>1.3</v>
      </c>
      <c r="G229" s="62">
        <f t="shared" si="14"/>
        <v>-0.28600000000000003</v>
      </c>
      <c r="H229" s="52"/>
    </row>
    <row r="230" spans="1:8" x14ac:dyDescent="0.25">
      <c r="A230" s="52"/>
      <c r="B230" s="52" t="s">
        <v>552</v>
      </c>
      <c r="C230" s="52">
        <v>-1</v>
      </c>
      <c r="D230" s="52">
        <v>1</v>
      </c>
      <c r="E230" s="52">
        <v>0.1</v>
      </c>
      <c r="F230" s="52">
        <v>2.2000000000000002</v>
      </c>
      <c r="G230" s="62">
        <f t="shared" si="14"/>
        <v>-0.22000000000000003</v>
      </c>
      <c r="H230" s="52"/>
    </row>
    <row r="231" spans="1:8" x14ac:dyDescent="0.25">
      <c r="A231" s="52"/>
      <c r="B231" s="52" t="s">
        <v>553</v>
      </c>
      <c r="C231" s="52">
        <v>-2</v>
      </c>
      <c r="D231" s="52">
        <v>0.75</v>
      </c>
      <c r="E231" s="52">
        <v>0.1</v>
      </c>
      <c r="F231" s="52">
        <v>2.2000000000000002</v>
      </c>
      <c r="G231" s="62">
        <f t="shared" si="14"/>
        <v>-0.33000000000000007</v>
      </c>
      <c r="H231" s="52"/>
    </row>
    <row r="232" spans="1:8" x14ac:dyDescent="0.25">
      <c r="A232" s="52"/>
      <c r="B232" s="52" t="s">
        <v>579</v>
      </c>
      <c r="C232" s="52">
        <v>-1</v>
      </c>
      <c r="D232" s="52">
        <v>1.5</v>
      </c>
      <c r="E232" s="52">
        <v>0.2</v>
      </c>
      <c r="F232" s="52">
        <v>1.5</v>
      </c>
      <c r="G232" s="62">
        <f t="shared" si="14"/>
        <v>-0.45000000000000007</v>
      </c>
      <c r="H232" s="52"/>
    </row>
    <row r="233" spans="1:8" x14ac:dyDescent="0.25">
      <c r="A233" s="52"/>
      <c r="B233" s="52" t="s">
        <v>557</v>
      </c>
      <c r="C233" s="52">
        <v>1</v>
      </c>
      <c r="D233" s="52">
        <v>3.19</v>
      </c>
      <c r="E233" s="52">
        <v>0.2</v>
      </c>
      <c r="F233" s="52">
        <v>2.4500000000000002</v>
      </c>
      <c r="G233" s="62">
        <f t="shared" si="14"/>
        <v>1.5631000000000002</v>
      </c>
      <c r="H233" s="52"/>
    </row>
    <row r="234" spans="1:8" x14ac:dyDescent="0.25">
      <c r="A234" s="52"/>
      <c r="B234" s="52"/>
      <c r="C234" s="52">
        <v>0.5</v>
      </c>
      <c r="D234" s="52">
        <f>9.52-1.5</f>
        <v>8.02</v>
      </c>
      <c r="E234" s="52">
        <v>0.2</v>
      </c>
      <c r="F234" s="52">
        <v>2.4500000000000002</v>
      </c>
      <c r="G234" s="62">
        <f t="shared" si="14"/>
        <v>1.9649000000000003</v>
      </c>
      <c r="H234" s="52"/>
    </row>
    <row r="235" spans="1:8" x14ac:dyDescent="0.25">
      <c r="A235" s="52"/>
      <c r="B235" s="52"/>
      <c r="C235" s="52">
        <v>1</v>
      </c>
      <c r="D235" s="52">
        <v>1.5149999999999999</v>
      </c>
      <c r="E235" s="52">
        <v>0.1</v>
      </c>
      <c r="F235" s="52">
        <v>2.4500000000000002</v>
      </c>
      <c r="G235" s="62">
        <f t="shared" si="14"/>
        <v>0.37117500000000003</v>
      </c>
      <c r="H235" s="52"/>
    </row>
    <row r="236" spans="1:8" x14ac:dyDescent="0.25">
      <c r="A236" s="52"/>
      <c r="B236" s="52" t="s">
        <v>558</v>
      </c>
      <c r="C236" s="52">
        <v>-1</v>
      </c>
      <c r="D236" s="52">
        <v>2.4500000000000002</v>
      </c>
      <c r="E236" s="52">
        <v>0.2</v>
      </c>
      <c r="F236" s="52">
        <v>2.4</v>
      </c>
      <c r="G236" s="62">
        <f t="shared" si="14"/>
        <v>-1.1760000000000002</v>
      </c>
      <c r="H236" s="52"/>
    </row>
    <row r="237" spans="1:8" x14ac:dyDescent="0.25">
      <c r="A237" s="52"/>
      <c r="B237" s="52"/>
      <c r="C237" s="52">
        <v>-1</v>
      </c>
      <c r="D237" s="52">
        <v>1.2</v>
      </c>
      <c r="E237" s="52">
        <v>0.2</v>
      </c>
      <c r="F237" s="52">
        <v>2.4</v>
      </c>
      <c r="G237" s="62">
        <f t="shared" si="14"/>
        <v>-0.57599999999999996</v>
      </c>
      <c r="H237" s="52"/>
    </row>
    <row r="238" spans="1:8" x14ac:dyDescent="0.25">
      <c r="A238" s="52"/>
      <c r="B238" s="52" t="s">
        <v>394</v>
      </c>
      <c r="C238" s="52">
        <v>1</v>
      </c>
      <c r="D238" s="52">
        <f>1.56+0.875</f>
        <v>2.4350000000000001</v>
      </c>
      <c r="E238" s="52">
        <v>0.1</v>
      </c>
      <c r="F238" s="52">
        <v>2.5</v>
      </c>
      <c r="G238" s="62">
        <f t="shared" si="14"/>
        <v>0.60875000000000001</v>
      </c>
      <c r="H238" s="52"/>
    </row>
    <row r="239" spans="1:8" x14ac:dyDescent="0.25">
      <c r="A239" s="52"/>
      <c r="B239" s="52"/>
      <c r="C239" s="52">
        <v>1</v>
      </c>
      <c r="D239" s="52">
        <v>2.2949999999999999</v>
      </c>
      <c r="E239" s="52">
        <v>0.1</v>
      </c>
      <c r="F239" s="52">
        <v>2.5</v>
      </c>
      <c r="G239" s="62">
        <f t="shared" si="14"/>
        <v>0.57374999999999998</v>
      </c>
      <c r="H239" s="52"/>
    </row>
    <row r="240" spans="1:8" x14ac:dyDescent="0.25">
      <c r="A240" s="52"/>
      <c r="B240" s="52"/>
      <c r="C240" s="52">
        <v>1</v>
      </c>
      <c r="D240" s="52">
        <v>1.9650000000000001</v>
      </c>
      <c r="E240" s="52">
        <v>0.2</v>
      </c>
      <c r="F240" s="52">
        <v>2.6</v>
      </c>
      <c r="G240" s="62">
        <f t="shared" si="14"/>
        <v>1.0218</v>
      </c>
      <c r="H240" s="52"/>
    </row>
    <row r="241" spans="1:8" x14ac:dyDescent="0.25">
      <c r="A241" s="52"/>
      <c r="B241" s="52" t="s">
        <v>575</v>
      </c>
      <c r="C241" s="52">
        <v>1</v>
      </c>
      <c r="D241" s="52">
        <v>3.15</v>
      </c>
      <c r="E241" s="52">
        <v>0.1</v>
      </c>
      <c r="F241" s="52">
        <v>2.6</v>
      </c>
      <c r="G241" s="62">
        <f t="shared" si="14"/>
        <v>0.81900000000000006</v>
      </c>
      <c r="H241" s="52"/>
    </row>
    <row r="242" spans="1:8" x14ac:dyDescent="0.25">
      <c r="A242" s="52"/>
      <c r="B242" s="52"/>
      <c r="C242" s="52">
        <v>1</v>
      </c>
      <c r="D242" s="52">
        <v>1.5</v>
      </c>
      <c r="E242" s="52">
        <v>0.1</v>
      </c>
      <c r="F242" s="52">
        <v>2.6</v>
      </c>
      <c r="G242" s="62">
        <f t="shared" si="14"/>
        <v>0.39000000000000007</v>
      </c>
      <c r="H242" s="52"/>
    </row>
    <row r="243" spans="1:8" x14ac:dyDescent="0.25">
      <c r="A243" s="52"/>
      <c r="B243" s="52"/>
      <c r="C243" s="52">
        <v>-1</v>
      </c>
      <c r="D243" s="52">
        <v>0.9</v>
      </c>
      <c r="E243" s="52">
        <v>0.1</v>
      </c>
      <c r="F243" s="52">
        <v>2.0499999999999998</v>
      </c>
      <c r="G243" s="62">
        <f t="shared" si="14"/>
        <v>-0.1845</v>
      </c>
      <c r="H243" s="52"/>
    </row>
    <row r="244" spans="1:8" x14ac:dyDescent="0.25">
      <c r="A244" s="52"/>
      <c r="B244" s="52" t="s">
        <v>580</v>
      </c>
      <c r="C244" s="52">
        <v>-1</v>
      </c>
      <c r="D244" s="52">
        <v>1.55</v>
      </c>
      <c r="E244" s="52">
        <v>0.2</v>
      </c>
      <c r="F244" s="52">
        <v>2.4</v>
      </c>
      <c r="G244" s="62">
        <f t="shared" si="14"/>
        <v>-0.74400000000000011</v>
      </c>
      <c r="H244" s="52"/>
    </row>
    <row r="245" spans="1:8" x14ac:dyDescent="0.25">
      <c r="A245" s="52"/>
      <c r="B245" s="56" t="s">
        <v>582</v>
      </c>
      <c r="C245" s="52"/>
      <c r="D245" s="52"/>
      <c r="E245" s="52"/>
      <c r="F245" s="52"/>
      <c r="G245" s="62">
        <f t="shared" ref="G245:G295" si="15">+PRODUCT(C245:F245)</f>
        <v>0</v>
      </c>
      <c r="H245" s="52"/>
    </row>
    <row r="246" spans="1:8" x14ac:dyDescent="0.25">
      <c r="A246" s="52"/>
      <c r="B246" s="52" t="s">
        <v>574</v>
      </c>
      <c r="C246" s="52">
        <v>1</v>
      </c>
      <c r="D246" s="52">
        <v>3.105</v>
      </c>
      <c r="E246" s="52">
        <v>0.2</v>
      </c>
      <c r="F246" s="52">
        <v>2.4500000000000002</v>
      </c>
      <c r="G246" s="62">
        <f t="shared" si="15"/>
        <v>1.5214500000000002</v>
      </c>
      <c r="H246" s="52"/>
    </row>
    <row r="247" spans="1:8" x14ac:dyDescent="0.25">
      <c r="A247" s="52"/>
      <c r="B247" s="52"/>
      <c r="C247" s="52">
        <v>1</v>
      </c>
      <c r="D247" s="52">
        <v>2.91</v>
      </c>
      <c r="E247" s="52">
        <v>0.1</v>
      </c>
      <c r="F247" s="52">
        <v>2.5</v>
      </c>
      <c r="G247" s="62">
        <f t="shared" si="15"/>
        <v>0.72750000000000004</v>
      </c>
      <c r="H247" s="52"/>
    </row>
    <row r="248" spans="1:8" x14ac:dyDescent="0.25">
      <c r="A248" s="52"/>
      <c r="B248" s="52"/>
      <c r="C248" s="52">
        <v>1</v>
      </c>
      <c r="D248" s="52">
        <v>4.72</v>
      </c>
      <c r="E248" s="52">
        <v>0.1</v>
      </c>
      <c r="F248" s="52">
        <v>2.5</v>
      </c>
      <c r="G248" s="62">
        <f t="shared" si="15"/>
        <v>1.18</v>
      </c>
      <c r="H248" s="52"/>
    </row>
    <row r="249" spans="1:8" x14ac:dyDescent="0.25">
      <c r="A249" s="52"/>
      <c r="B249" s="52" t="s">
        <v>548</v>
      </c>
      <c r="C249" s="52">
        <v>1</v>
      </c>
      <c r="D249" s="52">
        <v>3.36</v>
      </c>
      <c r="E249" s="52">
        <v>0.1</v>
      </c>
      <c r="F249" s="52">
        <v>2.5</v>
      </c>
      <c r="G249" s="62">
        <f t="shared" si="15"/>
        <v>0.84000000000000008</v>
      </c>
      <c r="H249" s="52"/>
    </row>
    <row r="250" spans="1:8" x14ac:dyDescent="0.25">
      <c r="A250" s="52"/>
      <c r="B250" s="52"/>
      <c r="C250" s="52">
        <v>1</v>
      </c>
      <c r="D250" s="52">
        <v>1.54</v>
      </c>
      <c r="E250" s="52">
        <v>0.1</v>
      </c>
      <c r="F250" s="52">
        <f>2.95-0.125</f>
        <v>2.8250000000000002</v>
      </c>
      <c r="G250" s="62">
        <f t="shared" si="15"/>
        <v>0.4350500000000001</v>
      </c>
      <c r="H250" s="52"/>
    </row>
    <row r="251" spans="1:8" x14ac:dyDescent="0.25">
      <c r="A251" s="52"/>
      <c r="B251" s="52"/>
      <c r="C251" s="52">
        <v>1</v>
      </c>
      <c r="D251" s="52">
        <v>1.1200000000000001</v>
      </c>
      <c r="E251" s="52">
        <v>0.1</v>
      </c>
      <c r="F251" s="52">
        <f>2.95-0.35</f>
        <v>2.6</v>
      </c>
      <c r="G251" s="62">
        <f t="shared" si="15"/>
        <v>0.29120000000000007</v>
      </c>
      <c r="H251" s="52"/>
    </row>
    <row r="252" spans="1:8" x14ac:dyDescent="0.25">
      <c r="A252" s="52"/>
      <c r="B252" s="52" t="s">
        <v>575</v>
      </c>
      <c r="C252" s="52">
        <v>1</v>
      </c>
      <c r="D252" s="52">
        <v>0.51500000000000001</v>
      </c>
      <c r="E252" s="52">
        <v>0.1</v>
      </c>
      <c r="F252" s="52">
        <v>2.6</v>
      </c>
      <c r="G252" s="62">
        <f t="shared" si="15"/>
        <v>0.13390000000000002</v>
      </c>
      <c r="H252" s="52"/>
    </row>
    <row r="253" spans="1:8" x14ac:dyDescent="0.25">
      <c r="A253" s="52"/>
      <c r="B253" s="52"/>
      <c r="C253" s="52">
        <v>1</v>
      </c>
      <c r="D253" s="52">
        <v>1.54</v>
      </c>
      <c r="E253" s="52">
        <v>0.1</v>
      </c>
      <c r="F253" s="52">
        <v>2.6</v>
      </c>
      <c r="G253" s="62">
        <f t="shared" si="15"/>
        <v>0.40040000000000009</v>
      </c>
      <c r="H253" s="52"/>
    </row>
    <row r="254" spans="1:8" x14ac:dyDescent="0.25">
      <c r="A254" s="52"/>
      <c r="B254" s="52" t="s">
        <v>564</v>
      </c>
      <c r="C254" s="52">
        <v>-1</v>
      </c>
      <c r="D254" s="52">
        <v>0.9</v>
      </c>
      <c r="E254" s="52">
        <v>0.1</v>
      </c>
      <c r="F254" s="52">
        <v>2.0499999999999998</v>
      </c>
      <c r="G254" s="62">
        <f t="shared" si="15"/>
        <v>-0.1845</v>
      </c>
      <c r="H254" s="52"/>
    </row>
    <row r="255" spans="1:8" x14ac:dyDescent="0.25">
      <c r="A255" s="52"/>
      <c r="B255" s="52"/>
      <c r="C255" s="52">
        <v>1</v>
      </c>
      <c r="D255" s="52">
        <v>0.51500000000000001</v>
      </c>
      <c r="E255" s="52">
        <v>0.23</v>
      </c>
      <c r="F255" s="52">
        <v>2.4500000000000002</v>
      </c>
      <c r="G255" s="62">
        <f t="shared" si="15"/>
        <v>0.29020250000000003</v>
      </c>
      <c r="H255" s="52"/>
    </row>
    <row r="256" spans="1:8" x14ac:dyDescent="0.25">
      <c r="A256" s="52"/>
      <c r="B256" s="52"/>
      <c r="C256" s="52">
        <v>1</v>
      </c>
      <c r="D256" s="52">
        <v>1.81</v>
      </c>
      <c r="E256" s="52">
        <v>0.23</v>
      </c>
      <c r="F256" s="52">
        <v>2.4500000000000002</v>
      </c>
      <c r="G256" s="62">
        <f t="shared" si="15"/>
        <v>1.019935</v>
      </c>
      <c r="H256" s="52"/>
    </row>
    <row r="257" spans="1:8" x14ac:dyDescent="0.25">
      <c r="A257" s="52"/>
      <c r="B257" s="52" t="s">
        <v>550</v>
      </c>
      <c r="C257" s="52">
        <v>-1</v>
      </c>
      <c r="D257" s="52">
        <v>2.0649999999999999</v>
      </c>
      <c r="E257" s="52">
        <v>0.2</v>
      </c>
      <c r="F257" s="52">
        <v>2.4</v>
      </c>
      <c r="G257" s="62">
        <f t="shared" si="15"/>
        <v>-0.99120000000000008</v>
      </c>
      <c r="H257" s="52"/>
    </row>
    <row r="258" spans="1:8" x14ac:dyDescent="0.25">
      <c r="A258" s="52"/>
      <c r="B258" s="52" t="s">
        <v>551</v>
      </c>
      <c r="C258" s="52">
        <v>-1</v>
      </c>
      <c r="D258" s="52">
        <v>0.55000000000000004</v>
      </c>
      <c r="E258" s="52">
        <v>0.2</v>
      </c>
      <c r="F258" s="52">
        <v>1.3</v>
      </c>
      <c r="G258" s="62">
        <f t="shared" si="15"/>
        <v>-0.14300000000000002</v>
      </c>
      <c r="H258" s="52"/>
    </row>
    <row r="259" spans="1:8" x14ac:dyDescent="0.25">
      <c r="A259" s="52"/>
      <c r="B259" s="52" t="s">
        <v>552</v>
      </c>
      <c r="C259" s="52">
        <v>-1</v>
      </c>
      <c r="D259" s="52">
        <v>1</v>
      </c>
      <c r="E259" s="52">
        <v>0.1</v>
      </c>
      <c r="F259" s="52">
        <v>2.2000000000000002</v>
      </c>
      <c r="G259" s="62">
        <f t="shared" si="15"/>
        <v>-0.22000000000000003</v>
      </c>
      <c r="H259" s="52"/>
    </row>
    <row r="260" spans="1:8" x14ac:dyDescent="0.25">
      <c r="A260" s="52"/>
      <c r="B260" s="52" t="s">
        <v>553</v>
      </c>
      <c r="C260" s="52">
        <v>-1</v>
      </c>
      <c r="D260" s="52">
        <v>0.75</v>
      </c>
      <c r="E260" s="52">
        <v>0.1</v>
      </c>
      <c r="F260" s="52">
        <v>2.2000000000000002</v>
      </c>
      <c r="G260" s="62">
        <f t="shared" si="15"/>
        <v>-0.16500000000000004</v>
      </c>
      <c r="H260" s="52"/>
    </row>
    <row r="261" spans="1:8" x14ac:dyDescent="0.25">
      <c r="A261" s="52"/>
      <c r="B261" s="52" t="s">
        <v>576</v>
      </c>
      <c r="C261" s="52">
        <v>1</v>
      </c>
      <c r="D261" s="52">
        <v>2.2650000000000001</v>
      </c>
      <c r="E261" s="52">
        <v>0.2</v>
      </c>
      <c r="F261" s="52">
        <v>2.4500000000000002</v>
      </c>
      <c r="G261" s="62">
        <f t="shared" si="15"/>
        <v>1.1098500000000002</v>
      </c>
      <c r="H261" s="52"/>
    </row>
    <row r="262" spans="1:8" x14ac:dyDescent="0.25">
      <c r="A262" s="52"/>
      <c r="B262" s="52"/>
      <c r="C262" s="52">
        <v>1</v>
      </c>
      <c r="D262" s="52">
        <v>0.51500000000000001</v>
      </c>
      <c r="E262" s="52">
        <v>0.1</v>
      </c>
      <c r="F262" s="52">
        <v>2.6</v>
      </c>
      <c r="G262" s="62">
        <f t="shared" si="15"/>
        <v>0.13390000000000002</v>
      </c>
      <c r="H262" s="52"/>
    </row>
    <row r="263" spans="1:8" x14ac:dyDescent="0.25">
      <c r="A263" s="52"/>
      <c r="B263" s="52"/>
      <c r="C263" s="52">
        <v>1</v>
      </c>
      <c r="D263" s="52">
        <v>0.97</v>
      </c>
      <c r="E263" s="52">
        <v>0.1</v>
      </c>
      <c r="F263" s="52">
        <v>2.6</v>
      </c>
      <c r="G263" s="62">
        <f t="shared" si="15"/>
        <v>0.25220000000000004</v>
      </c>
      <c r="H263" s="52"/>
    </row>
    <row r="264" spans="1:8" x14ac:dyDescent="0.25">
      <c r="A264" s="52"/>
      <c r="B264" s="52"/>
      <c r="C264" s="52">
        <v>1</v>
      </c>
      <c r="D264" s="52">
        <v>0.98499999999999999</v>
      </c>
      <c r="E264" s="52">
        <v>0.2</v>
      </c>
      <c r="F264" s="52">
        <v>2.4500000000000002</v>
      </c>
      <c r="G264" s="62">
        <f t="shared" si="15"/>
        <v>0.48265000000000008</v>
      </c>
      <c r="H264" s="52"/>
    </row>
    <row r="265" spans="1:8" x14ac:dyDescent="0.25">
      <c r="A265" s="52"/>
      <c r="B265" s="52"/>
      <c r="C265" s="52">
        <v>1</v>
      </c>
      <c r="D265" s="52">
        <v>2.3250000000000002</v>
      </c>
      <c r="E265" s="52">
        <v>0.1</v>
      </c>
      <c r="F265" s="52">
        <v>2.4500000000000002</v>
      </c>
      <c r="G265" s="62">
        <f t="shared" si="15"/>
        <v>0.56962500000000016</v>
      </c>
      <c r="H265" s="52"/>
    </row>
    <row r="266" spans="1:8" x14ac:dyDescent="0.25">
      <c r="A266" s="52"/>
      <c r="B266" s="52"/>
      <c r="C266" s="52">
        <v>1</v>
      </c>
      <c r="D266" s="52">
        <v>3.2349999999999999</v>
      </c>
      <c r="E266" s="52">
        <v>0.1</v>
      </c>
      <c r="F266" s="52">
        <v>2.5</v>
      </c>
      <c r="G266" s="62">
        <f t="shared" si="15"/>
        <v>0.80875000000000008</v>
      </c>
      <c r="H266" s="52"/>
    </row>
    <row r="267" spans="1:8" x14ac:dyDescent="0.25">
      <c r="A267" s="52"/>
      <c r="B267" s="52" t="s">
        <v>550</v>
      </c>
      <c r="C267" s="52">
        <v>-1</v>
      </c>
      <c r="D267" s="52">
        <v>2.0649999999999999</v>
      </c>
      <c r="E267" s="52">
        <v>0.2</v>
      </c>
      <c r="F267" s="52">
        <v>2.4</v>
      </c>
      <c r="G267" s="62">
        <f t="shared" si="15"/>
        <v>-0.99120000000000008</v>
      </c>
      <c r="H267" s="52"/>
    </row>
    <row r="268" spans="1:8" x14ac:dyDescent="0.25">
      <c r="A268" s="52"/>
      <c r="B268" s="52" t="s">
        <v>552</v>
      </c>
      <c r="C268" s="52">
        <v>-1</v>
      </c>
      <c r="D268" s="52">
        <v>1</v>
      </c>
      <c r="E268" s="52">
        <v>0.1</v>
      </c>
      <c r="F268" s="52">
        <v>2.2000000000000002</v>
      </c>
      <c r="G268" s="62">
        <f t="shared" si="15"/>
        <v>-0.22000000000000003</v>
      </c>
      <c r="H268" s="52"/>
    </row>
    <row r="269" spans="1:8" x14ac:dyDescent="0.25">
      <c r="A269" s="52"/>
      <c r="B269" s="52" t="s">
        <v>577</v>
      </c>
      <c r="C269" s="52">
        <v>1</v>
      </c>
      <c r="D269" s="52">
        <v>3.55</v>
      </c>
      <c r="E269" s="52">
        <v>0.2</v>
      </c>
      <c r="F269" s="52">
        <v>2.4500000000000002</v>
      </c>
      <c r="G269" s="62">
        <f t="shared" si="15"/>
        <v>1.7395</v>
      </c>
      <c r="H269" s="52"/>
    </row>
    <row r="270" spans="1:8" x14ac:dyDescent="0.25">
      <c r="A270" s="52"/>
      <c r="B270" s="52"/>
      <c r="C270" s="52">
        <v>1</v>
      </c>
      <c r="D270" s="52">
        <v>2.02</v>
      </c>
      <c r="E270" s="52">
        <v>0.2</v>
      </c>
      <c r="F270" s="52">
        <v>2.4500000000000002</v>
      </c>
      <c r="G270" s="62">
        <f t="shared" si="15"/>
        <v>0.98980000000000012</v>
      </c>
      <c r="H270" s="52"/>
    </row>
    <row r="271" spans="1:8" x14ac:dyDescent="0.25">
      <c r="A271" s="52"/>
      <c r="B271" s="52"/>
      <c r="C271" s="52">
        <v>1</v>
      </c>
      <c r="D271" s="52">
        <v>0.51500000000000001</v>
      </c>
      <c r="E271" s="52">
        <v>0.1</v>
      </c>
      <c r="F271" s="52">
        <f>2.95-0.125</f>
        <v>2.8250000000000002</v>
      </c>
      <c r="G271" s="62">
        <f t="shared" si="15"/>
        <v>0.14548750000000002</v>
      </c>
      <c r="H271" s="52"/>
    </row>
    <row r="272" spans="1:8" x14ac:dyDescent="0.25">
      <c r="A272" s="52"/>
      <c r="B272" s="52"/>
      <c r="C272" s="52">
        <v>1</v>
      </c>
      <c r="D272" s="52">
        <v>1.145</v>
      </c>
      <c r="E272" s="52">
        <v>0.1</v>
      </c>
      <c r="F272" s="52">
        <f>2.95-0.125</f>
        <v>2.8250000000000002</v>
      </c>
      <c r="G272" s="62">
        <f t="shared" si="15"/>
        <v>0.32346250000000004</v>
      </c>
      <c r="H272" s="52"/>
    </row>
    <row r="273" spans="1:8" x14ac:dyDescent="0.25">
      <c r="A273" s="52"/>
      <c r="B273" s="52"/>
      <c r="C273" s="52">
        <v>1</v>
      </c>
      <c r="D273" s="52">
        <v>1.1499999999999999</v>
      </c>
      <c r="E273" s="52">
        <v>0.1</v>
      </c>
      <c r="F273" s="52">
        <v>2.5</v>
      </c>
      <c r="G273" s="62">
        <f t="shared" si="15"/>
        <v>0.28749999999999998</v>
      </c>
      <c r="H273" s="52"/>
    </row>
    <row r="274" spans="1:8" x14ac:dyDescent="0.25">
      <c r="A274" s="52"/>
      <c r="B274" s="52" t="s">
        <v>548</v>
      </c>
      <c r="C274" s="52">
        <v>1</v>
      </c>
      <c r="D274" s="52">
        <v>2.37</v>
      </c>
      <c r="E274" s="52">
        <v>0.1</v>
      </c>
      <c r="F274" s="52">
        <v>2.5</v>
      </c>
      <c r="G274" s="62">
        <f t="shared" si="15"/>
        <v>0.59250000000000003</v>
      </c>
      <c r="H274" s="52"/>
    </row>
    <row r="275" spans="1:8" x14ac:dyDescent="0.25">
      <c r="A275" s="52"/>
      <c r="B275" s="52"/>
      <c r="C275" s="52">
        <v>1</v>
      </c>
      <c r="D275" s="52">
        <v>3.28</v>
      </c>
      <c r="E275" s="52">
        <v>0.1</v>
      </c>
      <c r="F275" s="52">
        <f>2.95-0.125</f>
        <v>2.8250000000000002</v>
      </c>
      <c r="G275" s="62">
        <f t="shared" si="15"/>
        <v>0.92660000000000009</v>
      </c>
      <c r="H275" s="52"/>
    </row>
    <row r="276" spans="1:8" x14ac:dyDescent="0.25">
      <c r="A276" s="52"/>
      <c r="B276" s="52"/>
      <c r="C276" s="52">
        <v>1</v>
      </c>
      <c r="D276" s="52">
        <v>2.2999999999999998</v>
      </c>
      <c r="E276" s="52">
        <v>0.23</v>
      </c>
      <c r="F276" s="52">
        <v>2.6</v>
      </c>
      <c r="G276" s="62">
        <f t="shared" si="15"/>
        <v>1.3754000000000002</v>
      </c>
      <c r="H276" s="52"/>
    </row>
    <row r="277" spans="1:8" x14ac:dyDescent="0.25">
      <c r="A277" s="52"/>
      <c r="B277" s="52"/>
      <c r="C277" s="52">
        <v>1</v>
      </c>
      <c r="D277" s="52">
        <v>2.5750000000000002</v>
      </c>
      <c r="E277" s="52">
        <v>0.2</v>
      </c>
      <c r="F277" s="52">
        <v>2.6</v>
      </c>
      <c r="G277" s="62">
        <f t="shared" si="15"/>
        <v>1.3390000000000002</v>
      </c>
      <c r="H277" s="52"/>
    </row>
    <row r="278" spans="1:8" x14ac:dyDescent="0.25">
      <c r="A278" s="52"/>
      <c r="B278" s="52"/>
      <c r="C278" s="52">
        <v>1</v>
      </c>
      <c r="D278" s="52">
        <v>1.85</v>
      </c>
      <c r="E278" s="52">
        <v>0.1</v>
      </c>
      <c r="F278" s="52">
        <v>2.5</v>
      </c>
      <c r="G278" s="62">
        <f t="shared" si="15"/>
        <v>0.46250000000000008</v>
      </c>
      <c r="H278" s="52"/>
    </row>
    <row r="279" spans="1:8" x14ac:dyDescent="0.25">
      <c r="A279" s="52"/>
      <c r="B279" s="52" t="s">
        <v>578</v>
      </c>
      <c r="C279" s="52">
        <v>-2</v>
      </c>
      <c r="D279" s="52">
        <v>0.55000000000000004</v>
      </c>
      <c r="E279" s="52">
        <v>0.2</v>
      </c>
      <c r="F279" s="52">
        <v>1.3</v>
      </c>
      <c r="G279" s="62">
        <f t="shared" si="15"/>
        <v>-0.28600000000000003</v>
      </c>
      <c r="H279" s="52"/>
    </row>
    <row r="280" spans="1:8" x14ac:dyDescent="0.25">
      <c r="A280" s="52"/>
      <c r="B280" s="52" t="s">
        <v>552</v>
      </c>
      <c r="C280" s="52">
        <v>-1</v>
      </c>
      <c r="D280" s="52">
        <v>1</v>
      </c>
      <c r="E280" s="52">
        <v>0.1</v>
      </c>
      <c r="F280" s="52">
        <v>2.2000000000000002</v>
      </c>
      <c r="G280" s="62">
        <f t="shared" si="15"/>
        <v>-0.22000000000000003</v>
      </c>
      <c r="H280" s="52"/>
    </row>
    <row r="281" spans="1:8" x14ac:dyDescent="0.25">
      <c r="A281" s="52"/>
      <c r="B281" s="52" t="s">
        <v>553</v>
      </c>
      <c r="C281" s="52">
        <v>-2</v>
      </c>
      <c r="D281" s="52">
        <v>0.75</v>
      </c>
      <c r="E281" s="52">
        <v>0.1</v>
      </c>
      <c r="F281" s="52">
        <v>2.2000000000000002</v>
      </c>
      <c r="G281" s="62">
        <f t="shared" si="15"/>
        <v>-0.33000000000000007</v>
      </c>
      <c r="H281" s="52"/>
    </row>
    <row r="282" spans="1:8" x14ac:dyDescent="0.25">
      <c r="A282" s="52"/>
      <c r="B282" s="52" t="s">
        <v>579</v>
      </c>
      <c r="C282" s="52">
        <v>-1</v>
      </c>
      <c r="D282" s="52">
        <v>1.5</v>
      </c>
      <c r="E282" s="52">
        <v>0.2</v>
      </c>
      <c r="F282" s="52">
        <v>1.5</v>
      </c>
      <c r="G282" s="62">
        <f t="shared" si="15"/>
        <v>-0.45000000000000007</v>
      </c>
      <c r="H282" s="52"/>
    </row>
    <row r="283" spans="1:8" x14ac:dyDescent="0.25">
      <c r="A283" s="52"/>
      <c r="B283" s="52" t="s">
        <v>557</v>
      </c>
      <c r="C283" s="52">
        <v>1</v>
      </c>
      <c r="D283" s="52">
        <v>3.19</v>
      </c>
      <c r="E283" s="52">
        <v>0.2</v>
      </c>
      <c r="F283" s="52">
        <v>2.4500000000000002</v>
      </c>
      <c r="G283" s="62">
        <f t="shared" si="15"/>
        <v>1.5631000000000002</v>
      </c>
      <c r="H283" s="52"/>
    </row>
    <row r="284" spans="1:8" x14ac:dyDescent="0.25">
      <c r="A284" s="52"/>
      <c r="B284" s="52"/>
      <c r="C284" s="52">
        <v>0.5</v>
      </c>
      <c r="D284" s="52">
        <f>9.52-1.5</f>
        <v>8.02</v>
      </c>
      <c r="E284" s="52">
        <v>0.2</v>
      </c>
      <c r="F284" s="52">
        <v>2.4500000000000002</v>
      </c>
      <c r="G284" s="62">
        <f t="shared" si="15"/>
        <v>1.9649000000000003</v>
      </c>
      <c r="H284" s="52"/>
    </row>
    <row r="285" spans="1:8" x14ac:dyDescent="0.25">
      <c r="A285" s="52"/>
      <c r="B285" s="52"/>
      <c r="C285" s="52">
        <v>1</v>
      </c>
      <c r="D285" s="52">
        <v>1.5149999999999999</v>
      </c>
      <c r="E285" s="52">
        <v>0.1</v>
      </c>
      <c r="F285" s="52">
        <v>2.4500000000000002</v>
      </c>
      <c r="G285" s="62">
        <f t="shared" si="15"/>
        <v>0.37117500000000003</v>
      </c>
      <c r="H285" s="52"/>
    </row>
    <row r="286" spans="1:8" x14ac:dyDescent="0.25">
      <c r="A286" s="52"/>
      <c r="B286" s="52" t="s">
        <v>558</v>
      </c>
      <c r="C286" s="52">
        <v>-1</v>
      </c>
      <c r="D286" s="52">
        <v>2.4500000000000002</v>
      </c>
      <c r="E286" s="52">
        <v>0.2</v>
      </c>
      <c r="F286" s="52">
        <v>2.4</v>
      </c>
      <c r="G286" s="62">
        <f t="shared" si="15"/>
        <v>-1.1760000000000002</v>
      </c>
      <c r="H286" s="52"/>
    </row>
    <row r="287" spans="1:8" x14ac:dyDescent="0.25">
      <c r="A287" s="52"/>
      <c r="B287" s="52"/>
      <c r="C287" s="52">
        <v>-1</v>
      </c>
      <c r="D287" s="52">
        <v>1.2</v>
      </c>
      <c r="E287" s="52">
        <v>0.2</v>
      </c>
      <c r="F287" s="52">
        <v>2.4</v>
      </c>
      <c r="G287" s="62">
        <f t="shared" si="15"/>
        <v>-0.57599999999999996</v>
      </c>
      <c r="H287" s="52"/>
    </row>
    <row r="288" spans="1:8" x14ac:dyDescent="0.25">
      <c r="A288" s="52"/>
      <c r="B288" s="52" t="s">
        <v>394</v>
      </c>
      <c r="C288" s="52">
        <v>1</v>
      </c>
      <c r="D288" s="52">
        <f>1.56+0.875</f>
        <v>2.4350000000000001</v>
      </c>
      <c r="E288" s="52">
        <v>0.1</v>
      </c>
      <c r="F288" s="52">
        <v>2.5</v>
      </c>
      <c r="G288" s="62">
        <f t="shared" si="15"/>
        <v>0.60875000000000001</v>
      </c>
      <c r="H288" s="52"/>
    </row>
    <row r="289" spans="1:8" x14ac:dyDescent="0.25">
      <c r="A289" s="52"/>
      <c r="B289" s="52"/>
      <c r="C289" s="52">
        <v>1</v>
      </c>
      <c r="D289" s="52">
        <v>2.2949999999999999</v>
      </c>
      <c r="E289" s="52">
        <v>0.1</v>
      </c>
      <c r="F289" s="52">
        <v>2.5</v>
      </c>
      <c r="G289" s="62">
        <f t="shared" si="15"/>
        <v>0.57374999999999998</v>
      </c>
      <c r="H289" s="52"/>
    </row>
    <row r="290" spans="1:8" x14ac:dyDescent="0.25">
      <c r="A290" s="52"/>
      <c r="B290" s="52"/>
      <c r="C290" s="52">
        <v>1</v>
      </c>
      <c r="D290" s="52">
        <v>1.9650000000000001</v>
      </c>
      <c r="E290" s="52">
        <v>0.2</v>
      </c>
      <c r="F290" s="52">
        <v>2.6</v>
      </c>
      <c r="G290" s="62">
        <f t="shared" si="15"/>
        <v>1.0218</v>
      </c>
      <c r="H290" s="52"/>
    </row>
    <row r="291" spans="1:8" x14ac:dyDescent="0.25">
      <c r="A291" s="52"/>
      <c r="B291" s="52" t="s">
        <v>575</v>
      </c>
      <c r="C291" s="52">
        <v>1</v>
      </c>
      <c r="D291" s="52">
        <v>3.15</v>
      </c>
      <c r="E291" s="52">
        <v>0.1</v>
      </c>
      <c r="F291" s="52">
        <v>2.6</v>
      </c>
      <c r="G291" s="62">
        <f t="shared" si="15"/>
        <v>0.81900000000000006</v>
      </c>
      <c r="H291" s="52"/>
    </row>
    <row r="292" spans="1:8" x14ac:dyDescent="0.25">
      <c r="A292" s="52"/>
      <c r="B292" s="52"/>
      <c r="C292" s="52">
        <v>1</v>
      </c>
      <c r="D292" s="52">
        <v>1.5</v>
      </c>
      <c r="E292" s="52">
        <v>0.1</v>
      </c>
      <c r="F292" s="52">
        <v>2.6</v>
      </c>
      <c r="G292" s="62">
        <f t="shared" si="15"/>
        <v>0.39000000000000007</v>
      </c>
      <c r="H292" s="52"/>
    </row>
    <row r="293" spans="1:8" x14ac:dyDescent="0.25">
      <c r="A293" s="52"/>
      <c r="B293" s="52"/>
      <c r="C293" s="52">
        <v>-1</v>
      </c>
      <c r="D293" s="52">
        <v>0.9</v>
      </c>
      <c r="E293" s="52">
        <v>0.1</v>
      </c>
      <c r="F293" s="52">
        <v>2.0499999999999998</v>
      </c>
      <c r="G293" s="62">
        <f t="shared" si="15"/>
        <v>-0.1845</v>
      </c>
      <c r="H293" s="52"/>
    </row>
    <row r="294" spans="1:8" x14ac:dyDescent="0.25">
      <c r="A294" s="52"/>
      <c r="B294" s="52" t="s">
        <v>580</v>
      </c>
      <c r="C294" s="52">
        <v>-1</v>
      </c>
      <c r="D294" s="52">
        <v>1.55</v>
      </c>
      <c r="E294" s="52">
        <v>0.2</v>
      </c>
      <c r="F294" s="52">
        <v>2.4</v>
      </c>
      <c r="G294" s="62">
        <f t="shared" si="15"/>
        <v>-0.74400000000000011</v>
      </c>
      <c r="H294" s="52"/>
    </row>
    <row r="295" spans="1:8" x14ac:dyDescent="0.25">
      <c r="A295" s="52"/>
      <c r="B295" s="52" t="s">
        <v>583</v>
      </c>
      <c r="C295" s="52">
        <v>1</v>
      </c>
      <c r="D295" s="52">
        <v>1.9350000000000001</v>
      </c>
      <c r="E295" s="52">
        <v>0.23</v>
      </c>
      <c r="F295" s="52">
        <v>2.5</v>
      </c>
      <c r="G295" s="62">
        <f t="shared" si="15"/>
        <v>1.1126250000000002</v>
      </c>
      <c r="H295" s="52"/>
    </row>
    <row r="296" spans="1:8" x14ac:dyDescent="0.25">
      <c r="A296" s="52"/>
      <c r="B296" s="52"/>
      <c r="C296" s="52">
        <v>1</v>
      </c>
      <c r="D296" s="52">
        <f>+D295-0.9</f>
        <v>1.0350000000000001</v>
      </c>
      <c r="E296" s="52">
        <v>0.23</v>
      </c>
      <c r="F296" s="52">
        <v>2.5</v>
      </c>
      <c r="G296" s="62">
        <f t="shared" si="0"/>
        <v>0.59512500000000013</v>
      </c>
      <c r="H296" s="52"/>
    </row>
    <row r="297" spans="1:8" x14ac:dyDescent="0.25">
      <c r="A297" s="52"/>
      <c r="B297" s="52"/>
      <c r="C297" s="52">
        <v>1</v>
      </c>
      <c r="D297" s="52">
        <v>1.905</v>
      </c>
      <c r="E297" s="52">
        <v>0.23</v>
      </c>
      <c r="F297" s="52">
        <v>2.5</v>
      </c>
      <c r="G297" s="62">
        <f t="shared" si="0"/>
        <v>1.0953750000000002</v>
      </c>
      <c r="H297" s="52"/>
    </row>
    <row r="298" spans="1:8" x14ac:dyDescent="0.25">
      <c r="A298" s="52"/>
      <c r="B298" s="52"/>
      <c r="C298" s="52">
        <v>1</v>
      </c>
      <c r="D298" s="52">
        <v>1.0049999999999999</v>
      </c>
      <c r="E298" s="52">
        <v>0.23</v>
      </c>
      <c r="F298" s="52">
        <v>2.5</v>
      </c>
      <c r="G298" s="62">
        <f t="shared" si="0"/>
        <v>0.57787500000000003</v>
      </c>
      <c r="H298" s="52"/>
    </row>
    <row r="299" spans="1:8" x14ac:dyDescent="0.25">
      <c r="A299" s="52"/>
      <c r="B299" s="52" t="s">
        <v>585</v>
      </c>
      <c r="C299" s="52">
        <v>1</v>
      </c>
      <c r="D299" s="52">
        <v>3.53</v>
      </c>
      <c r="E299" s="52">
        <v>0.23</v>
      </c>
      <c r="F299" s="52">
        <v>2.5</v>
      </c>
      <c r="G299" s="62">
        <f t="shared" si="0"/>
        <v>2.0297499999999999</v>
      </c>
      <c r="H299" s="52"/>
    </row>
    <row r="300" spans="1:8" x14ac:dyDescent="0.25">
      <c r="A300" s="52"/>
      <c r="B300" s="52" t="s">
        <v>584</v>
      </c>
      <c r="C300" s="52">
        <v>-1</v>
      </c>
      <c r="D300" s="52">
        <v>1.55</v>
      </c>
      <c r="E300" s="52">
        <v>0.23</v>
      </c>
      <c r="F300" s="52">
        <v>1.5</v>
      </c>
      <c r="G300" s="62">
        <f>+PRODUCT(C300:F300)</f>
        <v>-0.53475000000000006</v>
      </c>
      <c r="H300" s="52"/>
    </row>
    <row r="301" spans="1:8" x14ac:dyDescent="0.25">
      <c r="A301" s="52"/>
      <c r="B301" s="52" t="s">
        <v>586</v>
      </c>
      <c r="C301" s="52">
        <v>1</v>
      </c>
      <c r="D301" s="52">
        <v>2.76</v>
      </c>
      <c r="E301" s="52">
        <v>0.23</v>
      </c>
      <c r="F301" s="52">
        <v>2.4500000000000002</v>
      </c>
      <c r="G301" s="62">
        <f t="shared" si="0"/>
        <v>1.5552600000000001</v>
      </c>
      <c r="H301" s="52"/>
    </row>
    <row r="302" spans="1:8" x14ac:dyDescent="0.25">
      <c r="A302" s="52"/>
      <c r="B302" s="52"/>
      <c r="C302" s="52">
        <v>2</v>
      </c>
      <c r="D302" s="52">
        <v>3.2</v>
      </c>
      <c r="E302" s="52">
        <v>0.23</v>
      </c>
      <c r="F302" s="52">
        <v>2.5</v>
      </c>
      <c r="G302" s="62">
        <f t="shared" si="0"/>
        <v>3.6800000000000006</v>
      </c>
      <c r="H302" s="52"/>
    </row>
    <row r="303" spans="1:8" x14ac:dyDescent="0.25">
      <c r="A303" s="52"/>
      <c r="B303" s="52" t="s">
        <v>587</v>
      </c>
      <c r="C303" s="52">
        <v>-1</v>
      </c>
      <c r="D303" s="52">
        <v>1.8</v>
      </c>
      <c r="E303" s="52">
        <v>0.23</v>
      </c>
      <c r="F303" s="52">
        <v>1.5</v>
      </c>
      <c r="G303" s="62">
        <f t="shared" si="0"/>
        <v>-0.621</v>
      </c>
      <c r="H303" s="52"/>
    </row>
    <row r="304" spans="1:8" x14ac:dyDescent="0.25">
      <c r="A304" s="52"/>
      <c r="B304" s="52" t="s">
        <v>588</v>
      </c>
      <c r="C304" s="52">
        <v>1</v>
      </c>
      <c r="D304" s="52">
        <v>4.43</v>
      </c>
      <c r="E304" s="52">
        <v>0.115</v>
      </c>
      <c r="F304" s="52">
        <v>2.5</v>
      </c>
      <c r="G304" s="62">
        <f t="shared" si="0"/>
        <v>1.273625</v>
      </c>
      <c r="H304" s="52"/>
    </row>
    <row r="305" spans="1:8" x14ac:dyDescent="0.25">
      <c r="A305" s="52"/>
      <c r="B305" s="52"/>
      <c r="C305" s="52">
        <v>2</v>
      </c>
      <c r="D305" s="52">
        <v>0.52</v>
      </c>
      <c r="E305" s="52">
        <v>0.115</v>
      </c>
      <c r="F305" s="52">
        <v>2.5</v>
      </c>
      <c r="G305" s="62">
        <f t="shared" si="0"/>
        <v>0.29900000000000004</v>
      </c>
      <c r="H305" s="52"/>
    </row>
    <row r="306" spans="1:8" x14ac:dyDescent="0.25">
      <c r="A306" s="52"/>
      <c r="B306" s="52"/>
      <c r="C306" s="52">
        <v>1</v>
      </c>
      <c r="D306" s="52">
        <f>4.43-1.795-1.945</f>
        <v>0.68999999999999972</v>
      </c>
      <c r="E306" s="52">
        <v>0.115</v>
      </c>
      <c r="F306" s="52">
        <v>2.5</v>
      </c>
      <c r="G306" s="62">
        <f t="shared" si="0"/>
        <v>0.19837499999999994</v>
      </c>
      <c r="H306" s="52"/>
    </row>
    <row r="307" spans="1:8" x14ac:dyDescent="0.25">
      <c r="A307" s="52"/>
      <c r="B307" s="52"/>
      <c r="C307" s="52"/>
      <c r="D307" s="52"/>
      <c r="E307" s="52"/>
      <c r="F307" s="52"/>
      <c r="G307" s="62"/>
      <c r="H307" s="52"/>
    </row>
    <row r="308" spans="1:8" x14ac:dyDescent="0.25">
      <c r="A308" s="52"/>
      <c r="B308" s="56" t="s">
        <v>589</v>
      </c>
      <c r="C308" s="52"/>
      <c r="D308" s="52"/>
      <c r="E308" s="52"/>
      <c r="F308" s="52"/>
      <c r="G308" s="65">
        <f>+ROUND(SUMIF($E$4:$E$306,".2",$G$4:$G$306)*2,2)</f>
        <v>86.19</v>
      </c>
      <c r="H308" s="56" t="s">
        <v>593</v>
      </c>
    </row>
    <row r="309" spans="1:8" x14ac:dyDescent="0.25">
      <c r="A309" s="52"/>
      <c r="B309" s="56" t="s">
        <v>590</v>
      </c>
      <c r="C309" s="52"/>
      <c r="D309" s="52"/>
      <c r="E309" s="52"/>
      <c r="F309" s="52"/>
      <c r="G309" s="65">
        <f>+ROUND(SUMIF($E$4:$E$306,".23",$G$4:$G$306)*2,2)</f>
        <v>55.17</v>
      </c>
      <c r="H309" s="56" t="s">
        <v>593</v>
      </c>
    </row>
    <row r="310" spans="1:8" x14ac:dyDescent="0.25">
      <c r="A310" s="52"/>
      <c r="B310" s="56" t="s">
        <v>591</v>
      </c>
      <c r="C310" s="52"/>
      <c r="D310" s="52"/>
      <c r="E310" s="52"/>
      <c r="F310" s="52"/>
      <c r="G310" s="65">
        <f>+ROUND((SUMIF($E$4:$E$306,".115",$G$4:$G$306)/0.115)*2,2)</f>
        <v>30.8</v>
      </c>
      <c r="H310" s="56" t="s">
        <v>426</v>
      </c>
    </row>
    <row r="311" spans="1:8" x14ac:dyDescent="0.25">
      <c r="A311" s="52"/>
      <c r="B311" s="56" t="s">
        <v>592</v>
      </c>
      <c r="C311" s="52"/>
      <c r="D311" s="52"/>
      <c r="E311" s="52"/>
      <c r="F311" s="52"/>
      <c r="G311" s="65">
        <f>+ROUND((SUMIF($E$4:$E$306,".1",$G$4:$G$306)/0.1)*2,2)</f>
        <v>3920.03</v>
      </c>
      <c r="H311" s="56" t="s">
        <v>426</v>
      </c>
    </row>
    <row r="312" spans="1:8" x14ac:dyDescent="0.25">
      <c r="A312" s="52"/>
      <c r="B312" s="52"/>
      <c r="C312" s="52"/>
      <c r="D312" s="52"/>
      <c r="E312" s="52"/>
      <c r="F312" s="52"/>
      <c r="G312" s="62">
        <f t="shared" si="0"/>
        <v>0</v>
      </c>
      <c r="H312" s="52"/>
    </row>
    <row r="313" spans="1:8" x14ac:dyDescent="0.25">
      <c r="G313" s="64"/>
    </row>
  </sheetData>
  <mergeCells count="2">
    <mergeCell ref="A1:H1"/>
    <mergeCell ref="D3:E3"/>
  </mergeCells>
  <conditionalFormatting sqref="E4:E306">
    <cfRule type="cellIs" dxfId="2" priority="1" operator="equal">
      <formula>0.115</formula>
    </cfRule>
    <cfRule type="cellIs" dxfId="1" priority="2" operator="equal">
      <formula>0.1</formula>
    </cfRule>
    <cfRule type="cellIs" dxfId="0" priority="3" operator="equal">
      <formula>0.2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9"/>
  <sheetViews>
    <sheetView topLeftCell="A518" workbookViewId="0">
      <selection activeCell="G548" sqref="G548"/>
    </sheetView>
  </sheetViews>
  <sheetFormatPr defaultRowHeight="15" x14ac:dyDescent="0.25"/>
  <cols>
    <col min="1" max="1" width="6.28515625" customWidth="1"/>
    <col min="2" max="2" width="31.85546875" customWidth="1"/>
    <col min="3" max="3" width="8.140625" customWidth="1"/>
    <col min="4" max="4" width="8.85546875" bestFit="1" customWidth="1"/>
    <col min="5" max="5" width="8" bestFit="1" customWidth="1"/>
    <col min="6" max="6" width="8.42578125" bestFit="1" customWidth="1"/>
    <col min="7" max="7" width="12.140625" style="63" customWidth="1"/>
    <col min="8" max="8" width="9" customWidth="1"/>
  </cols>
  <sheetData>
    <row r="1" spans="1:10" ht="18.75" x14ac:dyDescent="0.3">
      <c r="A1" s="137" t="s">
        <v>712</v>
      </c>
      <c r="B1" s="138"/>
      <c r="C1" s="138"/>
      <c r="D1" s="138"/>
      <c r="E1" s="138"/>
      <c r="F1" s="138"/>
      <c r="G1" s="138"/>
      <c r="H1" s="139"/>
    </row>
    <row r="2" spans="1:10" x14ac:dyDescent="0.25">
      <c r="A2" s="58" t="s">
        <v>249</v>
      </c>
      <c r="B2" s="58" t="s">
        <v>250</v>
      </c>
      <c r="C2" s="59" t="s">
        <v>251</v>
      </c>
      <c r="D2" s="60" t="s">
        <v>252</v>
      </c>
      <c r="E2" s="59" t="s">
        <v>253</v>
      </c>
      <c r="F2" s="59" t="s">
        <v>254</v>
      </c>
      <c r="G2" s="61" t="s">
        <v>255</v>
      </c>
      <c r="H2" s="58" t="s">
        <v>256</v>
      </c>
    </row>
    <row r="3" spans="1:10" x14ac:dyDescent="0.25">
      <c r="A3" s="52"/>
      <c r="B3" s="56" t="s">
        <v>546</v>
      </c>
      <c r="C3" s="52"/>
      <c r="D3" s="140"/>
      <c r="E3" s="141"/>
      <c r="F3" s="52"/>
      <c r="G3" s="65"/>
      <c r="H3" s="52"/>
    </row>
    <row r="4" spans="1:10" x14ac:dyDescent="0.25">
      <c r="A4" s="52"/>
      <c r="B4" s="52" t="s">
        <v>662</v>
      </c>
      <c r="C4" s="52"/>
      <c r="D4" s="52"/>
      <c r="E4" s="52"/>
      <c r="F4" s="52"/>
      <c r="G4" s="76">
        <f>+PRODUCT(C4:F4)</f>
        <v>0</v>
      </c>
      <c r="H4" s="52"/>
    </row>
    <row r="5" spans="1:10" x14ac:dyDescent="0.25">
      <c r="A5" s="52"/>
      <c r="B5" s="52" t="s">
        <v>663</v>
      </c>
      <c r="C5" s="52">
        <v>1</v>
      </c>
      <c r="D5" s="52">
        <v>3.6749999999999998</v>
      </c>
      <c r="E5" s="52">
        <v>3.65</v>
      </c>
      <c r="F5" s="52"/>
      <c r="G5" s="62">
        <f>+PRODUCT(C5:F5)</f>
        <v>13.413749999999999</v>
      </c>
      <c r="H5" s="52"/>
      <c r="J5" s="75"/>
    </row>
    <row r="6" spans="1:10" x14ac:dyDescent="0.25">
      <c r="A6" s="52"/>
      <c r="B6" s="52" t="s">
        <v>664</v>
      </c>
      <c r="C6" s="52">
        <v>2</v>
      </c>
      <c r="D6" s="52">
        <v>3.6749999999999998</v>
      </c>
      <c r="E6" s="52"/>
      <c r="F6" s="52">
        <f>2.95-0.125-0.15</f>
        <v>2.6750000000000003</v>
      </c>
      <c r="G6" s="62">
        <f>+PRODUCT(C6:F6)</f>
        <v>19.661250000000003</v>
      </c>
      <c r="H6" s="52"/>
    </row>
    <row r="7" spans="1:10" x14ac:dyDescent="0.25">
      <c r="A7" s="52"/>
      <c r="B7" s="52"/>
      <c r="C7" s="52">
        <v>2</v>
      </c>
      <c r="D7" s="52">
        <v>3.65</v>
      </c>
      <c r="E7" s="52"/>
      <c r="F7" s="52">
        <f>2.95-0.125-0.15</f>
        <v>2.6750000000000003</v>
      </c>
      <c r="G7" s="62">
        <f>+PRODUCT(C7:F7)</f>
        <v>19.5275</v>
      </c>
      <c r="H7" s="52"/>
    </row>
    <row r="8" spans="1:10" x14ac:dyDescent="0.25">
      <c r="A8" s="52"/>
      <c r="B8" s="52" t="s">
        <v>550</v>
      </c>
      <c r="C8" s="52">
        <v>-1</v>
      </c>
      <c r="D8" s="52">
        <v>2.0649999999999999</v>
      </c>
      <c r="E8" s="52"/>
      <c r="F8" s="52">
        <v>2.2999999999999998</v>
      </c>
      <c r="G8" s="62">
        <f>+PRODUCT(C8:F8)</f>
        <v>-4.7494999999999994</v>
      </c>
      <c r="H8" s="52"/>
    </row>
    <row r="9" spans="1:10" x14ac:dyDescent="0.25">
      <c r="A9" s="52"/>
      <c r="B9" s="52" t="s">
        <v>670</v>
      </c>
      <c r="C9" s="52">
        <v>2</v>
      </c>
      <c r="D9" s="52">
        <v>0.2</v>
      </c>
      <c r="E9" s="52"/>
      <c r="F9" s="52">
        <v>2.2999999999999998</v>
      </c>
      <c r="G9" s="62">
        <f t="shared" ref="G9:G10" si="0">+PRODUCT(C9:F9)</f>
        <v>0.91999999999999993</v>
      </c>
      <c r="H9" s="52"/>
    </row>
    <row r="10" spans="1:10" x14ac:dyDescent="0.25">
      <c r="A10" s="52"/>
      <c r="B10" s="52" t="s">
        <v>671</v>
      </c>
      <c r="C10" s="52">
        <v>1</v>
      </c>
      <c r="D10" s="52">
        <v>2.0649999999999999</v>
      </c>
      <c r="E10" s="52">
        <v>0.2</v>
      </c>
      <c r="F10" s="52"/>
      <c r="G10" s="62">
        <f t="shared" si="0"/>
        <v>0.41300000000000003</v>
      </c>
      <c r="H10" s="52"/>
    </row>
    <row r="11" spans="1:10" x14ac:dyDescent="0.25">
      <c r="A11" s="52"/>
      <c r="B11" s="52" t="s">
        <v>665</v>
      </c>
      <c r="C11" s="52">
        <v>-1</v>
      </c>
      <c r="D11" s="52">
        <v>1.2350000000000001</v>
      </c>
      <c r="E11" s="52"/>
      <c r="F11" s="52">
        <f>2.95-0.45-0.15</f>
        <v>2.35</v>
      </c>
      <c r="G11" s="62">
        <f t="shared" ref="G11:G28" si="1">+PRODUCT(C11:F11)</f>
        <v>-2.9022500000000004</v>
      </c>
      <c r="H11" s="52"/>
    </row>
    <row r="12" spans="1:10" x14ac:dyDescent="0.25">
      <c r="A12" s="52"/>
      <c r="B12" s="52" t="s">
        <v>683</v>
      </c>
      <c r="C12" s="52"/>
      <c r="D12" s="52"/>
      <c r="E12" s="52"/>
      <c r="F12" s="52"/>
      <c r="G12" s="62">
        <f t="shared" si="1"/>
        <v>0</v>
      </c>
      <c r="H12" s="52"/>
    </row>
    <row r="13" spans="1:10" x14ac:dyDescent="0.25">
      <c r="A13" s="52"/>
      <c r="B13" s="52" t="s">
        <v>663</v>
      </c>
      <c r="C13" s="52">
        <v>0</v>
      </c>
      <c r="D13" s="52">
        <v>2.34</v>
      </c>
      <c r="E13" s="52">
        <v>1.57</v>
      </c>
      <c r="F13" s="52"/>
      <c r="G13" s="62">
        <f t="shared" si="1"/>
        <v>0</v>
      </c>
      <c r="H13" s="52"/>
    </row>
    <row r="14" spans="1:10" x14ac:dyDescent="0.25">
      <c r="A14" s="52"/>
      <c r="B14" s="52" t="s">
        <v>664</v>
      </c>
      <c r="C14" s="52">
        <v>2</v>
      </c>
      <c r="D14" s="52">
        <v>2.34</v>
      </c>
      <c r="E14" s="52"/>
      <c r="F14" s="52">
        <f>2.95-0.15-0.45</f>
        <v>2.35</v>
      </c>
      <c r="G14" s="62">
        <f t="shared" si="1"/>
        <v>10.997999999999999</v>
      </c>
      <c r="H14" s="52"/>
    </row>
    <row r="15" spans="1:10" x14ac:dyDescent="0.25">
      <c r="A15" s="52"/>
      <c r="B15" s="52"/>
      <c r="C15" s="52">
        <v>2</v>
      </c>
      <c r="D15" s="52">
        <v>1.57</v>
      </c>
      <c r="E15" s="52"/>
      <c r="F15" s="52">
        <f>2.95-0.15-0.45</f>
        <v>2.35</v>
      </c>
      <c r="G15" s="62">
        <f t="shared" si="1"/>
        <v>7.3790000000000004</v>
      </c>
      <c r="H15" s="52"/>
    </row>
    <row r="16" spans="1:10" x14ac:dyDescent="0.25">
      <c r="A16" s="52"/>
      <c r="B16" s="52" t="s">
        <v>678</v>
      </c>
      <c r="C16" s="52">
        <v>-0.5</v>
      </c>
      <c r="D16" s="52">
        <v>0.75</v>
      </c>
      <c r="E16" s="52"/>
      <c r="F16" s="52">
        <v>2.1</v>
      </c>
      <c r="G16" s="62">
        <f t="shared" si="1"/>
        <v>-0.78750000000000009</v>
      </c>
      <c r="H16" s="52"/>
    </row>
    <row r="17" spans="1:10" x14ac:dyDescent="0.25">
      <c r="A17" s="52"/>
      <c r="B17" s="52" t="s">
        <v>666</v>
      </c>
      <c r="C17" s="52"/>
      <c r="D17" s="52"/>
      <c r="E17" s="52"/>
      <c r="F17" s="52"/>
      <c r="G17" s="62">
        <f t="shared" si="1"/>
        <v>0</v>
      </c>
      <c r="H17" s="52"/>
    </row>
    <row r="18" spans="1:10" x14ac:dyDescent="0.25">
      <c r="A18" s="52"/>
      <c r="B18" s="52" t="s">
        <v>663</v>
      </c>
      <c r="C18" s="52">
        <v>1</v>
      </c>
      <c r="D18" s="52">
        <v>1.8</v>
      </c>
      <c r="E18" s="52">
        <v>1.2350000000000001</v>
      </c>
      <c r="F18" s="52"/>
      <c r="G18" s="62">
        <f t="shared" si="1"/>
        <v>2.2230000000000003</v>
      </c>
      <c r="H18" s="52"/>
    </row>
    <row r="19" spans="1:10" x14ac:dyDescent="0.25">
      <c r="A19" s="52"/>
      <c r="B19" s="52" t="s">
        <v>664</v>
      </c>
      <c r="C19" s="52">
        <v>2</v>
      </c>
      <c r="D19" s="52">
        <v>1.8</v>
      </c>
      <c r="E19" s="52"/>
      <c r="F19" s="52">
        <f>2.95-0.125-0.15</f>
        <v>2.6750000000000003</v>
      </c>
      <c r="G19" s="62">
        <f t="shared" si="1"/>
        <v>9.6300000000000008</v>
      </c>
      <c r="H19" s="52"/>
    </row>
    <row r="20" spans="1:10" x14ac:dyDescent="0.25">
      <c r="A20" s="52"/>
      <c r="B20" s="52"/>
      <c r="C20" s="52">
        <v>2</v>
      </c>
      <c r="D20" s="52">
        <v>1.2350000000000001</v>
      </c>
      <c r="E20" s="52"/>
      <c r="F20" s="52">
        <f>2.95-0.125-0.15</f>
        <v>2.6750000000000003</v>
      </c>
      <c r="G20" s="62">
        <f t="shared" si="1"/>
        <v>6.6072500000000014</v>
      </c>
      <c r="H20" s="52"/>
    </row>
    <row r="21" spans="1:10" x14ac:dyDescent="0.25">
      <c r="A21" s="52"/>
      <c r="B21" s="52" t="s">
        <v>667</v>
      </c>
      <c r="C21" s="52">
        <v>-0.5</v>
      </c>
      <c r="D21" s="52">
        <v>1</v>
      </c>
      <c r="E21" s="52"/>
      <c r="F21" s="52">
        <v>2.1</v>
      </c>
      <c r="G21" s="62">
        <f t="shared" si="1"/>
        <v>-1.05</v>
      </c>
      <c r="H21" s="52"/>
    </row>
    <row r="22" spans="1:10" x14ac:dyDescent="0.25">
      <c r="A22" s="52"/>
      <c r="B22" s="52" t="s">
        <v>553</v>
      </c>
      <c r="C22" s="52">
        <v>-0.5</v>
      </c>
      <c r="D22" s="52">
        <v>0.75</v>
      </c>
      <c r="E22" s="52"/>
      <c r="F22" s="52">
        <v>2.1</v>
      </c>
      <c r="G22" s="62">
        <f t="shared" si="1"/>
        <v>-0.78750000000000009</v>
      </c>
      <c r="H22" s="52"/>
    </row>
    <row r="23" spans="1:10" x14ac:dyDescent="0.25">
      <c r="A23" s="52"/>
      <c r="B23" s="52" t="s">
        <v>665</v>
      </c>
      <c r="C23" s="52">
        <v>-1</v>
      </c>
      <c r="D23" s="52">
        <v>1.2350000000000001</v>
      </c>
      <c r="E23" s="52"/>
      <c r="F23" s="52">
        <f>2.95-0.45-0.15</f>
        <v>2.35</v>
      </c>
      <c r="G23" s="62">
        <f t="shared" si="1"/>
        <v>-2.9022500000000004</v>
      </c>
      <c r="H23" s="52"/>
    </row>
    <row r="24" spans="1:10" x14ac:dyDescent="0.25">
      <c r="A24" s="52"/>
      <c r="B24" s="52" t="s">
        <v>554</v>
      </c>
      <c r="C24" s="52"/>
      <c r="D24" s="52"/>
      <c r="E24" s="52"/>
      <c r="F24" s="52"/>
      <c r="G24" s="76">
        <f t="shared" si="1"/>
        <v>0</v>
      </c>
      <c r="H24" s="52"/>
    </row>
    <row r="25" spans="1:10" x14ac:dyDescent="0.25">
      <c r="A25" s="52"/>
      <c r="B25" s="52" t="s">
        <v>663</v>
      </c>
      <c r="C25" s="52">
        <v>1</v>
      </c>
      <c r="D25" s="52">
        <v>3.3</v>
      </c>
      <c r="E25" s="52">
        <v>3.65</v>
      </c>
      <c r="F25" s="52"/>
      <c r="G25" s="62">
        <f t="shared" si="1"/>
        <v>12.045</v>
      </c>
      <c r="H25" s="52"/>
      <c r="J25" s="75"/>
    </row>
    <row r="26" spans="1:10" x14ac:dyDescent="0.25">
      <c r="A26" s="52"/>
      <c r="B26" s="52" t="s">
        <v>664</v>
      </c>
      <c r="C26" s="52">
        <v>2</v>
      </c>
      <c r="D26" s="52">
        <v>3.3</v>
      </c>
      <c r="E26" s="52"/>
      <c r="F26" s="52">
        <f>2.95-0.125-0.15</f>
        <v>2.6750000000000003</v>
      </c>
      <c r="G26" s="62">
        <f t="shared" si="1"/>
        <v>17.655000000000001</v>
      </c>
      <c r="H26" s="52"/>
    </row>
    <row r="27" spans="1:10" x14ac:dyDescent="0.25">
      <c r="A27" s="52"/>
      <c r="B27" s="52"/>
      <c r="C27" s="52">
        <v>2</v>
      </c>
      <c r="D27" s="52">
        <v>3.65</v>
      </c>
      <c r="E27" s="52"/>
      <c r="F27" s="52">
        <f>2.95-0.125-0.15</f>
        <v>2.6750000000000003</v>
      </c>
      <c r="G27" s="62">
        <f t="shared" si="1"/>
        <v>19.5275</v>
      </c>
      <c r="H27" s="52"/>
    </row>
    <row r="28" spans="1:10" x14ac:dyDescent="0.25">
      <c r="A28" s="52"/>
      <c r="B28" s="52" t="s">
        <v>550</v>
      </c>
      <c r="C28" s="52">
        <v>-1</v>
      </c>
      <c r="D28" s="52">
        <v>2.0649999999999999</v>
      </c>
      <c r="E28" s="52"/>
      <c r="F28" s="52">
        <v>2.2999999999999998</v>
      </c>
      <c r="G28" s="62">
        <f t="shared" si="1"/>
        <v>-4.7494999999999994</v>
      </c>
      <c r="H28" s="52"/>
    </row>
    <row r="29" spans="1:10" x14ac:dyDescent="0.25">
      <c r="A29" s="52"/>
      <c r="B29" s="52" t="s">
        <v>670</v>
      </c>
      <c r="C29" s="52">
        <v>2</v>
      </c>
      <c r="D29" s="52">
        <v>0.2</v>
      </c>
      <c r="E29" s="52"/>
      <c r="F29" s="52">
        <v>2.2999999999999998</v>
      </c>
      <c r="G29" s="62">
        <f t="shared" ref="G29:G30" si="2">+PRODUCT(C29:F29)</f>
        <v>0.91999999999999993</v>
      </c>
      <c r="H29" s="52"/>
    </row>
    <row r="30" spans="1:10" x14ac:dyDescent="0.25">
      <c r="A30" s="52"/>
      <c r="B30" s="52" t="s">
        <v>671</v>
      </c>
      <c r="C30" s="52">
        <v>1</v>
      </c>
      <c r="D30" s="52">
        <v>2.0649999999999999</v>
      </c>
      <c r="E30" s="52">
        <v>0.2</v>
      </c>
      <c r="F30" s="52"/>
      <c r="G30" s="62">
        <f t="shared" si="2"/>
        <v>0.41300000000000003</v>
      </c>
      <c r="H30" s="52"/>
    </row>
    <row r="31" spans="1:10" x14ac:dyDescent="0.25">
      <c r="A31" s="52"/>
      <c r="B31" s="52" t="s">
        <v>667</v>
      </c>
      <c r="C31" s="52">
        <v>-0.5</v>
      </c>
      <c r="D31" s="52">
        <v>1</v>
      </c>
      <c r="E31" s="52"/>
      <c r="F31" s="52">
        <v>2.2000000000000002</v>
      </c>
      <c r="G31" s="62">
        <f t="shared" ref="G31:G41" si="3">+PRODUCT(C31:F31)</f>
        <v>-1.1000000000000001</v>
      </c>
      <c r="H31" s="52"/>
    </row>
    <row r="32" spans="1:10" x14ac:dyDescent="0.25">
      <c r="A32" s="52"/>
      <c r="B32" s="52" t="s">
        <v>668</v>
      </c>
      <c r="C32" s="52"/>
      <c r="D32" s="52"/>
      <c r="E32" s="52"/>
      <c r="F32" s="52"/>
      <c r="G32" s="62">
        <f t="shared" si="3"/>
        <v>0</v>
      </c>
      <c r="H32" s="52"/>
    </row>
    <row r="33" spans="1:10" x14ac:dyDescent="0.25">
      <c r="A33" s="52"/>
      <c r="B33" s="52" t="s">
        <v>663</v>
      </c>
      <c r="C33" s="52">
        <v>1</v>
      </c>
      <c r="D33" s="52">
        <v>3.0150000000000001</v>
      </c>
      <c r="E33" s="52">
        <v>1.2</v>
      </c>
      <c r="F33" s="52"/>
      <c r="G33" s="62">
        <f t="shared" si="3"/>
        <v>3.6179999999999999</v>
      </c>
      <c r="H33" s="52"/>
    </row>
    <row r="34" spans="1:10" x14ac:dyDescent="0.25">
      <c r="A34" s="52"/>
      <c r="B34" s="52" t="s">
        <v>664</v>
      </c>
      <c r="C34" s="52">
        <v>2</v>
      </c>
      <c r="D34" s="52">
        <v>3.0150000000000001</v>
      </c>
      <c r="E34" s="52"/>
      <c r="F34" s="52">
        <v>2.6749999999999998</v>
      </c>
      <c r="G34" s="62">
        <f t="shared" si="3"/>
        <v>16.13025</v>
      </c>
      <c r="H34" s="52"/>
    </row>
    <row r="35" spans="1:10" x14ac:dyDescent="0.25">
      <c r="A35" s="52"/>
      <c r="B35" s="52"/>
      <c r="C35" s="52">
        <v>1</v>
      </c>
      <c r="D35" s="52">
        <v>1.2</v>
      </c>
      <c r="E35" s="52"/>
      <c r="F35" s="52">
        <v>2.6749999999999998</v>
      </c>
      <c r="G35" s="62">
        <f t="shared" si="3"/>
        <v>3.2099999999999995</v>
      </c>
      <c r="H35" s="52"/>
    </row>
    <row r="36" spans="1:10" x14ac:dyDescent="0.25">
      <c r="A36" s="52"/>
      <c r="B36" s="52" t="s">
        <v>667</v>
      </c>
      <c r="C36" s="52">
        <v>-1</v>
      </c>
      <c r="D36" s="52">
        <v>1</v>
      </c>
      <c r="E36" s="52"/>
      <c r="F36" s="52">
        <v>2.1</v>
      </c>
      <c r="G36" s="62">
        <f t="shared" si="3"/>
        <v>-2.1</v>
      </c>
      <c r="H36" s="52"/>
    </row>
    <row r="37" spans="1:10" x14ac:dyDescent="0.25">
      <c r="A37" s="52"/>
      <c r="B37" s="52" t="s">
        <v>553</v>
      </c>
      <c r="C37" s="52">
        <v>-0.5</v>
      </c>
      <c r="D37" s="52">
        <v>0.75</v>
      </c>
      <c r="E37" s="52"/>
      <c r="F37" s="52">
        <v>2.1</v>
      </c>
      <c r="G37" s="62">
        <f t="shared" si="3"/>
        <v>-0.78750000000000009</v>
      </c>
      <c r="H37" s="52"/>
    </row>
    <row r="38" spans="1:10" x14ac:dyDescent="0.25">
      <c r="A38" s="52"/>
      <c r="B38" s="52" t="s">
        <v>555</v>
      </c>
      <c r="C38" s="52"/>
      <c r="D38" s="52"/>
      <c r="E38" s="52"/>
      <c r="F38" s="52"/>
      <c r="G38" s="76">
        <f t="shared" si="3"/>
        <v>0</v>
      </c>
      <c r="H38" s="52"/>
    </row>
    <row r="39" spans="1:10" x14ac:dyDescent="0.25">
      <c r="A39" s="52"/>
      <c r="B39" s="52" t="s">
        <v>663</v>
      </c>
      <c r="C39" s="52">
        <v>1</v>
      </c>
      <c r="D39" s="52">
        <v>3.2450000000000001</v>
      </c>
      <c r="E39" s="52">
        <v>3.05</v>
      </c>
      <c r="F39" s="52"/>
      <c r="G39" s="62">
        <f t="shared" si="3"/>
        <v>9.8972499999999997</v>
      </c>
      <c r="H39" s="52"/>
      <c r="J39" s="75"/>
    </row>
    <row r="40" spans="1:10" x14ac:dyDescent="0.25">
      <c r="A40" s="52"/>
      <c r="B40" s="52" t="s">
        <v>664</v>
      </c>
      <c r="C40" s="52">
        <v>2</v>
      </c>
      <c r="D40" s="52">
        <v>3.2450000000000001</v>
      </c>
      <c r="E40" s="52"/>
      <c r="F40" s="52">
        <f>2.95-0.125-0.15</f>
        <v>2.6750000000000003</v>
      </c>
      <c r="G40" s="62">
        <f t="shared" si="3"/>
        <v>17.360750000000003</v>
      </c>
      <c r="H40" s="52"/>
    </row>
    <row r="41" spans="1:10" x14ac:dyDescent="0.25">
      <c r="A41" s="52"/>
      <c r="B41" s="52"/>
      <c r="C41" s="52">
        <v>2</v>
      </c>
      <c r="D41" s="52">
        <v>3.05</v>
      </c>
      <c r="E41" s="52"/>
      <c r="F41" s="52">
        <f>2.95-0.125-0.15</f>
        <v>2.6750000000000003</v>
      </c>
      <c r="G41" s="62">
        <f t="shared" si="3"/>
        <v>16.317499999999999</v>
      </c>
      <c r="H41" s="52"/>
    </row>
    <row r="42" spans="1:10" x14ac:dyDescent="0.25">
      <c r="A42" s="52"/>
      <c r="B42" s="52" t="s">
        <v>667</v>
      </c>
      <c r="C42" s="52">
        <v>-0.5</v>
      </c>
      <c r="D42" s="52">
        <v>1</v>
      </c>
      <c r="E42" s="52"/>
      <c r="F42" s="52">
        <v>2.1</v>
      </c>
      <c r="G42" s="62">
        <f t="shared" ref="G42:G126" si="4">+PRODUCT(C42:F42)</f>
        <v>-1.05</v>
      </c>
      <c r="H42" s="52"/>
    </row>
    <row r="43" spans="1:10" x14ac:dyDescent="0.25">
      <c r="A43" s="52"/>
      <c r="B43" s="52" t="s">
        <v>553</v>
      </c>
      <c r="C43" s="52">
        <v>-0.5</v>
      </c>
      <c r="D43" s="52">
        <v>0.75</v>
      </c>
      <c r="E43" s="52"/>
      <c r="F43" s="52">
        <v>2.1</v>
      </c>
      <c r="G43" s="62">
        <f t="shared" si="4"/>
        <v>-0.78750000000000009</v>
      </c>
      <c r="H43" s="52"/>
    </row>
    <row r="44" spans="1:10" x14ac:dyDescent="0.25">
      <c r="A44" s="52"/>
      <c r="B44" s="52" t="s">
        <v>579</v>
      </c>
      <c r="C44" s="52">
        <v>-0.5</v>
      </c>
      <c r="D44" s="52">
        <v>1.5</v>
      </c>
      <c r="E44" s="52"/>
      <c r="F44" s="52">
        <v>1.5</v>
      </c>
      <c r="G44" s="62">
        <f t="shared" si="4"/>
        <v>-1.125</v>
      </c>
      <c r="H44" s="52"/>
    </row>
    <row r="45" spans="1:10" x14ac:dyDescent="0.25">
      <c r="A45" s="52"/>
      <c r="B45" s="52" t="s">
        <v>669</v>
      </c>
      <c r="C45" s="52"/>
      <c r="D45" s="52"/>
      <c r="E45" s="52"/>
      <c r="F45" s="52"/>
      <c r="G45" s="62">
        <f t="shared" si="4"/>
        <v>0</v>
      </c>
      <c r="H45" s="52"/>
    </row>
    <row r="46" spans="1:10" x14ac:dyDescent="0.25">
      <c r="A46" s="52"/>
      <c r="B46" s="52" t="s">
        <v>663</v>
      </c>
      <c r="C46" s="52">
        <v>1</v>
      </c>
      <c r="D46" s="52">
        <v>1.0649999999999999</v>
      </c>
      <c r="E46" s="52">
        <v>0.61499999999999999</v>
      </c>
      <c r="F46" s="52"/>
      <c r="G46" s="62">
        <f t="shared" si="4"/>
        <v>0.65497499999999997</v>
      </c>
      <c r="H46" s="52"/>
    </row>
    <row r="47" spans="1:10" x14ac:dyDescent="0.25">
      <c r="A47" s="52"/>
      <c r="B47" s="52" t="s">
        <v>664</v>
      </c>
      <c r="C47" s="52">
        <v>2</v>
      </c>
      <c r="D47" s="52">
        <v>0.61499999999999999</v>
      </c>
      <c r="E47" s="52"/>
      <c r="F47" s="52">
        <v>2.6749999999999998</v>
      </c>
      <c r="G47" s="62">
        <f t="shared" si="4"/>
        <v>3.2902499999999999</v>
      </c>
      <c r="H47" s="52"/>
    </row>
    <row r="48" spans="1:10" x14ac:dyDescent="0.25">
      <c r="A48" s="52"/>
      <c r="B48" s="52" t="s">
        <v>683</v>
      </c>
      <c r="C48" s="52"/>
      <c r="D48" s="52"/>
      <c r="E48" s="52"/>
      <c r="F48" s="52"/>
      <c r="G48" s="62">
        <f t="shared" si="4"/>
        <v>0</v>
      </c>
      <c r="H48" s="52"/>
    </row>
    <row r="49" spans="1:8" x14ac:dyDescent="0.25">
      <c r="A49" s="52"/>
      <c r="B49" s="52" t="s">
        <v>663</v>
      </c>
      <c r="C49" s="52">
        <v>0</v>
      </c>
      <c r="D49" s="52">
        <v>2.7149999999999999</v>
      </c>
      <c r="E49" s="52">
        <v>1.6</v>
      </c>
      <c r="F49" s="52"/>
      <c r="G49" s="62">
        <f t="shared" si="4"/>
        <v>0</v>
      </c>
      <c r="H49" s="52"/>
    </row>
    <row r="50" spans="1:8" x14ac:dyDescent="0.25">
      <c r="A50" s="52"/>
      <c r="B50" s="52" t="s">
        <v>664</v>
      </c>
      <c r="C50" s="52">
        <v>2</v>
      </c>
      <c r="D50" s="52">
        <v>2.7149999999999999</v>
      </c>
      <c r="E50" s="52"/>
      <c r="F50" s="52">
        <f>2.95-0.15-0.45</f>
        <v>2.35</v>
      </c>
      <c r="G50" s="62">
        <f t="shared" si="4"/>
        <v>12.7605</v>
      </c>
      <c r="H50" s="52"/>
    </row>
    <row r="51" spans="1:8" x14ac:dyDescent="0.25">
      <c r="A51" s="52"/>
      <c r="B51" s="52"/>
      <c r="C51" s="52">
        <v>2</v>
      </c>
      <c r="D51" s="52">
        <v>1.6</v>
      </c>
      <c r="E51" s="52"/>
      <c r="F51" s="52">
        <f>2.95-0.15-0.45</f>
        <v>2.35</v>
      </c>
      <c r="G51" s="62">
        <f t="shared" si="4"/>
        <v>7.5200000000000005</v>
      </c>
      <c r="H51" s="52"/>
    </row>
    <row r="52" spans="1:8" x14ac:dyDescent="0.25">
      <c r="A52" s="52"/>
      <c r="B52" s="52" t="s">
        <v>678</v>
      </c>
      <c r="C52" s="52">
        <v>-1</v>
      </c>
      <c r="D52" s="52">
        <v>0.75</v>
      </c>
      <c r="E52" s="52"/>
      <c r="F52" s="52">
        <v>2.1</v>
      </c>
      <c r="G52" s="62">
        <f t="shared" si="4"/>
        <v>-1.5750000000000002</v>
      </c>
      <c r="H52" s="52"/>
    </row>
    <row r="53" spans="1:8" x14ac:dyDescent="0.25">
      <c r="A53" s="52"/>
      <c r="B53" s="52" t="s">
        <v>557</v>
      </c>
      <c r="C53" s="52"/>
      <c r="D53" s="52"/>
      <c r="E53" s="52"/>
      <c r="F53" s="52"/>
      <c r="G53" s="62">
        <f t="shared" si="4"/>
        <v>0</v>
      </c>
      <c r="H53" s="52"/>
    </row>
    <row r="54" spans="1:8" x14ac:dyDescent="0.25">
      <c r="A54" s="52"/>
      <c r="B54" s="52" t="s">
        <v>663</v>
      </c>
      <c r="C54" s="52">
        <v>1</v>
      </c>
      <c r="D54" s="52">
        <v>6.25</v>
      </c>
      <c r="E54" s="52">
        <v>3.72</v>
      </c>
      <c r="F54" s="52"/>
      <c r="G54" s="62">
        <f t="shared" si="4"/>
        <v>23.25</v>
      </c>
      <c r="H54" s="52"/>
    </row>
    <row r="55" spans="1:8" x14ac:dyDescent="0.25">
      <c r="A55" s="52"/>
      <c r="B55" s="52"/>
      <c r="C55" s="52">
        <v>1</v>
      </c>
      <c r="D55" s="52">
        <v>4.0149999999999997</v>
      </c>
      <c r="E55" s="52">
        <v>0.38500000000000001</v>
      </c>
      <c r="F55" s="52"/>
      <c r="G55" s="62">
        <f t="shared" si="4"/>
        <v>1.5457749999999999</v>
      </c>
      <c r="H55" s="52"/>
    </row>
    <row r="56" spans="1:8" x14ac:dyDescent="0.25">
      <c r="A56" s="52"/>
      <c r="B56" s="52"/>
      <c r="C56" s="52">
        <v>1</v>
      </c>
      <c r="D56" s="52">
        <v>1.5</v>
      </c>
      <c r="E56" s="52">
        <v>1.1499999999999999</v>
      </c>
      <c r="F56" s="52"/>
      <c r="G56" s="62">
        <f t="shared" si="4"/>
        <v>1.7249999999999999</v>
      </c>
      <c r="H56" s="52"/>
    </row>
    <row r="57" spans="1:8" x14ac:dyDescent="0.25">
      <c r="A57" s="52"/>
      <c r="B57" s="52" t="s">
        <v>664</v>
      </c>
      <c r="C57" s="52">
        <v>1</v>
      </c>
      <c r="D57" s="52">
        <v>7.4</v>
      </c>
      <c r="E57" s="52"/>
      <c r="F57" s="52">
        <v>2.6749999999999998</v>
      </c>
      <c r="G57" s="62">
        <f t="shared" si="4"/>
        <v>19.794999999999998</v>
      </c>
      <c r="H57" s="52"/>
    </row>
    <row r="58" spans="1:8" x14ac:dyDescent="0.25">
      <c r="A58" s="52"/>
      <c r="B58" s="52"/>
      <c r="C58" s="52">
        <v>1</v>
      </c>
      <c r="D58" s="52">
        <v>3.72</v>
      </c>
      <c r="E58" s="52"/>
      <c r="F58" s="52">
        <v>2.6749999999999998</v>
      </c>
      <c r="G58" s="62">
        <f t="shared" si="4"/>
        <v>9.9510000000000005</v>
      </c>
      <c r="H58" s="52"/>
    </row>
    <row r="59" spans="1:8" x14ac:dyDescent="0.25">
      <c r="A59" s="52"/>
      <c r="B59" s="52"/>
      <c r="C59" s="52">
        <v>1</v>
      </c>
      <c r="D59" s="52">
        <v>2.25</v>
      </c>
      <c r="E59" s="52"/>
      <c r="F59" s="52">
        <v>2.6749999999999998</v>
      </c>
      <c r="G59" s="62">
        <f t="shared" si="4"/>
        <v>6.0187499999999998</v>
      </c>
      <c r="H59" s="52"/>
    </row>
    <row r="60" spans="1:8" x14ac:dyDescent="0.25">
      <c r="A60" s="52"/>
      <c r="B60" s="52"/>
      <c r="C60" s="52">
        <v>1</v>
      </c>
      <c r="D60" s="52">
        <v>2.8149999999999999</v>
      </c>
      <c r="E60" s="52"/>
      <c r="F60" s="52">
        <v>2.6749999999999998</v>
      </c>
      <c r="G60" s="62">
        <f t="shared" si="4"/>
        <v>7.5301249999999991</v>
      </c>
      <c r="H60" s="52"/>
    </row>
    <row r="61" spans="1:8" x14ac:dyDescent="0.25">
      <c r="A61" s="52"/>
      <c r="B61" s="52"/>
      <c r="C61" s="52">
        <v>1</v>
      </c>
      <c r="D61" s="52">
        <v>4.1050000000000004</v>
      </c>
      <c r="E61" s="52"/>
      <c r="F61" s="52">
        <v>2.6749999999999998</v>
      </c>
      <c r="G61" s="62">
        <f t="shared" si="4"/>
        <v>10.980875000000001</v>
      </c>
      <c r="H61" s="52"/>
    </row>
    <row r="62" spans="1:8" x14ac:dyDescent="0.25">
      <c r="A62" s="52"/>
      <c r="B62" s="52" t="s">
        <v>665</v>
      </c>
      <c r="C62" s="52">
        <v>-0.5</v>
      </c>
      <c r="D62" s="52">
        <v>0.9</v>
      </c>
      <c r="E62" s="52"/>
      <c r="F62" s="52">
        <v>2.35</v>
      </c>
      <c r="G62" s="62">
        <f t="shared" si="4"/>
        <v>-1.0575000000000001</v>
      </c>
      <c r="H62" s="52"/>
    </row>
    <row r="63" spans="1:8" x14ac:dyDescent="0.25">
      <c r="A63" s="52"/>
      <c r="B63" s="52" t="s">
        <v>571</v>
      </c>
      <c r="C63" s="52">
        <v>-0.5</v>
      </c>
      <c r="D63" s="52">
        <v>1.2</v>
      </c>
      <c r="E63" s="52"/>
      <c r="F63" s="52">
        <v>2.2999999999999998</v>
      </c>
      <c r="G63" s="62">
        <f t="shared" si="4"/>
        <v>-1.38</v>
      </c>
      <c r="H63" s="52"/>
    </row>
    <row r="64" spans="1:8" x14ac:dyDescent="0.25">
      <c r="A64" s="52"/>
      <c r="B64" s="52" t="s">
        <v>558</v>
      </c>
      <c r="C64" s="52">
        <v>-1</v>
      </c>
      <c r="D64" s="52">
        <v>2.4500000000000002</v>
      </c>
      <c r="E64" s="52"/>
      <c r="F64" s="52">
        <v>2.2999999999999998</v>
      </c>
      <c r="G64" s="62">
        <f t="shared" si="4"/>
        <v>-5.6349999999999998</v>
      </c>
      <c r="H64" s="52"/>
    </row>
    <row r="65" spans="1:8" x14ac:dyDescent="0.25">
      <c r="A65" s="52"/>
      <c r="B65" s="52" t="s">
        <v>670</v>
      </c>
      <c r="C65" s="52">
        <v>2</v>
      </c>
      <c r="D65" s="52">
        <v>0.2</v>
      </c>
      <c r="E65" s="52"/>
      <c r="F65" s="52">
        <v>2.2999999999999998</v>
      </c>
      <c r="G65" s="62">
        <f t="shared" si="4"/>
        <v>0.91999999999999993</v>
      </c>
      <c r="H65" s="52"/>
    </row>
    <row r="66" spans="1:8" x14ac:dyDescent="0.25">
      <c r="A66" s="52"/>
      <c r="B66" s="52" t="s">
        <v>671</v>
      </c>
      <c r="C66" s="52">
        <v>1</v>
      </c>
      <c r="D66" s="52">
        <v>2.4500000000000002</v>
      </c>
      <c r="E66" s="52">
        <v>0.2</v>
      </c>
      <c r="F66" s="52"/>
      <c r="G66" s="62">
        <f t="shared" si="4"/>
        <v>0.49000000000000005</v>
      </c>
      <c r="H66" s="52"/>
    </row>
    <row r="67" spans="1:8" x14ac:dyDescent="0.25">
      <c r="A67" s="52"/>
      <c r="B67" s="52" t="s">
        <v>394</v>
      </c>
      <c r="C67" s="52"/>
      <c r="D67" s="52"/>
      <c r="E67" s="52"/>
      <c r="F67" s="52"/>
      <c r="G67" s="62">
        <f t="shared" si="4"/>
        <v>0</v>
      </c>
      <c r="H67" s="52"/>
    </row>
    <row r="68" spans="1:8" x14ac:dyDescent="0.25">
      <c r="A68" s="52"/>
      <c r="B68" s="52" t="s">
        <v>663</v>
      </c>
      <c r="C68" s="52">
        <v>1</v>
      </c>
      <c r="D68" s="52">
        <v>3.05</v>
      </c>
      <c r="E68" s="52">
        <v>2.3450000000000002</v>
      </c>
      <c r="F68" s="52"/>
      <c r="G68" s="62">
        <f t="shared" si="4"/>
        <v>7.1522500000000004</v>
      </c>
      <c r="H68" s="52"/>
    </row>
    <row r="69" spans="1:8" x14ac:dyDescent="0.25">
      <c r="A69" s="52"/>
      <c r="B69" s="52" t="s">
        <v>664</v>
      </c>
      <c r="C69" s="52">
        <v>2</v>
      </c>
      <c r="D69" s="52">
        <v>3.05</v>
      </c>
      <c r="E69" s="52"/>
      <c r="F69" s="52">
        <v>2.6749999999999998</v>
      </c>
      <c r="G69" s="62">
        <f t="shared" si="4"/>
        <v>16.317499999999999</v>
      </c>
      <c r="H69" s="52"/>
    </row>
    <row r="70" spans="1:8" x14ac:dyDescent="0.25">
      <c r="A70" s="52"/>
      <c r="B70" s="52"/>
      <c r="C70" s="52">
        <v>2</v>
      </c>
      <c r="D70" s="52">
        <v>2.3450000000000002</v>
      </c>
      <c r="E70" s="52"/>
      <c r="F70" s="52">
        <v>2.6749999999999998</v>
      </c>
      <c r="G70" s="62">
        <f t="shared" si="4"/>
        <v>12.54575</v>
      </c>
      <c r="H70" s="52"/>
    </row>
    <row r="71" spans="1:8" x14ac:dyDescent="0.25">
      <c r="A71" s="52"/>
      <c r="B71" s="52" t="s">
        <v>560</v>
      </c>
      <c r="C71" s="52">
        <v>-0.5</v>
      </c>
      <c r="D71" s="52">
        <v>1.365</v>
      </c>
      <c r="E71" s="52"/>
      <c r="F71" s="52">
        <v>2.2999999999999998</v>
      </c>
      <c r="G71" s="62">
        <f t="shared" si="4"/>
        <v>-1.56975</v>
      </c>
      <c r="H71" s="52"/>
    </row>
    <row r="72" spans="1:8" x14ac:dyDescent="0.25">
      <c r="A72" s="52"/>
      <c r="B72" s="52" t="s">
        <v>665</v>
      </c>
      <c r="C72" s="52">
        <v>-0.5</v>
      </c>
      <c r="D72" s="52">
        <v>0.9</v>
      </c>
      <c r="E72" s="52"/>
      <c r="F72" s="52">
        <v>2.35</v>
      </c>
      <c r="G72" s="62">
        <f t="shared" ref="G72" si="5">+PRODUCT(C72:F72)</f>
        <v>-1.0575000000000001</v>
      </c>
      <c r="H72" s="52"/>
    </row>
    <row r="73" spans="1:8" x14ac:dyDescent="0.25">
      <c r="A73" s="52"/>
      <c r="B73" s="52" t="s">
        <v>672</v>
      </c>
      <c r="C73" s="52">
        <v>1</v>
      </c>
      <c r="D73" s="52">
        <v>6.3</v>
      </c>
      <c r="E73" s="52">
        <v>1.5</v>
      </c>
      <c r="F73" s="52"/>
      <c r="G73" s="62">
        <f t="shared" si="4"/>
        <v>9.4499999999999993</v>
      </c>
      <c r="H73" s="52"/>
    </row>
    <row r="74" spans="1:8" x14ac:dyDescent="0.25">
      <c r="A74" s="52"/>
      <c r="B74" s="52" t="s">
        <v>673</v>
      </c>
      <c r="C74" s="78">
        <v>1</v>
      </c>
      <c r="D74" s="78">
        <v>3.95</v>
      </c>
      <c r="E74" s="52">
        <v>1.5</v>
      </c>
      <c r="F74" s="78"/>
      <c r="G74" s="79">
        <f t="shared" si="4"/>
        <v>5.9250000000000007</v>
      </c>
      <c r="H74" s="78"/>
    </row>
    <row r="75" spans="1:8" x14ac:dyDescent="0.25">
      <c r="A75" s="52"/>
      <c r="B75" s="52" t="s">
        <v>674</v>
      </c>
      <c r="C75" s="52">
        <v>1</v>
      </c>
      <c r="D75" s="52">
        <v>2.3450000000000002</v>
      </c>
      <c r="E75" s="52">
        <v>1.5</v>
      </c>
      <c r="F75" s="52"/>
      <c r="G75" s="62">
        <f t="shared" si="4"/>
        <v>3.5175000000000001</v>
      </c>
      <c r="H75" s="52"/>
    </row>
    <row r="76" spans="1:8" x14ac:dyDescent="0.25">
      <c r="A76" s="52"/>
      <c r="B76" s="52"/>
      <c r="C76" s="52"/>
      <c r="D76" s="52"/>
      <c r="E76" s="52"/>
      <c r="F76" s="52"/>
      <c r="G76" s="62">
        <f t="shared" si="4"/>
        <v>0</v>
      </c>
      <c r="H76" s="52"/>
    </row>
    <row r="77" spans="1:8" x14ac:dyDescent="0.25">
      <c r="A77" s="52"/>
      <c r="B77" s="56" t="s">
        <v>561</v>
      </c>
      <c r="C77" s="52"/>
      <c r="D77" s="52"/>
      <c r="E77" s="52"/>
      <c r="F77" s="52"/>
      <c r="G77" s="62">
        <f t="shared" si="4"/>
        <v>0</v>
      </c>
      <c r="H77" s="52"/>
    </row>
    <row r="78" spans="1:8" x14ac:dyDescent="0.25">
      <c r="A78" s="52"/>
      <c r="B78" s="52" t="s">
        <v>562</v>
      </c>
      <c r="C78" s="52"/>
      <c r="D78" s="52"/>
      <c r="E78" s="52"/>
      <c r="F78" s="52"/>
      <c r="G78" s="62">
        <f t="shared" si="4"/>
        <v>0</v>
      </c>
      <c r="H78" s="52"/>
    </row>
    <row r="79" spans="1:8" x14ac:dyDescent="0.25">
      <c r="A79" s="52"/>
      <c r="B79" s="52" t="s">
        <v>663</v>
      </c>
      <c r="C79" s="52">
        <v>1</v>
      </c>
      <c r="D79" s="52">
        <v>3.5</v>
      </c>
      <c r="E79" s="52">
        <v>3.2450000000000001</v>
      </c>
      <c r="F79" s="52"/>
      <c r="G79" s="62">
        <f t="shared" si="4"/>
        <v>11.3575</v>
      </c>
      <c r="H79" s="52"/>
    </row>
    <row r="80" spans="1:8" x14ac:dyDescent="0.25">
      <c r="A80" s="52"/>
      <c r="B80" s="52" t="s">
        <v>664</v>
      </c>
      <c r="C80" s="52">
        <v>2</v>
      </c>
      <c r="D80" s="52">
        <v>3.5</v>
      </c>
      <c r="E80" s="52"/>
      <c r="F80" s="52">
        <v>2.6749999999999998</v>
      </c>
      <c r="G80" s="62">
        <f t="shared" si="4"/>
        <v>18.724999999999998</v>
      </c>
      <c r="H80" s="52"/>
    </row>
    <row r="81" spans="1:8" x14ac:dyDescent="0.25">
      <c r="A81" s="52"/>
      <c r="B81" s="52"/>
      <c r="C81" s="52">
        <v>2</v>
      </c>
      <c r="D81" s="52">
        <v>3.2450000000000001</v>
      </c>
      <c r="E81" s="52"/>
      <c r="F81" s="52">
        <v>2.6749999999999998</v>
      </c>
      <c r="G81" s="62">
        <f t="shared" si="4"/>
        <v>17.360749999999999</v>
      </c>
      <c r="H81" s="52"/>
    </row>
    <row r="82" spans="1:8" x14ac:dyDescent="0.25">
      <c r="A82" s="52"/>
      <c r="B82" s="52" t="s">
        <v>560</v>
      </c>
      <c r="C82" s="52">
        <v>-0.5</v>
      </c>
      <c r="D82" s="52">
        <v>0.8</v>
      </c>
      <c r="E82" s="52"/>
      <c r="F82" s="52">
        <v>2.2999999999999998</v>
      </c>
      <c r="G82" s="62">
        <f t="shared" ref="G82:G83" si="6">+PRODUCT(C82:F82)</f>
        <v>-0.91999999999999993</v>
      </c>
      <c r="H82" s="52"/>
    </row>
    <row r="83" spans="1:8" x14ac:dyDescent="0.25">
      <c r="A83" s="52"/>
      <c r="B83" s="52"/>
      <c r="C83" s="52">
        <v>-0.5</v>
      </c>
      <c r="D83" s="52">
        <v>0.56499999999999995</v>
      </c>
      <c r="E83" s="52"/>
      <c r="F83" s="52">
        <v>1.35</v>
      </c>
      <c r="G83" s="62">
        <f t="shared" si="6"/>
        <v>-0.38137499999999996</v>
      </c>
      <c r="H83" s="52"/>
    </row>
    <row r="84" spans="1:8" x14ac:dyDescent="0.25">
      <c r="A84" s="52"/>
      <c r="B84" s="52" t="s">
        <v>553</v>
      </c>
      <c r="C84" s="52">
        <v>-0.5</v>
      </c>
      <c r="D84" s="52">
        <v>0.75</v>
      </c>
      <c r="E84" s="52"/>
      <c r="F84" s="52">
        <v>2.1</v>
      </c>
      <c r="G84" s="62">
        <f t="shared" si="4"/>
        <v>-0.78750000000000009</v>
      </c>
      <c r="H84" s="52"/>
    </row>
    <row r="85" spans="1:8" x14ac:dyDescent="0.25">
      <c r="A85" s="52"/>
      <c r="B85" s="52" t="s">
        <v>552</v>
      </c>
      <c r="C85" s="52">
        <v>-0.5</v>
      </c>
      <c r="D85" s="52">
        <v>1</v>
      </c>
      <c r="E85" s="52"/>
      <c r="F85" s="52">
        <v>2.1</v>
      </c>
      <c r="G85" s="62">
        <f t="shared" si="4"/>
        <v>-1.05</v>
      </c>
      <c r="H85" s="52"/>
    </row>
    <row r="86" spans="1:8" x14ac:dyDescent="0.25">
      <c r="A86" s="52"/>
      <c r="B86" s="52" t="s">
        <v>683</v>
      </c>
      <c r="C86" s="52"/>
      <c r="D86" s="52"/>
      <c r="E86" s="52"/>
      <c r="F86" s="52"/>
      <c r="G86" s="62">
        <f t="shared" ref="G86:G90" si="7">+PRODUCT(C86:F86)</f>
        <v>0</v>
      </c>
      <c r="H86" s="52"/>
    </row>
    <row r="87" spans="1:8" x14ac:dyDescent="0.25">
      <c r="A87" s="52"/>
      <c r="B87" s="52" t="s">
        <v>663</v>
      </c>
      <c r="C87" s="52">
        <v>0</v>
      </c>
      <c r="D87" s="52">
        <v>2.4249999999999998</v>
      </c>
      <c r="E87" s="52">
        <v>1.595</v>
      </c>
      <c r="F87" s="52"/>
      <c r="G87" s="62">
        <f t="shared" si="7"/>
        <v>0</v>
      </c>
      <c r="H87" s="52"/>
    </row>
    <row r="88" spans="1:8" x14ac:dyDescent="0.25">
      <c r="A88" s="52"/>
      <c r="B88" s="52" t="s">
        <v>664</v>
      </c>
      <c r="C88" s="52">
        <v>2</v>
      </c>
      <c r="D88" s="52">
        <v>2.4249999999999998</v>
      </c>
      <c r="E88" s="52"/>
      <c r="F88" s="52">
        <f>2.95-0.15-0.45</f>
        <v>2.35</v>
      </c>
      <c r="G88" s="62">
        <f t="shared" si="7"/>
        <v>11.397499999999999</v>
      </c>
      <c r="H88" s="52"/>
    </row>
    <row r="89" spans="1:8" x14ac:dyDescent="0.25">
      <c r="A89" s="52"/>
      <c r="B89" s="52"/>
      <c r="C89" s="52">
        <v>2</v>
      </c>
      <c r="D89" s="52">
        <v>1.595</v>
      </c>
      <c r="E89" s="52"/>
      <c r="F89" s="52">
        <f>2.95-0.15-0.45</f>
        <v>2.35</v>
      </c>
      <c r="G89" s="62">
        <f t="shared" si="7"/>
        <v>7.4965000000000002</v>
      </c>
      <c r="H89" s="52"/>
    </row>
    <row r="90" spans="1:8" x14ac:dyDescent="0.25">
      <c r="A90" s="52"/>
      <c r="B90" s="52" t="s">
        <v>678</v>
      </c>
      <c r="C90" s="52">
        <v>-0.5</v>
      </c>
      <c r="D90" s="52">
        <v>0.75</v>
      </c>
      <c r="E90" s="52"/>
      <c r="F90" s="52">
        <v>2.1</v>
      </c>
      <c r="G90" s="62">
        <f t="shared" si="7"/>
        <v>-0.78750000000000009</v>
      </c>
      <c r="H90" s="52"/>
    </row>
    <row r="91" spans="1:8" x14ac:dyDescent="0.25">
      <c r="A91" s="52"/>
      <c r="B91" s="52" t="s">
        <v>675</v>
      </c>
      <c r="C91" s="52"/>
      <c r="D91" s="52"/>
      <c r="E91" s="52"/>
      <c r="F91" s="52"/>
      <c r="G91" s="62">
        <f t="shared" si="4"/>
        <v>0</v>
      </c>
      <c r="H91" s="52"/>
    </row>
    <row r="92" spans="1:8" x14ac:dyDescent="0.25">
      <c r="A92" s="52"/>
      <c r="B92" s="52" t="s">
        <v>663</v>
      </c>
      <c r="C92" s="52">
        <v>1</v>
      </c>
      <c r="D92" s="52">
        <v>3.125</v>
      </c>
      <c r="E92" s="52">
        <v>3.35</v>
      </c>
      <c r="F92" s="52"/>
      <c r="G92" s="62">
        <f t="shared" si="4"/>
        <v>10.46875</v>
      </c>
      <c r="H92" s="52"/>
    </row>
    <row r="93" spans="1:8" x14ac:dyDescent="0.25">
      <c r="A93" s="52"/>
      <c r="B93" s="52" t="s">
        <v>664</v>
      </c>
      <c r="C93" s="52">
        <v>2</v>
      </c>
      <c r="D93" s="52">
        <v>3.125</v>
      </c>
      <c r="E93" s="52"/>
      <c r="F93" s="52">
        <v>2.6749999999999998</v>
      </c>
      <c r="G93" s="62">
        <f t="shared" si="4"/>
        <v>16.71875</v>
      </c>
      <c r="H93" s="52"/>
    </row>
    <row r="94" spans="1:8" x14ac:dyDescent="0.25">
      <c r="A94" s="52"/>
      <c r="B94" s="52"/>
      <c r="C94" s="52">
        <v>2</v>
      </c>
      <c r="D94" s="52">
        <v>3.35</v>
      </c>
      <c r="E94" s="52"/>
      <c r="F94" s="52">
        <v>2.6749999999999998</v>
      </c>
      <c r="G94" s="62">
        <f t="shared" si="4"/>
        <v>17.922499999999999</v>
      </c>
      <c r="H94" s="52"/>
    </row>
    <row r="95" spans="1:8" x14ac:dyDescent="0.25">
      <c r="A95" s="52"/>
      <c r="B95" s="52" t="s">
        <v>550</v>
      </c>
      <c r="C95" s="52">
        <v>-1</v>
      </c>
      <c r="D95" s="52">
        <v>2.0649999999999999</v>
      </c>
      <c r="E95" s="52"/>
      <c r="F95" s="52">
        <v>2.2999999999999998</v>
      </c>
      <c r="G95" s="62">
        <f>+PRODUCT(C95:F95)</f>
        <v>-4.7494999999999994</v>
      </c>
      <c r="H95" s="52"/>
    </row>
    <row r="96" spans="1:8" x14ac:dyDescent="0.25">
      <c r="A96" s="52"/>
      <c r="B96" s="52" t="s">
        <v>670</v>
      </c>
      <c r="C96" s="52">
        <v>2</v>
      </c>
      <c r="D96" s="52">
        <v>0.2</v>
      </c>
      <c r="E96" s="52"/>
      <c r="F96" s="52">
        <v>2.2999999999999998</v>
      </c>
      <c r="G96" s="62">
        <f t="shared" ref="G96:G97" si="8">+PRODUCT(C96:F96)</f>
        <v>0.91999999999999993</v>
      </c>
      <c r="H96" s="52"/>
    </row>
    <row r="97" spans="1:10" x14ac:dyDescent="0.25">
      <c r="A97" s="52"/>
      <c r="B97" s="52" t="s">
        <v>671</v>
      </c>
      <c r="C97" s="52">
        <v>1</v>
      </c>
      <c r="D97" s="52">
        <v>2.0649999999999999</v>
      </c>
      <c r="E97" s="52">
        <v>0.2</v>
      </c>
      <c r="F97" s="52"/>
      <c r="G97" s="62">
        <f t="shared" si="8"/>
        <v>0.41300000000000003</v>
      </c>
      <c r="H97" s="52"/>
    </row>
    <row r="98" spans="1:10" x14ac:dyDescent="0.25">
      <c r="A98" s="52"/>
      <c r="B98" s="52" t="s">
        <v>552</v>
      </c>
      <c r="C98" s="52">
        <v>-0.5</v>
      </c>
      <c r="D98" s="52">
        <v>1</v>
      </c>
      <c r="E98" s="52"/>
      <c r="F98" s="52">
        <v>2.1</v>
      </c>
      <c r="G98" s="62">
        <f t="shared" si="4"/>
        <v>-1.05</v>
      </c>
      <c r="H98" s="52"/>
    </row>
    <row r="99" spans="1:10" x14ac:dyDescent="0.25">
      <c r="A99" s="52"/>
      <c r="B99" s="52" t="s">
        <v>676</v>
      </c>
      <c r="C99" s="52"/>
      <c r="D99" s="52"/>
      <c r="E99" s="52"/>
      <c r="F99" s="52"/>
      <c r="G99" s="62">
        <f t="shared" si="4"/>
        <v>0</v>
      </c>
      <c r="H99" s="52"/>
    </row>
    <row r="100" spans="1:10" x14ac:dyDescent="0.25">
      <c r="A100" s="52"/>
      <c r="B100" s="52" t="s">
        <v>663</v>
      </c>
      <c r="C100" s="52">
        <v>1</v>
      </c>
      <c r="D100" s="52">
        <v>3.0249999999999999</v>
      </c>
      <c r="E100" s="52">
        <v>3.58</v>
      </c>
      <c r="F100" s="52"/>
      <c r="G100" s="62">
        <f t="shared" si="4"/>
        <v>10.829499999999999</v>
      </c>
      <c r="H100" s="52"/>
    </row>
    <row r="101" spans="1:10" x14ac:dyDescent="0.25">
      <c r="A101" s="52"/>
      <c r="B101" s="52"/>
      <c r="C101" s="52">
        <v>1</v>
      </c>
      <c r="D101" s="52">
        <v>1.81</v>
      </c>
      <c r="E101" s="52">
        <v>1.7</v>
      </c>
      <c r="F101" s="52"/>
      <c r="G101" s="62">
        <f t="shared" si="4"/>
        <v>3.077</v>
      </c>
      <c r="H101" s="52"/>
    </row>
    <row r="102" spans="1:10" x14ac:dyDescent="0.25">
      <c r="A102" s="52"/>
      <c r="B102" s="52" t="s">
        <v>664</v>
      </c>
      <c r="C102" s="52">
        <v>2</v>
      </c>
      <c r="D102" s="52">
        <v>4.8600000000000003</v>
      </c>
      <c r="E102" s="52"/>
      <c r="F102" s="52">
        <v>2.6749999999999998</v>
      </c>
      <c r="G102" s="62">
        <f t="shared" si="4"/>
        <v>26.001000000000001</v>
      </c>
      <c r="H102" s="52"/>
    </row>
    <row r="103" spans="1:10" x14ac:dyDescent="0.25">
      <c r="A103" s="52"/>
      <c r="B103" s="52"/>
      <c r="C103" s="52">
        <v>2</v>
      </c>
      <c r="D103" s="52">
        <v>3.58</v>
      </c>
      <c r="E103" s="52"/>
      <c r="F103" s="52">
        <v>2.6749999999999998</v>
      </c>
      <c r="G103" s="62">
        <f t="shared" si="4"/>
        <v>19.152999999999999</v>
      </c>
      <c r="H103" s="52"/>
      <c r="J103">
        <f>2.95-0.125-0.15</f>
        <v>2.6750000000000003</v>
      </c>
    </row>
    <row r="104" spans="1:10" x14ac:dyDescent="0.25">
      <c r="A104" s="52"/>
      <c r="B104" s="52" t="s">
        <v>677</v>
      </c>
      <c r="C104" s="52">
        <v>2</v>
      </c>
      <c r="D104" s="52">
        <v>0.6</v>
      </c>
      <c r="E104" s="52"/>
      <c r="F104" s="52">
        <v>2.6749999999999998</v>
      </c>
      <c r="G104" s="62">
        <f t="shared" si="4"/>
        <v>3.2099999999999995</v>
      </c>
      <c r="H104" s="52"/>
    </row>
    <row r="105" spans="1:10" x14ac:dyDescent="0.25">
      <c r="A105" s="52"/>
      <c r="B105" s="52" t="s">
        <v>558</v>
      </c>
      <c r="C105" s="52">
        <v>-1</v>
      </c>
      <c r="D105" s="52">
        <v>2.4500000000000002</v>
      </c>
      <c r="E105" s="52"/>
      <c r="F105" s="52">
        <v>2.2999999999999998</v>
      </c>
      <c r="G105" s="62">
        <f t="shared" ref="G105:G107" si="9">+PRODUCT(C105:F105)</f>
        <v>-5.6349999999999998</v>
      </c>
      <c r="H105" s="52"/>
    </row>
    <row r="106" spans="1:10" x14ac:dyDescent="0.25">
      <c r="A106" s="52"/>
      <c r="B106" s="52" t="s">
        <v>670</v>
      </c>
      <c r="C106" s="52">
        <v>2</v>
      </c>
      <c r="D106" s="52">
        <v>0.2</v>
      </c>
      <c r="E106" s="52"/>
      <c r="F106" s="52">
        <v>2.2999999999999998</v>
      </c>
      <c r="G106" s="62">
        <f t="shared" si="9"/>
        <v>0.91999999999999993</v>
      </c>
      <c r="H106" s="52"/>
    </row>
    <row r="107" spans="1:10" x14ac:dyDescent="0.25">
      <c r="A107" s="52"/>
      <c r="B107" s="52" t="s">
        <v>671</v>
      </c>
      <c r="C107" s="52">
        <v>1</v>
      </c>
      <c r="D107" s="52">
        <v>2.4500000000000002</v>
      </c>
      <c r="E107" s="52">
        <v>0.2</v>
      </c>
      <c r="F107" s="52"/>
      <c r="G107" s="62">
        <f t="shared" si="9"/>
        <v>0.49000000000000005</v>
      </c>
      <c r="H107" s="52"/>
    </row>
    <row r="108" spans="1:10" x14ac:dyDescent="0.25">
      <c r="A108" s="52"/>
      <c r="B108" s="52" t="s">
        <v>553</v>
      </c>
      <c r="C108" s="52">
        <v>-0.5</v>
      </c>
      <c r="D108" s="52">
        <v>0.75</v>
      </c>
      <c r="E108" s="52"/>
      <c r="F108" s="52">
        <v>2.1</v>
      </c>
      <c r="G108" s="62">
        <f t="shared" si="4"/>
        <v>-0.78750000000000009</v>
      </c>
      <c r="H108" s="52"/>
    </row>
    <row r="109" spans="1:10" x14ac:dyDescent="0.25">
      <c r="A109" s="52"/>
      <c r="B109" s="52" t="s">
        <v>552</v>
      </c>
      <c r="C109" s="52">
        <v>-0.5</v>
      </c>
      <c r="D109" s="52">
        <v>1</v>
      </c>
      <c r="E109" s="52"/>
      <c r="F109" s="52">
        <v>2.1</v>
      </c>
      <c r="G109" s="62">
        <f t="shared" si="4"/>
        <v>-1.05</v>
      </c>
      <c r="H109" s="52"/>
    </row>
    <row r="110" spans="1:10" x14ac:dyDescent="0.25">
      <c r="A110" s="52"/>
      <c r="B110" s="52" t="s">
        <v>683</v>
      </c>
      <c r="C110" s="52"/>
      <c r="D110" s="52"/>
      <c r="E110" s="52"/>
      <c r="F110" s="52"/>
      <c r="G110" s="62">
        <f t="shared" si="4"/>
        <v>0</v>
      </c>
      <c r="H110" s="52"/>
    </row>
    <row r="111" spans="1:10" x14ac:dyDescent="0.25">
      <c r="A111" s="52"/>
      <c r="B111" s="52" t="s">
        <v>663</v>
      </c>
      <c r="C111" s="52">
        <v>0</v>
      </c>
      <c r="D111" s="52">
        <v>2.41</v>
      </c>
      <c r="E111" s="52">
        <v>1.585</v>
      </c>
      <c r="F111" s="52"/>
      <c r="G111" s="62">
        <f t="shared" si="4"/>
        <v>0</v>
      </c>
      <c r="H111" s="52"/>
    </row>
    <row r="112" spans="1:10" x14ac:dyDescent="0.25">
      <c r="A112" s="52"/>
      <c r="B112" s="52" t="s">
        <v>664</v>
      </c>
      <c r="C112" s="52">
        <v>2</v>
      </c>
      <c r="D112" s="52">
        <v>2.41</v>
      </c>
      <c r="E112" s="52"/>
      <c r="F112" s="52">
        <f>2.95-0.15-0.45</f>
        <v>2.35</v>
      </c>
      <c r="G112" s="62">
        <f t="shared" si="4"/>
        <v>11.327000000000002</v>
      </c>
      <c r="H112" s="52"/>
    </row>
    <row r="113" spans="1:8" x14ac:dyDescent="0.25">
      <c r="A113" s="52"/>
      <c r="B113" s="52"/>
      <c r="C113" s="52">
        <v>2</v>
      </c>
      <c r="D113" s="52">
        <v>1.585</v>
      </c>
      <c r="E113" s="52"/>
      <c r="F113" s="52">
        <f>2.95-0.15-0.45</f>
        <v>2.35</v>
      </c>
      <c r="G113" s="62">
        <f t="shared" si="4"/>
        <v>7.4495000000000005</v>
      </c>
      <c r="H113" s="52"/>
    </row>
    <row r="114" spans="1:8" x14ac:dyDescent="0.25">
      <c r="A114" s="52"/>
      <c r="B114" s="52" t="s">
        <v>678</v>
      </c>
      <c r="C114" s="52">
        <v>-0.5</v>
      </c>
      <c r="D114" s="52">
        <v>0.75</v>
      </c>
      <c r="E114" s="52"/>
      <c r="F114" s="52">
        <v>2.1</v>
      </c>
      <c r="G114" s="62">
        <f t="shared" si="4"/>
        <v>-0.78750000000000009</v>
      </c>
      <c r="H114" s="52"/>
    </row>
    <row r="115" spans="1:8" x14ac:dyDescent="0.25">
      <c r="A115" s="52"/>
      <c r="B115" s="52" t="s">
        <v>668</v>
      </c>
      <c r="C115" s="52"/>
      <c r="D115" s="52"/>
      <c r="E115" s="52"/>
      <c r="F115" s="52"/>
      <c r="G115" s="62">
        <f t="shared" si="4"/>
        <v>0</v>
      </c>
      <c r="H115" s="52"/>
    </row>
    <row r="116" spans="1:8" x14ac:dyDescent="0.25">
      <c r="A116" s="52"/>
      <c r="B116" s="52" t="s">
        <v>663</v>
      </c>
      <c r="C116" s="52">
        <v>1</v>
      </c>
      <c r="D116" s="52">
        <v>3.04</v>
      </c>
      <c r="E116" s="52">
        <v>1.1000000000000001</v>
      </c>
      <c r="F116" s="52"/>
      <c r="G116" s="62">
        <f t="shared" si="4"/>
        <v>3.3440000000000003</v>
      </c>
      <c r="H116" s="52"/>
    </row>
    <row r="117" spans="1:8" x14ac:dyDescent="0.25">
      <c r="A117" s="52"/>
      <c r="B117" s="52"/>
      <c r="C117" s="52">
        <v>1</v>
      </c>
      <c r="D117" s="52">
        <v>1.2</v>
      </c>
      <c r="E117" s="52">
        <v>0.6</v>
      </c>
      <c r="F117" s="52"/>
      <c r="G117" s="62">
        <f t="shared" si="4"/>
        <v>0.72</v>
      </c>
      <c r="H117" s="52"/>
    </row>
    <row r="118" spans="1:8" x14ac:dyDescent="0.25">
      <c r="A118" s="52"/>
      <c r="B118" s="52" t="s">
        <v>664</v>
      </c>
      <c r="C118" s="52">
        <v>2</v>
      </c>
      <c r="D118" s="52">
        <v>3.04</v>
      </c>
      <c r="E118" s="52"/>
      <c r="F118" s="52">
        <v>2.6749999999999998</v>
      </c>
      <c r="G118" s="62">
        <f t="shared" si="4"/>
        <v>16.263999999999999</v>
      </c>
      <c r="H118" s="52"/>
    </row>
    <row r="119" spans="1:8" x14ac:dyDescent="0.25">
      <c r="A119" s="52"/>
      <c r="B119" s="52"/>
      <c r="C119" s="52">
        <v>1</v>
      </c>
      <c r="D119" s="52">
        <v>1.7</v>
      </c>
      <c r="E119" s="52"/>
      <c r="F119" s="52">
        <v>2.6749999999999998</v>
      </c>
      <c r="G119" s="62">
        <f t="shared" si="4"/>
        <v>4.5474999999999994</v>
      </c>
      <c r="H119" s="52"/>
    </row>
    <row r="120" spans="1:8" x14ac:dyDescent="0.25">
      <c r="A120" s="52"/>
      <c r="B120" s="52"/>
      <c r="C120" s="52">
        <v>1</v>
      </c>
      <c r="D120" s="52">
        <v>0.6</v>
      </c>
      <c r="E120" s="52"/>
      <c r="F120" s="52">
        <v>2.6749999999999998</v>
      </c>
      <c r="G120" s="62">
        <f t="shared" si="4"/>
        <v>1.6049999999999998</v>
      </c>
      <c r="H120" s="52"/>
    </row>
    <row r="121" spans="1:8" x14ac:dyDescent="0.25">
      <c r="A121" s="52"/>
      <c r="B121" s="52" t="s">
        <v>678</v>
      </c>
      <c r="C121" s="52">
        <v>-0.5</v>
      </c>
      <c r="D121" s="52">
        <v>0.75</v>
      </c>
      <c r="E121" s="52"/>
      <c r="F121" s="52">
        <v>2.1</v>
      </c>
      <c r="G121" s="62">
        <f t="shared" si="4"/>
        <v>-0.78750000000000009</v>
      </c>
      <c r="H121" s="52"/>
    </row>
    <row r="122" spans="1:8" x14ac:dyDescent="0.25">
      <c r="A122" s="52"/>
      <c r="B122" s="52" t="s">
        <v>552</v>
      </c>
      <c r="C122" s="52">
        <v>-1</v>
      </c>
      <c r="D122" s="52">
        <v>1</v>
      </c>
      <c r="E122" s="52"/>
      <c r="F122" s="52">
        <v>2.1</v>
      </c>
      <c r="G122" s="62">
        <f t="shared" si="4"/>
        <v>-2.1</v>
      </c>
      <c r="H122" s="52"/>
    </row>
    <row r="123" spans="1:8" x14ac:dyDescent="0.25">
      <c r="A123" s="52"/>
      <c r="B123" s="52" t="s">
        <v>665</v>
      </c>
      <c r="C123" s="52">
        <v>-0.5</v>
      </c>
      <c r="D123" s="52">
        <v>0.9</v>
      </c>
      <c r="E123" s="52"/>
      <c r="F123" s="52">
        <f>2.95-0.45-0.15</f>
        <v>2.35</v>
      </c>
      <c r="G123" s="62">
        <f t="shared" si="4"/>
        <v>-1.0575000000000001</v>
      </c>
      <c r="H123" s="52"/>
    </row>
    <row r="124" spans="1:8" x14ac:dyDescent="0.25">
      <c r="A124" s="52"/>
      <c r="B124" s="52" t="s">
        <v>394</v>
      </c>
      <c r="C124" s="52"/>
      <c r="D124" s="52"/>
      <c r="E124" s="52"/>
      <c r="F124" s="52"/>
      <c r="G124" s="62">
        <f t="shared" si="4"/>
        <v>0</v>
      </c>
      <c r="H124" s="52"/>
    </row>
    <row r="125" spans="1:8" x14ac:dyDescent="0.25">
      <c r="A125" s="52"/>
      <c r="B125" s="52" t="s">
        <v>663</v>
      </c>
      <c r="C125" s="52">
        <v>1</v>
      </c>
      <c r="D125" s="52">
        <v>3.35</v>
      </c>
      <c r="E125" s="52">
        <v>2.4649999999999999</v>
      </c>
      <c r="F125" s="52"/>
      <c r="G125" s="62">
        <f t="shared" si="4"/>
        <v>8.2577499999999997</v>
      </c>
      <c r="H125" s="52"/>
    </row>
    <row r="126" spans="1:8" x14ac:dyDescent="0.25">
      <c r="A126" s="52"/>
      <c r="B126" s="52" t="s">
        <v>664</v>
      </c>
      <c r="C126" s="52">
        <v>2</v>
      </c>
      <c r="D126" s="52">
        <v>3.35</v>
      </c>
      <c r="E126" s="52"/>
      <c r="F126" s="52">
        <v>2.6749999999999998</v>
      </c>
      <c r="G126" s="62">
        <f t="shared" si="4"/>
        <v>17.922499999999999</v>
      </c>
      <c r="H126" s="52"/>
    </row>
    <row r="127" spans="1:8" x14ac:dyDescent="0.25">
      <c r="A127" s="52"/>
      <c r="B127" s="52"/>
      <c r="C127" s="52">
        <v>2</v>
      </c>
      <c r="D127" s="52">
        <v>2.4649999999999999</v>
      </c>
      <c r="E127" s="52"/>
      <c r="F127" s="52">
        <v>2.6749999999999998</v>
      </c>
      <c r="G127" s="62">
        <f t="shared" ref="G127:G276" si="10">+PRODUCT(C127:F127)</f>
        <v>13.187749999999998</v>
      </c>
      <c r="H127" s="52"/>
    </row>
    <row r="128" spans="1:8" x14ac:dyDescent="0.25">
      <c r="A128" s="52"/>
      <c r="B128" s="52" t="s">
        <v>560</v>
      </c>
      <c r="C128" s="52">
        <v>-0.5</v>
      </c>
      <c r="D128" s="52">
        <v>0.8</v>
      </c>
      <c r="E128" s="52"/>
      <c r="F128" s="52">
        <v>2.2999999999999998</v>
      </c>
      <c r="G128" s="62">
        <f t="shared" si="10"/>
        <v>-0.91999999999999993</v>
      </c>
      <c r="H128" s="52"/>
    </row>
    <row r="129" spans="1:8" x14ac:dyDescent="0.25">
      <c r="A129" s="52"/>
      <c r="B129" s="52"/>
      <c r="C129" s="52">
        <v>-0.5</v>
      </c>
      <c r="D129" s="52">
        <v>0.56499999999999995</v>
      </c>
      <c r="E129" s="52"/>
      <c r="F129" s="52">
        <v>1.35</v>
      </c>
      <c r="G129" s="62">
        <f t="shared" si="10"/>
        <v>-0.38137499999999996</v>
      </c>
      <c r="H129" s="52"/>
    </row>
    <row r="130" spans="1:8" x14ac:dyDescent="0.25">
      <c r="A130" s="52"/>
      <c r="B130" s="52" t="s">
        <v>557</v>
      </c>
      <c r="C130" s="52"/>
      <c r="D130" s="52"/>
      <c r="E130" s="52"/>
      <c r="F130" s="52"/>
      <c r="G130" s="62">
        <f t="shared" si="10"/>
        <v>0</v>
      </c>
      <c r="H130" s="52"/>
    </row>
    <row r="131" spans="1:8" x14ac:dyDescent="0.25">
      <c r="A131" s="52"/>
      <c r="B131" s="52" t="s">
        <v>663</v>
      </c>
      <c r="C131" s="52">
        <v>1</v>
      </c>
      <c r="D131" s="52">
        <v>5.23</v>
      </c>
      <c r="E131" s="52">
        <v>4.37</v>
      </c>
      <c r="F131" s="52"/>
      <c r="G131" s="62">
        <f t="shared" si="10"/>
        <v>22.855100000000004</v>
      </c>
      <c r="H131" s="52"/>
    </row>
    <row r="132" spans="1:8" x14ac:dyDescent="0.25">
      <c r="A132" s="52"/>
      <c r="B132" s="52"/>
      <c r="C132" s="52">
        <v>1</v>
      </c>
      <c r="D132" s="52">
        <v>2.5499999999999998</v>
      </c>
      <c r="E132" s="52">
        <v>1.57</v>
      </c>
      <c r="F132" s="52"/>
      <c r="G132" s="62">
        <f t="shared" si="10"/>
        <v>4.0034999999999998</v>
      </c>
      <c r="H132" s="52"/>
    </row>
    <row r="133" spans="1:8" x14ac:dyDescent="0.25">
      <c r="A133" s="52"/>
      <c r="B133" s="52" t="s">
        <v>664</v>
      </c>
      <c r="C133" s="52">
        <v>2</v>
      </c>
      <c r="D133" s="52">
        <v>3.76</v>
      </c>
      <c r="E133" s="52"/>
      <c r="F133" s="52">
        <v>2.6749999999999998</v>
      </c>
      <c r="G133" s="62">
        <f t="shared" si="10"/>
        <v>20.115999999999996</v>
      </c>
      <c r="H133" s="52"/>
    </row>
    <row r="134" spans="1:8" x14ac:dyDescent="0.25">
      <c r="A134" s="52"/>
      <c r="B134" s="56"/>
      <c r="C134" s="52">
        <v>2</v>
      </c>
      <c r="D134" s="52">
        <v>4.37</v>
      </c>
      <c r="E134" s="52"/>
      <c r="F134" s="52">
        <v>2.6749999999999998</v>
      </c>
      <c r="G134" s="62">
        <f t="shared" si="10"/>
        <v>23.3795</v>
      </c>
      <c r="H134" s="52"/>
    </row>
    <row r="135" spans="1:8" x14ac:dyDescent="0.25">
      <c r="A135" s="52"/>
      <c r="B135" s="52"/>
      <c r="C135" s="52">
        <v>2</v>
      </c>
      <c r="D135" s="52">
        <v>2.5499999999999998</v>
      </c>
      <c r="E135" s="52"/>
      <c r="F135" s="52">
        <v>2.6749999999999998</v>
      </c>
      <c r="G135" s="62">
        <f t="shared" si="10"/>
        <v>13.642499999999998</v>
      </c>
      <c r="H135" s="52"/>
    </row>
    <row r="136" spans="1:8" x14ac:dyDescent="0.25">
      <c r="A136" s="52"/>
      <c r="B136" s="52"/>
      <c r="C136" s="52">
        <v>2</v>
      </c>
      <c r="D136" s="52">
        <v>1.57</v>
      </c>
      <c r="E136" s="52"/>
      <c r="F136" s="52">
        <v>2.6749999999999998</v>
      </c>
      <c r="G136" s="62">
        <f t="shared" si="10"/>
        <v>8.3994999999999997</v>
      </c>
      <c r="H136" s="52"/>
    </row>
    <row r="137" spans="1:8" x14ac:dyDescent="0.25">
      <c r="A137" s="52"/>
      <c r="B137" s="52" t="s">
        <v>550</v>
      </c>
      <c r="C137" s="52">
        <v>-1</v>
      </c>
      <c r="D137" s="52">
        <v>2.0649999999999999</v>
      </c>
      <c r="E137" s="52"/>
      <c r="F137" s="52">
        <v>2.2999999999999998</v>
      </c>
      <c r="G137" s="62">
        <f>+PRODUCT(C137:F137)</f>
        <v>-4.7494999999999994</v>
      </c>
      <c r="H137" s="52"/>
    </row>
    <row r="138" spans="1:8" x14ac:dyDescent="0.25">
      <c r="A138" s="52"/>
      <c r="B138" s="52" t="s">
        <v>670</v>
      </c>
      <c r="C138" s="52">
        <v>2</v>
      </c>
      <c r="D138" s="52">
        <v>0.2</v>
      </c>
      <c r="E138" s="52"/>
      <c r="F138" s="52">
        <v>2.2999999999999998</v>
      </c>
      <c r="G138" s="62">
        <f t="shared" ref="G138:G139" si="11">+PRODUCT(C138:F138)</f>
        <v>0.91999999999999993</v>
      </c>
      <c r="H138" s="52"/>
    </row>
    <row r="139" spans="1:8" x14ac:dyDescent="0.25">
      <c r="A139" s="52"/>
      <c r="B139" s="52" t="s">
        <v>671</v>
      </c>
      <c r="C139" s="52">
        <v>1</v>
      </c>
      <c r="D139" s="52">
        <v>2.0649999999999999</v>
      </c>
      <c r="E139" s="52">
        <v>0.2</v>
      </c>
      <c r="F139" s="52"/>
      <c r="G139" s="62">
        <f t="shared" si="11"/>
        <v>0.41300000000000003</v>
      </c>
      <c r="H139" s="52"/>
    </row>
    <row r="140" spans="1:8" x14ac:dyDescent="0.25">
      <c r="A140" s="52"/>
      <c r="B140" s="52" t="s">
        <v>665</v>
      </c>
      <c r="C140" s="52">
        <v>-1</v>
      </c>
      <c r="D140" s="52">
        <v>1.1000000000000001</v>
      </c>
      <c r="E140" s="52"/>
      <c r="F140" s="52">
        <v>2.6749999999999998</v>
      </c>
      <c r="G140" s="62">
        <f t="shared" si="10"/>
        <v>-2.9424999999999999</v>
      </c>
      <c r="H140" s="52"/>
    </row>
    <row r="141" spans="1:8" x14ac:dyDescent="0.25">
      <c r="A141" s="52"/>
      <c r="B141" s="52" t="s">
        <v>552</v>
      </c>
      <c r="C141" s="52">
        <v>-0.5</v>
      </c>
      <c r="D141" s="52">
        <v>1</v>
      </c>
      <c r="E141" s="52"/>
      <c r="F141" s="52">
        <v>2.1</v>
      </c>
      <c r="G141" s="62">
        <f t="shared" si="10"/>
        <v>-1.05</v>
      </c>
      <c r="H141" s="52"/>
    </row>
    <row r="142" spans="1:8" x14ac:dyDescent="0.25">
      <c r="A142" s="52"/>
      <c r="B142" s="52" t="s">
        <v>559</v>
      </c>
      <c r="C142" s="52">
        <v>-0.5</v>
      </c>
      <c r="D142" s="52">
        <v>1.2</v>
      </c>
      <c r="E142" s="52"/>
      <c r="F142" s="52">
        <v>2.2999999999999998</v>
      </c>
      <c r="G142" s="62">
        <f t="shared" si="10"/>
        <v>-1.38</v>
      </c>
      <c r="H142" s="52"/>
    </row>
    <row r="143" spans="1:8" x14ac:dyDescent="0.25">
      <c r="A143" s="52"/>
      <c r="B143" s="52" t="s">
        <v>683</v>
      </c>
      <c r="C143" s="52"/>
      <c r="D143" s="52"/>
      <c r="E143" s="52"/>
      <c r="F143" s="52"/>
      <c r="G143" s="62">
        <f t="shared" si="10"/>
        <v>0</v>
      </c>
      <c r="H143" s="52"/>
    </row>
    <row r="144" spans="1:8" x14ac:dyDescent="0.25">
      <c r="A144" s="52"/>
      <c r="B144" s="52" t="s">
        <v>663</v>
      </c>
      <c r="C144" s="52">
        <v>0</v>
      </c>
      <c r="D144" s="52">
        <v>2.1850000000000001</v>
      </c>
      <c r="E144" s="52">
        <v>1.5249999999999999</v>
      </c>
      <c r="F144" s="52"/>
      <c r="G144" s="62">
        <f t="shared" si="10"/>
        <v>0</v>
      </c>
      <c r="H144" s="52"/>
    </row>
    <row r="145" spans="1:8" x14ac:dyDescent="0.25">
      <c r="A145" s="52"/>
      <c r="B145" s="52" t="s">
        <v>664</v>
      </c>
      <c r="C145" s="52">
        <v>2</v>
      </c>
      <c r="D145" s="52">
        <v>2.1850000000000001</v>
      </c>
      <c r="E145" s="52"/>
      <c r="F145" s="52">
        <f>2.95-0.15-0.45</f>
        <v>2.35</v>
      </c>
      <c r="G145" s="62">
        <f t="shared" si="10"/>
        <v>10.269500000000001</v>
      </c>
      <c r="H145" s="52"/>
    </row>
    <row r="146" spans="1:8" x14ac:dyDescent="0.25">
      <c r="A146" s="52"/>
      <c r="B146" s="52"/>
      <c r="C146" s="52">
        <v>2</v>
      </c>
      <c r="D146" s="52">
        <v>1.5249999999999999</v>
      </c>
      <c r="E146" s="52"/>
      <c r="F146" s="52">
        <f>2.95-0.15-0.45</f>
        <v>2.35</v>
      </c>
      <c r="G146" s="62">
        <f t="shared" si="10"/>
        <v>7.1674999999999995</v>
      </c>
      <c r="H146" s="52"/>
    </row>
    <row r="147" spans="1:8" x14ac:dyDescent="0.25">
      <c r="A147" s="52"/>
      <c r="B147" s="52" t="s">
        <v>678</v>
      </c>
      <c r="C147" s="52">
        <v>-0.5</v>
      </c>
      <c r="D147" s="52">
        <v>0.75</v>
      </c>
      <c r="E147" s="52"/>
      <c r="F147" s="52">
        <v>2.1</v>
      </c>
      <c r="G147" s="62">
        <f t="shared" si="10"/>
        <v>-0.78750000000000009</v>
      </c>
      <c r="H147" s="52"/>
    </row>
    <row r="148" spans="1:8" x14ac:dyDescent="0.25">
      <c r="A148" s="52"/>
      <c r="B148" s="52" t="s">
        <v>679</v>
      </c>
      <c r="C148" s="52"/>
      <c r="D148" s="52"/>
      <c r="E148" s="52"/>
      <c r="F148" s="52"/>
      <c r="G148" s="62">
        <f t="shared" si="10"/>
        <v>0</v>
      </c>
      <c r="H148" s="52"/>
    </row>
    <row r="149" spans="1:8" x14ac:dyDescent="0.25">
      <c r="A149" s="52"/>
      <c r="B149" s="52" t="s">
        <v>663</v>
      </c>
      <c r="C149" s="52">
        <v>1</v>
      </c>
      <c r="D149" s="52">
        <v>4.665</v>
      </c>
      <c r="E149" s="52">
        <v>1.5</v>
      </c>
      <c r="F149" s="52"/>
      <c r="G149" s="62">
        <f t="shared" si="10"/>
        <v>6.9975000000000005</v>
      </c>
      <c r="H149" s="52"/>
    </row>
    <row r="150" spans="1:8" x14ac:dyDescent="0.25">
      <c r="A150" s="52"/>
      <c r="B150" s="52"/>
      <c r="C150" s="52">
        <v>1</v>
      </c>
      <c r="D150" s="52">
        <v>5.2149999999999999</v>
      </c>
      <c r="E150" s="52">
        <v>1.5</v>
      </c>
      <c r="F150" s="52"/>
      <c r="G150" s="62">
        <f t="shared" si="10"/>
        <v>7.8224999999999998</v>
      </c>
      <c r="H150" s="52"/>
    </row>
    <row r="151" spans="1:8" x14ac:dyDescent="0.25">
      <c r="A151" s="52"/>
      <c r="B151" s="52"/>
      <c r="C151" s="52">
        <v>1</v>
      </c>
      <c r="D151" s="52">
        <v>3.05</v>
      </c>
      <c r="E151" s="52">
        <v>1.5</v>
      </c>
      <c r="F151" s="52"/>
      <c r="G151" s="62">
        <f t="shared" si="10"/>
        <v>4.5749999999999993</v>
      </c>
      <c r="H151" s="52"/>
    </row>
    <row r="152" spans="1:8" x14ac:dyDescent="0.25">
      <c r="A152" s="52"/>
      <c r="B152" s="56" t="s">
        <v>572</v>
      </c>
      <c r="C152" s="52"/>
      <c r="D152" s="52"/>
      <c r="E152" s="52"/>
      <c r="F152" s="52"/>
      <c r="G152" s="62">
        <f t="shared" si="10"/>
        <v>0</v>
      </c>
      <c r="H152" s="52"/>
    </row>
    <row r="153" spans="1:8" x14ac:dyDescent="0.25">
      <c r="A153" s="52"/>
      <c r="B153" s="52" t="s">
        <v>680</v>
      </c>
      <c r="C153" s="52"/>
      <c r="D153" s="52"/>
      <c r="E153" s="52"/>
      <c r="F153" s="52"/>
      <c r="G153" s="62">
        <f t="shared" si="10"/>
        <v>0</v>
      </c>
      <c r="H153" s="52"/>
    </row>
    <row r="154" spans="1:8" x14ac:dyDescent="0.25">
      <c r="A154" s="52"/>
      <c r="B154" s="52" t="s">
        <v>663</v>
      </c>
      <c r="C154" s="52">
        <v>1</v>
      </c>
      <c r="D154" s="52">
        <v>3.56</v>
      </c>
      <c r="E154" s="52">
        <v>3.2450000000000001</v>
      </c>
      <c r="F154" s="52"/>
      <c r="G154" s="62">
        <f t="shared" si="10"/>
        <v>11.552200000000001</v>
      </c>
      <c r="H154" s="52"/>
    </row>
    <row r="155" spans="1:8" x14ac:dyDescent="0.25">
      <c r="A155" s="52"/>
      <c r="B155" s="52" t="s">
        <v>664</v>
      </c>
      <c r="C155" s="52">
        <v>2</v>
      </c>
      <c r="D155" s="52">
        <v>3.56</v>
      </c>
      <c r="E155" s="52"/>
      <c r="F155" s="52">
        <v>2.6749999999999998</v>
      </c>
      <c r="G155" s="62">
        <f t="shared" si="10"/>
        <v>19.045999999999999</v>
      </c>
      <c r="H155" s="52"/>
    </row>
    <row r="156" spans="1:8" x14ac:dyDescent="0.25">
      <c r="A156" s="52"/>
      <c r="B156" s="52"/>
      <c r="C156" s="52">
        <v>2</v>
      </c>
      <c r="D156" s="52">
        <v>3.2450000000000001</v>
      </c>
      <c r="E156" s="52"/>
      <c r="F156" s="52">
        <v>2.6749999999999998</v>
      </c>
      <c r="G156" s="62">
        <f t="shared" si="10"/>
        <v>17.360749999999999</v>
      </c>
      <c r="H156" s="52"/>
    </row>
    <row r="157" spans="1:8" x14ac:dyDescent="0.25">
      <c r="A157" s="52"/>
      <c r="B157" s="52" t="s">
        <v>560</v>
      </c>
      <c r="C157" s="52">
        <v>-0.5</v>
      </c>
      <c r="D157" s="52">
        <v>0.8</v>
      </c>
      <c r="E157" s="52"/>
      <c r="F157" s="52">
        <v>2.2999999999999998</v>
      </c>
      <c r="G157" s="62">
        <f t="shared" si="10"/>
        <v>-0.91999999999999993</v>
      </c>
      <c r="H157" s="52"/>
    </row>
    <row r="158" spans="1:8" x14ac:dyDescent="0.25">
      <c r="A158" s="52"/>
      <c r="B158" s="52"/>
      <c r="C158" s="52">
        <v>-0.5</v>
      </c>
      <c r="D158" s="52">
        <v>0.56499999999999995</v>
      </c>
      <c r="E158" s="52"/>
      <c r="F158" s="52">
        <v>1.35</v>
      </c>
      <c r="G158" s="62">
        <f t="shared" si="10"/>
        <v>-0.38137499999999996</v>
      </c>
      <c r="H158" s="52"/>
    </row>
    <row r="159" spans="1:8" x14ac:dyDescent="0.25">
      <c r="A159" s="52"/>
      <c r="B159" s="52" t="s">
        <v>553</v>
      </c>
      <c r="C159" s="52">
        <v>-0.5</v>
      </c>
      <c r="D159" s="52">
        <v>0.75</v>
      </c>
      <c r="E159" s="52"/>
      <c r="F159" s="52">
        <v>2.1</v>
      </c>
      <c r="G159" s="62">
        <f t="shared" si="10"/>
        <v>-0.78750000000000009</v>
      </c>
      <c r="H159" s="52"/>
    </row>
    <row r="160" spans="1:8" x14ac:dyDescent="0.25">
      <c r="A160" s="52"/>
      <c r="B160" s="52" t="s">
        <v>552</v>
      </c>
      <c r="C160" s="52">
        <v>-0.5</v>
      </c>
      <c r="D160" s="52">
        <v>1</v>
      </c>
      <c r="E160" s="52"/>
      <c r="F160" s="52">
        <v>2.1</v>
      </c>
      <c r="G160" s="62">
        <f t="shared" si="10"/>
        <v>-1.05</v>
      </c>
      <c r="H160" s="52"/>
    </row>
    <row r="161" spans="1:8" x14ac:dyDescent="0.25">
      <c r="A161" s="52"/>
      <c r="B161" s="52" t="s">
        <v>683</v>
      </c>
      <c r="C161" s="52"/>
      <c r="D161" s="52"/>
      <c r="E161" s="52"/>
      <c r="F161" s="52"/>
      <c r="G161" s="62">
        <f t="shared" si="10"/>
        <v>0</v>
      </c>
      <c r="H161" s="52"/>
    </row>
    <row r="162" spans="1:8" x14ac:dyDescent="0.25">
      <c r="A162" s="52"/>
      <c r="B162" s="52" t="s">
        <v>663</v>
      </c>
      <c r="C162" s="52">
        <v>0</v>
      </c>
      <c r="D162" s="52">
        <v>2.4249999999999998</v>
      </c>
      <c r="E162" s="52">
        <v>1.595</v>
      </c>
      <c r="F162" s="52"/>
      <c r="G162" s="62">
        <f t="shared" si="10"/>
        <v>0</v>
      </c>
      <c r="H162" s="52"/>
    </row>
    <row r="163" spans="1:8" x14ac:dyDescent="0.25">
      <c r="A163" s="52"/>
      <c r="B163" s="52" t="s">
        <v>664</v>
      </c>
      <c r="C163" s="52">
        <v>2</v>
      </c>
      <c r="D163" s="52">
        <v>2.4249999999999998</v>
      </c>
      <c r="E163" s="52"/>
      <c r="F163" s="52">
        <f>2.95-0.15-0.45</f>
        <v>2.35</v>
      </c>
      <c r="G163" s="62">
        <f t="shared" si="10"/>
        <v>11.397499999999999</v>
      </c>
      <c r="H163" s="52"/>
    </row>
    <row r="164" spans="1:8" x14ac:dyDescent="0.25">
      <c r="A164" s="52"/>
      <c r="B164" s="52"/>
      <c r="C164" s="52">
        <v>2</v>
      </c>
      <c r="D164" s="52">
        <v>1.595</v>
      </c>
      <c r="E164" s="52"/>
      <c r="F164" s="52">
        <f>2.95-0.15-0.45</f>
        <v>2.35</v>
      </c>
      <c r="G164" s="62">
        <f t="shared" si="10"/>
        <v>7.4965000000000002</v>
      </c>
      <c r="H164" s="52"/>
    </row>
    <row r="165" spans="1:8" x14ac:dyDescent="0.25">
      <c r="A165" s="52"/>
      <c r="B165" s="52" t="s">
        <v>678</v>
      </c>
      <c r="C165" s="52">
        <v>-0.5</v>
      </c>
      <c r="D165" s="52">
        <v>0.75</v>
      </c>
      <c r="E165" s="52"/>
      <c r="F165" s="52">
        <v>2.1</v>
      </c>
      <c r="G165" s="62">
        <f t="shared" si="10"/>
        <v>-0.78750000000000009</v>
      </c>
      <c r="H165" s="52"/>
    </row>
    <row r="166" spans="1:8" x14ac:dyDescent="0.25">
      <c r="A166" s="52"/>
      <c r="B166" s="52" t="s">
        <v>675</v>
      </c>
      <c r="C166" s="52"/>
      <c r="D166" s="52"/>
      <c r="E166" s="52"/>
      <c r="F166" s="52"/>
      <c r="G166" s="62">
        <f t="shared" si="10"/>
        <v>0</v>
      </c>
      <c r="H166" s="52"/>
    </row>
    <row r="167" spans="1:8" x14ac:dyDescent="0.25">
      <c r="A167" s="52"/>
      <c r="B167" s="52" t="s">
        <v>663</v>
      </c>
      <c r="C167" s="52">
        <v>1</v>
      </c>
      <c r="D167" s="52">
        <v>3.125</v>
      </c>
      <c r="E167" s="52">
        <v>3.35</v>
      </c>
      <c r="F167" s="52"/>
      <c r="G167" s="62">
        <f t="shared" si="10"/>
        <v>10.46875</v>
      </c>
      <c r="H167" s="52"/>
    </row>
    <row r="168" spans="1:8" x14ac:dyDescent="0.25">
      <c r="A168" s="52"/>
      <c r="B168" s="52" t="s">
        <v>664</v>
      </c>
      <c r="C168" s="52">
        <v>2</v>
      </c>
      <c r="D168" s="52">
        <v>3.125</v>
      </c>
      <c r="E168" s="52"/>
      <c r="F168" s="52">
        <v>2.6749999999999998</v>
      </c>
      <c r="G168" s="62">
        <f t="shared" si="10"/>
        <v>16.71875</v>
      </c>
      <c r="H168" s="52"/>
    </row>
    <row r="169" spans="1:8" x14ac:dyDescent="0.25">
      <c r="A169" s="52"/>
      <c r="B169" s="52"/>
      <c r="C169" s="52">
        <v>2</v>
      </c>
      <c r="D169" s="52">
        <v>3.35</v>
      </c>
      <c r="E169" s="52"/>
      <c r="F169" s="52">
        <v>2.6749999999999998</v>
      </c>
      <c r="G169" s="62">
        <f t="shared" si="10"/>
        <v>17.922499999999999</v>
      </c>
      <c r="H169" s="52"/>
    </row>
    <row r="170" spans="1:8" x14ac:dyDescent="0.25">
      <c r="A170" s="52"/>
      <c r="B170" s="52" t="s">
        <v>550</v>
      </c>
      <c r="C170" s="52">
        <v>-1</v>
      </c>
      <c r="D170" s="52">
        <v>2.0649999999999999</v>
      </c>
      <c r="E170" s="52"/>
      <c r="F170" s="52">
        <v>2.2999999999999998</v>
      </c>
      <c r="G170" s="62">
        <f>+PRODUCT(C170:F170)</f>
        <v>-4.7494999999999994</v>
      </c>
      <c r="H170" s="52"/>
    </row>
    <row r="171" spans="1:8" x14ac:dyDescent="0.25">
      <c r="A171" s="52"/>
      <c r="B171" s="52" t="s">
        <v>670</v>
      </c>
      <c r="C171" s="52">
        <v>2</v>
      </c>
      <c r="D171" s="52">
        <v>0.2</v>
      </c>
      <c r="E171" s="52"/>
      <c r="F171" s="52">
        <v>2.2999999999999998</v>
      </c>
      <c r="G171" s="62">
        <f t="shared" ref="G171:G211" si="12">+PRODUCT(C171:F171)</f>
        <v>0.91999999999999993</v>
      </c>
      <c r="H171" s="52"/>
    </row>
    <row r="172" spans="1:8" x14ac:dyDescent="0.25">
      <c r="A172" s="52"/>
      <c r="B172" s="52" t="s">
        <v>671</v>
      </c>
      <c r="C172" s="52">
        <v>1</v>
      </c>
      <c r="D172" s="52">
        <v>2.0649999999999999</v>
      </c>
      <c r="E172" s="52">
        <v>0.2</v>
      </c>
      <c r="F172" s="52"/>
      <c r="G172" s="62">
        <f t="shared" si="12"/>
        <v>0.41300000000000003</v>
      </c>
      <c r="H172" s="52"/>
    </row>
    <row r="173" spans="1:8" x14ac:dyDescent="0.25">
      <c r="A173" s="52"/>
      <c r="B173" s="52" t="s">
        <v>552</v>
      </c>
      <c r="C173" s="52">
        <v>-0.5</v>
      </c>
      <c r="D173" s="52">
        <v>1</v>
      </c>
      <c r="E173" s="52"/>
      <c r="F173" s="52">
        <v>2.1</v>
      </c>
      <c r="G173" s="62">
        <f t="shared" si="12"/>
        <v>-1.05</v>
      </c>
      <c r="H173" s="52"/>
    </row>
    <row r="174" spans="1:8" x14ac:dyDescent="0.25">
      <c r="A174" s="52"/>
      <c r="B174" s="52" t="s">
        <v>676</v>
      </c>
      <c r="C174" s="52"/>
      <c r="D174" s="52"/>
      <c r="E174" s="52"/>
      <c r="F174" s="52"/>
      <c r="G174" s="62">
        <f t="shared" si="12"/>
        <v>0</v>
      </c>
      <c r="H174" s="52"/>
    </row>
    <row r="175" spans="1:8" x14ac:dyDescent="0.25">
      <c r="A175" s="52"/>
      <c r="B175" s="52" t="s">
        <v>663</v>
      </c>
      <c r="C175" s="52">
        <v>1</v>
      </c>
      <c r="D175" s="52">
        <v>3.0249999999999999</v>
      </c>
      <c r="E175" s="52">
        <v>3.58</v>
      </c>
      <c r="F175" s="52"/>
      <c r="G175" s="62">
        <f t="shared" si="12"/>
        <v>10.829499999999999</v>
      </c>
      <c r="H175" s="52"/>
    </row>
    <row r="176" spans="1:8" x14ac:dyDescent="0.25">
      <c r="A176" s="52"/>
      <c r="B176" s="52"/>
      <c r="C176" s="52">
        <v>1</v>
      </c>
      <c r="D176" s="52">
        <v>1.81</v>
      </c>
      <c r="E176" s="52">
        <v>1.7</v>
      </c>
      <c r="F176" s="52"/>
      <c r="G176" s="62">
        <f t="shared" si="12"/>
        <v>3.077</v>
      </c>
      <c r="H176" s="52"/>
    </row>
    <row r="177" spans="1:10" x14ac:dyDescent="0.25">
      <c r="A177" s="52"/>
      <c r="B177" s="52" t="s">
        <v>664</v>
      </c>
      <c r="C177" s="52">
        <v>2</v>
      </c>
      <c r="D177" s="52">
        <v>4.8600000000000003</v>
      </c>
      <c r="E177" s="52"/>
      <c r="F177" s="52">
        <v>2.6749999999999998</v>
      </c>
      <c r="G177" s="62">
        <f t="shared" si="12"/>
        <v>26.001000000000001</v>
      </c>
      <c r="H177" s="52"/>
    </row>
    <row r="178" spans="1:10" x14ac:dyDescent="0.25">
      <c r="A178" s="52"/>
      <c r="B178" s="52"/>
      <c r="C178" s="52">
        <v>2</v>
      </c>
      <c r="D178" s="52">
        <v>3.58</v>
      </c>
      <c r="E178" s="52"/>
      <c r="F178" s="52">
        <v>2.6749999999999998</v>
      </c>
      <c r="G178" s="62">
        <f t="shared" si="12"/>
        <v>19.152999999999999</v>
      </c>
      <c r="H178" s="52"/>
      <c r="J178">
        <f>2.95-0.125-0.15</f>
        <v>2.6750000000000003</v>
      </c>
    </row>
    <row r="179" spans="1:10" x14ac:dyDescent="0.25">
      <c r="A179" s="52"/>
      <c r="B179" s="52" t="s">
        <v>677</v>
      </c>
      <c r="C179" s="52">
        <v>2</v>
      </c>
      <c r="D179" s="52">
        <v>0.6</v>
      </c>
      <c r="E179" s="52"/>
      <c r="F179" s="52">
        <v>2.6749999999999998</v>
      </c>
      <c r="G179" s="62">
        <f t="shared" si="12"/>
        <v>3.2099999999999995</v>
      </c>
      <c r="H179" s="52"/>
    </row>
    <row r="180" spans="1:10" x14ac:dyDescent="0.25">
      <c r="A180" s="52"/>
      <c r="B180" s="52" t="s">
        <v>558</v>
      </c>
      <c r="C180" s="52">
        <v>-1</v>
      </c>
      <c r="D180" s="52">
        <v>2.4500000000000002</v>
      </c>
      <c r="E180" s="52"/>
      <c r="F180" s="52">
        <v>2.2999999999999998</v>
      </c>
      <c r="G180" s="62">
        <f t="shared" si="12"/>
        <v>-5.6349999999999998</v>
      </c>
      <c r="H180" s="52"/>
    </row>
    <row r="181" spans="1:10" x14ac:dyDescent="0.25">
      <c r="A181" s="52"/>
      <c r="B181" s="52" t="s">
        <v>670</v>
      </c>
      <c r="C181" s="52">
        <v>2</v>
      </c>
      <c r="D181" s="52">
        <v>0.2</v>
      </c>
      <c r="E181" s="52"/>
      <c r="F181" s="52">
        <v>2.2999999999999998</v>
      </c>
      <c r="G181" s="62">
        <f t="shared" si="12"/>
        <v>0.91999999999999993</v>
      </c>
      <c r="H181" s="52"/>
    </row>
    <row r="182" spans="1:10" x14ac:dyDescent="0.25">
      <c r="A182" s="52"/>
      <c r="B182" s="52" t="s">
        <v>671</v>
      </c>
      <c r="C182" s="52">
        <v>1</v>
      </c>
      <c r="D182" s="52">
        <v>2.4500000000000002</v>
      </c>
      <c r="E182" s="52">
        <v>0.2</v>
      </c>
      <c r="F182" s="52"/>
      <c r="G182" s="62">
        <f t="shared" si="12"/>
        <v>0.49000000000000005</v>
      </c>
      <c r="H182" s="52"/>
    </row>
    <row r="183" spans="1:10" x14ac:dyDescent="0.25">
      <c r="A183" s="52"/>
      <c r="B183" s="52" t="s">
        <v>553</v>
      </c>
      <c r="C183" s="52">
        <v>-0.5</v>
      </c>
      <c r="D183" s="52">
        <v>0.75</v>
      </c>
      <c r="E183" s="52"/>
      <c r="F183" s="52">
        <v>2.1</v>
      </c>
      <c r="G183" s="62">
        <f t="shared" si="12"/>
        <v>-0.78750000000000009</v>
      </c>
      <c r="H183" s="52"/>
    </row>
    <row r="184" spans="1:10" x14ac:dyDescent="0.25">
      <c r="A184" s="52"/>
      <c r="B184" s="52" t="s">
        <v>552</v>
      </c>
      <c r="C184" s="52">
        <v>-0.5</v>
      </c>
      <c r="D184" s="52">
        <v>1</v>
      </c>
      <c r="E184" s="52"/>
      <c r="F184" s="52">
        <v>2.1</v>
      </c>
      <c r="G184" s="62">
        <f t="shared" si="12"/>
        <v>-1.05</v>
      </c>
      <c r="H184" s="52"/>
    </row>
    <row r="185" spans="1:10" x14ac:dyDescent="0.25">
      <c r="A185" s="52"/>
      <c r="B185" s="52" t="s">
        <v>683</v>
      </c>
      <c r="C185" s="52"/>
      <c r="D185" s="52"/>
      <c r="E185" s="52"/>
      <c r="F185" s="52"/>
      <c r="G185" s="62">
        <f t="shared" si="12"/>
        <v>0</v>
      </c>
      <c r="H185" s="52"/>
    </row>
    <row r="186" spans="1:10" x14ac:dyDescent="0.25">
      <c r="A186" s="52"/>
      <c r="B186" s="52" t="s">
        <v>663</v>
      </c>
      <c r="C186" s="52">
        <v>0</v>
      </c>
      <c r="D186" s="52">
        <v>2.41</v>
      </c>
      <c r="E186" s="52">
        <v>1.585</v>
      </c>
      <c r="F186" s="52"/>
      <c r="G186" s="62">
        <f t="shared" si="12"/>
        <v>0</v>
      </c>
      <c r="H186" s="52"/>
    </row>
    <row r="187" spans="1:10" x14ac:dyDescent="0.25">
      <c r="A187" s="52"/>
      <c r="B187" s="52" t="s">
        <v>664</v>
      </c>
      <c r="C187" s="52">
        <v>2</v>
      </c>
      <c r="D187" s="52">
        <v>2.41</v>
      </c>
      <c r="E187" s="52"/>
      <c r="F187" s="52">
        <f>2.95-0.15-0.45</f>
        <v>2.35</v>
      </c>
      <c r="G187" s="62">
        <f t="shared" si="12"/>
        <v>11.327000000000002</v>
      </c>
      <c r="H187" s="52"/>
    </row>
    <row r="188" spans="1:10" x14ac:dyDescent="0.25">
      <c r="A188" s="52"/>
      <c r="B188" s="52"/>
      <c r="C188" s="52">
        <v>2</v>
      </c>
      <c r="D188" s="52">
        <v>1.585</v>
      </c>
      <c r="E188" s="52"/>
      <c r="F188" s="52">
        <f>2.95-0.15-0.45</f>
        <v>2.35</v>
      </c>
      <c r="G188" s="62">
        <f t="shared" si="12"/>
        <v>7.4495000000000005</v>
      </c>
      <c r="H188" s="52"/>
    </row>
    <row r="189" spans="1:10" x14ac:dyDescent="0.25">
      <c r="A189" s="52"/>
      <c r="B189" s="52" t="s">
        <v>678</v>
      </c>
      <c r="C189" s="52">
        <v>-0.5</v>
      </c>
      <c r="D189" s="52">
        <v>0.75</v>
      </c>
      <c r="E189" s="52"/>
      <c r="F189" s="52">
        <v>2.1</v>
      </c>
      <c r="G189" s="62">
        <f t="shared" si="12"/>
        <v>-0.78750000000000009</v>
      </c>
      <c r="H189" s="52"/>
    </row>
    <row r="190" spans="1:10" x14ac:dyDescent="0.25">
      <c r="A190" s="52"/>
      <c r="B190" s="52" t="s">
        <v>668</v>
      </c>
      <c r="C190" s="52"/>
      <c r="D190" s="52"/>
      <c r="E190" s="52"/>
      <c r="F190" s="52"/>
      <c r="G190" s="62">
        <f t="shared" si="12"/>
        <v>0</v>
      </c>
      <c r="H190" s="52"/>
    </row>
    <row r="191" spans="1:10" x14ac:dyDescent="0.25">
      <c r="A191" s="52"/>
      <c r="B191" s="52" t="s">
        <v>663</v>
      </c>
      <c r="C191" s="52">
        <v>1</v>
      </c>
      <c r="D191" s="52">
        <v>3.04</v>
      </c>
      <c r="E191" s="52">
        <v>1.1000000000000001</v>
      </c>
      <c r="F191" s="52"/>
      <c r="G191" s="62">
        <f t="shared" si="12"/>
        <v>3.3440000000000003</v>
      </c>
      <c r="H191" s="52"/>
    </row>
    <row r="192" spans="1:10" x14ac:dyDescent="0.25">
      <c r="A192" s="52"/>
      <c r="B192" s="52"/>
      <c r="C192" s="52">
        <v>1</v>
      </c>
      <c r="D192" s="52">
        <v>1.2</v>
      </c>
      <c r="E192" s="52">
        <v>0.6</v>
      </c>
      <c r="F192" s="52"/>
      <c r="G192" s="62">
        <f t="shared" si="12"/>
        <v>0.72</v>
      </c>
      <c r="H192" s="52"/>
    </row>
    <row r="193" spans="1:8" x14ac:dyDescent="0.25">
      <c r="A193" s="52"/>
      <c r="B193" s="52" t="s">
        <v>664</v>
      </c>
      <c r="C193" s="52">
        <v>2</v>
      </c>
      <c r="D193" s="52">
        <v>3.04</v>
      </c>
      <c r="E193" s="52"/>
      <c r="F193" s="52">
        <v>2.6749999999999998</v>
      </c>
      <c r="G193" s="62">
        <f t="shared" si="12"/>
        <v>16.263999999999999</v>
      </c>
      <c r="H193" s="52"/>
    </row>
    <row r="194" spans="1:8" x14ac:dyDescent="0.25">
      <c r="A194" s="52"/>
      <c r="B194" s="52"/>
      <c r="C194" s="52">
        <v>1</v>
      </c>
      <c r="D194" s="52">
        <v>1.7</v>
      </c>
      <c r="E194" s="52"/>
      <c r="F194" s="52">
        <v>2.6749999999999998</v>
      </c>
      <c r="G194" s="62">
        <f t="shared" si="12"/>
        <v>4.5474999999999994</v>
      </c>
      <c r="H194" s="52"/>
    </row>
    <row r="195" spans="1:8" x14ac:dyDescent="0.25">
      <c r="A195" s="52"/>
      <c r="B195" s="52"/>
      <c r="C195" s="52">
        <v>1</v>
      </c>
      <c r="D195" s="52">
        <v>0.6</v>
      </c>
      <c r="E195" s="52"/>
      <c r="F195" s="52">
        <v>2.6749999999999998</v>
      </c>
      <c r="G195" s="62">
        <f t="shared" si="12"/>
        <v>1.6049999999999998</v>
      </c>
      <c r="H195" s="52"/>
    </row>
    <row r="196" spans="1:8" x14ac:dyDescent="0.25">
      <c r="A196" s="52"/>
      <c r="B196" s="52" t="s">
        <v>678</v>
      </c>
      <c r="C196" s="52">
        <v>-0.5</v>
      </c>
      <c r="D196" s="52">
        <v>0.75</v>
      </c>
      <c r="E196" s="52"/>
      <c r="F196" s="52">
        <v>2.1</v>
      </c>
      <c r="G196" s="62">
        <f t="shared" si="12"/>
        <v>-0.78750000000000009</v>
      </c>
      <c r="H196" s="52"/>
    </row>
    <row r="197" spans="1:8" x14ac:dyDescent="0.25">
      <c r="A197" s="52"/>
      <c r="B197" s="52" t="s">
        <v>552</v>
      </c>
      <c r="C197" s="52">
        <v>-1</v>
      </c>
      <c r="D197" s="52">
        <v>1</v>
      </c>
      <c r="E197" s="52"/>
      <c r="F197" s="52">
        <v>2.1</v>
      </c>
      <c r="G197" s="62">
        <f t="shared" si="12"/>
        <v>-2.1</v>
      </c>
      <c r="H197" s="52"/>
    </row>
    <row r="198" spans="1:8" x14ac:dyDescent="0.25">
      <c r="A198" s="52"/>
      <c r="B198" s="52" t="s">
        <v>665</v>
      </c>
      <c r="C198" s="52">
        <v>-0.5</v>
      </c>
      <c r="D198" s="52">
        <v>0.9</v>
      </c>
      <c r="E198" s="52"/>
      <c r="F198" s="52">
        <f>2.95-0.45-0.15</f>
        <v>2.35</v>
      </c>
      <c r="G198" s="62">
        <f t="shared" si="12"/>
        <v>-1.0575000000000001</v>
      </c>
      <c r="H198" s="52"/>
    </row>
    <row r="199" spans="1:8" x14ac:dyDescent="0.25">
      <c r="A199" s="52"/>
      <c r="B199" s="52" t="s">
        <v>394</v>
      </c>
      <c r="C199" s="52"/>
      <c r="D199" s="52"/>
      <c r="E199" s="52"/>
      <c r="F199" s="52"/>
      <c r="G199" s="62">
        <f t="shared" si="12"/>
        <v>0</v>
      </c>
      <c r="H199" s="52"/>
    </row>
    <row r="200" spans="1:8" x14ac:dyDescent="0.25">
      <c r="A200" s="52"/>
      <c r="B200" s="52" t="s">
        <v>663</v>
      </c>
      <c r="C200" s="52">
        <v>1</v>
      </c>
      <c r="D200" s="52">
        <v>3.35</v>
      </c>
      <c r="E200" s="52">
        <v>2.4649999999999999</v>
      </c>
      <c r="F200" s="52"/>
      <c r="G200" s="62">
        <f t="shared" si="12"/>
        <v>8.2577499999999997</v>
      </c>
      <c r="H200" s="52"/>
    </row>
    <row r="201" spans="1:8" x14ac:dyDescent="0.25">
      <c r="A201" s="52"/>
      <c r="B201" s="52" t="s">
        <v>664</v>
      </c>
      <c r="C201" s="52">
        <v>2</v>
      </c>
      <c r="D201" s="52">
        <v>3.35</v>
      </c>
      <c r="E201" s="52"/>
      <c r="F201" s="52">
        <v>2.6749999999999998</v>
      </c>
      <c r="G201" s="62">
        <f t="shared" si="12"/>
        <v>17.922499999999999</v>
      </c>
      <c r="H201" s="52"/>
    </row>
    <row r="202" spans="1:8" x14ac:dyDescent="0.25">
      <c r="A202" s="52"/>
      <c r="B202" s="52"/>
      <c r="C202" s="52">
        <v>2</v>
      </c>
      <c r="D202" s="52">
        <v>2.4649999999999999</v>
      </c>
      <c r="E202" s="52"/>
      <c r="F202" s="52">
        <v>2.6749999999999998</v>
      </c>
      <c r="G202" s="62">
        <f t="shared" si="12"/>
        <v>13.187749999999998</v>
      </c>
      <c r="H202" s="52"/>
    </row>
    <row r="203" spans="1:8" x14ac:dyDescent="0.25">
      <c r="A203" s="52"/>
      <c r="B203" s="52" t="s">
        <v>560</v>
      </c>
      <c r="C203" s="52">
        <v>-0.5</v>
      </c>
      <c r="D203" s="52">
        <v>0.8</v>
      </c>
      <c r="E203" s="52"/>
      <c r="F203" s="52">
        <v>2.2999999999999998</v>
      </c>
      <c r="G203" s="62">
        <f t="shared" si="12"/>
        <v>-0.91999999999999993</v>
      </c>
      <c r="H203" s="52"/>
    </row>
    <row r="204" spans="1:8" x14ac:dyDescent="0.25">
      <c r="A204" s="52"/>
      <c r="B204" s="52"/>
      <c r="C204" s="52">
        <v>-0.5</v>
      </c>
      <c r="D204" s="52">
        <v>0.56499999999999995</v>
      </c>
      <c r="E204" s="52"/>
      <c r="F204" s="52">
        <v>1.35</v>
      </c>
      <c r="G204" s="62">
        <f t="shared" si="12"/>
        <v>-0.38137499999999996</v>
      </c>
      <c r="H204" s="52"/>
    </row>
    <row r="205" spans="1:8" x14ac:dyDescent="0.25">
      <c r="A205" s="52"/>
      <c r="B205" s="52" t="s">
        <v>557</v>
      </c>
      <c r="C205" s="52"/>
      <c r="D205" s="52"/>
      <c r="E205" s="52"/>
      <c r="F205" s="52"/>
      <c r="G205" s="62">
        <f t="shared" si="12"/>
        <v>0</v>
      </c>
      <c r="H205" s="52"/>
    </row>
    <row r="206" spans="1:8" x14ac:dyDescent="0.25">
      <c r="A206" s="52"/>
      <c r="B206" s="52" t="s">
        <v>663</v>
      </c>
      <c r="C206" s="52">
        <v>1</v>
      </c>
      <c r="D206" s="52">
        <v>5.23</v>
      </c>
      <c r="E206" s="52">
        <v>4.37</v>
      </c>
      <c r="F206" s="52"/>
      <c r="G206" s="62">
        <f t="shared" si="12"/>
        <v>22.855100000000004</v>
      </c>
      <c r="H206" s="52"/>
    </row>
    <row r="207" spans="1:8" x14ac:dyDescent="0.25">
      <c r="A207" s="52"/>
      <c r="B207" s="52"/>
      <c r="C207" s="52">
        <v>1</v>
      </c>
      <c r="D207" s="52">
        <v>2.5499999999999998</v>
      </c>
      <c r="E207" s="52">
        <v>1.57</v>
      </c>
      <c r="F207" s="52"/>
      <c r="G207" s="62">
        <f t="shared" si="12"/>
        <v>4.0034999999999998</v>
      </c>
      <c r="H207" s="52"/>
    </row>
    <row r="208" spans="1:8" x14ac:dyDescent="0.25">
      <c r="A208" s="52"/>
      <c r="B208" s="52" t="s">
        <v>664</v>
      </c>
      <c r="C208" s="52">
        <v>2</v>
      </c>
      <c r="D208" s="52">
        <v>3.76</v>
      </c>
      <c r="E208" s="52"/>
      <c r="F208" s="52">
        <v>2.6749999999999998</v>
      </c>
      <c r="G208" s="62">
        <f t="shared" si="12"/>
        <v>20.115999999999996</v>
      </c>
      <c r="H208" s="52"/>
    </row>
    <row r="209" spans="1:8" x14ac:dyDescent="0.25">
      <c r="A209" s="52"/>
      <c r="B209" s="56"/>
      <c r="C209" s="52">
        <v>2</v>
      </c>
      <c r="D209" s="52">
        <v>4.37</v>
      </c>
      <c r="E209" s="52"/>
      <c r="F209" s="52">
        <v>2.6749999999999998</v>
      </c>
      <c r="G209" s="62">
        <f t="shared" si="12"/>
        <v>23.3795</v>
      </c>
      <c r="H209" s="52"/>
    </row>
    <row r="210" spans="1:8" x14ac:dyDescent="0.25">
      <c r="A210" s="52"/>
      <c r="B210" s="52"/>
      <c r="C210" s="52">
        <v>2</v>
      </c>
      <c r="D210" s="52">
        <v>2.5499999999999998</v>
      </c>
      <c r="E210" s="52"/>
      <c r="F210" s="52">
        <v>2.6749999999999998</v>
      </c>
      <c r="G210" s="62">
        <f t="shared" si="12"/>
        <v>13.642499999999998</v>
      </c>
      <c r="H210" s="52"/>
    </row>
    <row r="211" spans="1:8" x14ac:dyDescent="0.25">
      <c r="A211" s="52"/>
      <c r="B211" s="52"/>
      <c r="C211" s="52">
        <v>2</v>
      </c>
      <c r="D211" s="52">
        <v>1.57</v>
      </c>
      <c r="E211" s="52"/>
      <c r="F211" s="52">
        <v>2.6749999999999998</v>
      </c>
      <c r="G211" s="62">
        <f t="shared" si="12"/>
        <v>8.3994999999999997</v>
      </c>
      <c r="H211" s="52"/>
    </row>
    <row r="212" spans="1:8" x14ac:dyDescent="0.25">
      <c r="A212" s="52"/>
      <c r="B212" s="52" t="s">
        <v>550</v>
      </c>
      <c r="C212" s="52">
        <v>-1</v>
      </c>
      <c r="D212" s="52">
        <v>2.0649999999999999</v>
      </c>
      <c r="E212" s="52"/>
      <c r="F212" s="52">
        <v>2.2999999999999998</v>
      </c>
      <c r="G212" s="62">
        <f>+PRODUCT(C212:F212)</f>
        <v>-4.7494999999999994</v>
      </c>
      <c r="H212" s="52"/>
    </row>
    <row r="213" spans="1:8" x14ac:dyDescent="0.25">
      <c r="A213" s="52"/>
      <c r="B213" s="52" t="s">
        <v>670</v>
      </c>
      <c r="C213" s="52">
        <v>2</v>
      </c>
      <c r="D213" s="52">
        <v>0.2</v>
      </c>
      <c r="E213" s="52"/>
      <c r="F213" s="52">
        <v>2.2999999999999998</v>
      </c>
      <c r="G213" s="62">
        <f t="shared" ref="G213:G227" si="13">+PRODUCT(C213:F213)</f>
        <v>0.91999999999999993</v>
      </c>
      <c r="H213" s="52"/>
    </row>
    <row r="214" spans="1:8" x14ac:dyDescent="0.25">
      <c r="A214" s="52"/>
      <c r="B214" s="52" t="s">
        <v>671</v>
      </c>
      <c r="C214" s="52">
        <v>1</v>
      </c>
      <c r="D214" s="52">
        <v>2.0649999999999999</v>
      </c>
      <c r="E214" s="52">
        <v>0.2</v>
      </c>
      <c r="F214" s="52"/>
      <c r="G214" s="62">
        <f t="shared" si="13"/>
        <v>0.41300000000000003</v>
      </c>
      <c r="H214" s="52"/>
    </row>
    <row r="215" spans="1:8" x14ac:dyDescent="0.25">
      <c r="A215" s="52"/>
      <c r="B215" s="52" t="s">
        <v>665</v>
      </c>
      <c r="C215" s="52">
        <v>-1</v>
      </c>
      <c r="D215" s="52">
        <v>1.1000000000000001</v>
      </c>
      <c r="E215" s="52"/>
      <c r="F215" s="52">
        <v>2.6749999999999998</v>
      </c>
      <c r="G215" s="62">
        <f t="shared" si="13"/>
        <v>-2.9424999999999999</v>
      </c>
      <c r="H215" s="52"/>
    </row>
    <row r="216" spans="1:8" x14ac:dyDescent="0.25">
      <c r="A216" s="52"/>
      <c r="B216" s="52" t="s">
        <v>552</v>
      </c>
      <c r="C216" s="52">
        <v>-0.5</v>
      </c>
      <c r="D216" s="52">
        <v>1</v>
      </c>
      <c r="E216" s="52"/>
      <c r="F216" s="52">
        <v>2.1</v>
      </c>
      <c r="G216" s="62">
        <f t="shared" si="13"/>
        <v>-1.05</v>
      </c>
      <c r="H216" s="52"/>
    </row>
    <row r="217" spans="1:8" x14ac:dyDescent="0.25">
      <c r="A217" s="52"/>
      <c r="B217" s="52" t="s">
        <v>559</v>
      </c>
      <c r="C217" s="52">
        <v>-0.5</v>
      </c>
      <c r="D217" s="52">
        <v>1.2</v>
      </c>
      <c r="E217" s="52"/>
      <c r="F217" s="52">
        <v>2.2999999999999998</v>
      </c>
      <c r="G217" s="62">
        <f t="shared" si="13"/>
        <v>-1.38</v>
      </c>
      <c r="H217" s="52"/>
    </row>
    <row r="218" spans="1:8" x14ac:dyDescent="0.25">
      <c r="A218" s="52"/>
      <c r="B218" s="52" t="s">
        <v>683</v>
      </c>
      <c r="C218" s="52"/>
      <c r="D218" s="52"/>
      <c r="E218" s="52"/>
      <c r="F218" s="52"/>
      <c r="G218" s="62">
        <f t="shared" si="13"/>
        <v>0</v>
      </c>
      <c r="H218" s="52"/>
    </row>
    <row r="219" spans="1:8" x14ac:dyDescent="0.25">
      <c r="A219" s="52"/>
      <c r="B219" s="52" t="s">
        <v>663</v>
      </c>
      <c r="C219" s="52">
        <v>0</v>
      </c>
      <c r="D219" s="52">
        <v>2.1850000000000001</v>
      </c>
      <c r="E219" s="52">
        <v>1.5249999999999999</v>
      </c>
      <c r="F219" s="52"/>
      <c r="G219" s="62">
        <f t="shared" si="13"/>
        <v>0</v>
      </c>
      <c r="H219" s="52"/>
    </row>
    <row r="220" spans="1:8" x14ac:dyDescent="0.25">
      <c r="A220" s="52"/>
      <c r="B220" s="52" t="s">
        <v>664</v>
      </c>
      <c r="C220" s="52">
        <v>2</v>
      </c>
      <c r="D220" s="52">
        <v>2.1850000000000001</v>
      </c>
      <c r="E220" s="52"/>
      <c r="F220" s="52">
        <f>2.95-0.15-0.45</f>
        <v>2.35</v>
      </c>
      <c r="G220" s="62">
        <f t="shared" si="13"/>
        <v>10.269500000000001</v>
      </c>
      <c r="H220" s="52"/>
    </row>
    <row r="221" spans="1:8" x14ac:dyDescent="0.25">
      <c r="A221" s="52"/>
      <c r="B221" s="52"/>
      <c r="C221" s="52">
        <v>2</v>
      </c>
      <c r="D221" s="52">
        <v>1.5249999999999999</v>
      </c>
      <c r="E221" s="52"/>
      <c r="F221" s="52">
        <f>2.95-0.15-0.45</f>
        <v>2.35</v>
      </c>
      <c r="G221" s="62">
        <f t="shared" si="13"/>
        <v>7.1674999999999995</v>
      </c>
      <c r="H221" s="52"/>
    </row>
    <row r="222" spans="1:8" x14ac:dyDescent="0.25">
      <c r="A222" s="52"/>
      <c r="B222" s="52" t="s">
        <v>678</v>
      </c>
      <c r="C222" s="52">
        <v>-0.5</v>
      </c>
      <c r="D222" s="52">
        <v>0.75</v>
      </c>
      <c r="E222" s="52"/>
      <c r="F222" s="52">
        <v>2.1</v>
      </c>
      <c r="G222" s="62">
        <f t="shared" si="13"/>
        <v>-0.78750000000000009</v>
      </c>
      <c r="H222" s="52"/>
    </row>
    <row r="223" spans="1:8" x14ac:dyDescent="0.25">
      <c r="A223" s="52"/>
      <c r="B223" s="52" t="s">
        <v>679</v>
      </c>
      <c r="C223" s="52"/>
      <c r="D223" s="52"/>
      <c r="E223" s="52"/>
      <c r="F223" s="52"/>
      <c r="G223" s="62">
        <f t="shared" si="13"/>
        <v>0</v>
      </c>
      <c r="H223" s="52"/>
    </row>
    <row r="224" spans="1:8" x14ac:dyDescent="0.25">
      <c r="A224" s="52"/>
      <c r="B224" s="52" t="s">
        <v>663</v>
      </c>
      <c r="C224" s="52">
        <v>1</v>
      </c>
      <c r="D224" s="52">
        <v>4.665</v>
      </c>
      <c r="E224" s="52">
        <v>1.5</v>
      </c>
      <c r="F224" s="52"/>
      <c r="G224" s="62">
        <f t="shared" si="13"/>
        <v>6.9975000000000005</v>
      </c>
      <c r="H224" s="52"/>
    </row>
    <row r="225" spans="1:8" x14ac:dyDescent="0.25">
      <c r="A225" s="52"/>
      <c r="B225" s="52"/>
      <c r="C225" s="52">
        <v>1</v>
      </c>
      <c r="D225" s="52">
        <v>5.2149999999999999</v>
      </c>
      <c r="E225" s="52">
        <v>1.5</v>
      </c>
      <c r="F225" s="52"/>
      <c r="G225" s="62">
        <f t="shared" si="13"/>
        <v>7.8224999999999998</v>
      </c>
      <c r="H225" s="52"/>
    </row>
    <row r="226" spans="1:8" x14ac:dyDescent="0.25">
      <c r="A226" s="52"/>
      <c r="B226" s="52"/>
      <c r="C226" s="52">
        <v>1</v>
      </c>
      <c r="D226" s="52">
        <v>3.05</v>
      </c>
      <c r="E226" s="52">
        <v>1.5</v>
      </c>
      <c r="F226" s="52"/>
      <c r="G226" s="62">
        <f t="shared" si="13"/>
        <v>4.5749999999999993</v>
      </c>
      <c r="H226" s="52"/>
    </row>
    <row r="227" spans="1:8" x14ac:dyDescent="0.25">
      <c r="A227" s="52"/>
      <c r="B227" s="56" t="s">
        <v>573</v>
      </c>
      <c r="C227" s="52"/>
      <c r="D227" s="52"/>
      <c r="E227" s="52"/>
      <c r="F227" s="52"/>
      <c r="G227" s="62">
        <f t="shared" si="13"/>
        <v>0</v>
      </c>
      <c r="H227" s="52"/>
    </row>
    <row r="228" spans="1:8" x14ac:dyDescent="0.25">
      <c r="A228" s="52"/>
      <c r="B228" s="52" t="s">
        <v>574</v>
      </c>
      <c r="C228" s="52"/>
      <c r="D228" s="52"/>
      <c r="E228" s="52"/>
      <c r="F228" s="52"/>
      <c r="G228" s="62">
        <f t="shared" si="10"/>
        <v>0</v>
      </c>
      <c r="H228" s="52"/>
    </row>
    <row r="229" spans="1:8" x14ac:dyDescent="0.25">
      <c r="A229" s="52"/>
      <c r="B229" s="52" t="s">
        <v>663</v>
      </c>
      <c r="C229" s="52">
        <v>1</v>
      </c>
      <c r="D229" s="52">
        <v>3.96</v>
      </c>
      <c r="E229" s="52">
        <v>3.35</v>
      </c>
      <c r="F229" s="52"/>
      <c r="G229" s="62">
        <f t="shared" si="10"/>
        <v>13.266</v>
      </c>
      <c r="H229" s="52"/>
    </row>
    <row r="230" spans="1:8" x14ac:dyDescent="0.25">
      <c r="A230" s="52"/>
      <c r="B230" s="52" t="s">
        <v>664</v>
      </c>
      <c r="C230" s="52">
        <v>2</v>
      </c>
      <c r="D230" s="52">
        <v>3.96</v>
      </c>
      <c r="E230" s="52"/>
      <c r="F230" s="52">
        <v>2.6749999999999998</v>
      </c>
      <c r="G230" s="62">
        <f t="shared" si="10"/>
        <v>21.186</v>
      </c>
      <c r="H230" s="52"/>
    </row>
    <row r="231" spans="1:8" x14ac:dyDescent="0.25">
      <c r="A231" s="52"/>
      <c r="B231" s="52"/>
      <c r="C231" s="52">
        <v>2</v>
      </c>
      <c r="D231" s="52">
        <v>3.35</v>
      </c>
      <c r="E231" s="52"/>
      <c r="F231" s="52">
        <v>2.6749999999999998</v>
      </c>
      <c r="G231" s="62">
        <f t="shared" si="10"/>
        <v>17.922499999999999</v>
      </c>
      <c r="H231" s="52"/>
    </row>
    <row r="232" spans="1:8" x14ac:dyDescent="0.25">
      <c r="A232" s="52"/>
      <c r="B232" s="52" t="s">
        <v>681</v>
      </c>
      <c r="C232" s="52"/>
      <c r="D232" s="52"/>
      <c r="E232" s="52"/>
      <c r="F232" s="52"/>
      <c r="G232" s="62">
        <f t="shared" si="10"/>
        <v>0</v>
      </c>
      <c r="H232" s="52"/>
    </row>
    <row r="233" spans="1:8" x14ac:dyDescent="0.25">
      <c r="A233" s="52"/>
      <c r="B233" s="52" t="s">
        <v>663</v>
      </c>
      <c r="C233" s="52">
        <v>1</v>
      </c>
      <c r="D233" s="52">
        <v>1.5249999999999999</v>
      </c>
      <c r="E233" s="52">
        <v>1.4950000000000001</v>
      </c>
      <c r="F233" s="52"/>
      <c r="G233" s="62">
        <f t="shared" si="10"/>
        <v>2.2798750000000001</v>
      </c>
      <c r="H233" s="52"/>
    </row>
    <row r="234" spans="1:8" x14ac:dyDescent="0.25">
      <c r="A234" s="52"/>
      <c r="B234" s="52" t="s">
        <v>664</v>
      </c>
      <c r="C234" s="52">
        <v>2</v>
      </c>
      <c r="D234" s="52">
        <v>1.5249999999999999</v>
      </c>
      <c r="E234" s="52"/>
      <c r="F234" s="52">
        <v>2.6749999999999998</v>
      </c>
      <c r="G234" s="62">
        <f t="shared" si="10"/>
        <v>8.1587499999999995</v>
      </c>
      <c r="H234" s="52"/>
    </row>
    <row r="235" spans="1:8" x14ac:dyDescent="0.25">
      <c r="A235" s="52"/>
      <c r="B235" s="52"/>
      <c r="C235" s="52">
        <v>2</v>
      </c>
      <c r="D235" s="52">
        <v>1.4950000000000001</v>
      </c>
      <c r="E235" s="52"/>
      <c r="F235" s="52">
        <v>2.6749999999999998</v>
      </c>
      <c r="G235" s="62">
        <f t="shared" si="10"/>
        <v>7.9982499999999996</v>
      </c>
      <c r="H235" s="52"/>
    </row>
    <row r="236" spans="1:8" x14ac:dyDescent="0.25">
      <c r="A236" s="52"/>
      <c r="B236" s="52" t="s">
        <v>550</v>
      </c>
      <c r="C236" s="52">
        <v>-1</v>
      </c>
      <c r="D236" s="52">
        <v>2.0649999999999999</v>
      </c>
      <c r="E236" s="52"/>
      <c r="F236" s="52">
        <v>2.2999999999999998</v>
      </c>
      <c r="G236" s="62">
        <f>+PRODUCT(C236:F236)</f>
        <v>-4.7494999999999994</v>
      </c>
      <c r="H236" s="52"/>
    </row>
    <row r="237" spans="1:8" x14ac:dyDescent="0.25">
      <c r="A237" s="52"/>
      <c r="B237" s="52" t="s">
        <v>670</v>
      </c>
      <c r="C237" s="52">
        <v>2</v>
      </c>
      <c r="D237" s="52">
        <v>0.2</v>
      </c>
      <c r="E237" s="52"/>
      <c r="F237" s="52">
        <v>2.2999999999999998</v>
      </c>
      <c r="G237" s="62">
        <f t="shared" ref="G237:G238" si="14">+PRODUCT(C237:F237)</f>
        <v>0.91999999999999993</v>
      </c>
      <c r="H237" s="52"/>
    </row>
    <row r="238" spans="1:8" x14ac:dyDescent="0.25">
      <c r="A238" s="52"/>
      <c r="B238" s="52" t="s">
        <v>671</v>
      </c>
      <c r="C238" s="52">
        <v>1</v>
      </c>
      <c r="D238" s="52">
        <v>2.0649999999999999</v>
      </c>
      <c r="E238" s="52">
        <v>0.2</v>
      </c>
      <c r="F238" s="52"/>
      <c r="G238" s="62">
        <f t="shared" si="14"/>
        <v>0.41300000000000003</v>
      </c>
      <c r="H238" s="52"/>
    </row>
    <row r="239" spans="1:8" x14ac:dyDescent="0.25">
      <c r="A239" s="52"/>
      <c r="B239" s="52" t="s">
        <v>552</v>
      </c>
      <c r="C239" s="52">
        <v>-0.5</v>
      </c>
      <c r="D239" s="52">
        <v>1</v>
      </c>
      <c r="E239" s="52"/>
      <c r="F239" s="52">
        <v>2.1</v>
      </c>
      <c r="G239" s="62">
        <f t="shared" si="10"/>
        <v>-1.05</v>
      </c>
      <c r="H239" s="52"/>
    </row>
    <row r="240" spans="1:8" x14ac:dyDescent="0.25">
      <c r="A240" s="52"/>
      <c r="B240" s="52" t="s">
        <v>553</v>
      </c>
      <c r="C240" s="52">
        <v>-0.5</v>
      </c>
      <c r="D240" s="52">
        <v>0.75</v>
      </c>
      <c r="E240" s="52"/>
      <c r="F240" s="52">
        <v>2.1</v>
      </c>
      <c r="G240" s="62">
        <f t="shared" ref="G240" si="15">+PRODUCT(C240:F240)</f>
        <v>-0.78750000000000009</v>
      </c>
      <c r="H240" s="52"/>
    </row>
    <row r="241" spans="1:8" x14ac:dyDescent="0.25">
      <c r="A241" s="52"/>
      <c r="B241" s="52" t="s">
        <v>665</v>
      </c>
      <c r="C241" s="52">
        <v>-0.5</v>
      </c>
      <c r="D241" s="52">
        <v>0.8</v>
      </c>
      <c r="E241" s="52"/>
      <c r="F241" s="52">
        <f>2.95-0.15-0.45</f>
        <v>2.35</v>
      </c>
      <c r="G241" s="62">
        <f t="shared" si="10"/>
        <v>-0.94000000000000006</v>
      </c>
      <c r="H241" s="52"/>
    </row>
    <row r="242" spans="1:8" x14ac:dyDescent="0.25">
      <c r="A242" s="52"/>
      <c r="B242" s="52" t="s">
        <v>683</v>
      </c>
      <c r="C242" s="52"/>
      <c r="D242" s="52"/>
      <c r="E242" s="52"/>
      <c r="F242" s="52"/>
      <c r="G242" s="62">
        <f t="shared" si="10"/>
        <v>0</v>
      </c>
      <c r="H242" s="52"/>
    </row>
    <row r="243" spans="1:8" x14ac:dyDescent="0.25">
      <c r="A243" s="52"/>
      <c r="B243" s="52" t="s">
        <v>663</v>
      </c>
      <c r="C243" s="52">
        <v>0</v>
      </c>
      <c r="D243" s="52">
        <v>2.4649999999999999</v>
      </c>
      <c r="E243" s="52">
        <v>1.54</v>
      </c>
      <c r="F243" s="52"/>
      <c r="G243" s="62">
        <f t="shared" si="10"/>
        <v>0</v>
      </c>
      <c r="H243" s="52"/>
    </row>
    <row r="244" spans="1:8" x14ac:dyDescent="0.25">
      <c r="A244" s="52"/>
      <c r="B244" s="52"/>
      <c r="C244" s="52">
        <v>2</v>
      </c>
      <c r="D244" s="52">
        <v>2.4649999999999999</v>
      </c>
      <c r="E244" s="52"/>
      <c r="F244" s="52">
        <v>2.35</v>
      </c>
      <c r="G244" s="62">
        <f t="shared" si="10"/>
        <v>11.5855</v>
      </c>
      <c r="H244" s="52"/>
    </row>
    <row r="245" spans="1:8" x14ac:dyDescent="0.25">
      <c r="A245" s="52"/>
      <c r="B245" s="52"/>
      <c r="C245" s="52">
        <v>2</v>
      </c>
      <c r="D245" s="52">
        <v>1.54</v>
      </c>
      <c r="E245" s="52"/>
      <c r="F245" s="52">
        <v>2.35</v>
      </c>
      <c r="G245" s="62">
        <f t="shared" si="10"/>
        <v>7.2380000000000004</v>
      </c>
      <c r="H245" s="52"/>
    </row>
    <row r="246" spans="1:8" x14ac:dyDescent="0.25">
      <c r="A246" s="52"/>
      <c r="B246" s="52" t="s">
        <v>678</v>
      </c>
      <c r="C246" s="52">
        <v>-0.5</v>
      </c>
      <c r="D246" s="52">
        <v>0.75</v>
      </c>
      <c r="E246" s="52"/>
      <c r="F246" s="52">
        <v>2.1</v>
      </c>
      <c r="G246" s="62">
        <f t="shared" si="10"/>
        <v>-0.78750000000000009</v>
      </c>
      <c r="H246" s="52"/>
    </row>
    <row r="247" spans="1:8" x14ac:dyDescent="0.25">
      <c r="A247" s="52"/>
      <c r="B247" s="52" t="s">
        <v>576</v>
      </c>
      <c r="C247" s="52"/>
      <c r="D247" s="52"/>
      <c r="E247" s="52"/>
      <c r="F247" s="52"/>
      <c r="G247" s="62">
        <f t="shared" si="10"/>
        <v>0</v>
      </c>
      <c r="H247" s="52"/>
    </row>
    <row r="248" spans="1:8" x14ac:dyDescent="0.25">
      <c r="A248" s="52"/>
      <c r="B248" s="52" t="s">
        <v>663</v>
      </c>
      <c r="C248" s="52">
        <v>1</v>
      </c>
      <c r="D248" s="52">
        <v>3.335</v>
      </c>
      <c r="E248" s="52">
        <v>3.96</v>
      </c>
      <c r="F248" s="52"/>
      <c r="G248" s="62">
        <f t="shared" si="10"/>
        <v>13.2066</v>
      </c>
      <c r="H248" s="52"/>
    </row>
    <row r="249" spans="1:8" x14ac:dyDescent="0.25">
      <c r="A249" s="52"/>
      <c r="B249" s="52" t="s">
        <v>664</v>
      </c>
      <c r="C249" s="52">
        <v>2</v>
      </c>
      <c r="D249" s="52">
        <v>3.96</v>
      </c>
      <c r="E249" s="52"/>
      <c r="F249" s="52">
        <v>2.6749999999999998</v>
      </c>
      <c r="G249" s="62">
        <f t="shared" si="10"/>
        <v>21.186</v>
      </c>
      <c r="H249" s="52"/>
    </row>
    <row r="250" spans="1:8" x14ac:dyDescent="0.25">
      <c r="A250" s="52"/>
      <c r="B250" s="52"/>
      <c r="C250" s="52">
        <v>2</v>
      </c>
      <c r="D250" s="52">
        <v>3.335</v>
      </c>
      <c r="E250" s="52"/>
      <c r="F250" s="52">
        <v>2.6749999999999998</v>
      </c>
      <c r="G250" s="62">
        <f t="shared" si="10"/>
        <v>17.84225</v>
      </c>
      <c r="H250" s="52"/>
    </row>
    <row r="251" spans="1:8" x14ac:dyDescent="0.25">
      <c r="A251" s="52"/>
      <c r="B251" s="52" t="s">
        <v>682</v>
      </c>
      <c r="C251" s="52"/>
      <c r="D251" s="52"/>
      <c r="E251" s="52"/>
      <c r="F251" s="52"/>
      <c r="G251" s="62">
        <f t="shared" si="10"/>
        <v>0</v>
      </c>
      <c r="H251" s="52"/>
    </row>
    <row r="252" spans="1:8" x14ac:dyDescent="0.25">
      <c r="A252" s="52"/>
      <c r="B252" s="52" t="s">
        <v>663</v>
      </c>
      <c r="C252" s="52">
        <v>1</v>
      </c>
      <c r="D252" s="52">
        <v>0.61499999999999999</v>
      </c>
      <c r="E252" s="52">
        <v>1.07</v>
      </c>
      <c r="F252" s="52"/>
      <c r="G252" s="62">
        <f t="shared" si="10"/>
        <v>0.65805000000000002</v>
      </c>
      <c r="H252" s="52"/>
    </row>
    <row r="253" spans="1:8" x14ac:dyDescent="0.25">
      <c r="A253" s="52"/>
      <c r="B253" s="52" t="s">
        <v>664</v>
      </c>
      <c r="C253" s="52">
        <v>2</v>
      </c>
      <c r="D253" s="52">
        <v>0.61499999999999999</v>
      </c>
      <c r="E253" s="52"/>
      <c r="F253" s="52">
        <v>2.6749999999999998</v>
      </c>
      <c r="G253" s="62">
        <f t="shared" si="10"/>
        <v>3.2902499999999999</v>
      </c>
      <c r="H253" s="52"/>
    </row>
    <row r="254" spans="1:8" x14ac:dyDescent="0.25">
      <c r="A254" s="52"/>
      <c r="B254" s="52" t="s">
        <v>550</v>
      </c>
      <c r="C254" s="52">
        <v>-1</v>
      </c>
      <c r="D254" s="52">
        <v>2.0649999999999999</v>
      </c>
      <c r="E254" s="52"/>
      <c r="F254" s="52">
        <v>2.2999999999999998</v>
      </c>
      <c r="G254" s="62">
        <f>+PRODUCT(C254:F254)</f>
        <v>-4.7494999999999994</v>
      </c>
      <c r="H254" s="52"/>
    </row>
    <row r="255" spans="1:8" x14ac:dyDescent="0.25">
      <c r="A255" s="52"/>
      <c r="B255" s="52" t="s">
        <v>670</v>
      </c>
      <c r="C255" s="52">
        <v>2</v>
      </c>
      <c r="D255" s="52">
        <v>0.2</v>
      </c>
      <c r="E255" s="52"/>
      <c r="F255" s="52">
        <v>2.2999999999999998</v>
      </c>
      <c r="G255" s="62">
        <f t="shared" ref="G255:G257" si="16">+PRODUCT(C255:F255)</f>
        <v>0.91999999999999993</v>
      </c>
      <c r="H255" s="52"/>
    </row>
    <row r="256" spans="1:8" x14ac:dyDescent="0.25">
      <c r="A256" s="52"/>
      <c r="B256" s="52" t="s">
        <v>671</v>
      </c>
      <c r="C256" s="52">
        <v>1</v>
      </c>
      <c r="D256" s="52">
        <v>2.0649999999999999</v>
      </c>
      <c r="E256" s="52">
        <v>0.2</v>
      </c>
      <c r="F256" s="52"/>
      <c r="G256" s="62">
        <f t="shared" si="16"/>
        <v>0.41300000000000003</v>
      </c>
      <c r="H256" s="52"/>
    </row>
    <row r="257" spans="1:8" x14ac:dyDescent="0.25">
      <c r="A257" s="52"/>
      <c r="B257" s="52" t="s">
        <v>552</v>
      </c>
      <c r="C257" s="52">
        <v>-0.5</v>
      </c>
      <c r="D257" s="52">
        <v>1</v>
      </c>
      <c r="E257" s="52"/>
      <c r="F257" s="52">
        <v>2.1</v>
      </c>
      <c r="G257" s="62">
        <f t="shared" si="16"/>
        <v>-1.05</v>
      </c>
      <c r="H257" s="52"/>
    </row>
    <row r="258" spans="1:8" x14ac:dyDescent="0.25">
      <c r="A258" s="52"/>
      <c r="B258" s="52" t="s">
        <v>577</v>
      </c>
      <c r="C258" s="52"/>
      <c r="D258" s="52"/>
      <c r="E258" s="52"/>
      <c r="F258" s="52"/>
      <c r="G258" s="62">
        <f t="shared" si="10"/>
        <v>0</v>
      </c>
      <c r="H258" s="52"/>
    </row>
    <row r="259" spans="1:8" x14ac:dyDescent="0.25">
      <c r="A259" s="52"/>
      <c r="B259" s="52" t="s">
        <v>663</v>
      </c>
      <c r="C259" s="52">
        <v>1</v>
      </c>
      <c r="D259" s="52">
        <v>3.2650000000000001</v>
      </c>
      <c r="E259" s="52">
        <v>3.55</v>
      </c>
      <c r="F259" s="52"/>
      <c r="G259" s="62">
        <f t="shared" si="10"/>
        <v>11.59075</v>
      </c>
      <c r="H259" s="52"/>
    </row>
    <row r="260" spans="1:8" x14ac:dyDescent="0.25">
      <c r="A260" s="52"/>
      <c r="B260" s="52" t="s">
        <v>664</v>
      </c>
      <c r="C260" s="52">
        <v>2</v>
      </c>
      <c r="D260" s="52">
        <v>3.2650000000000001</v>
      </c>
      <c r="E260" s="52"/>
      <c r="F260" s="52">
        <v>2.6749999999999998</v>
      </c>
      <c r="G260" s="62">
        <f t="shared" si="10"/>
        <v>17.467749999999999</v>
      </c>
      <c r="H260" s="52"/>
    </row>
    <row r="261" spans="1:8" x14ac:dyDescent="0.25">
      <c r="A261" s="52"/>
      <c r="B261" s="52"/>
      <c r="C261" s="52">
        <v>2</v>
      </c>
      <c r="D261" s="52">
        <v>3.55</v>
      </c>
      <c r="E261" s="52"/>
      <c r="F261" s="52">
        <v>2.6749999999999998</v>
      </c>
      <c r="G261" s="62">
        <f t="shared" si="10"/>
        <v>18.992499999999996</v>
      </c>
      <c r="H261" s="52"/>
    </row>
    <row r="262" spans="1:8" x14ac:dyDescent="0.25">
      <c r="A262" s="52"/>
      <c r="B262" s="52" t="s">
        <v>669</v>
      </c>
      <c r="C262" s="52"/>
      <c r="D262" s="52"/>
      <c r="E262" s="52"/>
      <c r="F262" s="52"/>
      <c r="G262" s="62">
        <f t="shared" si="10"/>
        <v>0</v>
      </c>
      <c r="H262" s="52"/>
    </row>
    <row r="263" spans="1:8" x14ac:dyDescent="0.25">
      <c r="A263" s="52"/>
      <c r="B263" s="52" t="s">
        <v>663</v>
      </c>
      <c r="C263" s="52">
        <v>1</v>
      </c>
      <c r="D263" s="52">
        <v>0.61499999999999999</v>
      </c>
      <c r="E263" s="52">
        <v>1.145</v>
      </c>
      <c r="F263" s="52"/>
      <c r="G263" s="62">
        <f t="shared" si="10"/>
        <v>0.704175</v>
      </c>
      <c r="H263" s="52"/>
    </row>
    <row r="264" spans="1:8" x14ac:dyDescent="0.25">
      <c r="A264" s="52"/>
      <c r="B264" s="52" t="s">
        <v>664</v>
      </c>
      <c r="C264" s="52">
        <v>2</v>
      </c>
      <c r="D264" s="52">
        <v>0.61499999999999999</v>
      </c>
      <c r="E264" s="52"/>
      <c r="F264" s="52">
        <v>2.6749999999999998</v>
      </c>
      <c r="G264" s="62">
        <f t="shared" si="10"/>
        <v>3.2902499999999999</v>
      </c>
      <c r="H264" s="52"/>
    </row>
    <row r="265" spans="1:8" x14ac:dyDescent="0.25">
      <c r="A265" s="52"/>
      <c r="B265" s="52" t="s">
        <v>667</v>
      </c>
      <c r="C265" s="52">
        <v>-0.5</v>
      </c>
      <c r="D265" s="52">
        <v>1</v>
      </c>
      <c r="E265" s="52"/>
      <c r="F265" s="52">
        <v>2.1</v>
      </c>
      <c r="G265" s="62">
        <f t="shared" si="10"/>
        <v>-1.05</v>
      </c>
      <c r="H265" s="52"/>
    </row>
    <row r="266" spans="1:8" x14ac:dyDescent="0.25">
      <c r="A266" s="52"/>
      <c r="B266" s="52" t="s">
        <v>553</v>
      </c>
      <c r="C266" s="52">
        <v>-0.5</v>
      </c>
      <c r="D266" s="52">
        <v>0.75</v>
      </c>
      <c r="E266" s="52"/>
      <c r="F266" s="52">
        <v>2.1</v>
      </c>
      <c r="G266" s="62">
        <f t="shared" ref="G266" si="17">+PRODUCT(C266:F266)</f>
        <v>-0.78750000000000009</v>
      </c>
      <c r="H266" s="52"/>
    </row>
    <row r="267" spans="1:8" x14ac:dyDescent="0.25">
      <c r="A267" s="52"/>
      <c r="B267" s="52" t="s">
        <v>579</v>
      </c>
      <c r="C267" s="52">
        <v>-0.5</v>
      </c>
      <c r="D267" s="52">
        <v>1.5</v>
      </c>
      <c r="E267" s="52"/>
      <c r="F267" s="52">
        <v>1.5</v>
      </c>
      <c r="G267" s="62">
        <f t="shared" si="10"/>
        <v>-1.125</v>
      </c>
      <c r="H267" s="52"/>
    </row>
    <row r="268" spans="1:8" x14ac:dyDescent="0.25">
      <c r="A268" s="52"/>
      <c r="B268" s="52" t="s">
        <v>683</v>
      </c>
      <c r="C268" s="52"/>
      <c r="D268" s="52"/>
      <c r="E268" s="52"/>
      <c r="F268" s="52"/>
      <c r="G268" s="62">
        <f t="shared" si="10"/>
        <v>0</v>
      </c>
      <c r="H268" s="52"/>
    </row>
    <row r="269" spans="1:8" x14ac:dyDescent="0.25">
      <c r="A269" s="52"/>
      <c r="B269" s="52" t="s">
        <v>684</v>
      </c>
      <c r="C269" s="52">
        <v>2</v>
      </c>
      <c r="D269" s="52">
        <v>1.5249999999999999</v>
      </c>
      <c r="E269" s="52"/>
      <c r="F269" s="52">
        <v>2.35</v>
      </c>
      <c r="G269" s="62">
        <f t="shared" si="10"/>
        <v>7.1674999999999995</v>
      </c>
      <c r="H269" s="52"/>
    </row>
    <row r="270" spans="1:8" x14ac:dyDescent="0.25">
      <c r="A270" s="52"/>
      <c r="B270" s="56"/>
      <c r="C270" s="52">
        <v>2</v>
      </c>
      <c r="D270" s="52">
        <v>2.2999999999999998</v>
      </c>
      <c r="E270" s="52"/>
      <c r="F270" s="52">
        <v>2.35</v>
      </c>
      <c r="G270" s="62">
        <f t="shared" si="10"/>
        <v>10.809999999999999</v>
      </c>
      <c r="H270" s="52"/>
    </row>
    <row r="271" spans="1:8" x14ac:dyDescent="0.25">
      <c r="A271" s="52"/>
      <c r="B271" s="52" t="s">
        <v>678</v>
      </c>
      <c r="C271" s="52">
        <v>-0.5</v>
      </c>
      <c r="D271" s="52">
        <v>0.75</v>
      </c>
      <c r="E271" s="52"/>
      <c r="F271" s="52">
        <v>2.1</v>
      </c>
      <c r="G271" s="62">
        <f t="shared" si="10"/>
        <v>-0.78750000000000009</v>
      </c>
      <c r="H271" s="52"/>
    </row>
    <row r="272" spans="1:8" x14ac:dyDescent="0.25">
      <c r="A272" s="52"/>
      <c r="B272" s="52" t="s">
        <v>668</v>
      </c>
      <c r="C272" s="52"/>
      <c r="D272" s="52"/>
      <c r="E272" s="52"/>
      <c r="F272" s="52"/>
      <c r="G272" s="62">
        <f t="shared" si="10"/>
        <v>0</v>
      </c>
      <c r="H272" s="52"/>
    </row>
    <row r="273" spans="1:8" x14ac:dyDescent="0.25">
      <c r="A273" s="52"/>
      <c r="B273" s="52" t="s">
        <v>663</v>
      </c>
      <c r="C273" s="52">
        <v>1</v>
      </c>
      <c r="D273" s="52">
        <v>3.11</v>
      </c>
      <c r="E273" s="52">
        <v>1.1499999999999999</v>
      </c>
      <c r="F273" s="52"/>
      <c r="G273" s="62">
        <f t="shared" si="10"/>
        <v>3.5764999999999998</v>
      </c>
      <c r="H273" s="52"/>
    </row>
    <row r="274" spans="1:8" x14ac:dyDescent="0.25">
      <c r="A274" s="52"/>
      <c r="B274" s="52" t="s">
        <v>664</v>
      </c>
      <c r="C274" s="52">
        <v>2</v>
      </c>
      <c r="D274" s="52">
        <v>3.11</v>
      </c>
      <c r="E274" s="52"/>
      <c r="F274" s="52">
        <v>2.6749999999999998</v>
      </c>
      <c r="G274" s="62">
        <f t="shared" si="10"/>
        <v>16.638499999999997</v>
      </c>
      <c r="H274" s="52"/>
    </row>
    <row r="275" spans="1:8" x14ac:dyDescent="0.25">
      <c r="A275" s="52"/>
      <c r="B275" s="52"/>
      <c r="C275" s="52">
        <v>1</v>
      </c>
      <c r="D275" s="52">
        <v>1.1499999999999999</v>
      </c>
      <c r="E275" s="52"/>
      <c r="F275" s="52">
        <v>2.6749999999999998</v>
      </c>
      <c r="G275" s="62">
        <f t="shared" si="10"/>
        <v>3.0762499999999995</v>
      </c>
      <c r="H275" s="52"/>
    </row>
    <row r="276" spans="1:8" x14ac:dyDescent="0.25">
      <c r="A276" s="52"/>
      <c r="B276" s="52" t="s">
        <v>667</v>
      </c>
      <c r="C276" s="52">
        <v>-1.5</v>
      </c>
      <c r="D276" s="52">
        <v>1</v>
      </c>
      <c r="E276" s="52"/>
      <c r="F276" s="52">
        <v>2.1</v>
      </c>
      <c r="G276" s="62">
        <f t="shared" si="10"/>
        <v>-3.1500000000000004</v>
      </c>
      <c r="H276" s="52"/>
    </row>
    <row r="277" spans="1:8" x14ac:dyDescent="0.25">
      <c r="A277" s="52"/>
      <c r="B277" s="52" t="s">
        <v>553</v>
      </c>
      <c r="C277" s="52">
        <v>-0.5</v>
      </c>
      <c r="D277" s="52">
        <v>0.75</v>
      </c>
      <c r="E277" s="52"/>
      <c r="F277" s="52">
        <v>2.1</v>
      </c>
      <c r="G277" s="62">
        <f t="shared" ref="G277:G526" si="18">+PRODUCT(C277:F277)</f>
        <v>-0.78750000000000009</v>
      </c>
      <c r="H277" s="52"/>
    </row>
    <row r="278" spans="1:8" x14ac:dyDescent="0.25">
      <c r="A278" s="52"/>
      <c r="B278" s="52" t="s">
        <v>557</v>
      </c>
      <c r="C278" s="52"/>
      <c r="D278" s="52"/>
      <c r="E278" s="52"/>
      <c r="F278" s="52"/>
      <c r="G278" s="62">
        <f t="shared" si="18"/>
        <v>0</v>
      </c>
      <c r="H278" s="52"/>
    </row>
    <row r="279" spans="1:8" x14ac:dyDescent="0.25">
      <c r="A279" s="52"/>
      <c r="B279" s="52" t="s">
        <v>663</v>
      </c>
      <c r="C279" s="52">
        <v>1</v>
      </c>
      <c r="D279" s="52">
        <v>3.415</v>
      </c>
      <c r="E279" s="52">
        <v>3.0750000000000002</v>
      </c>
      <c r="F279" s="52"/>
      <c r="G279" s="62">
        <f t="shared" si="18"/>
        <v>10.501125</v>
      </c>
      <c r="H279" s="52"/>
    </row>
    <row r="280" spans="1:8" x14ac:dyDescent="0.25">
      <c r="A280" s="52"/>
      <c r="B280" s="52" t="s">
        <v>664</v>
      </c>
      <c r="C280" s="52">
        <v>2</v>
      </c>
      <c r="D280" s="52">
        <v>3.0750000000000002</v>
      </c>
      <c r="E280" s="52"/>
      <c r="F280" s="52">
        <v>2.6749999999999998</v>
      </c>
      <c r="G280" s="62">
        <f t="shared" si="18"/>
        <v>16.451249999999998</v>
      </c>
      <c r="H280" s="52"/>
    </row>
    <row r="281" spans="1:8" x14ac:dyDescent="0.25">
      <c r="A281" s="52"/>
      <c r="B281" s="52"/>
      <c r="C281" s="52">
        <v>1</v>
      </c>
      <c r="D281" s="52">
        <v>3.415</v>
      </c>
      <c r="E281" s="52"/>
      <c r="F281" s="52">
        <v>2.6749999999999998</v>
      </c>
      <c r="G281" s="62">
        <f t="shared" si="18"/>
        <v>9.1351249999999986</v>
      </c>
      <c r="H281" s="52"/>
    </row>
    <row r="282" spans="1:8" x14ac:dyDescent="0.25">
      <c r="A282" s="52"/>
      <c r="B282" s="52" t="s">
        <v>558</v>
      </c>
      <c r="C282" s="52">
        <v>-1</v>
      </c>
      <c r="D282" s="52">
        <v>2.4500000000000002</v>
      </c>
      <c r="E282" s="52"/>
      <c r="F282" s="52">
        <v>2.4</v>
      </c>
      <c r="G282" s="62">
        <f t="shared" si="18"/>
        <v>-5.88</v>
      </c>
      <c r="H282" s="52"/>
    </row>
    <row r="283" spans="1:8" x14ac:dyDescent="0.25">
      <c r="A283" s="52"/>
      <c r="B283" s="52" t="s">
        <v>685</v>
      </c>
      <c r="C283" s="52">
        <v>2</v>
      </c>
      <c r="D283" s="52">
        <v>0.2</v>
      </c>
      <c r="E283" s="52"/>
      <c r="F283" s="52">
        <v>2.4</v>
      </c>
      <c r="G283" s="62">
        <f t="shared" si="18"/>
        <v>0.96</v>
      </c>
      <c r="H283" s="52"/>
    </row>
    <row r="284" spans="1:8" x14ac:dyDescent="0.25">
      <c r="A284" s="52"/>
      <c r="B284" s="52" t="s">
        <v>671</v>
      </c>
      <c r="C284" s="52">
        <v>1</v>
      </c>
      <c r="D284" s="52">
        <v>2.4500000000000002</v>
      </c>
      <c r="E284" s="52">
        <v>0.2</v>
      </c>
      <c r="F284" s="52"/>
      <c r="G284" s="62">
        <f t="shared" si="18"/>
        <v>0.49000000000000005</v>
      </c>
      <c r="H284" s="52"/>
    </row>
    <row r="285" spans="1:8" x14ac:dyDescent="0.25">
      <c r="A285" s="52"/>
      <c r="B285" s="52" t="s">
        <v>686</v>
      </c>
      <c r="C285" s="52"/>
      <c r="D285" s="52"/>
      <c r="E285" s="52"/>
      <c r="F285" s="52"/>
      <c r="G285" s="62">
        <f t="shared" si="18"/>
        <v>0</v>
      </c>
      <c r="H285" s="52"/>
    </row>
    <row r="286" spans="1:8" x14ac:dyDescent="0.25">
      <c r="A286" s="52"/>
      <c r="B286" s="52" t="s">
        <v>663</v>
      </c>
      <c r="C286" s="52">
        <v>1</v>
      </c>
      <c r="D286" s="52">
        <v>5.2249999999999996</v>
      </c>
      <c r="E286" s="52">
        <v>3.27</v>
      </c>
      <c r="F286" s="52"/>
      <c r="G286" s="62">
        <f t="shared" si="18"/>
        <v>17.085749999999997</v>
      </c>
      <c r="H286" s="52"/>
    </row>
    <row r="287" spans="1:8" x14ac:dyDescent="0.25">
      <c r="A287" s="52"/>
      <c r="B287" s="52"/>
      <c r="C287" s="52">
        <v>1</v>
      </c>
      <c r="D287" s="52">
        <v>1.2749999999999999</v>
      </c>
      <c r="E287" s="52">
        <v>1.59</v>
      </c>
      <c r="F287" s="52"/>
      <c r="G287" s="62">
        <f t="shared" ref="G287" si="19">+PRODUCT(C287:F287)</f>
        <v>2.02725</v>
      </c>
      <c r="H287" s="52"/>
    </row>
    <row r="288" spans="1:8" x14ac:dyDescent="0.25">
      <c r="A288" s="52"/>
      <c r="B288" s="52" t="s">
        <v>664</v>
      </c>
      <c r="C288" s="52">
        <v>2</v>
      </c>
      <c r="D288" s="52">
        <v>4.5449999999999999</v>
      </c>
      <c r="E288" s="52"/>
      <c r="F288" s="52">
        <v>2.6749999999999998</v>
      </c>
      <c r="G288" s="62">
        <f t="shared" si="18"/>
        <v>24.315749999999998</v>
      </c>
      <c r="H288" s="52"/>
    </row>
    <row r="289" spans="1:13" x14ac:dyDescent="0.25">
      <c r="A289" s="52"/>
      <c r="B289" s="52"/>
      <c r="C289" s="52">
        <v>1</v>
      </c>
      <c r="D289" s="52">
        <v>5.2249999999999996</v>
      </c>
      <c r="E289" s="52"/>
      <c r="F289" s="52">
        <v>2.6749999999999998</v>
      </c>
      <c r="G289" s="62">
        <f t="shared" si="18"/>
        <v>13.976874999999998</v>
      </c>
      <c r="H289" s="52"/>
    </row>
    <row r="290" spans="1:13" x14ac:dyDescent="0.25">
      <c r="A290" s="52"/>
      <c r="B290" s="52"/>
      <c r="C290" s="52">
        <v>1</v>
      </c>
      <c r="D290" s="52">
        <v>1.91</v>
      </c>
      <c r="E290" s="52"/>
      <c r="F290" s="52">
        <v>2.6749999999999998</v>
      </c>
      <c r="G290" s="62">
        <f t="shared" si="18"/>
        <v>5.1092499999999994</v>
      </c>
      <c r="H290" s="52"/>
    </row>
    <row r="291" spans="1:13" x14ac:dyDescent="0.25">
      <c r="A291" s="52"/>
      <c r="B291" s="52" t="s">
        <v>571</v>
      </c>
      <c r="C291" s="52">
        <v>-0.5</v>
      </c>
      <c r="D291" s="52">
        <v>1.2</v>
      </c>
      <c r="E291" s="52"/>
      <c r="F291" s="52">
        <v>2.2999999999999998</v>
      </c>
      <c r="G291" s="62">
        <f t="shared" si="18"/>
        <v>-1.38</v>
      </c>
      <c r="H291" s="52"/>
    </row>
    <row r="292" spans="1:13" x14ac:dyDescent="0.25">
      <c r="A292" s="52"/>
      <c r="B292" s="52" t="s">
        <v>687</v>
      </c>
      <c r="C292" s="52">
        <v>-0.5</v>
      </c>
      <c r="D292" s="52">
        <v>1.2</v>
      </c>
      <c r="E292" s="52"/>
      <c r="F292" s="52">
        <v>2.35</v>
      </c>
      <c r="G292" s="62">
        <f t="shared" si="18"/>
        <v>-1.41</v>
      </c>
      <c r="H292" s="52"/>
      <c r="M292">
        <f>2.4*1.55</f>
        <v>3.7199999999999998</v>
      </c>
    </row>
    <row r="293" spans="1:13" x14ac:dyDescent="0.25">
      <c r="A293" s="52"/>
      <c r="B293" s="52" t="s">
        <v>688</v>
      </c>
      <c r="C293" s="52">
        <v>-0.5</v>
      </c>
      <c r="D293" s="52">
        <v>1.1499999999999999</v>
      </c>
      <c r="E293" s="52"/>
      <c r="F293" s="52">
        <f>2.95-0.15-0.45</f>
        <v>2.35</v>
      </c>
      <c r="G293" s="62">
        <f t="shared" si="18"/>
        <v>-1.3512499999999998</v>
      </c>
      <c r="H293" s="52"/>
    </row>
    <row r="294" spans="1:13" x14ac:dyDescent="0.25">
      <c r="A294" s="52"/>
      <c r="B294" s="52" t="s">
        <v>683</v>
      </c>
      <c r="C294" s="52"/>
      <c r="D294" s="52"/>
      <c r="E294" s="52"/>
      <c r="F294" s="52"/>
      <c r="G294" s="62">
        <f t="shared" si="18"/>
        <v>0</v>
      </c>
      <c r="H294" s="52"/>
    </row>
    <row r="295" spans="1:13" x14ac:dyDescent="0.25">
      <c r="A295" s="52"/>
      <c r="B295" s="52" t="s">
        <v>684</v>
      </c>
      <c r="C295" s="52">
        <v>2</v>
      </c>
      <c r="D295" s="52">
        <v>1.5249999999999999</v>
      </c>
      <c r="E295" s="52"/>
      <c r="F295" s="52">
        <v>2.35</v>
      </c>
      <c r="G295" s="62">
        <f t="shared" si="18"/>
        <v>7.1674999999999995</v>
      </c>
      <c r="H295" s="52"/>
    </row>
    <row r="296" spans="1:13" x14ac:dyDescent="0.25">
      <c r="A296" s="52"/>
      <c r="B296" s="56"/>
      <c r="C296" s="52">
        <v>2</v>
      </c>
      <c r="D296" s="52">
        <v>2.2999999999999998</v>
      </c>
      <c r="E296" s="52"/>
      <c r="F296" s="52">
        <v>2.35</v>
      </c>
      <c r="G296" s="62">
        <f t="shared" si="18"/>
        <v>10.809999999999999</v>
      </c>
      <c r="H296" s="52"/>
    </row>
    <row r="297" spans="1:13" x14ac:dyDescent="0.25">
      <c r="A297" s="52"/>
      <c r="B297" s="52" t="s">
        <v>678</v>
      </c>
      <c r="C297" s="52">
        <v>-0.5</v>
      </c>
      <c r="D297" s="52">
        <v>0.75</v>
      </c>
      <c r="E297" s="52"/>
      <c r="F297" s="52">
        <v>2.1</v>
      </c>
      <c r="G297" s="62">
        <f t="shared" si="18"/>
        <v>-0.78750000000000009</v>
      </c>
      <c r="H297" s="52"/>
    </row>
    <row r="298" spans="1:13" x14ac:dyDescent="0.25">
      <c r="A298" s="52"/>
      <c r="B298" s="52" t="s">
        <v>394</v>
      </c>
      <c r="C298" s="52"/>
      <c r="D298" s="52"/>
      <c r="E298" s="52"/>
      <c r="F298" s="52"/>
      <c r="G298" s="62">
        <f t="shared" si="18"/>
        <v>0</v>
      </c>
      <c r="H298" s="52"/>
    </row>
    <row r="299" spans="1:13" x14ac:dyDescent="0.25">
      <c r="A299" s="52"/>
      <c r="B299" s="52" t="s">
        <v>663</v>
      </c>
      <c r="C299" s="52">
        <v>1</v>
      </c>
      <c r="D299" s="52">
        <v>3.5350000000000001</v>
      </c>
      <c r="E299" s="52">
        <v>2.3450000000000002</v>
      </c>
      <c r="F299" s="52"/>
      <c r="G299" s="62">
        <f t="shared" si="18"/>
        <v>8.289575000000001</v>
      </c>
      <c r="H299" s="52"/>
    </row>
    <row r="300" spans="1:13" x14ac:dyDescent="0.25">
      <c r="A300" s="52"/>
      <c r="B300" s="52" t="s">
        <v>664</v>
      </c>
      <c r="C300" s="52">
        <v>2</v>
      </c>
      <c r="D300" s="52">
        <v>3.5350000000000001</v>
      </c>
      <c r="E300" s="52"/>
      <c r="F300" s="52">
        <v>2.6749999999999998</v>
      </c>
      <c r="G300" s="62">
        <f t="shared" si="18"/>
        <v>18.91225</v>
      </c>
      <c r="H300" s="52"/>
    </row>
    <row r="301" spans="1:13" x14ac:dyDescent="0.25">
      <c r="A301" s="52"/>
      <c r="B301" s="52"/>
      <c r="C301" s="52">
        <v>2</v>
      </c>
      <c r="D301" s="52">
        <v>2.3450000000000002</v>
      </c>
      <c r="E301" s="52"/>
      <c r="F301" s="52">
        <v>2.6749999999999998</v>
      </c>
      <c r="G301" s="62">
        <f t="shared" si="18"/>
        <v>12.54575</v>
      </c>
      <c r="H301" s="52"/>
    </row>
    <row r="302" spans="1:13" x14ac:dyDescent="0.25">
      <c r="A302" s="52"/>
      <c r="B302" s="52" t="s">
        <v>580</v>
      </c>
      <c r="C302" s="52">
        <v>-1</v>
      </c>
      <c r="D302" s="52">
        <v>1.55</v>
      </c>
      <c r="E302" s="52"/>
      <c r="F302" s="52">
        <v>2.2999999999999998</v>
      </c>
      <c r="G302" s="62">
        <f t="shared" si="18"/>
        <v>-3.5649999999999999</v>
      </c>
      <c r="H302" s="52"/>
    </row>
    <row r="303" spans="1:13" x14ac:dyDescent="0.25">
      <c r="A303" s="52"/>
      <c r="B303" s="52" t="s">
        <v>685</v>
      </c>
      <c r="C303" s="52">
        <v>2</v>
      </c>
      <c r="D303" s="52">
        <v>0.2</v>
      </c>
      <c r="E303" s="52"/>
      <c r="F303" s="52">
        <v>2.2999999999999998</v>
      </c>
      <c r="G303" s="62">
        <f t="shared" si="18"/>
        <v>0.91999999999999993</v>
      </c>
      <c r="H303" s="52"/>
    </row>
    <row r="304" spans="1:13" x14ac:dyDescent="0.25">
      <c r="A304" s="52"/>
      <c r="B304" s="52" t="s">
        <v>671</v>
      </c>
      <c r="C304" s="52">
        <v>1</v>
      </c>
      <c r="D304" s="52">
        <v>1.55</v>
      </c>
      <c r="E304" s="52">
        <v>0.2</v>
      </c>
      <c r="F304" s="52"/>
      <c r="G304" s="62">
        <f t="shared" si="18"/>
        <v>0.31000000000000005</v>
      </c>
      <c r="H304" s="52"/>
    </row>
    <row r="305" spans="1:8" x14ac:dyDescent="0.25">
      <c r="A305" s="52"/>
      <c r="B305" s="52" t="s">
        <v>665</v>
      </c>
      <c r="C305" s="52">
        <v>-0.5</v>
      </c>
      <c r="D305" s="52">
        <v>1.2</v>
      </c>
      <c r="E305" s="52"/>
      <c r="F305" s="52">
        <v>2.35</v>
      </c>
      <c r="G305" s="62">
        <f t="shared" si="18"/>
        <v>-1.41</v>
      </c>
      <c r="H305" s="52"/>
    </row>
    <row r="306" spans="1:8" x14ac:dyDescent="0.25">
      <c r="A306" s="52"/>
      <c r="B306" s="52" t="s">
        <v>689</v>
      </c>
      <c r="C306" s="52"/>
      <c r="D306" s="52"/>
      <c r="E306" s="52"/>
      <c r="F306" s="52"/>
      <c r="G306" s="62"/>
      <c r="H306" s="52"/>
    </row>
    <row r="307" spans="1:8" x14ac:dyDescent="0.25">
      <c r="A307" s="52"/>
      <c r="B307" s="52" t="s">
        <v>663</v>
      </c>
      <c r="C307" s="52">
        <v>1</v>
      </c>
      <c r="D307" s="52">
        <v>5.8449999999999998</v>
      </c>
      <c r="E307" s="52">
        <v>1.5</v>
      </c>
      <c r="F307" s="52"/>
      <c r="G307" s="62">
        <f t="shared" ref="G307" si="20">+PRODUCT(C307:F307)</f>
        <v>8.7675000000000001</v>
      </c>
      <c r="H307" s="52"/>
    </row>
    <row r="308" spans="1:8" x14ac:dyDescent="0.25">
      <c r="A308" s="52"/>
      <c r="B308" s="52" t="s">
        <v>663</v>
      </c>
      <c r="C308" s="52">
        <v>1</v>
      </c>
      <c r="D308" s="52">
        <v>3.5150000000000001</v>
      </c>
      <c r="E308" s="52">
        <v>1.5</v>
      </c>
      <c r="F308" s="52"/>
      <c r="G308" s="62">
        <f t="shared" si="18"/>
        <v>5.2725</v>
      </c>
      <c r="H308" s="52"/>
    </row>
    <row r="309" spans="1:8" x14ac:dyDescent="0.25">
      <c r="A309" s="52"/>
      <c r="B309" s="52" t="s">
        <v>663</v>
      </c>
      <c r="C309" s="52">
        <v>1</v>
      </c>
      <c r="D309" s="52">
        <v>1.55</v>
      </c>
      <c r="E309" s="52">
        <v>1.5</v>
      </c>
      <c r="F309" s="52"/>
      <c r="G309" s="62">
        <f t="shared" si="18"/>
        <v>2.3250000000000002</v>
      </c>
      <c r="H309" s="52"/>
    </row>
    <row r="310" spans="1:8" x14ac:dyDescent="0.25">
      <c r="A310" s="52"/>
      <c r="B310" s="56" t="s">
        <v>581</v>
      </c>
      <c r="C310" s="52"/>
      <c r="D310" s="52"/>
      <c r="E310" s="52"/>
      <c r="F310" s="52"/>
      <c r="G310" s="62">
        <f t="shared" si="18"/>
        <v>0</v>
      </c>
      <c r="H310" s="52"/>
    </row>
    <row r="311" spans="1:8" x14ac:dyDescent="0.25">
      <c r="A311" s="52"/>
      <c r="B311" s="52" t="s">
        <v>690</v>
      </c>
      <c r="C311" s="52"/>
      <c r="D311" s="52"/>
      <c r="E311" s="52"/>
      <c r="F311" s="52"/>
      <c r="G311" s="62">
        <f t="shared" si="18"/>
        <v>0</v>
      </c>
      <c r="H311" s="52"/>
    </row>
    <row r="312" spans="1:8" x14ac:dyDescent="0.25">
      <c r="A312" s="52"/>
      <c r="B312" s="52" t="s">
        <v>663</v>
      </c>
      <c r="C312" s="52">
        <v>1</v>
      </c>
      <c r="D312" s="52">
        <v>3.96</v>
      </c>
      <c r="E312" s="52">
        <v>3.3650000000000002</v>
      </c>
      <c r="F312" s="52"/>
      <c r="G312" s="62">
        <f t="shared" si="18"/>
        <v>13.3254</v>
      </c>
      <c r="H312" s="52"/>
    </row>
    <row r="313" spans="1:8" x14ac:dyDescent="0.25">
      <c r="A313" s="52"/>
      <c r="B313" s="52" t="s">
        <v>664</v>
      </c>
      <c r="C313" s="52">
        <v>2</v>
      </c>
      <c r="D313" s="52">
        <v>3.96</v>
      </c>
      <c r="E313" s="52"/>
      <c r="F313" s="52">
        <v>2.6749999999999998</v>
      </c>
      <c r="G313" s="62">
        <f t="shared" si="18"/>
        <v>21.186</v>
      </c>
      <c r="H313" s="52"/>
    </row>
    <row r="314" spans="1:8" x14ac:dyDescent="0.25">
      <c r="A314" s="52"/>
      <c r="B314" s="52"/>
      <c r="C314" s="52">
        <v>2</v>
      </c>
      <c r="D314" s="52">
        <v>3.3650000000000002</v>
      </c>
      <c r="E314" s="52"/>
      <c r="F314" s="52">
        <v>2.6749999999999998</v>
      </c>
      <c r="G314" s="62">
        <f t="shared" si="18"/>
        <v>18.002749999999999</v>
      </c>
      <c r="H314" s="52"/>
    </row>
    <row r="315" spans="1:8" x14ac:dyDescent="0.25">
      <c r="A315" s="52"/>
      <c r="B315" s="52" t="s">
        <v>681</v>
      </c>
      <c r="C315" s="52"/>
      <c r="D315" s="52"/>
      <c r="E315" s="52"/>
      <c r="F315" s="52"/>
      <c r="G315" s="62">
        <f t="shared" si="18"/>
        <v>0</v>
      </c>
      <c r="H315" s="52"/>
    </row>
    <row r="316" spans="1:8" x14ac:dyDescent="0.25">
      <c r="A316" s="52"/>
      <c r="B316" s="52" t="s">
        <v>663</v>
      </c>
      <c r="C316" s="52">
        <v>1</v>
      </c>
      <c r="D316" s="52">
        <v>1.5249999999999999</v>
      </c>
      <c r="E316" s="52">
        <v>1.4950000000000001</v>
      </c>
      <c r="F316" s="52"/>
      <c r="G316" s="62">
        <f t="shared" si="18"/>
        <v>2.2798750000000001</v>
      </c>
      <c r="H316" s="52"/>
    </row>
    <row r="317" spans="1:8" x14ac:dyDescent="0.25">
      <c r="A317" s="52"/>
      <c r="B317" s="52" t="s">
        <v>664</v>
      </c>
      <c r="C317" s="52">
        <v>2</v>
      </c>
      <c r="D317" s="52">
        <v>1.5249999999999999</v>
      </c>
      <c r="E317" s="52"/>
      <c r="F317" s="52">
        <v>2.6749999999999998</v>
      </c>
      <c r="G317" s="62">
        <f t="shared" si="18"/>
        <v>8.1587499999999995</v>
      </c>
      <c r="H317" s="52"/>
    </row>
    <row r="318" spans="1:8" x14ac:dyDescent="0.25">
      <c r="A318" s="52"/>
      <c r="B318" s="52"/>
      <c r="C318" s="52">
        <v>2</v>
      </c>
      <c r="D318" s="52">
        <v>1.4950000000000001</v>
      </c>
      <c r="E318" s="52"/>
      <c r="F318" s="52">
        <v>2.6749999999999998</v>
      </c>
      <c r="G318" s="62">
        <f t="shared" si="18"/>
        <v>7.9982499999999996</v>
      </c>
      <c r="H318" s="52"/>
    </row>
    <row r="319" spans="1:8" x14ac:dyDescent="0.25">
      <c r="A319" s="52"/>
      <c r="B319" s="52" t="s">
        <v>550</v>
      </c>
      <c r="C319" s="52">
        <v>-1</v>
      </c>
      <c r="D319" s="52">
        <v>2.0649999999999999</v>
      </c>
      <c r="E319" s="52"/>
      <c r="F319" s="52">
        <v>2.2999999999999998</v>
      </c>
      <c r="G319" s="62">
        <f>+PRODUCT(C319:F319)</f>
        <v>-4.7494999999999994</v>
      </c>
      <c r="H319" s="52"/>
    </row>
    <row r="320" spans="1:8" x14ac:dyDescent="0.25">
      <c r="A320" s="52"/>
      <c r="B320" s="52" t="s">
        <v>670</v>
      </c>
      <c r="C320" s="52">
        <v>2</v>
      </c>
      <c r="D320" s="52">
        <v>0.2</v>
      </c>
      <c r="E320" s="52"/>
      <c r="F320" s="52">
        <v>2.2999999999999998</v>
      </c>
      <c r="G320" s="62">
        <f t="shared" ref="G320:G336" si="21">+PRODUCT(C320:F320)</f>
        <v>0.91999999999999993</v>
      </c>
      <c r="H320" s="52"/>
    </row>
    <row r="321" spans="1:8" x14ac:dyDescent="0.25">
      <c r="A321" s="52"/>
      <c r="B321" s="52" t="s">
        <v>671</v>
      </c>
      <c r="C321" s="52">
        <v>1</v>
      </c>
      <c r="D321" s="52">
        <v>2.0649999999999999</v>
      </c>
      <c r="E321" s="52">
        <v>0.2</v>
      </c>
      <c r="F321" s="52"/>
      <c r="G321" s="62">
        <f t="shared" si="21"/>
        <v>0.41300000000000003</v>
      </c>
      <c r="H321" s="52"/>
    </row>
    <row r="322" spans="1:8" x14ac:dyDescent="0.25">
      <c r="A322" s="52"/>
      <c r="B322" s="52" t="s">
        <v>552</v>
      </c>
      <c r="C322" s="52">
        <v>-0.5</v>
      </c>
      <c r="D322" s="52">
        <v>1</v>
      </c>
      <c r="E322" s="52"/>
      <c r="F322" s="52">
        <v>2.1</v>
      </c>
      <c r="G322" s="62">
        <f t="shared" si="21"/>
        <v>-1.05</v>
      </c>
      <c r="H322" s="52"/>
    </row>
    <row r="323" spans="1:8" x14ac:dyDescent="0.25">
      <c r="A323" s="52"/>
      <c r="B323" s="52" t="s">
        <v>553</v>
      </c>
      <c r="C323" s="52">
        <v>-0.5</v>
      </c>
      <c r="D323" s="52">
        <v>0.75</v>
      </c>
      <c r="E323" s="52"/>
      <c r="F323" s="52">
        <v>2.1</v>
      </c>
      <c r="G323" s="62">
        <f t="shared" si="21"/>
        <v>-0.78750000000000009</v>
      </c>
      <c r="H323" s="52"/>
    </row>
    <row r="324" spans="1:8" x14ac:dyDescent="0.25">
      <c r="A324" s="52"/>
      <c r="B324" s="52" t="s">
        <v>665</v>
      </c>
      <c r="C324" s="52">
        <v>-0.5</v>
      </c>
      <c r="D324" s="52">
        <v>0.8</v>
      </c>
      <c r="E324" s="52"/>
      <c r="F324" s="52">
        <f>2.95-0.15-0.45</f>
        <v>2.35</v>
      </c>
      <c r="G324" s="62">
        <f t="shared" si="21"/>
        <v>-0.94000000000000006</v>
      </c>
      <c r="H324" s="52"/>
    </row>
    <row r="325" spans="1:8" x14ac:dyDescent="0.25">
      <c r="A325" s="52"/>
      <c r="B325" s="52" t="s">
        <v>683</v>
      </c>
      <c r="C325" s="52"/>
      <c r="D325" s="52"/>
      <c r="E325" s="52"/>
      <c r="F325" s="52"/>
      <c r="G325" s="62">
        <f t="shared" si="21"/>
        <v>0</v>
      </c>
      <c r="H325" s="52"/>
    </row>
    <row r="326" spans="1:8" x14ac:dyDescent="0.25">
      <c r="A326" s="52"/>
      <c r="B326" s="52" t="s">
        <v>663</v>
      </c>
      <c r="C326" s="52">
        <v>0</v>
      </c>
      <c r="D326" s="52">
        <v>2.4350000000000001</v>
      </c>
      <c r="E326" s="52">
        <v>1.5249999999999999</v>
      </c>
      <c r="F326" s="52"/>
      <c r="G326" s="62">
        <f t="shared" si="21"/>
        <v>0</v>
      </c>
      <c r="H326" s="52"/>
    </row>
    <row r="327" spans="1:8" x14ac:dyDescent="0.25">
      <c r="A327" s="52"/>
      <c r="B327" s="52"/>
      <c r="C327" s="52">
        <v>2</v>
      </c>
      <c r="D327" s="52">
        <v>2.4350000000000001</v>
      </c>
      <c r="E327" s="52"/>
      <c r="F327" s="52">
        <v>2.35</v>
      </c>
      <c r="G327" s="62">
        <f t="shared" si="21"/>
        <v>11.444500000000001</v>
      </c>
      <c r="H327" s="52"/>
    </row>
    <row r="328" spans="1:8" x14ac:dyDescent="0.25">
      <c r="A328" s="52"/>
      <c r="B328" s="52"/>
      <c r="C328" s="52">
        <v>2</v>
      </c>
      <c r="D328" s="52">
        <v>1.5249999999999999</v>
      </c>
      <c r="E328" s="52"/>
      <c r="F328" s="52">
        <v>2.35</v>
      </c>
      <c r="G328" s="62">
        <f t="shared" si="21"/>
        <v>7.1674999999999995</v>
      </c>
      <c r="H328" s="52"/>
    </row>
    <row r="329" spans="1:8" x14ac:dyDescent="0.25">
      <c r="A329" s="52"/>
      <c r="B329" s="52" t="s">
        <v>678</v>
      </c>
      <c r="C329" s="52">
        <v>-0.5</v>
      </c>
      <c r="D329" s="52">
        <v>0.75</v>
      </c>
      <c r="E329" s="52"/>
      <c r="F329" s="52">
        <v>2.1</v>
      </c>
      <c r="G329" s="62">
        <f t="shared" si="21"/>
        <v>-0.78750000000000009</v>
      </c>
      <c r="H329" s="52"/>
    </row>
    <row r="330" spans="1:8" x14ac:dyDescent="0.25">
      <c r="A330" s="52"/>
      <c r="B330" s="52" t="s">
        <v>576</v>
      </c>
      <c r="C330" s="52"/>
      <c r="D330" s="52"/>
      <c r="E330" s="52"/>
      <c r="F330" s="52"/>
      <c r="G330" s="62">
        <f t="shared" si="21"/>
        <v>0</v>
      </c>
      <c r="H330" s="52"/>
    </row>
    <row r="331" spans="1:8" x14ac:dyDescent="0.25">
      <c r="A331" s="52"/>
      <c r="B331" s="52" t="s">
        <v>663</v>
      </c>
      <c r="C331" s="52">
        <v>1</v>
      </c>
      <c r="D331" s="52">
        <v>3.335</v>
      </c>
      <c r="E331" s="52">
        <v>3.96</v>
      </c>
      <c r="F331" s="52"/>
      <c r="G331" s="62">
        <f t="shared" si="21"/>
        <v>13.2066</v>
      </c>
      <c r="H331" s="52"/>
    </row>
    <row r="332" spans="1:8" x14ac:dyDescent="0.25">
      <c r="A332" s="52"/>
      <c r="B332" s="52" t="s">
        <v>664</v>
      </c>
      <c r="C332" s="52">
        <v>2</v>
      </c>
      <c r="D332" s="52">
        <v>3.96</v>
      </c>
      <c r="E332" s="52"/>
      <c r="F332" s="52">
        <v>2.6749999999999998</v>
      </c>
      <c r="G332" s="62">
        <f t="shared" si="21"/>
        <v>21.186</v>
      </c>
      <c r="H332" s="52"/>
    </row>
    <row r="333" spans="1:8" x14ac:dyDescent="0.25">
      <c r="A333" s="52"/>
      <c r="B333" s="52"/>
      <c r="C333" s="52">
        <v>2</v>
      </c>
      <c r="D333" s="52">
        <v>3.335</v>
      </c>
      <c r="E333" s="52"/>
      <c r="F333" s="52">
        <v>2.6749999999999998</v>
      </c>
      <c r="G333" s="62">
        <f t="shared" si="21"/>
        <v>17.84225</v>
      </c>
      <c r="H333" s="52"/>
    </row>
    <row r="334" spans="1:8" x14ac:dyDescent="0.25">
      <c r="A334" s="52"/>
      <c r="B334" s="52" t="s">
        <v>682</v>
      </c>
      <c r="C334" s="52"/>
      <c r="D334" s="52"/>
      <c r="E334" s="52"/>
      <c r="F334" s="52"/>
      <c r="G334" s="62">
        <f t="shared" si="21"/>
        <v>0</v>
      </c>
      <c r="H334" s="52"/>
    </row>
    <row r="335" spans="1:8" x14ac:dyDescent="0.25">
      <c r="A335" s="52"/>
      <c r="B335" s="52" t="s">
        <v>663</v>
      </c>
      <c r="C335" s="52">
        <v>1</v>
      </c>
      <c r="D335" s="52">
        <v>0.61499999999999999</v>
      </c>
      <c r="E335" s="52">
        <v>1.07</v>
      </c>
      <c r="F335" s="52"/>
      <c r="G335" s="62">
        <f t="shared" si="21"/>
        <v>0.65805000000000002</v>
      </c>
      <c r="H335" s="52"/>
    </row>
    <row r="336" spans="1:8" x14ac:dyDescent="0.25">
      <c r="A336" s="52"/>
      <c r="B336" s="52" t="s">
        <v>664</v>
      </c>
      <c r="C336" s="52">
        <v>2</v>
      </c>
      <c r="D336" s="52">
        <v>0.61499999999999999</v>
      </c>
      <c r="E336" s="52"/>
      <c r="F336" s="52">
        <v>2.6749999999999998</v>
      </c>
      <c r="G336" s="62">
        <f t="shared" si="21"/>
        <v>3.2902499999999999</v>
      </c>
      <c r="H336" s="52"/>
    </row>
    <row r="337" spans="1:8" x14ac:dyDescent="0.25">
      <c r="A337" s="52"/>
      <c r="B337" s="52" t="s">
        <v>550</v>
      </c>
      <c r="C337" s="52">
        <v>-1</v>
      </c>
      <c r="D337" s="52">
        <v>2.0649999999999999</v>
      </c>
      <c r="E337" s="52"/>
      <c r="F337" s="52">
        <v>2.2999999999999998</v>
      </c>
      <c r="G337" s="62">
        <f>+PRODUCT(C337:F337)</f>
        <v>-4.7494999999999994</v>
      </c>
      <c r="H337" s="52"/>
    </row>
    <row r="338" spans="1:8" x14ac:dyDescent="0.25">
      <c r="A338" s="52"/>
      <c r="B338" s="52" t="s">
        <v>670</v>
      </c>
      <c r="C338" s="52">
        <v>2</v>
      </c>
      <c r="D338" s="52">
        <v>0.2</v>
      </c>
      <c r="E338" s="52"/>
      <c r="F338" s="52">
        <v>2.2999999999999998</v>
      </c>
      <c r="G338" s="62">
        <f t="shared" ref="G338:G388" si="22">+PRODUCT(C338:F338)</f>
        <v>0.91999999999999993</v>
      </c>
      <c r="H338" s="52"/>
    </row>
    <row r="339" spans="1:8" x14ac:dyDescent="0.25">
      <c r="A339" s="52"/>
      <c r="B339" s="52" t="s">
        <v>671</v>
      </c>
      <c r="C339" s="52">
        <v>1</v>
      </c>
      <c r="D339" s="52">
        <v>2.0649999999999999</v>
      </c>
      <c r="E339" s="52">
        <v>0.2</v>
      </c>
      <c r="F339" s="52"/>
      <c r="G339" s="62">
        <f t="shared" si="22"/>
        <v>0.41300000000000003</v>
      </c>
      <c r="H339" s="52"/>
    </row>
    <row r="340" spans="1:8" x14ac:dyDescent="0.25">
      <c r="A340" s="52"/>
      <c r="B340" s="52" t="s">
        <v>552</v>
      </c>
      <c r="C340" s="52">
        <v>-0.5</v>
      </c>
      <c r="D340" s="52">
        <v>1</v>
      </c>
      <c r="E340" s="52"/>
      <c r="F340" s="52">
        <v>2.1</v>
      </c>
      <c r="G340" s="62">
        <f t="shared" si="22"/>
        <v>-1.05</v>
      </c>
      <c r="H340" s="52"/>
    </row>
    <row r="341" spans="1:8" x14ac:dyDescent="0.25">
      <c r="A341" s="52"/>
      <c r="B341" s="52" t="s">
        <v>577</v>
      </c>
      <c r="C341" s="52"/>
      <c r="D341" s="52"/>
      <c r="E341" s="52"/>
      <c r="F341" s="52"/>
      <c r="G341" s="62">
        <f t="shared" si="22"/>
        <v>0</v>
      </c>
      <c r="H341" s="52"/>
    </row>
    <row r="342" spans="1:8" x14ac:dyDescent="0.25">
      <c r="A342" s="52"/>
      <c r="B342" s="52" t="s">
        <v>663</v>
      </c>
      <c r="C342" s="52">
        <v>1</v>
      </c>
      <c r="D342" s="52">
        <v>3.2650000000000001</v>
      </c>
      <c r="E342" s="52">
        <v>3.55</v>
      </c>
      <c r="F342" s="52"/>
      <c r="G342" s="62">
        <f t="shared" si="22"/>
        <v>11.59075</v>
      </c>
      <c r="H342" s="52"/>
    </row>
    <row r="343" spans="1:8" x14ac:dyDescent="0.25">
      <c r="A343" s="52"/>
      <c r="B343" s="52" t="s">
        <v>664</v>
      </c>
      <c r="C343" s="52">
        <v>2</v>
      </c>
      <c r="D343" s="52">
        <v>3.2650000000000001</v>
      </c>
      <c r="E343" s="52"/>
      <c r="F343" s="52">
        <v>2.6749999999999998</v>
      </c>
      <c r="G343" s="62">
        <f t="shared" si="22"/>
        <v>17.467749999999999</v>
      </c>
      <c r="H343" s="52"/>
    </row>
    <row r="344" spans="1:8" x14ac:dyDescent="0.25">
      <c r="A344" s="52"/>
      <c r="B344" s="52"/>
      <c r="C344" s="52">
        <v>2</v>
      </c>
      <c r="D344" s="52">
        <v>3.55</v>
      </c>
      <c r="E344" s="52"/>
      <c r="F344" s="52">
        <v>2.6749999999999998</v>
      </c>
      <c r="G344" s="62">
        <f t="shared" si="22"/>
        <v>18.992499999999996</v>
      </c>
      <c r="H344" s="52"/>
    </row>
    <row r="345" spans="1:8" x14ac:dyDescent="0.25">
      <c r="A345" s="52"/>
      <c r="B345" s="52" t="s">
        <v>669</v>
      </c>
      <c r="C345" s="52"/>
      <c r="D345" s="52"/>
      <c r="E345" s="52"/>
      <c r="F345" s="52"/>
      <c r="G345" s="62">
        <f t="shared" si="22"/>
        <v>0</v>
      </c>
      <c r="H345" s="52"/>
    </row>
    <row r="346" spans="1:8" x14ac:dyDescent="0.25">
      <c r="A346" s="52"/>
      <c r="B346" s="52" t="s">
        <v>663</v>
      </c>
      <c r="C346" s="52">
        <v>1</v>
      </c>
      <c r="D346" s="52">
        <v>0.61499999999999999</v>
      </c>
      <c r="E346" s="52">
        <v>1.145</v>
      </c>
      <c r="F346" s="52"/>
      <c r="G346" s="62">
        <f t="shared" si="22"/>
        <v>0.704175</v>
      </c>
      <c r="H346" s="52"/>
    </row>
    <row r="347" spans="1:8" x14ac:dyDescent="0.25">
      <c r="A347" s="52"/>
      <c r="B347" s="52" t="s">
        <v>664</v>
      </c>
      <c r="C347" s="52">
        <v>2</v>
      </c>
      <c r="D347" s="52">
        <v>0.61499999999999999</v>
      </c>
      <c r="E347" s="52"/>
      <c r="F347" s="52">
        <v>2.6749999999999998</v>
      </c>
      <c r="G347" s="62">
        <f t="shared" si="22"/>
        <v>3.2902499999999999</v>
      </c>
      <c r="H347" s="52"/>
    </row>
    <row r="348" spans="1:8" x14ac:dyDescent="0.25">
      <c r="A348" s="52"/>
      <c r="B348" s="52" t="s">
        <v>667</v>
      </c>
      <c r="C348" s="52">
        <v>-0.5</v>
      </c>
      <c r="D348" s="52">
        <v>1</v>
      </c>
      <c r="E348" s="52"/>
      <c r="F348" s="52">
        <v>2.1</v>
      </c>
      <c r="G348" s="62">
        <f t="shared" si="22"/>
        <v>-1.05</v>
      </c>
      <c r="H348" s="52"/>
    </row>
    <row r="349" spans="1:8" x14ac:dyDescent="0.25">
      <c r="A349" s="52"/>
      <c r="B349" s="52" t="s">
        <v>553</v>
      </c>
      <c r="C349" s="52">
        <v>-0.5</v>
      </c>
      <c r="D349" s="52">
        <v>0.75</v>
      </c>
      <c r="E349" s="52"/>
      <c r="F349" s="52">
        <v>2.1</v>
      </c>
      <c r="G349" s="62">
        <f t="shared" si="22"/>
        <v>-0.78750000000000009</v>
      </c>
      <c r="H349" s="52"/>
    </row>
    <row r="350" spans="1:8" x14ac:dyDescent="0.25">
      <c r="A350" s="52"/>
      <c r="B350" s="52" t="s">
        <v>579</v>
      </c>
      <c r="C350" s="52">
        <v>-0.5</v>
      </c>
      <c r="D350" s="52">
        <v>1.5</v>
      </c>
      <c r="E350" s="52"/>
      <c r="F350" s="52">
        <v>1.5</v>
      </c>
      <c r="G350" s="62">
        <f t="shared" si="22"/>
        <v>-1.125</v>
      </c>
      <c r="H350" s="52"/>
    </row>
    <row r="351" spans="1:8" x14ac:dyDescent="0.25">
      <c r="A351" s="52"/>
      <c r="B351" s="52" t="s">
        <v>683</v>
      </c>
      <c r="C351" s="52"/>
      <c r="D351" s="52"/>
      <c r="E351" s="52"/>
      <c r="F351" s="52"/>
      <c r="G351" s="62">
        <f t="shared" si="22"/>
        <v>0</v>
      </c>
      <c r="H351" s="52"/>
    </row>
    <row r="352" spans="1:8" x14ac:dyDescent="0.25">
      <c r="A352" s="52"/>
      <c r="B352" s="52" t="s">
        <v>684</v>
      </c>
      <c r="C352" s="52">
        <v>2</v>
      </c>
      <c r="D352" s="52">
        <v>1.51</v>
      </c>
      <c r="E352" s="52"/>
      <c r="F352" s="52">
        <v>2.35</v>
      </c>
      <c r="G352" s="62">
        <f t="shared" si="22"/>
        <v>7.0970000000000004</v>
      </c>
      <c r="H352" s="52"/>
    </row>
    <row r="353" spans="1:8" x14ac:dyDescent="0.25">
      <c r="A353" s="52"/>
      <c r="B353" s="56"/>
      <c r="C353" s="52">
        <v>2</v>
      </c>
      <c r="D353" s="52">
        <v>2.2250000000000001</v>
      </c>
      <c r="E353" s="52"/>
      <c r="F353" s="52">
        <v>2.35</v>
      </c>
      <c r="G353" s="62">
        <f t="shared" si="22"/>
        <v>10.457500000000001</v>
      </c>
      <c r="H353" s="52"/>
    </row>
    <row r="354" spans="1:8" x14ac:dyDescent="0.25">
      <c r="A354" s="52"/>
      <c r="B354" s="52" t="s">
        <v>678</v>
      </c>
      <c r="C354" s="52">
        <v>-0.5</v>
      </c>
      <c r="D354" s="52">
        <v>0.75</v>
      </c>
      <c r="E354" s="52"/>
      <c r="F354" s="52">
        <v>2.1</v>
      </c>
      <c r="G354" s="62">
        <f t="shared" si="22"/>
        <v>-0.78750000000000009</v>
      </c>
      <c r="H354" s="52"/>
    </row>
    <row r="355" spans="1:8" x14ac:dyDescent="0.25">
      <c r="A355" s="52"/>
      <c r="B355" s="52" t="s">
        <v>668</v>
      </c>
      <c r="C355" s="52"/>
      <c r="D355" s="52"/>
      <c r="E355" s="52"/>
      <c r="F355" s="52"/>
      <c r="G355" s="62">
        <f t="shared" si="22"/>
        <v>0</v>
      </c>
      <c r="H355" s="52"/>
    </row>
    <row r="356" spans="1:8" x14ac:dyDescent="0.25">
      <c r="A356" s="52"/>
      <c r="B356" s="52" t="s">
        <v>663</v>
      </c>
      <c r="C356" s="52">
        <v>1</v>
      </c>
      <c r="D356" s="52">
        <v>3.11</v>
      </c>
      <c r="E356" s="52">
        <v>1.1499999999999999</v>
      </c>
      <c r="F356" s="52"/>
      <c r="G356" s="62">
        <f t="shared" si="22"/>
        <v>3.5764999999999998</v>
      </c>
      <c r="H356" s="52"/>
    </row>
    <row r="357" spans="1:8" x14ac:dyDescent="0.25">
      <c r="A357" s="52"/>
      <c r="B357" s="52" t="s">
        <v>664</v>
      </c>
      <c r="C357" s="52">
        <v>2</v>
      </c>
      <c r="D357" s="52">
        <v>3.11</v>
      </c>
      <c r="E357" s="52"/>
      <c r="F357" s="52">
        <v>2.6749999999999998</v>
      </c>
      <c r="G357" s="62">
        <f t="shared" si="22"/>
        <v>16.638499999999997</v>
      </c>
      <c r="H357" s="52"/>
    </row>
    <row r="358" spans="1:8" x14ac:dyDescent="0.25">
      <c r="A358" s="52"/>
      <c r="B358" s="52"/>
      <c r="C358" s="52">
        <v>1</v>
      </c>
      <c r="D358" s="52">
        <v>1.1499999999999999</v>
      </c>
      <c r="E358" s="52"/>
      <c r="F358" s="52">
        <v>2.6749999999999998</v>
      </c>
      <c r="G358" s="62">
        <f t="shared" si="22"/>
        <v>3.0762499999999995</v>
      </c>
      <c r="H358" s="52"/>
    </row>
    <row r="359" spans="1:8" x14ac:dyDescent="0.25">
      <c r="A359" s="52"/>
      <c r="B359" s="52" t="s">
        <v>667</v>
      </c>
      <c r="C359" s="52">
        <v>-1.5</v>
      </c>
      <c r="D359" s="52">
        <v>1</v>
      </c>
      <c r="E359" s="52"/>
      <c r="F359" s="52">
        <v>2.1</v>
      </c>
      <c r="G359" s="62">
        <f t="shared" si="22"/>
        <v>-3.1500000000000004</v>
      </c>
      <c r="H359" s="52"/>
    </row>
    <row r="360" spans="1:8" x14ac:dyDescent="0.25">
      <c r="A360" s="52"/>
      <c r="B360" s="52" t="s">
        <v>553</v>
      </c>
      <c r="C360" s="52">
        <v>-0.5</v>
      </c>
      <c r="D360" s="52">
        <v>0.75</v>
      </c>
      <c r="E360" s="52"/>
      <c r="F360" s="52">
        <v>2.1</v>
      </c>
      <c r="G360" s="62">
        <f t="shared" si="22"/>
        <v>-0.78750000000000009</v>
      </c>
      <c r="H360" s="52"/>
    </row>
    <row r="361" spans="1:8" x14ac:dyDescent="0.25">
      <c r="A361" s="52"/>
      <c r="B361" s="52" t="s">
        <v>557</v>
      </c>
      <c r="C361" s="52"/>
      <c r="D361" s="52"/>
      <c r="E361" s="52"/>
      <c r="F361" s="52"/>
      <c r="G361" s="62">
        <f t="shared" si="22"/>
        <v>0</v>
      </c>
      <c r="H361" s="52"/>
    </row>
    <row r="362" spans="1:8" x14ac:dyDescent="0.25">
      <c r="A362" s="52"/>
      <c r="B362" s="52" t="s">
        <v>663</v>
      </c>
      <c r="C362" s="52">
        <v>1</v>
      </c>
      <c r="D362" s="52">
        <v>3.34</v>
      </c>
      <c r="E362" s="52">
        <v>3.0750000000000002</v>
      </c>
      <c r="F362" s="52"/>
      <c r="G362" s="62">
        <f t="shared" si="22"/>
        <v>10.2705</v>
      </c>
      <c r="H362" s="52"/>
    </row>
    <row r="363" spans="1:8" x14ac:dyDescent="0.25">
      <c r="A363" s="52"/>
      <c r="B363" s="52" t="s">
        <v>664</v>
      </c>
      <c r="C363" s="52">
        <v>2</v>
      </c>
      <c r="D363" s="52">
        <v>3.0750000000000002</v>
      </c>
      <c r="E363" s="52"/>
      <c r="F363" s="52">
        <v>2.6749999999999998</v>
      </c>
      <c r="G363" s="62">
        <f t="shared" si="22"/>
        <v>16.451249999999998</v>
      </c>
      <c r="H363" s="52"/>
    </row>
    <row r="364" spans="1:8" x14ac:dyDescent="0.25">
      <c r="A364" s="52"/>
      <c r="B364" s="52"/>
      <c r="C364" s="52">
        <v>1</v>
      </c>
      <c r="D364" s="52">
        <v>3.34</v>
      </c>
      <c r="E364" s="52"/>
      <c r="F364" s="52">
        <v>2.6749999999999998</v>
      </c>
      <c r="G364" s="62">
        <f t="shared" si="22"/>
        <v>8.9344999999999999</v>
      </c>
      <c r="H364" s="52"/>
    </row>
    <row r="365" spans="1:8" x14ac:dyDescent="0.25">
      <c r="A365" s="52"/>
      <c r="B365" s="52" t="s">
        <v>558</v>
      </c>
      <c r="C365" s="52">
        <v>-1</v>
      </c>
      <c r="D365" s="52">
        <v>2.4500000000000002</v>
      </c>
      <c r="E365" s="52"/>
      <c r="F365" s="52">
        <v>2.4</v>
      </c>
      <c r="G365" s="62">
        <f t="shared" si="22"/>
        <v>-5.88</v>
      </c>
      <c r="H365" s="52"/>
    </row>
    <row r="366" spans="1:8" x14ac:dyDescent="0.25">
      <c r="A366" s="52"/>
      <c r="B366" s="52" t="s">
        <v>685</v>
      </c>
      <c r="C366" s="52">
        <v>2</v>
      </c>
      <c r="D366" s="52">
        <v>0.2</v>
      </c>
      <c r="E366" s="52"/>
      <c r="F366" s="52">
        <v>2.4</v>
      </c>
      <c r="G366" s="62">
        <f t="shared" si="22"/>
        <v>0.96</v>
      </c>
      <c r="H366" s="52"/>
    </row>
    <row r="367" spans="1:8" x14ac:dyDescent="0.25">
      <c r="A367" s="52"/>
      <c r="B367" s="52" t="s">
        <v>671</v>
      </c>
      <c r="C367" s="52">
        <v>1</v>
      </c>
      <c r="D367" s="52">
        <v>2.4500000000000002</v>
      </c>
      <c r="E367" s="52">
        <v>0.2</v>
      </c>
      <c r="F367" s="52"/>
      <c r="G367" s="62">
        <f t="shared" si="22"/>
        <v>0.49000000000000005</v>
      </c>
      <c r="H367" s="52"/>
    </row>
    <row r="368" spans="1:8" x14ac:dyDescent="0.25">
      <c r="A368" s="52"/>
      <c r="B368" s="52" t="s">
        <v>686</v>
      </c>
      <c r="C368" s="52"/>
      <c r="D368" s="52"/>
      <c r="E368" s="52"/>
      <c r="F368" s="52"/>
      <c r="G368" s="62">
        <f t="shared" si="22"/>
        <v>0</v>
      </c>
      <c r="H368" s="52"/>
    </row>
    <row r="369" spans="1:13" x14ac:dyDescent="0.25">
      <c r="A369" s="52"/>
      <c r="B369" s="52" t="s">
        <v>663</v>
      </c>
      <c r="C369" s="52">
        <v>1</v>
      </c>
      <c r="D369" s="52">
        <v>5.1349999999999998</v>
      </c>
      <c r="E369" s="52">
        <v>3.27</v>
      </c>
      <c r="F369" s="52"/>
      <c r="G369" s="62">
        <f t="shared" si="22"/>
        <v>16.791450000000001</v>
      </c>
      <c r="H369" s="52"/>
    </row>
    <row r="370" spans="1:13" x14ac:dyDescent="0.25">
      <c r="A370" s="52"/>
      <c r="B370" s="52" t="s">
        <v>663</v>
      </c>
      <c r="C370" s="52">
        <v>1</v>
      </c>
      <c r="D370" s="52">
        <v>1.2749999999999999</v>
      </c>
      <c r="E370" s="52">
        <v>1.59</v>
      </c>
      <c r="F370" s="52"/>
      <c r="G370" s="62">
        <f t="shared" si="22"/>
        <v>2.02725</v>
      </c>
      <c r="H370" s="52"/>
    </row>
    <row r="371" spans="1:13" x14ac:dyDescent="0.25">
      <c r="A371" s="52"/>
      <c r="B371" s="52" t="s">
        <v>664</v>
      </c>
      <c r="C371" s="52">
        <v>2</v>
      </c>
      <c r="D371" s="52">
        <v>4.5449999999999999</v>
      </c>
      <c r="E371" s="52"/>
      <c r="F371" s="52">
        <v>2.6749999999999998</v>
      </c>
      <c r="G371" s="62">
        <f t="shared" si="22"/>
        <v>24.315749999999998</v>
      </c>
      <c r="H371" s="52"/>
    </row>
    <row r="372" spans="1:13" x14ac:dyDescent="0.25">
      <c r="A372" s="52"/>
      <c r="B372" s="52"/>
      <c r="C372" s="52">
        <v>1</v>
      </c>
      <c r="D372" s="52">
        <v>5.1349999999999998</v>
      </c>
      <c r="E372" s="52"/>
      <c r="F372" s="52">
        <v>2.6749999999999998</v>
      </c>
      <c r="G372" s="62">
        <f t="shared" si="22"/>
        <v>13.736124999999998</v>
      </c>
      <c r="H372" s="52"/>
    </row>
    <row r="373" spans="1:13" x14ac:dyDescent="0.25">
      <c r="A373" s="52"/>
      <c r="B373" s="52"/>
      <c r="C373" s="52">
        <v>1</v>
      </c>
      <c r="D373" s="52">
        <v>1.91</v>
      </c>
      <c r="E373" s="52"/>
      <c r="F373" s="52">
        <v>2.6749999999999998</v>
      </c>
      <c r="G373" s="62">
        <f t="shared" si="22"/>
        <v>5.1092499999999994</v>
      </c>
      <c r="H373" s="52"/>
    </row>
    <row r="374" spans="1:13" x14ac:dyDescent="0.25">
      <c r="A374" s="52"/>
      <c r="B374" s="52" t="s">
        <v>571</v>
      </c>
      <c r="C374" s="52">
        <v>-0.5</v>
      </c>
      <c r="D374" s="52">
        <v>1.2</v>
      </c>
      <c r="E374" s="52"/>
      <c r="F374" s="52">
        <v>2.2999999999999998</v>
      </c>
      <c r="G374" s="62">
        <f t="shared" si="22"/>
        <v>-1.38</v>
      </c>
      <c r="H374" s="52"/>
    </row>
    <row r="375" spans="1:13" x14ac:dyDescent="0.25">
      <c r="A375" s="52"/>
      <c r="B375" s="52" t="s">
        <v>687</v>
      </c>
      <c r="C375" s="52">
        <v>-0.5</v>
      </c>
      <c r="D375" s="52">
        <v>1.2</v>
      </c>
      <c r="E375" s="52"/>
      <c r="F375" s="52">
        <v>2.35</v>
      </c>
      <c r="G375" s="62">
        <f t="shared" si="22"/>
        <v>-1.41</v>
      </c>
      <c r="H375" s="52"/>
      <c r="M375">
        <f>2.4*1.55</f>
        <v>3.7199999999999998</v>
      </c>
    </row>
    <row r="376" spans="1:13" x14ac:dyDescent="0.25">
      <c r="A376" s="52"/>
      <c r="B376" s="52" t="s">
        <v>688</v>
      </c>
      <c r="C376" s="52">
        <v>-0.5</v>
      </c>
      <c r="D376" s="52">
        <v>1.1499999999999999</v>
      </c>
      <c r="E376" s="52"/>
      <c r="F376" s="52">
        <f>2.95-0.15-0.45</f>
        <v>2.35</v>
      </c>
      <c r="G376" s="62">
        <f t="shared" si="22"/>
        <v>-1.3512499999999998</v>
      </c>
      <c r="H376" s="52"/>
    </row>
    <row r="377" spans="1:13" x14ac:dyDescent="0.25">
      <c r="A377" s="52"/>
      <c r="B377" s="52" t="s">
        <v>683</v>
      </c>
      <c r="C377" s="52"/>
      <c r="D377" s="52"/>
      <c r="E377" s="52"/>
      <c r="F377" s="52"/>
      <c r="G377" s="62">
        <f t="shared" si="22"/>
        <v>0</v>
      </c>
      <c r="H377" s="52"/>
    </row>
    <row r="378" spans="1:13" x14ac:dyDescent="0.25">
      <c r="A378" s="52"/>
      <c r="B378" s="52" t="s">
        <v>684</v>
      </c>
      <c r="C378" s="52">
        <v>2</v>
      </c>
      <c r="D378" s="52">
        <v>1.51</v>
      </c>
      <c r="E378" s="52"/>
      <c r="F378" s="52">
        <v>2.35</v>
      </c>
      <c r="G378" s="62">
        <f t="shared" si="22"/>
        <v>7.0970000000000004</v>
      </c>
      <c r="H378" s="52"/>
    </row>
    <row r="379" spans="1:13" x14ac:dyDescent="0.25">
      <c r="A379" s="52"/>
      <c r="B379" s="56"/>
      <c r="C379" s="52">
        <v>2</v>
      </c>
      <c r="D379" s="52">
        <v>2.2250000000000001</v>
      </c>
      <c r="E379" s="52"/>
      <c r="F379" s="52">
        <v>2.35</v>
      </c>
      <c r="G379" s="62">
        <f t="shared" si="22"/>
        <v>10.457500000000001</v>
      </c>
      <c r="H379" s="52"/>
    </row>
    <row r="380" spans="1:13" x14ac:dyDescent="0.25">
      <c r="A380" s="52"/>
      <c r="B380" s="52" t="s">
        <v>678</v>
      </c>
      <c r="C380" s="52">
        <v>-0.5</v>
      </c>
      <c r="D380" s="52">
        <v>0.75</v>
      </c>
      <c r="E380" s="52"/>
      <c r="F380" s="52">
        <v>2.1</v>
      </c>
      <c r="G380" s="62">
        <f t="shared" si="22"/>
        <v>-0.78750000000000009</v>
      </c>
      <c r="H380" s="52"/>
    </row>
    <row r="381" spans="1:13" x14ac:dyDescent="0.25">
      <c r="A381" s="52"/>
      <c r="B381" s="52" t="s">
        <v>394</v>
      </c>
      <c r="C381" s="52"/>
      <c r="D381" s="52"/>
      <c r="E381" s="52"/>
      <c r="F381" s="52"/>
      <c r="G381" s="62">
        <f t="shared" si="22"/>
        <v>0</v>
      </c>
      <c r="H381" s="52"/>
    </row>
    <row r="382" spans="1:13" x14ac:dyDescent="0.25">
      <c r="A382" s="52"/>
      <c r="B382" s="52" t="s">
        <v>663</v>
      </c>
      <c r="C382" s="52">
        <v>1</v>
      </c>
      <c r="D382" s="52">
        <v>3.5350000000000001</v>
      </c>
      <c r="E382" s="52">
        <v>2.3450000000000002</v>
      </c>
      <c r="F382" s="52"/>
      <c r="G382" s="62">
        <f t="shared" si="22"/>
        <v>8.289575000000001</v>
      </c>
      <c r="H382" s="52"/>
    </row>
    <row r="383" spans="1:13" x14ac:dyDescent="0.25">
      <c r="A383" s="52"/>
      <c r="B383" s="52" t="s">
        <v>664</v>
      </c>
      <c r="C383" s="52">
        <v>2</v>
      </c>
      <c r="D383" s="52">
        <v>3.5350000000000001</v>
      </c>
      <c r="E383" s="52"/>
      <c r="F383" s="52">
        <v>2.6749999999999998</v>
      </c>
      <c r="G383" s="62">
        <f t="shared" si="22"/>
        <v>18.91225</v>
      </c>
      <c r="H383" s="52"/>
    </row>
    <row r="384" spans="1:13" x14ac:dyDescent="0.25">
      <c r="A384" s="52"/>
      <c r="B384" s="52"/>
      <c r="C384" s="52">
        <v>2</v>
      </c>
      <c r="D384" s="52">
        <v>2.3450000000000002</v>
      </c>
      <c r="E384" s="52"/>
      <c r="F384" s="52">
        <v>2.6749999999999998</v>
      </c>
      <c r="G384" s="62">
        <f t="shared" si="22"/>
        <v>12.54575</v>
      </c>
      <c r="H384" s="52"/>
    </row>
    <row r="385" spans="1:8" x14ac:dyDescent="0.25">
      <c r="A385" s="52"/>
      <c r="B385" s="52" t="s">
        <v>580</v>
      </c>
      <c r="C385" s="52">
        <v>-1</v>
      </c>
      <c r="D385" s="52">
        <v>1.55</v>
      </c>
      <c r="E385" s="52"/>
      <c r="F385" s="52">
        <v>2.2999999999999998</v>
      </c>
      <c r="G385" s="62">
        <f t="shared" si="22"/>
        <v>-3.5649999999999999</v>
      </c>
      <c r="H385" s="52"/>
    </row>
    <row r="386" spans="1:8" x14ac:dyDescent="0.25">
      <c r="A386" s="52"/>
      <c r="B386" s="52" t="s">
        <v>685</v>
      </c>
      <c r="C386" s="52">
        <v>2</v>
      </c>
      <c r="D386" s="52">
        <v>0.2</v>
      </c>
      <c r="E386" s="52"/>
      <c r="F386" s="52">
        <v>2.2999999999999998</v>
      </c>
      <c r="G386" s="62">
        <f t="shared" si="22"/>
        <v>0.91999999999999993</v>
      </c>
      <c r="H386" s="52"/>
    </row>
    <row r="387" spans="1:8" x14ac:dyDescent="0.25">
      <c r="A387" s="52"/>
      <c r="B387" s="52" t="s">
        <v>671</v>
      </c>
      <c r="C387" s="52">
        <v>1</v>
      </c>
      <c r="D387" s="52">
        <v>1.55</v>
      </c>
      <c r="E387" s="52">
        <v>0.2</v>
      </c>
      <c r="F387" s="52"/>
      <c r="G387" s="62">
        <f t="shared" si="22"/>
        <v>0.31000000000000005</v>
      </c>
      <c r="H387" s="52"/>
    </row>
    <row r="388" spans="1:8" x14ac:dyDescent="0.25">
      <c r="A388" s="52"/>
      <c r="B388" s="52" t="s">
        <v>665</v>
      </c>
      <c r="C388" s="52">
        <v>-0.5</v>
      </c>
      <c r="D388" s="52">
        <v>1.2</v>
      </c>
      <c r="E388" s="52"/>
      <c r="F388" s="52">
        <v>2.35</v>
      </c>
      <c r="G388" s="62">
        <f t="shared" si="22"/>
        <v>-1.41</v>
      </c>
      <c r="H388" s="52"/>
    </row>
    <row r="389" spans="1:8" x14ac:dyDescent="0.25">
      <c r="A389" s="52"/>
      <c r="B389" s="52" t="s">
        <v>689</v>
      </c>
      <c r="C389" s="52"/>
      <c r="D389" s="52"/>
      <c r="E389" s="52"/>
      <c r="F389" s="52"/>
      <c r="G389" s="62"/>
      <c r="H389" s="52"/>
    </row>
    <row r="390" spans="1:8" x14ac:dyDescent="0.25">
      <c r="A390" s="52"/>
      <c r="B390" s="52" t="s">
        <v>663</v>
      </c>
      <c r="C390" s="52">
        <v>1</v>
      </c>
      <c r="D390" s="52">
        <v>5.8449999999999998</v>
      </c>
      <c r="E390" s="52">
        <v>1.5</v>
      </c>
      <c r="F390" s="52"/>
      <c r="G390" s="62">
        <f t="shared" ref="G390:G401" si="23">+PRODUCT(C390:F390)</f>
        <v>8.7675000000000001</v>
      </c>
      <c r="H390" s="52"/>
    </row>
    <row r="391" spans="1:8" x14ac:dyDescent="0.25">
      <c r="A391" s="52"/>
      <c r="B391" s="52" t="s">
        <v>663</v>
      </c>
      <c r="C391" s="52">
        <v>1</v>
      </c>
      <c r="D391" s="52">
        <v>3.5150000000000001</v>
      </c>
      <c r="E391" s="52">
        <v>1.5</v>
      </c>
      <c r="F391" s="52"/>
      <c r="G391" s="62">
        <f t="shared" si="23"/>
        <v>5.2725</v>
      </c>
      <c r="H391" s="52"/>
    </row>
    <row r="392" spans="1:8" x14ac:dyDescent="0.25">
      <c r="A392" s="52"/>
      <c r="B392" s="52" t="s">
        <v>663</v>
      </c>
      <c r="C392" s="52">
        <v>1</v>
      </c>
      <c r="D392" s="52">
        <v>1.55</v>
      </c>
      <c r="E392" s="52">
        <v>1.5</v>
      </c>
      <c r="F392" s="52"/>
      <c r="G392" s="62">
        <f t="shared" si="23"/>
        <v>2.3250000000000002</v>
      </c>
      <c r="H392" s="52"/>
    </row>
    <row r="393" spans="1:8" x14ac:dyDescent="0.25">
      <c r="A393" s="52"/>
      <c r="B393" s="56" t="s">
        <v>582</v>
      </c>
      <c r="C393" s="52"/>
      <c r="D393" s="52"/>
      <c r="E393" s="52"/>
      <c r="F393" s="52"/>
      <c r="G393" s="62">
        <f t="shared" si="23"/>
        <v>0</v>
      </c>
      <c r="H393" s="52"/>
    </row>
    <row r="394" spans="1:8" x14ac:dyDescent="0.25">
      <c r="A394" s="52"/>
      <c r="B394" s="52" t="s">
        <v>690</v>
      </c>
      <c r="C394" s="52"/>
      <c r="D394" s="52"/>
      <c r="E394" s="52"/>
      <c r="F394" s="52"/>
      <c r="G394" s="62">
        <f t="shared" si="23"/>
        <v>0</v>
      </c>
      <c r="H394" s="52"/>
    </row>
    <row r="395" spans="1:8" x14ac:dyDescent="0.25">
      <c r="A395" s="52"/>
      <c r="B395" s="52" t="s">
        <v>663</v>
      </c>
      <c r="C395" s="52">
        <v>1</v>
      </c>
      <c r="D395" s="52">
        <v>3.96</v>
      </c>
      <c r="E395" s="52">
        <v>3.3650000000000002</v>
      </c>
      <c r="F395" s="52"/>
      <c r="G395" s="62">
        <f t="shared" si="23"/>
        <v>13.3254</v>
      </c>
      <c r="H395" s="52"/>
    </row>
    <row r="396" spans="1:8" x14ac:dyDescent="0.25">
      <c r="A396" s="52"/>
      <c r="B396" s="52" t="s">
        <v>664</v>
      </c>
      <c r="C396" s="52">
        <v>2</v>
      </c>
      <c r="D396" s="52">
        <v>3.96</v>
      </c>
      <c r="E396" s="52"/>
      <c r="F396" s="52">
        <v>2.6749999999999998</v>
      </c>
      <c r="G396" s="62">
        <f t="shared" si="23"/>
        <v>21.186</v>
      </c>
      <c r="H396" s="52"/>
    </row>
    <row r="397" spans="1:8" x14ac:dyDescent="0.25">
      <c r="A397" s="52"/>
      <c r="B397" s="52"/>
      <c r="C397" s="52">
        <v>2</v>
      </c>
      <c r="D397" s="52">
        <v>3.3650000000000002</v>
      </c>
      <c r="E397" s="52"/>
      <c r="F397" s="52">
        <v>2.6749999999999998</v>
      </c>
      <c r="G397" s="62">
        <f t="shared" si="23"/>
        <v>18.002749999999999</v>
      </c>
      <c r="H397" s="52"/>
    </row>
    <row r="398" spans="1:8" x14ac:dyDescent="0.25">
      <c r="A398" s="52"/>
      <c r="B398" s="52" t="s">
        <v>681</v>
      </c>
      <c r="C398" s="52"/>
      <c r="D398" s="52"/>
      <c r="E398" s="52"/>
      <c r="F398" s="52"/>
      <c r="G398" s="62">
        <f t="shared" si="23"/>
        <v>0</v>
      </c>
      <c r="H398" s="52"/>
    </row>
    <row r="399" spans="1:8" x14ac:dyDescent="0.25">
      <c r="A399" s="52"/>
      <c r="B399" s="52" t="s">
        <v>663</v>
      </c>
      <c r="C399" s="52">
        <v>1</v>
      </c>
      <c r="D399" s="52">
        <v>1.5249999999999999</v>
      </c>
      <c r="E399" s="52">
        <v>1.4950000000000001</v>
      </c>
      <c r="F399" s="52"/>
      <c r="G399" s="62">
        <f t="shared" si="23"/>
        <v>2.2798750000000001</v>
      </c>
      <c r="H399" s="52"/>
    </row>
    <row r="400" spans="1:8" x14ac:dyDescent="0.25">
      <c r="A400" s="52"/>
      <c r="B400" s="52" t="s">
        <v>664</v>
      </c>
      <c r="C400" s="52">
        <v>2</v>
      </c>
      <c r="D400" s="52">
        <v>1.5249999999999999</v>
      </c>
      <c r="E400" s="52"/>
      <c r="F400" s="52">
        <v>2.6749999999999998</v>
      </c>
      <c r="G400" s="62">
        <f t="shared" si="23"/>
        <v>8.1587499999999995</v>
      </c>
      <c r="H400" s="52"/>
    </row>
    <row r="401" spans="1:8" x14ac:dyDescent="0.25">
      <c r="A401" s="52"/>
      <c r="B401" s="52"/>
      <c r="C401" s="52">
        <v>2</v>
      </c>
      <c r="D401" s="52">
        <v>1.4950000000000001</v>
      </c>
      <c r="E401" s="52"/>
      <c r="F401" s="52">
        <v>2.6749999999999998</v>
      </c>
      <c r="G401" s="62">
        <f t="shared" si="23"/>
        <v>7.9982499999999996</v>
      </c>
      <c r="H401" s="52"/>
    </row>
    <row r="402" spans="1:8" x14ac:dyDescent="0.25">
      <c r="A402" s="52"/>
      <c r="B402" s="52" t="s">
        <v>550</v>
      </c>
      <c r="C402" s="52">
        <v>-1</v>
      </c>
      <c r="D402" s="52">
        <v>2.0649999999999999</v>
      </c>
      <c r="E402" s="52"/>
      <c r="F402" s="52">
        <v>2.2999999999999998</v>
      </c>
      <c r="G402" s="62">
        <f>+PRODUCT(C402:F402)</f>
        <v>-4.7494999999999994</v>
      </c>
      <c r="H402" s="52"/>
    </row>
    <row r="403" spans="1:8" x14ac:dyDescent="0.25">
      <c r="A403" s="52"/>
      <c r="B403" s="52" t="s">
        <v>670</v>
      </c>
      <c r="C403" s="52">
        <v>2</v>
      </c>
      <c r="D403" s="52">
        <v>0.2</v>
      </c>
      <c r="E403" s="52"/>
      <c r="F403" s="52">
        <v>2.2999999999999998</v>
      </c>
      <c r="G403" s="62">
        <f t="shared" ref="G403:G419" si="24">+PRODUCT(C403:F403)</f>
        <v>0.91999999999999993</v>
      </c>
      <c r="H403" s="52"/>
    </row>
    <row r="404" spans="1:8" x14ac:dyDescent="0.25">
      <c r="A404" s="52"/>
      <c r="B404" s="52" t="s">
        <v>671</v>
      </c>
      <c r="C404" s="52">
        <v>1</v>
      </c>
      <c r="D404" s="52">
        <v>2.0649999999999999</v>
      </c>
      <c r="E404" s="52">
        <v>0.2</v>
      </c>
      <c r="F404" s="52"/>
      <c r="G404" s="62">
        <f t="shared" si="24"/>
        <v>0.41300000000000003</v>
      </c>
      <c r="H404" s="52"/>
    </row>
    <row r="405" spans="1:8" x14ac:dyDescent="0.25">
      <c r="A405" s="52"/>
      <c r="B405" s="52" t="s">
        <v>552</v>
      </c>
      <c r="C405" s="52">
        <v>-0.5</v>
      </c>
      <c r="D405" s="52">
        <v>1</v>
      </c>
      <c r="E405" s="52"/>
      <c r="F405" s="52">
        <v>2.1</v>
      </c>
      <c r="G405" s="62">
        <f t="shared" si="24"/>
        <v>-1.05</v>
      </c>
      <c r="H405" s="52"/>
    </row>
    <row r="406" spans="1:8" x14ac:dyDescent="0.25">
      <c r="A406" s="52"/>
      <c r="B406" s="52" t="s">
        <v>553</v>
      </c>
      <c r="C406" s="52">
        <v>-0.5</v>
      </c>
      <c r="D406" s="52">
        <v>0.75</v>
      </c>
      <c r="E406" s="52"/>
      <c r="F406" s="52">
        <v>2.1</v>
      </c>
      <c r="G406" s="62">
        <f t="shared" si="24"/>
        <v>-0.78750000000000009</v>
      </c>
      <c r="H406" s="52"/>
    </row>
    <row r="407" spans="1:8" x14ac:dyDescent="0.25">
      <c r="A407" s="52"/>
      <c r="B407" s="52" t="s">
        <v>665</v>
      </c>
      <c r="C407" s="52">
        <v>-0.5</v>
      </c>
      <c r="D407" s="52">
        <v>0.8</v>
      </c>
      <c r="E407" s="52"/>
      <c r="F407" s="52">
        <f>2.95-0.15-0.45</f>
        <v>2.35</v>
      </c>
      <c r="G407" s="62">
        <f t="shared" si="24"/>
        <v>-0.94000000000000006</v>
      </c>
      <c r="H407" s="52"/>
    </row>
    <row r="408" spans="1:8" x14ac:dyDescent="0.25">
      <c r="A408" s="52"/>
      <c r="B408" s="52" t="s">
        <v>683</v>
      </c>
      <c r="C408" s="52"/>
      <c r="D408" s="52"/>
      <c r="E408" s="52"/>
      <c r="F408" s="52"/>
      <c r="G408" s="62">
        <f t="shared" si="24"/>
        <v>0</v>
      </c>
      <c r="H408" s="52"/>
    </row>
    <row r="409" spans="1:8" x14ac:dyDescent="0.25">
      <c r="A409" s="52"/>
      <c r="B409" s="52" t="s">
        <v>663</v>
      </c>
      <c r="C409" s="52">
        <v>0</v>
      </c>
      <c r="D409" s="52">
        <v>2.4350000000000001</v>
      </c>
      <c r="E409" s="52">
        <v>1.5249999999999999</v>
      </c>
      <c r="F409" s="52"/>
      <c r="G409" s="62">
        <f t="shared" si="24"/>
        <v>0</v>
      </c>
      <c r="H409" s="52"/>
    </row>
    <row r="410" spans="1:8" x14ac:dyDescent="0.25">
      <c r="A410" s="52"/>
      <c r="B410" s="52"/>
      <c r="C410" s="52">
        <v>2</v>
      </c>
      <c r="D410" s="52">
        <v>2.4350000000000001</v>
      </c>
      <c r="E410" s="52"/>
      <c r="F410" s="52">
        <v>2.35</v>
      </c>
      <c r="G410" s="62">
        <f t="shared" si="24"/>
        <v>11.444500000000001</v>
      </c>
      <c r="H410" s="52"/>
    </row>
    <row r="411" spans="1:8" x14ac:dyDescent="0.25">
      <c r="A411" s="52"/>
      <c r="B411" s="52"/>
      <c r="C411" s="52">
        <v>2</v>
      </c>
      <c r="D411" s="52">
        <v>1.5249999999999999</v>
      </c>
      <c r="E411" s="52"/>
      <c r="F411" s="52">
        <v>2.35</v>
      </c>
      <c r="G411" s="62">
        <f t="shared" si="24"/>
        <v>7.1674999999999995</v>
      </c>
      <c r="H411" s="52"/>
    </row>
    <row r="412" spans="1:8" x14ac:dyDescent="0.25">
      <c r="A412" s="52"/>
      <c r="B412" s="52" t="s">
        <v>678</v>
      </c>
      <c r="C412" s="52">
        <v>-0.5</v>
      </c>
      <c r="D412" s="52">
        <v>0.75</v>
      </c>
      <c r="E412" s="52"/>
      <c r="F412" s="52">
        <v>2.1</v>
      </c>
      <c r="G412" s="62">
        <f t="shared" si="24"/>
        <v>-0.78750000000000009</v>
      </c>
      <c r="H412" s="52"/>
    </row>
    <row r="413" spans="1:8" x14ac:dyDescent="0.25">
      <c r="A413" s="52"/>
      <c r="B413" s="52" t="s">
        <v>576</v>
      </c>
      <c r="C413" s="52"/>
      <c r="D413" s="52"/>
      <c r="E413" s="52"/>
      <c r="F413" s="52"/>
      <c r="G413" s="62">
        <f t="shared" si="24"/>
        <v>0</v>
      </c>
      <c r="H413" s="52"/>
    </row>
    <row r="414" spans="1:8" x14ac:dyDescent="0.25">
      <c r="A414" s="52"/>
      <c r="B414" s="52" t="s">
        <v>663</v>
      </c>
      <c r="C414" s="52">
        <v>1</v>
      </c>
      <c r="D414" s="52">
        <v>3.335</v>
      </c>
      <c r="E414" s="52">
        <v>3.96</v>
      </c>
      <c r="F414" s="52"/>
      <c r="G414" s="62">
        <f t="shared" si="24"/>
        <v>13.2066</v>
      </c>
      <c r="H414" s="52"/>
    </row>
    <row r="415" spans="1:8" x14ac:dyDescent="0.25">
      <c r="A415" s="52"/>
      <c r="B415" s="52" t="s">
        <v>664</v>
      </c>
      <c r="C415" s="52">
        <v>2</v>
      </c>
      <c r="D415" s="52">
        <v>3.96</v>
      </c>
      <c r="E415" s="52"/>
      <c r="F415" s="52">
        <v>2.6749999999999998</v>
      </c>
      <c r="G415" s="62">
        <f t="shared" si="24"/>
        <v>21.186</v>
      </c>
      <c r="H415" s="52"/>
    </row>
    <row r="416" spans="1:8" x14ac:dyDescent="0.25">
      <c r="A416" s="52"/>
      <c r="B416" s="52"/>
      <c r="C416" s="52">
        <v>2</v>
      </c>
      <c r="D416" s="52">
        <v>3.335</v>
      </c>
      <c r="E416" s="52"/>
      <c r="F416" s="52">
        <v>2.6749999999999998</v>
      </c>
      <c r="G416" s="62">
        <f t="shared" si="24"/>
        <v>17.84225</v>
      </c>
      <c r="H416" s="52"/>
    </row>
    <row r="417" spans="1:8" x14ac:dyDescent="0.25">
      <c r="A417" s="52"/>
      <c r="B417" s="52" t="s">
        <v>682</v>
      </c>
      <c r="C417" s="52"/>
      <c r="D417" s="52"/>
      <c r="E417" s="52"/>
      <c r="F417" s="52"/>
      <c r="G417" s="62">
        <f t="shared" si="24"/>
        <v>0</v>
      </c>
      <c r="H417" s="52"/>
    </row>
    <row r="418" spans="1:8" x14ac:dyDescent="0.25">
      <c r="A418" s="52"/>
      <c r="B418" s="52" t="s">
        <v>663</v>
      </c>
      <c r="C418" s="52">
        <v>1</v>
      </c>
      <c r="D418" s="52">
        <v>0.61499999999999999</v>
      </c>
      <c r="E418" s="52">
        <v>1.07</v>
      </c>
      <c r="F418" s="52"/>
      <c r="G418" s="62">
        <f t="shared" si="24"/>
        <v>0.65805000000000002</v>
      </c>
      <c r="H418" s="52"/>
    </row>
    <row r="419" spans="1:8" x14ac:dyDescent="0.25">
      <c r="A419" s="52"/>
      <c r="B419" s="52" t="s">
        <v>664</v>
      </c>
      <c r="C419" s="52">
        <v>2</v>
      </c>
      <c r="D419" s="52">
        <v>0.61499999999999999</v>
      </c>
      <c r="E419" s="52"/>
      <c r="F419" s="52">
        <v>2.6749999999999998</v>
      </c>
      <c r="G419" s="62">
        <f t="shared" si="24"/>
        <v>3.2902499999999999</v>
      </c>
      <c r="H419" s="52"/>
    </row>
    <row r="420" spans="1:8" x14ac:dyDescent="0.25">
      <c r="A420" s="52"/>
      <c r="B420" s="52" t="s">
        <v>550</v>
      </c>
      <c r="C420" s="52">
        <v>-1</v>
      </c>
      <c r="D420" s="52">
        <v>2.0649999999999999</v>
      </c>
      <c r="E420" s="52"/>
      <c r="F420" s="52">
        <v>2.2999999999999998</v>
      </c>
      <c r="G420" s="62">
        <f>+PRODUCT(C420:F420)</f>
        <v>-4.7494999999999994</v>
      </c>
      <c r="H420" s="52"/>
    </row>
    <row r="421" spans="1:8" x14ac:dyDescent="0.25">
      <c r="A421" s="52"/>
      <c r="B421" s="52" t="s">
        <v>670</v>
      </c>
      <c r="C421" s="52">
        <v>2</v>
      </c>
      <c r="D421" s="52">
        <v>0.2</v>
      </c>
      <c r="E421" s="52"/>
      <c r="F421" s="52">
        <v>2.2999999999999998</v>
      </c>
      <c r="G421" s="62">
        <f t="shared" ref="G421:G471" si="25">+PRODUCT(C421:F421)</f>
        <v>0.91999999999999993</v>
      </c>
      <c r="H421" s="52"/>
    </row>
    <row r="422" spans="1:8" x14ac:dyDescent="0.25">
      <c r="A422" s="52"/>
      <c r="B422" s="52" t="s">
        <v>671</v>
      </c>
      <c r="C422" s="52">
        <v>1</v>
      </c>
      <c r="D422" s="52">
        <v>2.0649999999999999</v>
      </c>
      <c r="E422" s="52">
        <v>0.2</v>
      </c>
      <c r="F422" s="52"/>
      <c r="G422" s="62">
        <f t="shared" si="25"/>
        <v>0.41300000000000003</v>
      </c>
      <c r="H422" s="52"/>
    </row>
    <row r="423" spans="1:8" x14ac:dyDescent="0.25">
      <c r="A423" s="52"/>
      <c r="B423" s="52" t="s">
        <v>552</v>
      </c>
      <c r="C423" s="52">
        <v>-0.5</v>
      </c>
      <c r="D423" s="52">
        <v>1</v>
      </c>
      <c r="E423" s="52"/>
      <c r="F423" s="52">
        <v>2.1</v>
      </c>
      <c r="G423" s="62">
        <f t="shared" si="25"/>
        <v>-1.05</v>
      </c>
      <c r="H423" s="52"/>
    </row>
    <row r="424" spans="1:8" x14ac:dyDescent="0.25">
      <c r="A424" s="52"/>
      <c r="B424" s="52" t="s">
        <v>577</v>
      </c>
      <c r="C424" s="52"/>
      <c r="D424" s="52"/>
      <c r="E424" s="52"/>
      <c r="F424" s="52"/>
      <c r="G424" s="62">
        <f t="shared" si="25"/>
        <v>0</v>
      </c>
      <c r="H424" s="52"/>
    </row>
    <row r="425" spans="1:8" x14ac:dyDescent="0.25">
      <c r="A425" s="52"/>
      <c r="B425" s="52" t="s">
        <v>663</v>
      </c>
      <c r="C425" s="52">
        <v>1</v>
      </c>
      <c r="D425" s="52">
        <v>3.2650000000000001</v>
      </c>
      <c r="E425" s="52">
        <v>3.55</v>
      </c>
      <c r="F425" s="52"/>
      <c r="G425" s="62">
        <f t="shared" si="25"/>
        <v>11.59075</v>
      </c>
      <c r="H425" s="52"/>
    </row>
    <row r="426" spans="1:8" x14ac:dyDescent="0.25">
      <c r="A426" s="52"/>
      <c r="B426" s="52" t="s">
        <v>664</v>
      </c>
      <c r="C426" s="52">
        <v>2</v>
      </c>
      <c r="D426" s="52">
        <v>3.2650000000000001</v>
      </c>
      <c r="E426" s="52"/>
      <c r="F426" s="52">
        <v>2.6749999999999998</v>
      </c>
      <c r="G426" s="62">
        <f t="shared" si="25"/>
        <v>17.467749999999999</v>
      </c>
      <c r="H426" s="52"/>
    </row>
    <row r="427" spans="1:8" x14ac:dyDescent="0.25">
      <c r="A427" s="52"/>
      <c r="B427" s="52"/>
      <c r="C427" s="52">
        <v>2</v>
      </c>
      <c r="D427" s="52">
        <v>3.55</v>
      </c>
      <c r="E427" s="52"/>
      <c r="F427" s="52">
        <v>2.6749999999999998</v>
      </c>
      <c r="G427" s="62">
        <f t="shared" si="25"/>
        <v>18.992499999999996</v>
      </c>
      <c r="H427" s="52"/>
    </row>
    <row r="428" spans="1:8" x14ac:dyDescent="0.25">
      <c r="A428" s="52"/>
      <c r="B428" s="52" t="s">
        <v>669</v>
      </c>
      <c r="C428" s="52"/>
      <c r="D428" s="52"/>
      <c r="E428" s="52"/>
      <c r="F428" s="52"/>
      <c r="G428" s="62">
        <f t="shared" si="25"/>
        <v>0</v>
      </c>
      <c r="H428" s="52"/>
    </row>
    <row r="429" spans="1:8" x14ac:dyDescent="0.25">
      <c r="A429" s="52"/>
      <c r="B429" s="52" t="s">
        <v>663</v>
      </c>
      <c r="C429" s="52">
        <v>1</v>
      </c>
      <c r="D429" s="52">
        <v>0.61499999999999999</v>
      </c>
      <c r="E429" s="52">
        <v>1.145</v>
      </c>
      <c r="F429" s="52"/>
      <c r="G429" s="62">
        <f t="shared" si="25"/>
        <v>0.704175</v>
      </c>
      <c r="H429" s="52"/>
    </row>
    <row r="430" spans="1:8" x14ac:dyDescent="0.25">
      <c r="A430" s="52"/>
      <c r="B430" s="52" t="s">
        <v>664</v>
      </c>
      <c r="C430" s="52">
        <v>2</v>
      </c>
      <c r="D430" s="52">
        <v>0.61499999999999999</v>
      </c>
      <c r="E430" s="52"/>
      <c r="F430" s="52">
        <v>2.6749999999999998</v>
      </c>
      <c r="G430" s="62">
        <f t="shared" si="25"/>
        <v>3.2902499999999999</v>
      </c>
      <c r="H430" s="52"/>
    </row>
    <row r="431" spans="1:8" x14ac:dyDescent="0.25">
      <c r="A431" s="52"/>
      <c r="B431" s="52" t="s">
        <v>667</v>
      </c>
      <c r="C431" s="52">
        <v>-0.5</v>
      </c>
      <c r="D431" s="52">
        <v>1</v>
      </c>
      <c r="E431" s="52"/>
      <c r="F431" s="52">
        <v>2.1</v>
      </c>
      <c r="G431" s="62">
        <f t="shared" si="25"/>
        <v>-1.05</v>
      </c>
      <c r="H431" s="52"/>
    </row>
    <row r="432" spans="1:8" x14ac:dyDescent="0.25">
      <c r="A432" s="52"/>
      <c r="B432" s="52" t="s">
        <v>553</v>
      </c>
      <c r="C432" s="52">
        <v>-0.5</v>
      </c>
      <c r="D432" s="52">
        <v>0.75</v>
      </c>
      <c r="E432" s="52"/>
      <c r="F432" s="52">
        <v>2.1</v>
      </c>
      <c r="G432" s="62">
        <f t="shared" si="25"/>
        <v>-0.78750000000000009</v>
      </c>
      <c r="H432" s="52"/>
    </row>
    <row r="433" spans="1:8" x14ac:dyDescent="0.25">
      <c r="A433" s="52"/>
      <c r="B433" s="52" t="s">
        <v>579</v>
      </c>
      <c r="C433" s="52">
        <v>-0.5</v>
      </c>
      <c r="D433" s="52">
        <v>1.5</v>
      </c>
      <c r="E433" s="52"/>
      <c r="F433" s="52">
        <v>1.5</v>
      </c>
      <c r="G433" s="62">
        <f t="shared" si="25"/>
        <v>-1.125</v>
      </c>
      <c r="H433" s="52"/>
    </row>
    <row r="434" spans="1:8" x14ac:dyDescent="0.25">
      <c r="A434" s="52"/>
      <c r="B434" s="52" t="s">
        <v>683</v>
      </c>
      <c r="C434" s="52"/>
      <c r="D434" s="52"/>
      <c r="E434" s="52"/>
      <c r="F434" s="52"/>
      <c r="G434" s="62">
        <f t="shared" si="25"/>
        <v>0</v>
      </c>
      <c r="H434" s="52"/>
    </row>
    <row r="435" spans="1:8" x14ac:dyDescent="0.25">
      <c r="A435" s="52"/>
      <c r="B435" s="52" t="s">
        <v>684</v>
      </c>
      <c r="C435" s="52">
        <v>2</v>
      </c>
      <c r="D435" s="52">
        <v>1.5249999999999999</v>
      </c>
      <c r="E435" s="52"/>
      <c r="F435" s="52">
        <v>2.35</v>
      </c>
      <c r="G435" s="62">
        <f t="shared" si="25"/>
        <v>7.1674999999999995</v>
      </c>
      <c r="H435" s="52"/>
    </row>
    <row r="436" spans="1:8" x14ac:dyDescent="0.25">
      <c r="A436" s="52"/>
      <c r="B436" s="56"/>
      <c r="C436" s="52">
        <v>2</v>
      </c>
      <c r="D436" s="52">
        <v>2.2999999999999998</v>
      </c>
      <c r="E436" s="52"/>
      <c r="F436" s="52">
        <v>2.35</v>
      </c>
      <c r="G436" s="62">
        <f t="shared" si="25"/>
        <v>10.809999999999999</v>
      </c>
      <c r="H436" s="52"/>
    </row>
    <row r="437" spans="1:8" x14ac:dyDescent="0.25">
      <c r="A437" s="52"/>
      <c r="B437" s="52" t="s">
        <v>678</v>
      </c>
      <c r="C437" s="52">
        <v>-0.5</v>
      </c>
      <c r="D437" s="52">
        <v>0.75</v>
      </c>
      <c r="E437" s="52"/>
      <c r="F437" s="52">
        <v>2.1</v>
      </c>
      <c r="G437" s="62">
        <f t="shared" si="25"/>
        <v>-0.78750000000000009</v>
      </c>
      <c r="H437" s="52"/>
    </row>
    <row r="438" spans="1:8" x14ac:dyDescent="0.25">
      <c r="A438" s="52"/>
      <c r="B438" s="52" t="s">
        <v>668</v>
      </c>
      <c r="C438" s="52"/>
      <c r="D438" s="52"/>
      <c r="E438" s="52"/>
      <c r="F438" s="52"/>
      <c r="G438" s="62">
        <f t="shared" si="25"/>
        <v>0</v>
      </c>
      <c r="H438" s="52"/>
    </row>
    <row r="439" spans="1:8" x14ac:dyDescent="0.25">
      <c r="A439" s="52"/>
      <c r="B439" s="52" t="s">
        <v>663</v>
      </c>
      <c r="C439" s="52">
        <v>1</v>
      </c>
      <c r="D439" s="52">
        <v>3.11</v>
      </c>
      <c r="E439" s="52">
        <v>1.1499999999999999</v>
      </c>
      <c r="F439" s="52"/>
      <c r="G439" s="62">
        <f t="shared" si="25"/>
        <v>3.5764999999999998</v>
      </c>
      <c r="H439" s="52"/>
    </row>
    <row r="440" spans="1:8" x14ac:dyDescent="0.25">
      <c r="A440" s="52"/>
      <c r="B440" s="52" t="s">
        <v>664</v>
      </c>
      <c r="C440" s="52">
        <v>2</v>
      </c>
      <c r="D440" s="52">
        <v>3.11</v>
      </c>
      <c r="E440" s="52"/>
      <c r="F440" s="52">
        <v>2.6749999999999998</v>
      </c>
      <c r="G440" s="62">
        <f t="shared" si="25"/>
        <v>16.638499999999997</v>
      </c>
      <c r="H440" s="52"/>
    </row>
    <row r="441" spans="1:8" x14ac:dyDescent="0.25">
      <c r="A441" s="52"/>
      <c r="B441" s="52"/>
      <c r="C441" s="52">
        <v>1</v>
      </c>
      <c r="D441" s="52">
        <v>1.1499999999999999</v>
      </c>
      <c r="E441" s="52"/>
      <c r="F441" s="52">
        <v>2.6749999999999998</v>
      </c>
      <c r="G441" s="62">
        <f t="shared" si="25"/>
        <v>3.0762499999999995</v>
      </c>
      <c r="H441" s="52"/>
    </row>
    <row r="442" spans="1:8" x14ac:dyDescent="0.25">
      <c r="A442" s="52"/>
      <c r="B442" s="52" t="s">
        <v>667</v>
      </c>
      <c r="C442" s="52">
        <v>-1.5</v>
      </c>
      <c r="D442" s="52">
        <v>1</v>
      </c>
      <c r="E442" s="52"/>
      <c r="F442" s="52">
        <v>2.1</v>
      </c>
      <c r="G442" s="62">
        <f t="shared" si="25"/>
        <v>-3.1500000000000004</v>
      </c>
      <c r="H442" s="52"/>
    </row>
    <row r="443" spans="1:8" x14ac:dyDescent="0.25">
      <c r="A443" s="52"/>
      <c r="B443" s="52" t="s">
        <v>553</v>
      </c>
      <c r="C443" s="52">
        <v>-0.5</v>
      </c>
      <c r="D443" s="52">
        <v>0.75</v>
      </c>
      <c r="E443" s="52"/>
      <c r="F443" s="52">
        <v>2.1</v>
      </c>
      <c r="G443" s="62">
        <f t="shared" si="25"/>
        <v>-0.78750000000000009</v>
      </c>
      <c r="H443" s="52"/>
    </row>
    <row r="444" spans="1:8" x14ac:dyDescent="0.25">
      <c r="A444" s="52"/>
      <c r="B444" s="52" t="s">
        <v>557</v>
      </c>
      <c r="C444" s="52"/>
      <c r="D444" s="52"/>
      <c r="E444" s="52"/>
      <c r="F444" s="52"/>
      <c r="G444" s="62">
        <f t="shared" si="25"/>
        <v>0</v>
      </c>
      <c r="H444" s="52"/>
    </row>
    <row r="445" spans="1:8" x14ac:dyDescent="0.25">
      <c r="A445" s="52"/>
      <c r="B445" s="52" t="s">
        <v>663</v>
      </c>
      <c r="C445" s="52">
        <v>1</v>
      </c>
      <c r="D445" s="52">
        <v>3.34</v>
      </c>
      <c r="E445" s="52">
        <v>3.0750000000000002</v>
      </c>
      <c r="F445" s="52"/>
      <c r="G445" s="62">
        <f t="shared" si="25"/>
        <v>10.2705</v>
      </c>
      <c r="H445" s="52"/>
    </row>
    <row r="446" spans="1:8" x14ac:dyDescent="0.25">
      <c r="A446" s="52"/>
      <c r="B446" s="52" t="s">
        <v>664</v>
      </c>
      <c r="C446" s="52">
        <v>2</v>
      </c>
      <c r="D446" s="52">
        <v>3.0750000000000002</v>
      </c>
      <c r="E446" s="52"/>
      <c r="F446" s="52">
        <v>2.6749999999999998</v>
      </c>
      <c r="G446" s="62">
        <f t="shared" si="25"/>
        <v>16.451249999999998</v>
      </c>
      <c r="H446" s="52"/>
    </row>
    <row r="447" spans="1:8" x14ac:dyDescent="0.25">
      <c r="A447" s="52"/>
      <c r="B447" s="52"/>
      <c r="C447" s="52">
        <v>1</v>
      </c>
      <c r="D447" s="52">
        <v>3.34</v>
      </c>
      <c r="E447" s="52"/>
      <c r="F447" s="52">
        <v>2.6749999999999998</v>
      </c>
      <c r="G447" s="62">
        <f t="shared" si="25"/>
        <v>8.9344999999999999</v>
      </c>
      <c r="H447" s="52"/>
    </row>
    <row r="448" spans="1:8" x14ac:dyDescent="0.25">
      <c r="A448" s="52"/>
      <c r="B448" s="52" t="s">
        <v>558</v>
      </c>
      <c r="C448" s="52">
        <v>-1</v>
      </c>
      <c r="D448" s="52">
        <v>2.4500000000000002</v>
      </c>
      <c r="E448" s="52"/>
      <c r="F448" s="52">
        <v>2.4</v>
      </c>
      <c r="G448" s="62">
        <f t="shared" si="25"/>
        <v>-5.88</v>
      </c>
      <c r="H448" s="52"/>
    </row>
    <row r="449" spans="1:13" x14ac:dyDescent="0.25">
      <c r="A449" s="52"/>
      <c r="B449" s="52" t="s">
        <v>685</v>
      </c>
      <c r="C449" s="52">
        <v>2</v>
      </c>
      <c r="D449" s="52">
        <v>0.2</v>
      </c>
      <c r="E449" s="52"/>
      <c r="F449" s="52">
        <v>2.4</v>
      </c>
      <c r="G449" s="62">
        <f t="shared" si="25"/>
        <v>0.96</v>
      </c>
      <c r="H449" s="52"/>
    </row>
    <row r="450" spans="1:13" x14ac:dyDescent="0.25">
      <c r="A450" s="52"/>
      <c r="B450" s="52" t="s">
        <v>671</v>
      </c>
      <c r="C450" s="52">
        <v>1</v>
      </c>
      <c r="D450" s="52">
        <v>2.4500000000000002</v>
      </c>
      <c r="E450" s="52">
        <v>0.2</v>
      </c>
      <c r="F450" s="52"/>
      <c r="G450" s="62">
        <f t="shared" si="25"/>
        <v>0.49000000000000005</v>
      </c>
      <c r="H450" s="52"/>
    </row>
    <row r="451" spans="1:13" x14ac:dyDescent="0.25">
      <c r="A451" s="52"/>
      <c r="B451" s="52" t="s">
        <v>686</v>
      </c>
      <c r="C451" s="52"/>
      <c r="D451" s="52"/>
      <c r="E451" s="52"/>
      <c r="F451" s="52"/>
      <c r="G451" s="62">
        <f t="shared" si="25"/>
        <v>0</v>
      </c>
      <c r="H451" s="52"/>
    </row>
    <row r="452" spans="1:13" x14ac:dyDescent="0.25">
      <c r="A452" s="52"/>
      <c r="B452" s="52" t="s">
        <v>663</v>
      </c>
      <c r="C452" s="52">
        <v>1</v>
      </c>
      <c r="D452" s="52">
        <v>5.15</v>
      </c>
      <c r="E452" s="52">
        <v>3.27</v>
      </c>
      <c r="F452" s="52"/>
      <c r="G452" s="62">
        <f t="shared" si="25"/>
        <v>16.840500000000002</v>
      </c>
      <c r="H452" s="52"/>
    </row>
    <row r="453" spans="1:13" x14ac:dyDescent="0.25">
      <c r="A453" s="52"/>
      <c r="B453" s="52" t="s">
        <v>663</v>
      </c>
      <c r="C453" s="52">
        <v>1</v>
      </c>
      <c r="D453" s="52">
        <v>1.2749999999999999</v>
      </c>
      <c r="E453" s="52">
        <v>1.59</v>
      </c>
      <c r="F453" s="52"/>
      <c r="G453" s="62">
        <f t="shared" si="25"/>
        <v>2.02725</v>
      </c>
      <c r="H453" s="52"/>
    </row>
    <row r="454" spans="1:13" x14ac:dyDescent="0.25">
      <c r="A454" s="52"/>
      <c r="B454" s="52" t="s">
        <v>664</v>
      </c>
      <c r="C454" s="52">
        <v>2</v>
      </c>
      <c r="D454" s="52">
        <v>4.5449999999999999</v>
      </c>
      <c r="E454" s="52"/>
      <c r="F454" s="52">
        <v>2.6749999999999998</v>
      </c>
      <c r="G454" s="62">
        <f t="shared" si="25"/>
        <v>24.315749999999998</v>
      </c>
      <c r="H454" s="52"/>
    </row>
    <row r="455" spans="1:13" x14ac:dyDescent="0.25">
      <c r="A455" s="52"/>
      <c r="B455" s="52"/>
      <c r="C455" s="52">
        <v>1</v>
      </c>
      <c r="D455" s="52">
        <v>5.15</v>
      </c>
      <c r="E455" s="52"/>
      <c r="F455" s="52">
        <v>2.6749999999999998</v>
      </c>
      <c r="G455" s="62">
        <f t="shared" si="25"/>
        <v>13.776249999999999</v>
      </c>
      <c r="H455" s="52"/>
    </row>
    <row r="456" spans="1:13" x14ac:dyDescent="0.25">
      <c r="A456" s="52"/>
      <c r="B456" s="52"/>
      <c r="C456" s="52">
        <v>1</v>
      </c>
      <c r="D456" s="52">
        <v>1.91</v>
      </c>
      <c r="E456" s="52"/>
      <c r="F456" s="52">
        <v>2.6749999999999998</v>
      </c>
      <c r="G456" s="62">
        <f t="shared" si="25"/>
        <v>5.1092499999999994</v>
      </c>
      <c r="H456" s="52"/>
    </row>
    <row r="457" spans="1:13" x14ac:dyDescent="0.25">
      <c r="A457" s="52"/>
      <c r="B457" s="52" t="s">
        <v>571</v>
      </c>
      <c r="C457" s="52">
        <v>-0.5</v>
      </c>
      <c r="D457" s="52">
        <v>1.2</v>
      </c>
      <c r="E457" s="52"/>
      <c r="F457" s="52">
        <v>2.2999999999999998</v>
      </c>
      <c r="G457" s="62">
        <f t="shared" si="25"/>
        <v>-1.38</v>
      </c>
      <c r="H457" s="52"/>
    </row>
    <row r="458" spans="1:13" x14ac:dyDescent="0.25">
      <c r="A458" s="52"/>
      <c r="B458" s="52" t="s">
        <v>687</v>
      </c>
      <c r="C458" s="52">
        <v>-0.5</v>
      </c>
      <c r="D458" s="52">
        <v>1.2</v>
      </c>
      <c r="E458" s="52"/>
      <c r="F458" s="52">
        <v>2.35</v>
      </c>
      <c r="G458" s="62">
        <f t="shared" si="25"/>
        <v>-1.41</v>
      </c>
      <c r="H458" s="52"/>
      <c r="M458">
        <f>2.4*1.55</f>
        <v>3.7199999999999998</v>
      </c>
    </row>
    <row r="459" spans="1:13" x14ac:dyDescent="0.25">
      <c r="A459" s="52"/>
      <c r="B459" s="52" t="s">
        <v>688</v>
      </c>
      <c r="C459" s="52">
        <v>-0.5</v>
      </c>
      <c r="D459" s="52">
        <v>1.1499999999999999</v>
      </c>
      <c r="E459" s="52"/>
      <c r="F459" s="52">
        <f>2.95-0.15-0.45</f>
        <v>2.35</v>
      </c>
      <c r="G459" s="62">
        <f t="shared" si="25"/>
        <v>-1.3512499999999998</v>
      </c>
      <c r="H459" s="52"/>
    </row>
    <row r="460" spans="1:13" x14ac:dyDescent="0.25">
      <c r="A460" s="52"/>
      <c r="B460" s="52" t="s">
        <v>683</v>
      </c>
      <c r="C460" s="52"/>
      <c r="D460" s="52"/>
      <c r="E460" s="52"/>
      <c r="F460" s="52"/>
      <c r="G460" s="62">
        <f t="shared" si="25"/>
        <v>0</v>
      </c>
      <c r="H460" s="52"/>
    </row>
    <row r="461" spans="1:13" x14ac:dyDescent="0.25">
      <c r="A461" s="52"/>
      <c r="B461" s="52" t="s">
        <v>684</v>
      </c>
      <c r="C461" s="52">
        <v>2</v>
      </c>
      <c r="D461" s="52">
        <v>1.5249999999999999</v>
      </c>
      <c r="E461" s="52"/>
      <c r="F461" s="52">
        <v>2.35</v>
      </c>
      <c r="G461" s="62">
        <f t="shared" si="25"/>
        <v>7.1674999999999995</v>
      </c>
      <c r="H461" s="52"/>
    </row>
    <row r="462" spans="1:13" x14ac:dyDescent="0.25">
      <c r="A462" s="52"/>
      <c r="B462" s="56"/>
      <c r="C462" s="52">
        <v>2</v>
      </c>
      <c r="D462" s="52">
        <v>2.2999999999999998</v>
      </c>
      <c r="E462" s="52"/>
      <c r="F462" s="52">
        <v>2.35</v>
      </c>
      <c r="G462" s="62">
        <f t="shared" si="25"/>
        <v>10.809999999999999</v>
      </c>
      <c r="H462" s="52"/>
    </row>
    <row r="463" spans="1:13" x14ac:dyDescent="0.25">
      <c r="A463" s="52"/>
      <c r="B463" s="52" t="s">
        <v>678</v>
      </c>
      <c r="C463" s="52">
        <v>-0.5</v>
      </c>
      <c r="D463" s="52">
        <v>0.75</v>
      </c>
      <c r="E463" s="52"/>
      <c r="F463" s="52">
        <v>2.1</v>
      </c>
      <c r="G463" s="62">
        <f t="shared" si="25"/>
        <v>-0.78750000000000009</v>
      </c>
      <c r="H463" s="52"/>
    </row>
    <row r="464" spans="1:13" x14ac:dyDescent="0.25">
      <c r="A464" s="52"/>
      <c r="B464" s="52" t="s">
        <v>394</v>
      </c>
      <c r="C464" s="52"/>
      <c r="D464" s="52"/>
      <c r="E464" s="52"/>
      <c r="F464" s="52"/>
      <c r="G464" s="62">
        <f t="shared" si="25"/>
        <v>0</v>
      </c>
      <c r="H464" s="52"/>
    </row>
    <row r="465" spans="1:8" x14ac:dyDescent="0.25">
      <c r="A465" s="52"/>
      <c r="B465" s="52" t="s">
        <v>663</v>
      </c>
      <c r="C465" s="52">
        <v>1</v>
      </c>
      <c r="D465" s="52">
        <v>3.5350000000000001</v>
      </c>
      <c r="E465" s="52">
        <v>2.33</v>
      </c>
      <c r="F465" s="52"/>
      <c r="G465" s="62">
        <f t="shared" si="25"/>
        <v>8.2365500000000011</v>
      </c>
      <c r="H465" s="52"/>
    </row>
    <row r="466" spans="1:8" x14ac:dyDescent="0.25">
      <c r="A466" s="52"/>
      <c r="B466" s="52" t="s">
        <v>664</v>
      </c>
      <c r="C466" s="52">
        <v>2</v>
      </c>
      <c r="D466" s="52">
        <v>3.5350000000000001</v>
      </c>
      <c r="E466" s="52"/>
      <c r="F466" s="52">
        <v>2.6749999999999998</v>
      </c>
      <c r="G466" s="62">
        <f t="shared" si="25"/>
        <v>18.91225</v>
      </c>
      <c r="H466" s="52"/>
    </row>
    <row r="467" spans="1:8" x14ac:dyDescent="0.25">
      <c r="A467" s="52"/>
      <c r="B467" s="52"/>
      <c r="C467" s="52">
        <v>2</v>
      </c>
      <c r="D467" s="52">
        <v>2.33</v>
      </c>
      <c r="E467" s="52"/>
      <c r="F467" s="52">
        <v>2.6749999999999998</v>
      </c>
      <c r="G467" s="62">
        <f t="shared" si="25"/>
        <v>12.465499999999999</v>
      </c>
      <c r="H467" s="52"/>
    </row>
    <row r="468" spans="1:8" x14ac:dyDescent="0.25">
      <c r="A468" s="52"/>
      <c r="B468" s="52" t="s">
        <v>580</v>
      </c>
      <c r="C468" s="52">
        <v>-1</v>
      </c>
      <c r="D468" s="52">
        <v>1.55</v>
      </c>
      <c r="E468" s="52"/>
      <c r="F468" s="52">
        <v>2.2999999999999998</v>
      </c>
      <c r="G468" s="62">
        <f t="shared" si="25"/>
        <v>-3.5649999999999999</v>
      </c>
      <c r="H468" s="52"/>
    </row>
    <row r="469" spans="1:8" x14ac:dyDescent="0.25">
      <c r="A469" s="52"/>
      <c r="B469" s="52" t="s">
        <v>685</v>
      </c>
      <c r="C469" s="52">
        <v>2</v>
      </c>
      <c r="D469" s="52">
        <v>0.2</v>
      </c>
      <c r="E469" s="52"/>
      <c r="F469" s="52">
        <v>2.2999999999999998</v>
      </c>
      <c r="G469" s="62">
        <f t="shared" si="25"/>
        <v>0.91999999999999993</v>
      </c>
      <c r="H469" s="52"/>
    </row>
    <row r="470" spans="1:8" x14ac:dyDescent="0.25">
      <c r="A470" s="52"/>
      <c r="B470" s="52" t="s">
        <v>671</v>
      </c>
      <c r="C470" s="52">
        <v>1</v>
      </c>
      <c r="D470" s="52">
        <v>1.55</v>
      </c>
      <c r="E470" s="52">
        <v>0.2</v>
      </c>
      <c r="F470" s="52"/>
      <c r="G470" s="62">
        <f t="shared" si="25"/>
        <v>0.31000000000000005</v>
      </c>
      <c r="H470" s="52"/>
    </row>
    <row r="471" spans="1:8" x14ac:dyDescent="0.25">
      <c r="A471" s="52"/>
      <c r="B471" s="52" t="s">
        <v>665</v>
      </c>
      <c r="C471" s="52">
        <v>-0.5</v>
      </c>
      <c r="D471" s="52">
        <v>1.2</v>
      </c>
      <c r="E471" s="52"/>
      <c r="F471" s="52">
        <v>2.35</v>
      </c>
      <c r="G471" s="62">
        <f t="shared" si="25"/>
        <v>-1.41</v>
      </c>
      <c r="H471" s="52"/>
    </row>
    <row r="472" spans="1:8" x14ac:dyDescent="0.25">
      <c r="A472" s="52"/>
      <c r="B472" s="52" t="s">
        <v>689</v>
      </c>
      <c r="C472" s="52"/>
      <c r="D472" s="52"/>
      <c r="E472" s="52"/>
      <c r="F472" s="52"/>
      <c r="G472" s="62"/>
      <c r="H472" s="52"/>
    </row>
    <row r="473" spans="1:8" x14ac:dyDescent="0.25">
      <c r="A473" s="52"/>
      <c r="B473" s="52" t="s">
        <v>663</v>
      </c>
      <c r="C473" s="52">
        <v>1</v>
      </c>
      <c r="D473" s="52">
        <v>5.8449999999999998</v>
      </c>
      <c r="E473" s="52">
        <v>1.5</v>
      </c>
      <c r="F473" s="52"/>
      <c r="G473" s="62">
        <f t="shared" ref="G473:G475" si="26">+PRODUCT(C473:F473)</f>
        <v>8.7675000000000001</v>
      </c>
      <c r="H473" s="52"/>
    </row>
    <row r="474" spans="1:8" x14ac:dyDescent="0.25">
      <c r="A474" s="52"/>
      <c r="B474" s="52" t="s">
        <v>663</v>
      </c>
      <c r="C474" s="52">
        <v>1</v>
      </c>
      <c r="D474" s="52">
        <v>3.5150000000000001</v>
      </c>
      <c r="E474" s="52">
        <v>1.5</v>
      </c>
      <c r="F474" s="52"/>
      <c r="G474" s="62">
        <f t="shared" si="26"/>
        <v>5.2725</v>
      </c>
      <c r="H474" s="52"/>
    </row>
    <row r="475" spans="1:8" x14ac:dyDescent="0.25">
      <c r="A475" s="52"/>
      <c r="B475" s="52" t="s">
        <v>663</v>
      </c>
      <c r="C475" s="52">
        <v>1</v>
      </c>
      <c r="D475" s="52">
        <v>1.55</v>
      </c>
      <c r="E475" s="52">
        <v>1.5</v>
      </c>
      <c r="F475" s="52"/>
      <c r="G475" s="62">
        <f t="shared" si="26"/>
        <v>2.3250000000000002</v>
      </c>
      <c r="H475" s="52"/>
    </row>
    <row r="476" spans="1:8" x14ac:dyDescent="0.25">
      <c r="A476" s="52"/>
      <c r="B476" s="52"/>
      <c r="C476" s="52"/>
      <c r="D476" s="52"/>
      <c r="E476" s="52"/>
      <c r="F476" s="52"/>
      <c r="G476" s="62">
        <f t="shared" si="18"/>
        <v>0</v>
      </c>
      <c r="H476" s="52"/>
    </row>
    <row r="477" spans="1:8" x14ac:dyDescent="0.25">
      <c r="A477" s="52"/>
      <c r="B477" s="52" t="s">
        <v>691</v>
      </c>
      <c r="C477" s="52"/>
      <c r="D477" s="52"/>
      <c r="E477" s="52"/>
      <c r="F477" s="52"/>
      <c r="G477" s="62">
        <f t="shared" si="18"/>
        <v>0</v>
      </c>
      <c r="H477" s="52"/>
    </row>
    <row r="478" spans="1:8" x14ac:dyDescent="0.25">
      <c r="A478" s="52"/>
      <c r="B478" s="52" t="s">
        <v>663</v>
      </c>
      <c r="C478" s="52">
        <v>1</v>
      </c>
      <c r="D478" s="52">
        <v>3.23</v>
      </c>
      <c r="E478" s="52">
        <v>2.14</v>
      </c>
      <c r="F478" s="52"/>
      <c r="G478" s="62">
        <f t="shared" si="18"/>
        <v>6.9122000000000003</v>
      </c>
      <c r="H478" s="52"/>
    </row>
    <row r="479" spans="1:8" x14ac:dyDescent="0.25">
      <c r="A479" s="52"/>
      <c r="B479" s="52" t="s">
        <v>663</v>
      </c>
      <c r="C479" s="52">
        <v>1</v>
      </c>
      <c r="D479" s="52">
        <v>4.7</v>
      </c>
      <c r="E479" s="52">
        <v>1.5</v>
      </c>
      <c r="F479" s="52"/>
      <c r="G479" s="62">
        <f t="shared" si="18"/>
        <v>7.0500000000000007</v>
      </c>
      <c r="H479" s="52"/>
    </row>
    <row r="480" spans="1:8" x14ac:dyDescent="0.25">
      <c r="A480" s="52"/>
      <c r="B480" s="52" t="s">
        <v>664</v>
      </c>
      <c r="C480" s="52">
        <v>2</v>
      </c>
      <c r="D480" s="52">
        <v>2.14</v>
      </c>
      <c r="E480" s="52"/>
      <c r="F480" s="52">
        <f>2.95-0.15-0.125</f>
        <v>2.6750000000000003</v>
      </c>
      <c r="G480" s="62">
        <f>+PRODUCT(C480:F480)</f>
        <v>11.449000000000002</v>
      </c>
      <c r="H480" s="52"/>
    </row>
    <row r="481" spans="1:8" x14ac:dyDescent="0.25">
      <c r="A481" s="52"/>
      <c r="B481" s="52"/>
      <c r="C481" s="52">
        <v>1</v>
      </c>
      <c r="D481" s="52">
        <v>3.23</v>
      </c>
      <c r="E481" s="52"/>
      <c r="F481" s="52">
        <f>2.95-0.15-0.125</f>
        <v>2.6750000000000003</v>
      </c>
      <c r="G481" s="62">
        <f>+PRODUCT(C481:F481)</f>
        <v>8.64025</v>
      </c>
      <c r="H481" s="52"/>
    </row>
    <row r="482" spans="1:8" x14ac:dyDescent="0.25">
      <c r="A482" s="52"/>
      <c r="B482" s="52"/>
      <c r="C482" s="52">
        <v>1</v>
      </c>
      <c r="D482" s="52">
        <v>1.69</v>
      </c>
      <c r="E482" s="52"/>
      <c r="F482" s="52">
        <f>2.95-0.15-0.125</f>
        <v>2.6750000000000003</v>
      </c>
      <c r="G482" s="62">
        <f>+PRODUCT(C482:F482)</f>
        <v>4.5207500000000005</v>
      </c>
      <c r="H482" s="52"/>
    </row>
    <row r="483" spans="1:8" x14ac:dyDescent="0.25">
      <c r="A483" s="52"/>
      <c r="B483" s="52" t="s">
        <v>571</v>
      </c>
      <c r="C483" s="52">
        <v>-1.5</v>
      </c>
      <c r="D483" s="52">
        <v>1.2</v>
      </c>
      <c r="E483" s="52"/>
      <c r="F483" s="52">
        <v>2.2999999999999998</v>
      </c>
      <c r="G483" s="62">
        <f>+PRODUCT(C483:F483)</f>
        <v>-4.1399999999999997</v>
      </c>
      <c r="H483" s="52"/>
    </row>
    <row r="484" spans="1:8" x14ac:dyDescent="0.25">
      <c r="A484" s="52"/>
      <c r="B484" s="52" t="s">
        <v>695</v>
      </c>
      <c r="C484" s="52"/>
      <c r="D484" s="52"/>
      <c r="E484" s="52"/>
      <c r="F484" s="52"/>
      <c r="G484" s="62"/>
      <c r="H484" s="52"/>
    </row>
    <row r="485" spans="1:8" x14ac:dyDescent="0.25">
      <c r="A485" s="52"/>
      <c r="B485" s="52" t="s">
        <v>663</v>
      </c>
      <c r="C485" s="52">
        <v>1</v>
      </c>
      <c r="D485" s="52">
        <v>4.2350000000000003</v>
      </c>
      <c r="E485" s="52">
        <v>2.44</v>
      </c>
      <c r="F485" s="52"/>
      <c r="G485" s="62">
        <f t="shared" si="18"/>
        <v>10.333400000000001</v>
      </c>
      <c r="H485" s="52"/>
    </row>
    <row r="486" spans="1:8" x14ac:dyDescent="0.25">
      <c r="A486" s="52"/>
      <c r="B486" s="52" t="s">
        <v>663</v>
      </c>
      <c r="C486" s="52">
        <v>1</v>
      </c>
      <c r="D486" s="52">
        <v>4.18</v>
      </c>
      <c r="E486" s="52">
        <v>1.82</v>
      </c>
      <c r="F486" s="52"/>
      <c r="G486" s="62">
        <f t="shared" si="18"/>
        <v>7.6075999999999997</v>
      </c>
      <c r="H486" s="52"/>
    </row>
    <row r="487" spans="1:8" x14ac:dyDescent="0.25">
      <c r="A487" s="52"/>
      <c r="B487" s="52" t="s">
        <v>664</v>
      </c>
      <c r="C487" s="52">
        <v>2</v>
      </c>
      <c r="D487" s="52">
        <v>4.7</v>
      </c>
      <c r="E487" s="52"/>
      <c r="F487" s="52">
        <v>2.6749999999999998</v>
      </c>
      <c r="G487" s="62">
        <f t="shared" ref="G487:G492" si="27">+PRODUCT(C487:F487)</f>
        <v>25.145</v>
      </c>
      <c r="H487" s="52"/>
    </row>
    <row r="488" spans="1:8" x14ac:dyDescent="0.25">
      <c r="A488" s="52"/>
      <c r="B488" s="52"/>
      <c r="C488" s="52">
        <v>1</v>
      </c>
      <c r="D488" s="52">
        <v>8.4149999999999991</v>
      </c>
      <c r="E488" s="52"/>
      <c r="F488" s="52">
        <v>2.6749999999999998</v>
      </c>
      <c r="G488" s="62">
        <f t="shared" si="27"/>
        <v>22.510124999999995</v>
      </c>
      <c r="H488" s="52"/>
    </row>
    <row r="489" spans="1:8" x14ac:dyDescent="0.25">
      <c r="A489" s="52"/>
      <c r="B489" s="52" t="s">
        <v>692</v>
      </c>
      <c r="C489" s="52">
        <v>-0.5</v>
      </c>
      <c r="D489" s="52">
        <v>1.2</v>
      </c>
      <c r="E489" s="52"/>
      <c r="F489" s="52">
        <v>2.1</v>
      </c>
      <c r="G489" s="62">
        <f t="shared" si="27"/>
        <v>-1.26</v>
      </c>
      <c r="H489" s="52"/>
    </row>
    <row r="490" spans="1:8" x14ac:dyDescent="0.25">
      <c r="A490" s="52"/>
      <c r="B490" s="52" t="s">
        <v>693</v>
      </c>
      <c r="C490" s="52">
        <v>-1</v>
      </c>
      <c r="D490" s="52">
        <v>2.085</v>
      </c>
      <c r="E490" s="52"/>
      <c r="F490" s="52">
        <v>1.5</v>
      </c>
      <c r="G490" s="62">
        <f t="shared" si="27"/>
        <v>-3.1274999999999999</v>
      </c>
      <c r="H490" s="52"/>
    </row>
    <row r="491" spans="1:8" x14ac:dyDescent="0.25">
      <c r="A491" s="52"/>
      <c r="B491" s="52" t="s">
        <v>685</v>
      </c>
      <c r="C491" s="52">
        <v>2</v>
      </c>
      <c r="D491" s="52">
        <v>1.5</v>
      </c>
      <c r="E491" s="52">
        <v>0.2</v>
      </c>
      <c r="F491" s="52"/>
      <c r="G491" s="62">
        <f t="shared" si="27"/>
        <v>0.60000000000000009</v>
      </c>
      <c r="H491" s="52"/>
    </row>
    <row r="492" spans="1:8" x14ac:dyDescent="0.25">
      <c r="A492" s="52"/>
      <c r="B492" s="52"/>
      <c r="C492" s="52">
        <v>2</v>
      </c>
      <c r="D492" s="52">
        <v>2.085</v>
      </c>
      <c r="E492" s="52">
        <v>0.2</v>
      </c>
      <c r="F492" s="52"/>
      <c r="G492" s="62">
        <f t="shared" si="27"/>
        <v>0.83400000000000007</v>
      </c>
      <c r="H492" s="52"/>
    </row>
    <row r="493" spans="1:8" x14ac:dyDescent="0.25">
      <c r="A493" s="52"/>
      <c r="B493" s="52" t="s">
        <v>694</v>
      </c>
      <c r="C493" s="52">
        <v>-1</v>
      </c>
      <c r="D493" s="52">
        <v>1.7949999999999999</v>
      </c>
      <c r="E493" s="52"/>
      <c r="F493" s="52">
        <f>2.95-0.45-0.15</f>
        <v>2.35</v>
      </c>
      <c r="G493" s="62">
        <f t="shared" ref="G493:G507" si="28">+PRODUCT(C493:F493)</f>
        <v>-4.2182500000000003</v>
      </c>
      <c r="H493" s="52"/>
    </row>
    <row r="494" spans="1:8" x14ac:dyDescent="0.25">
      <c r="A494" s="52"/>
      <c r="B494" s="52" t="s">
        <v>685</v>
      </c>
      <c r="C494" s="52">
        <v>2</v>
      </c>
      <c r="D494" s="52">
        <v>2.35</v>
      </c>
      <c r="E494" s="52">
        <v>0.115</v>
      </c>
      <c r="F494" s="52"/>
      <c r="G494" s="62">
        <f t="shared" si="28"/>
        <v>0.54050000000000009</v>
      </c>
      <c r="H494" s="52"/>
    </row>
    <row r="495" spans="1:8" x14ac:dyDescent="0.25">
      <c r="A495" s="52"/>
      <c r="B495" s="52" t="s">
        <v>671</v>
      </c>
      <c r="C495" s="52">
        <v>1</v>
      </c>
      <c r="D495" s="52">
        <v>1.7949999999999999</v>
      </c>
      <c r="E495" s="52">
        <v>0.115</v>
      </c>
      <c r="F495" s="52"/>
      <c r="G495" s="62">
        <f t="shared" si="28"/>
        <v>0.206425</v>
      </c>
      <c r="H495" s="52"/>
    </row>
    <row r="496" spans="1:8" x14ac:dyDescent="0.25">
      <c r="A496" s="52"/>
      <c r="B496" s="52" t="s">
        <v>698</v>
      </c>
      <c r="C496" s="52">
        <v>-1</v>
      </c>
      <c r="D496" s="52">
        <v>1.9450000000000001</v>
      </c>
      <c r="E496" s="52"/>
      <c r="F496" s="52">
        <f>2.95-0.45-0.15</f>
        <v>2.35</v>
      </c>
      <c r="G496" s="62">
        <f t="shared" si="28"/>
        <v>-4.5707500000000003</v>
      </c>
      <c r="H496" s="52"/>
    </row>
    <row r="497" spans="1:8" x14ac:dyDescent="0.25">
      <c r="A497" s="52"/>
      <c r="B497" s="52" t="s">
        <v>685</v>
      </c>
      <c r="C497" s="52">
        <v>2</v>
      </c>
      <c r="D497" s="52">
        <v>2.35</v>
      </c>
      <c r="E497" s="52">
        <v>0.115</v>
      </c>
      <c r="F497" s="52"/>
      <c r="G497" s="62">
        <f t="shared" si="28"/>
        <v>0.54050000000000009</v>
      </c>
      <c r="H497" s="52"/>
    </row>
    <row r="498" spans="1:8" x14ac:dyDescent="0.25">
      <c r="A498" s="52"/>
      <c r="B498" s="52" t="s">
        <v>671</v>
      </c>
      <c r="C498" s="52">
        <v>1</v>
      </c>
      <c r="D498" s="52">
        <v>1.9450000000000001</v>
      </c>
      <c r="E498" s="52">
        <v>0.115</v>
      </c>
      <c r="F498" s="52"/>
      <c r="G498" s="62">
        <f t="shared" si="28"/>
        <v>0.22367500000000001</v>
      </c>
      <c r="H498" s="52"/>
    </row>
    <row r="499" spans="1:8" x14ac:dyDescent="0.25">
      <c r="A499" s="52"/>
      <c r="B499" s="52" t="s">
        <v>699</v>
      </c>
      <c r="C499" s="52">
        <v>1</v>
      </c>
      <c r="D499" s="52">
        <v>4.4649999999999999</v>
      </c>
      <c r="E499" s="52"/>
      <c r="F499" s="52">
        <v>2.6749999999999998</v>
      </c>
      <c r="G499" s="62">
        <f t="shared" si="28"/>
        <v>11.943874999999998</v>
      </c>
      <c r="H499" s="52"/>
    </row>
    <row r="500" spans="1:8" x14ac:dyDescent="0.25">
      <c r="A500" s="52"/>
      <c r="B500" s="52" t="s">
        <v>700</v>
      </c>
      <c r="C500" s="52">
        <v>-1</v>
      </c>
      <c r="D500" s="52">
        <v>0.9</v>
      </c>
      <c r="E500" s="52"/>
      <c r="F500" s="52">
        <v>2.2999999999999998</v>
      </c>
      <c r="G500" s="62">
        <f t="shared" si="28"/>
        <v>-2.0699999999999998</v>
      </c>
      <c r="H500" s="52"/>
    </row>
    <row r="501" spans="1:8" x14ac:dyDescent="0.25">
      <c r="A501" s="52"/>
      <c r="B501" s="52" t="s">
        <v>701</v>
      </c>
      <c r="C501" s="52"/>
      <c r="D501" s="52"/>
      <c r="E501" s="52"/>
      <c r="F501" s="52"/>
      <c r="G501" s="62">
        <f t="shared" si="28"/>
        <v>0</v>
      </c>
      <c r="H501" s="52"/>
    </row>
    <row r="502" spans="1:8" x14ac:dyDescent="0.25">
      <c r="A502" s="52"/>
      <c r="B502" s="52" t="s">
        <v>663</v>
      </c>
      <c r="C502" s="52">
        <v>1</v>
      </c>
      <c r="D502" s="52">
        <v>3.95</v>
      </c>
      <c r="E502" s="52">
        <v>0.23</v>
      </c>
      <c r="F502" s="52"/>
      <c r="G502" s="62">
        <f t="shared" si="28"/>
        <v>0.90850000000000009</v>
      </c>
      <c r="H502" s="52"/>
    </row>
    <row r="503" spans="1:8" x14ac:dyDescent="0.25">
      <c r="A503" s="52"/>
      <c r="B503" s="52" t="s">
        <v>702</v>
      </c>
      <c r="C503" s="52">
        <v>2</v>
      </c>
      <c r="D503" s="52">
        <v>3.95</v>
      </c>
      <c r="E503" s="52">
        <f>0.45-0.125</f>
        <v>0.32500000000000001</v>
      </c>
      <c r="F503" s="52"/>
      <c r="G503" s="62">
        <f t="shared" si="28"/>
        <v>2.5675000000000003</v>
      </c>
      <c r="H503" s="52"/>
    </row>
    <row r="504" spans="1:8" x14ac:dyDescent="0.25">
      <c r="A504" s="52"/>
      <c r="B504" s="52" t="s">
        <v>696</v>
      </c>
      <c r="C504" s="52"/>
      <c r="D504" s="52"/>
      <c r="E504" s="52"/>
      <c r="F504" s="52"/>
      <c r="G504" s="62">
        <f t="shared" si="28"/>
        <v>0</v>
      </c>
      <c r="H504" s="52"/>
    </row>
    <row r="505" spans="1:8" x14ac:dyDescent="0.25">
      <c r="A505" s="52"/>
      <c r="B505" s="52" t="s">
        <v>663</v>
      </c>
      <c r="C505" s="52">
        <v>1</v>
      </c>
      <c r="D505" s="52">
        <v>2.15</v>
      </c>
      <c r="E505" s="52">
        <v>1.5</v>
      </c>
      <c r="F505" s="52"/>
      <c r="G505" s="62">
        <f t="shared" si="28"/>
        <v>3.2249999999999996</v>
      </c>
      <c r="H505" s="52"/>
    </row>
    <row r="506" spans="1:8" x14ac:dyDescent="0.25">
      <c r="A506" s="52"/>
      <c r="B506" s="52" t="s">
        <v>664</v>
      </c>
      <c r="C506" s="52">
        <v>2</v>
      </c>
      <c r="D506" s="52">
        <v>2.15</v>
      </c>
      <c r="E506" s="52"/>
      <c r="F506" s="52">
        <v>2.6749999999999998</v>
      </c>
      <c r="G506" s="62"/>
      <c r="H506" s="52"/>
    </row>
    <row r="507" spans="1:8" x14ac:dyDescent="0.25">
      <c r="A507" s="52"/>
      <c r="B507" s="52" t="s">
        <v>697</v>
      </c>
      <c r="C507" s="52"/>
      <c r="D507" s="52"/>
      <c r="E507" s="52"/>
      <c r="F507" s="52"/>
      <c r="G507" s="62">
        <f t="shared" si="28"/>
        <v>0</v>
      </c>
      <c r="H507" s="52"/>
    </row>
    <row r="508" spans="1:8" x14ac:dyDescent="0.25">
      <c r="A508" s="52"/>
      <c r="B508" s="52" t="s">
        <v>663</v>
      </c>
      <c r="C508" s="52">
        <v>1</v>
      </c>
      <c r="D508" s="52">
        <v>3.14</v>
      </c>
      <c r="E508" s="52">
        <v>2.4550000000000001</v>
      </c>
      <c r="F508" s="52"/>
      <c r="G508" s="62">
        <f t="shared" si="18"/>
        <v>7.7087000000000003</v>
      </c>
      <c r="H508" s="52"/>
    </row>
    <row r="509" spans="1:8" x14ac:dyDescent="0.25">
      <c r="A509" s="52"/>
      <c r="B509" s="56" t="s">
        <v>684</v>
      </c>
      <c r="C509" s="52">
        <v>2</v>
      </c>
      <c r="D509" s="52">
        <v>3.14</v>
      </c>
      <c r="E509" s="52"/>
      <c r="F509" s="52">
        <v>2.6749999999999998</v>
      </c>
      <c r="G509" s="62">
        <f t="shared" si="18"/>
        <v>16.798999999999999</v>
      </c>
      <c r="H509" s="52"/>
    </row>
    <row r="510" spans="1:8" x14ac:dyDescent="0.25">
      <c r="A510" s="52"/>
      <c r="B510" s="52"/>
      <c r="C510" s="52">
        <v>1</v>
      </c>
      <c r="D510" s="52">
        <v>2.4550000000000001</v>
      </c>
      <c r="E510" s="52"/>
      <c r="F510" s="52">
        <v>2.6749999999999998</v>
      </c>
      <c r="G510" s="62">
        <f t="shared" si="18"/>
        <v>6.5671249999999999</v>
      </c>
      <c r="H510" s="52"/>
    </row>
    <row r="511" spans="1:8" x14ac:dyDescent="0.25">
      <c r="A511" s="52"/>
      <c r="B511" s="52"/>
      <c r="C511" s="52">
        <v>1</v>
      </c>
      <c r="D511" s="52">
        <v>0.95</v>
      </c>
      <c r="E511" s="52"/>
      <c r="F511" s="52">
        <v>2.6749999999999998</v>
      </c>
      <c r="G511" s="62">
        <f t="shared" si="18"/>
        <v>2.5412499999999998</v>
      </c>
      <c r="H511" s="52"/>
    </row>
    <row r="512" spans="1:8" x14ac:dyDescent="0.25">
      <c r="A512" s="52"/>
      <c r="B512" s="52" t="s">
        <v>571</v>
      </c>
      <c r="C512" s="52">
        <v>-1.5</v>
      </c>
      <c r="D512" s="52">
        <v>1.2</v>
      </c>
      <c r="E512" s="52"/>
      <c r="F512" s="52">
        <v>2.2999999999999998</v>
      </c>
      <c r="G512" s="62">
        <f t="shared" si="18"/>
        <v>-4.1399999999999997</v>
      </c>
      <c r="H512" s="52"/>
    </row>
    <row r="513" spans="1:8" x14ac:dyDescent="0.25">
      <c r="A513" s="52"/>
      <c r="B513" s="52" t="s">
        <v>704</v>
      </c>
      <c r="C513" s="52"/>
      <c r="D513" s="52"/>
      <c r="E513" s="52"/>
      <c r="F513" s="52"/>
      <c r="G513" s="62">
        <f t="shared" si="18"/>
        <v>0</v>
      </c>
      <c r="H513" s="52"/>
    </row>
    <row r="514" spans="1:8" x14ac:dyDescent="0.25">
      <c r="A514" s="52"/>
      <c r="B514" s="52" t="s">
        <v>663</v>
      </c>
      <c r="C514" s="52">
        <v>2</v>
      </c>
      <c r="D514" s="52">
        <v>3.2</v>
      </c>
      <c r="E514" s="52">
        <v>1.5</v>
      </c>
      <c r="F514" s="52"/>
      <c r="G514" s="62">
        <f t="shared" si="18"/>
        <v>9.6000000000000014</v>
      </c>
      <c r="H514" s="52"/>
    </row>
    <row r="515" spans="1:8" x14ac:dyDescent="0.25">
      <c r="A515" s="52"/>
      <c r="B515" s="52" t="s">
        <v>663</v>
      </c>
      <c r="C515" s="52">
        <v>2</v>
      </c>
      <c r="D515" s="52">
        <v>3.355</v>
      </c>
      <c r="E515" s="52">
        <v>1.5</v>
      </c>
      <c r="F515" s="52"/>
      <c r="G515" s="62">
        <f t="shared" si="18"/>
        <v>10.065</v>
      </c>
      <c r="H515" s="52"/>
    </row>
    <row r="516" spans="1:8" x14ac:dyDescent="0.25">
      <c r="A516" s="52"/>
      <c r="B516" s="52" t="s">
        <v>664</v>
      </c>
      <c r="C516" s="52">
        <v>2</v>
      </c>
      <c r="D516" s="52">
        <v>5.7</v>
      </c>
      <c r="E516" s="52"/>
      <c r="F516" s="52">
        <f>2.95-0.125-0.15</f>
        <v>2.6750000000000003</v>
      </c>
      <c r="G516" s="62">
        <f t="shared" si="18"/>
        <v>30.495000000000005</v>
      </c>
      <c r="H516" s="52"/>
    </row>
    <row r="517" spans="1:8" x14ac:dyDescent="0.25">
      <c r="A517" s="52"/>
      <c r="B517" s="52"/>
      <c r="C517" s="52">
        <v>2</v>
      </c>
      <c r="D517" s="52">
        <f>3.2+0.75</f>
        <v>3.95</v>
      </c>
      <c r="E517" s="52"/>
      <c r="F517" s="52">
        <f>2.95-0.125-0.15</f>
        <v>2.6750000000000003</v>
      </c>
      <c r="G517" s="62">
        <f t="shared" si="18"/>
        <v>21.132500000000004</v>
      </c>
      <c r="H517" s="52"/>
    </row>
    <row r="518" spans="1:8" x14ac:dyDescent="0.25">
      <c r="A518" s="52"/>
      <c r="B518" s="52" t="s">
        <v>703</v>
      </c>
      <c r="C518" s="52">
        <v>-0.5</v>
      </c>
      <c r="D518" s="52">
        <v>1.8</v>
      </c>
      <c r="E518" s="52"/>
      <c r="F518" s="52">
        <v>1.5</v>
      </c>
      <c r="G518" s="62">
        <f t="shared" si="18"/>
        <v>-1.35</v>
      </c>
      <c r="H518" s="52"/>
    </row>
    <row r="519" spans="1:8" x14ac:dyDescent="0.25">
      <c r="A519" s="52"/>
      <c r="B519" s="52" t="s">
        <v>692</v>
      </c>
      <c r="C519" s="52">
        <v>-0.5</v>
      </c>
      <c r="D519" s="52">
        <v>1.2</v>
      </c>
      <c r="E519" s="52"/>
      <c r="F519" s="52">
        <v>2.1</v>
      </c>
      <c r="G519" s="62">
        <f>+PRODUCT(C519:F519)</f>
        <v>-1.26</v>
      </c>
      <c r="H519" s="52"/>
    </row>
    <row r="520" spans="1:8" x14ac:dyDescent="0.25">
      <c r="A520" s="52"/>
      <c r="B520" s="52"/>
      <c r="C520" s="52"/>
      <c r="D520" s="52"/>
      <c r="E520" s="52"/>
      <c r="F520" s="52"/>
      <c r="G520" s="62">
        <f t="shared" si="18"/>
        <v>0</v>
      </c>
      <c r="H520" s="52"/>
    </row>
    <row r="521" spans="1:8" x14ac:dyDescent="0.25">
      <c r="A521" s="52"/>
      <c r="B521" s="52" t="s">
        <v>586</v>
      </c>
      <c r="C521" s="52"/>
      <c r="D521" s="52"/>
      <c r="E521" s="52"/>
      <c r="F521" s="52"/>
      <c r="G521" s="62">
        <f t="shared" si="18"/>
        <v>0</v>
      </c>
      <c r="H521" s="52"/>
    </row>
    <row r="522" spans="1:8" x14ac:dyDescent="0.25">
      <c r="A522" s="52"/>
      <c r="B522" s="52" t="s">
        <v>663</v>
      </c>
      <c r="C522" s="52">
        <v>1</v>
      </c>
      <c r="D522" s="52">
        <v>0.33500000000000002</v>
      </c>
      <c r="E522" s="52">
        <v>1.5</v>
      </c>
      <c r="F522" s="52"/>
      <c r="G522" s="62">
        <f t="shared" si="18"/>
        <v>0.50250000000000006</v>
      </c>
      <c r="H522" s="52"/>
    </row>
    <row r="523" spans="1:8" x14ac:dyDescent="0.25">
      <c r="A523" s="52"/>
      <c r="B523" s="52" t="s">
        <v>663</v>
      </c>
      <c r="C523" s="52">
        <v>1</v>
      </c>
      <c r="D523" s="52">
        <v>2.6850000000000001</v>
      </c>
      <c r="E523" s="52">
        <v>1.5</v>
      </c>
      <c r="F523" s="52"/>
      <c r="G523" s="62">
        <f t="shared" si="18"/>
        <v>4.0274999999999999</v>
      </c>
      <c r="H523" s="52"/>
    </row>
    <row r="524" spans="1:8" x14ac:dyDescent="0.25">
      <c r="A524" s="52"/>
      <c r="B524" s="52" t="s">
        <v>663</v>
      </c>
      <c r="C524" s="52">
        <v>1</v>
      </c>
      <c r="D524" s="52">
        <v>1.1100000000000001</v>
      </c>
      <c r="E524" s="52">
        <v>1.5649999999999999</v>
      </c>
      <c r="F524" s="52"/>
      <c r="G524" s="62">
        <f t="shared" si="18"/>
        <v>1.7371500000000002</v>
      </c>
      <c r="H524" s="52"/>
    </row>
    <row r="525" spans="1:8" x14ac:dyDescent="0.25">
      <c r="A525" s="52"/>
      <c r="B525" s="52" t="s">
        <v>663</v>
      </c>
      <c r="C525" s="52">
        <v>1</v>
      </c>
      <c r="D525" s="52">
        <v>1.34</v>
      </c>
      <c r="E525" s="52">
        <v>1.5</v>
      </c>
      <c r="F525" s="52"/>
      <c r="G525" s="62">
        <f t="shared" si="18"/>
        <v>2.0100000000000002</v>
      </c>
      <c r="H525" s="52"/>
    </row>
    <row r="526" spans="1:8" x14ac:dyDescent="0.25">
      <c r="A526" s="52"/>
      <c r="B526" s="52" t="s">
        <v>663</v>
      </c>
      <c r="C526" s="52">
        <v>1</v>
      </c>
      <c r="D526" s="52">
        <v>1.1850000000000001</v>
      </c>
      <c r="E526" s="52">
        <v>1.54</v>
      </c>
      <c r="F526" s="52"/>
      <c r="G526" s="62">
        <f t="shared" si="18"/>
        <v>1.8249000000000002</v>
      </c>
      <c r="H526" s="52"/>
    </row>
    <row r="527" spans="1:8" x14ac:dyDescent="0.25">
      <c r="A527" s="52"/>
      <c r="B527" s="52" t="s">
        <v>663</v>
      </c>
      <c r="C527" s="52">
        <v>1</v>
      </c>
      <c r="D527" s="52">
        <v>2.52</v>
      </c>
      <c r="E527" s="52">
        <v>1.5</v>
      </c>
      <c r="F527" s="52"/>
      <c r="G527" s="62">
        <f t="shared" ref="G527:G551" si="29">+PRODUCT(C527:F527)</f>
        <v>3.7800000000000002</v>
      </c>
      <c r="H527" s="52"/>
    </row>
    <row r="528" spans="1:8" x14ac:dyDescent="0.25">
      <c r="A528" s="52"/>
      <c r="B528" s="52" t="s">
        <v>664</v>
      </c>
      <c r="C528" s="52">
        <v>2</v>
      </c>
      <c r="D528" s="52">
        <v>3.835</v>
      </c>
      <c r="E528" s="52"/>
      <c r="F528" s="52">
        <v>2.6749999999999998</v>
      </c>
      <c r="G528" s="62">
        <f t="shared" si="29"/>
        <v>20.517249999999997</v>
      </c>
      <c r="H528" s="52"/>
    </row>
    <row r="529" spans="1:8" x14ac:dyDescent="0.25">
      <c r="A529" s="52"/>
      <c r="B529" s="52"/>
      <c r="C529" s="52">
        <v>1</v>
      </c>
      <c r="D529" s="52">
        <v>3.95</v>
      </c>
      <c r="E529" s="52"/>
      <c r="F529" s="52">
        <v>2.6749999999999998</v>
      </c>
      <c r="G529" s="62">
        <f t="shared" si="29"/>
        <v>10.56625</v>
      </c>
      <c r="H529" s="52"/>
    </row>
    <row r="530" spans="1:8" x14ac:dyDescent="0.25">
      <c r="A530" s="52"/>
      <c r="B530" s="52" t="s">
        <v>705</v>
      </c>
      <c r="C530" s="52">
        <v>-0.5</v>
      </c>
      <c r="D530" s="52">
        <v>1.55</v>
      </c>
      <c r="E530" s="52"/>
      <c r="F530" s="52">
        <v>1.5</v>
      </c>
      <c r="G530" s="62">
        <f t="shared" si="29"/>
        <v>-1.1625000000000001</v>
      </c>
      <c r="H530" s="52"/>
    </row>
    <row r="531" spans="1:8" x14ac:dyDescent="0.25">
      <c r="A531" s="52"/>
      <c r="B531" s="52"/>
      <c r="C531" s="52"/>
      <c r="D531" s="52"/>
      <c r="E531" s="52"/>
      <c r="F531" s="52"/>
      <c r="G531" s="62">
        <f t="shared" si="29"/>
        <v>0</v>
      </c>
      <c r="H531" s="52"/>
    </row>
    <row r="532" spans="1:8" x14ac:dyDescent="0.25">
      <c r="A532" s="52"/>
      <c r="B532" s="52" t="s">
        <v>706</v>
      </c>
      <c r="C532" s="52">
        <v>2</v>
      </c>
      <c r="D532" s="52">
        <v>2.0249999999999999</v>
      </c>
      <c r="E532" s="52"/>
      <c r="F532" s="52">
        <v>2.95</v>
      </c>
      <c r="G532" s="62">
        <f t="shared" si="29"/>
        <v>11.9475</v>
      </c>
      <c r="H532" s="52"/>
    </row>
    <row r="533" spans="1:8" x14ac:dyDescent="0.25">
      <c r="A533" s="52"/>
      <c r="B533" s="52"/>
      <c r="C533" s="52">
        <v>2</v>
      </c>
      <c r="D533" s="52">
        <v>0.52</v>
      </c>
      <c r="E533" s="52"/>
      <c r="F533" s="52">
        <v>2.95</v>
      </c>
      <c r="G533" s="62">
        <f t="shared" si="29"/>
        <v>3.0680000000000005</v>
      </c>
      <c r="H533" s="52"/>
    </row>
    <row r="534" spans="1:8" x14ac:dyDescent="0.25">
      <c r="A534" s="52"/>
      <c r="B534" s="52" t="s">
        <v>708</v>
      </c>
      <c r="C534" s="52">
        <v>-1</v>
      </c>
      <c r="D534" s="52">
        <v>1.7949999999999999</v>
      </c>
      <c r="E534" s="52"/>
      <c r="F534" s="52">
        <f>2.95-0.45-0.15</f>
        <v>2.35</v>
      </c>
      <c r="G534" s="62">
        <f t="shared" si="29"/>
        <v>-4.2182500000000003</v>
      </c>
      <c r="H534" s="52"/>
    </row>
    <row r="535" spans="1:8" x14ac:dyDescent="0.25">
      <c r="A535" s="52"/>
      <c r="B535" s="52" t="s">
        <v>685</v>
      </c>
      <c r="C535" s="52">
        <v>2</v>
      </c>
      <c r="D535" s="52">
        <v>2.35</v>
      </c>
      <c r="E535" s="52">
        <v>0.115</v>
      </c>
      <c r="F535" s="52"/>
      <c r="G535" s="62">
        <f t="shared" si="29"/>
        <v>0.54050000000000009</v>
      </c>
      <c r="H535" s="52"/>
    </row>
    <row r="536" spans="1:8" x14ac:dyDescent="0.25">
      <c r="A536" s="52"/>
      <c r="B536" s="52" t="s">
        <v>671</v>
      </c>
      <c r="C536" s="52">
        <v>1</v>
      </c>
      <c r="D536" s="52">
        <v>1.7949999999999999</v>
      </c>
      <c r="E536" s="52">
        <v>0.115</v>
      </c>
      <c r="F536" s="52"/>
      <c r="G536" s="62">
        <f t="shared" si="29"/>
        <v>0.206425</v>
      </c>
      <c r="H536" s="52"/>
    </row>
    <row r="537" spans="1:8" x14ac:dyDescent="0.25">
      <c r="A537" s="52"/>
      <c r="B537" s="52" t="s">
        <v>709</v>
      </c>
      <c r="C537" s="52">
        <v>2</v>
      </c>
      <c r="D537" s="52">
        <v>2.2450000000000001</v>
      </c>
      <c r="E537" s="52"/>
      <c r="F537" s="52">
        <v>2.95</v>
      </c>
      <c r="G537" s="62">
        <f t="shared" si="29"/>
        <v>13.245500000000002</v>
      </c>
      <c r="H537" s="52"/>
    </row>
    <row r="538" spans="1:8" x14ac:dyDescent="0.25">
      <c r="A538" s="52"/>
      <c r="B538" s="52"/>
      <c r="C538" s="52">
        <v>2</v>
      </c>
      <c r="D538" s="52">
        <v>0.52</v>
      </c>
      <c r="E538" s="52"/>
      <c r="F538" s="52">
        <v>2.95</v>
      </c>
      <c r="G538" s="62">
        <f t="shared" si="29"/>
        <v>3.0680000000000005</v>
      </c>
      <c r="H538" s="52"/>
    </row>
    <row r="539" spans="1:8" x14ac:dyDescent="0.25">
      <c r="A539" s="52"/>
      <c r="B539" s="52" t="s">
        <v>707</v>
      </c>
      <c r="C539" s="52">
        <v>-1</v>
      </c>
      <c r="D539" s="52">
        <v>1.9450000000000001</v>
      </c>
      <c r="E539" s="52"/>
      <c r="F539" s="52">
        <f>2.95-0.45-0.15</f>
        <v>2.35</v>
      </c>
      <c r="G539" s="62">
        <f t="shared" si="29"/>
        <v>-4.5707500000000003</v>
      </c>
      <c r="H539" s="52"/>
    </row>
    <row r="540" spans="1:8" x14ac:dyDescent="0.25">
      <c r="A540" s="52"/>
      <c r="B540" s="52" t="s">
        <v>685</v>
      </c>
      <c r="C540" s="52">
        <v>2</v>
      </c>
      <c r="D540" s="52">
        <v>2.35</v>
      </c>
      <c r="E540" s="52">
        <v>0.115</v>
      </c>
      <c r="F540" s="52"/>
      <c r="G540" s="62">
        <f t="shared" si="29"/>
        <v>0.54050000000000009</v>
      </c>
      <c r="H540" s="52"/>
    </row>
    <row r="541" spans="1:8" x14ac:dyDescent="0.25">
      <c r="A541" s="52"/>
      <c r="B541" s="52" t="s">
        <v>671</v>
      </c>
      <c r="C541" s="52">
        <v>1</v>
      </c>
      <c r="D541" s="52">
        <v>1.9450000000000001</v>
      </c>
      <c r="E541" s="52">
        <v>0.115</v>
      </c>
      <c r="F541" s="52"/>
      <c r="G541" s="62">
        <f t="shared" si="29"/>
        <v>0.22367500000000001</v>
      </c>
      <c r="H541" s="52"/>
    </row>
    <row r="542" spans="1:8" x14ac:dyDescent="0.25">
      <c r="A542" s="52"/>
      <c r="B542" s="52"/>
      <c r="C542" s="52"/>
      <c r="D542" s="52"/>
      <c r="E542" s="52"/>
      <c r="F542" s="52"/>
      <c r="G542" s="62">
        <f t="shared" si="29"/>
        <v>0</v>
      </c>
      <c r="H542" s="52"/>
    </row>
    <row r="543" spans="1:8" x14ac:dyDescent="0.25">
      <c r="A543" s="52"/>
      <c r="B543" s="56" t="s">
        <v>19</v>
      </c>
      <c r="C543" s="52"/>
      <c r="D543" s="52"/>
      <c r="E543" s="52"/>
      <c r="F543" s="52"/>
      <c r="G543" s="62">
        <f t="shared" si="29"/>
        <v>0</v>
      </c>
      <c r="H543" s="52"/>
    </row>
    <row r="544" spans="1:8" x14ac:dyDescent="0.25">
      <c r="A544" s="52"/>
      <c r="B544" s="52" t="s">
        <v>710</v>
      </c>
      <c r="C544" s="52"/>
      <c r="D544" s="52"/>
      <c r="E544" s="52"/>
      <c r="F544" s="52"/>
      <c r="G544" s="62">
        <f>+SUMIF(B4:B541,"Ceiling",G4:G541)*2</f>
        <v>1187.3025000000005</v>
      </c>
      <c r="H544" s="52"/>
    </row>
    <row r="545" spans="1:8" x14ac:dyDescent="0.25">
      <c r="A545" s="52"/>
      <c r="B545" s="52" t="s">
        <v>711</v>
      </c>
      <c r="C545" s="52"/>
      <c r="D545" s="52"/>
      <c r="E545" s="52"/>
      <c r="F545" s="52"/>
      <c r="G545" s="62">
        <f>+(SUM(G4:G541)-G544)*2</f>
        <v>2536.9034500000075</v>
      </c>
      <c r="H545" s="52"/>
    </row>
    <row r="546" spans="1:8" x14ac:dyDescent="0.25">
      <c r="A546" s="52"/>
      <c r="B546" s="52"/>
      <c r="C546" s="52"/>
      <c r="D546" s="52"/>
      <c r="E546" s="52"/>
      <c r="F546" s="52"/>
      <c r="G546" s="62">
        <f t="shared" si="29"/>
        <v>0</v>
      </c>
      <c r="H546" s="52"/>
    </row>
    <row r="547" spans="1:8" x14ac:dyDescent="0.25">
      <c r="A547" s="52"/>
      <c r="B547" s="56" t="s">
        <v>719</v>
      </c>
      <c r="C547" s="56"/>
      <c r="D547" s="56"/>
      <c r="E547" s="56"/>
      <c r="F547" s="56"/>
      <c r="G547" s="65">
        <f>+G544*14</f>
        <v>16622.235000000008</v>
      </c>
      <c r="H547" s="52"/>
    </row>
    <row r="548" spans="1:8" x14ac:dyDescent="0.25">
      <c r="A548" s="52"/>
      <c r="B548" s="56" t="s">
        <v>720</v>
      </c>
      <c r="C548" s="56"/>
      <c r="D548" s="56"/>
      <c r="E548" s="56"/>
      <c r="F548" s="56"/>
      <c r="G548" s="65">
        <f>+G545*14</f>
        <v>35516.648300000103</v>
      </c>
      <c r="H548" s="52"/>
    </row>
    <row r="549" spans="1:8" x14ac:dyDescent="0.25">
      <c r="A549" s="52"/>
      <c r="B549" s="56" t="s">
        <v>721</v>
      </c>
      <c r="C549" s="56">
        <v>4</v>
      </c>
      <c r="D549" s="56">
        <v>2.9849999999999999</v>
      </c>
      <c r="E549" s="56"/>
      <c r="F549" s="56">
        <f>44.5+1.36</f>
        <v>45.86</v>
      </c>
      <c r="G549" s="65">
        <f t="shared" si="29"/>
        <v>547.5684</v>
      </c>
      <c r="H549" s="52"/>
    </row>
    <row r="550" spans="1:8" x14ac:dyDescent="0.25">
      <c r="A550" s="52"/>
      <c r="B550" s="56"/>
      <c r="C550" s="56">
        <v>4</v>
      </c>
      <c r="D550" s="56">
        <v>1.9</v>
      </c>
      <c r="E550" s="56"/>
      <c r="F550" s="56">
        <f>44.5+1.36</f>
        <v>45.86</v>
      </c>
      <c r="G550" s="65">
        <f t="shared" si="29"/>
        <v>348.536</v>
      </c>
      <c r="H550" s="52"/>
    </row>
    <row r="551" spans="1:8" x14ac:dyDescent="0.25">
      <c r="A551" s="52"/>
      <c r="B551" s="56" t="s">
        <v>707</v>
      </c>
      <c r="C551" s="56">
        <f>+-0.5*4*15</f>
        <v>-30</v>
      </c>
      <c r="D551" s="56">
        <v>0.9</v>
      </c>
      <c r="E551" s="56"/>
      <c r="F551" s="56">
        <f>2.95-0.45-0.05</f>
        <v>2.4500000000000002</v>
      </c>
      <c r="G551" s="65">
        <f t="shared" si="29"/>
        <v>-66.150000000000006</v>
      </c>
      <c r="H551" s="52"/>
    </row>
    <row r="552" spans="1:8" x14ac:dyDescent="0.25">
      <c r="A552" s="52"/>
      <c r="B552" s="56"/>
      <c r="C552" s="56"/>
      <c r="D552" s="56"/>
      <c r="E552" s="56"/>
      <c r="F552" s="56"/>
      <c r="G552" s="65">
        <f>SUM(G549:G551)</f>
        <v>829.95439999999996</v>
      </c>
      <c r="H552" s="52"/>
    </row>
    <row r="553" spans="1:8" x14ac:dyDescent="0.25">
      <c r="A553" s="52"/>
      <c r="B553" s="52"/>
      <c r="C553" s="52"/>
      <c r="D553" s="52"/>
      <c r="E553" s="52"/>
      <c r="F553" s="52"/>
      <c r="G553" s="62"/>
      <c r="H553" s="52"/>
    </row>
    <row r="554" spans="1:8" x14ac:dyDescent="0.25">
      <c r="A554" s="52"/>
      <c r="B554" s="52"/>
      <c r="C554" s="52"/>
      <c r="D554" s="52"/>
      <c r="E554" s="52"/>
      <c r="F554" s="52"/>
      <c r="G554" s="62"/>
      <c r="H554" s="52"/>
    </row>
    <row r="555" spans="1:8" x14ac:dyDescent="0.25">
      <c r="A555" s="52"/>
      <c r="B555" s="52"/>
      <c r="C555" s="52"/>
      <c r="D555" s="52"/>
      <c r="E555" s="52"/>
      <c r="F555" s="52"/>
      <c r="G555" s="62"/>
      <c r="H555" s="52"/>
    </row>
    <row r="556" spans="1:8" x14ac:dyDescent="0.25">
      <c r="A556" s="52"/>
      <c r="B556" s="52"/>
      <c r="C556" s="52"/>
      <c r="D556" s="52"/>
      <c r="E556" s="52"/>
      <c r="F556" s="52"/>
      <c r="G556" s="62"/>
      <c r="H556" s="52"/>
    </row>
    <row r="557" spans="1:8" x14ac:dyDescent="0.25">
      <c r="A557" s="52"/>
      <c r="B557" s="52"/>
      <c r="C557" s="52"/>
      <c r="D557" s="52"/>
      <c r="E557" s="52"/>
      <c r="F557" s="52"/>
      <c r="G557" s="62"/>
      <c r="H557" s="52"/>
    </row>
    <row r="558" spans="1:8" x14ac:dyDescent="0.25">
      <c r="A558" s="52"/>
      <c r="B558" s="52"/>
      <c r="C558" s="52"/>
      <c r="D558" s="52"/>
      <c r="E558" s="52"/>
      <c r="F558" s="52"/>
      <c r="G558" s="62"/>
      <c r="H558" s="52"/>
    </row>
    <row r="559" spans="1:8" x14ac:dyDescent="0.25">
      <c r="A559" s="52"/>
      <c r="B559" s="52"/>
      <c r="C559" s="52"/>
      <c r="D559" s="52"/>
      <c r="E559" s="52"/>
      <c r="F559" s="52"/>
      <c r="G559" s="62"/>
      <c r="H559" s="52"/>
    </row>
    <row r="560" spans="1:8" x14ac:dyDescent="0.25">
      <c r="A560" s="52"/>
      <c r="B560" s="56"/>
      <c r="C560" s="52"/>
      <c r="D560" s="52"/>
      <c r="E560" s="52"/>
      <c r="F560" s="52"/>
      <c r="G560" s="62"/>
      <c r="H560" s="52"/>
    </row>
    <row r="561" spans="1:8" x14ac:dyDescent="0.25">
      <c r="A561" s="52"/>
      <c r="B561" s="52"/>
      <c r="C561" s="52"/>
      <c r="D561" s="52"/>
      <c r="E561" s="52"/>
      <c r="F561" s="52"/>
      <c r="G561" s="62"/>
      <c r="H561" s="52"/>
    </row>
    <row r="562" spans="1:8" x14ac:dyDescent="0.25">
      <c r="A562" s="52"/>
      <c r="B562" s="52"/>
      <c r="C562" s="52"/>
      <c r="D562" s="52"/>
      <c r="E562" s="52"/>
      <c r="F562" s="52"/>
      <c r="G562" s="62"/>
      <c r="H562" s="52"/>
    </row>
    <row r="563" spans="1:8" x14ac:dyDescent="0.25">
      <c r="A563" s="52"/>
      <c r="B563" s="52"/>
      <c r="C563" s="52"/>
      <c r="D563" s="52"/>
      <c r="E563" s="52"/>
      <c r="F563" s="52"/>
      <c r="G563" s="62"/>
      <c r="H563" s="52"/>
    </row>
    <row r="564" spans="1:8" x14ac:dyDescent="0.25">
      <c r="A564" s="52"/>
      <c r="B564" s="52"/>
      <c r="C564" s="52"/>
      <c r="D564" s="52"/>
      <c r="E564" s="52"/>
      <c r="F564" s="52"/>
      <c r="G564" s="62"/>
      <c r="H564" s="52"/>
    </row>
    <row r="565" spans="1:8" x14ac:dyDescent="0.25">
      <c r="A565" s="52"/>
      <c r="B565" s="52"/>
      <c r="C565" s="52"/>
      <c r="D565" s="52"/>
      <c r="E565" s="52"/>
      <c r="F565" s="52"/>
      <c r="G565" s="62"/>
      <c r="H565" s="52"/>
    </row>
    <row r="566" spans="1:8" x14ac:dyDescent="0.25">
      <c r="A566" s="52"/>
      <c r="B566" s="52"/>
      <c r="C566" s="52"/>
      <c r="D566" s="52"/>
      <c r="E566" s="52"/>
      <c r="F566" s="52"/>
      <c r="G566" s="62"/>
      <c r="H566" s="52"/>
    </row>
    <row r="567" spans="1:8" x14ac:dyDescent="0.25">
      <c r="A567" s="52"/>
      <c r="B567" s="52"/>
      <c r="C567" s="52"/>
      <c r="D567" s="52"/>
      <c r="E567" s="52"/>
      <c r="F567" s="52"/>
      <c r="G567" s="62"/>
      <c r="H567" s="52"/>
    </row>
    <row r="568" spans="1:8" x14ac:dyDescent="0.25">
      <c r="A568" s="52"/>
      <c r="B568" s="52"/>
      <c r="C568" s="52"/>
      <c r="D568" s="52"/>
      <c r="E568" s="52"/>
      <c r="F568" s="52"/>
      <c r="G568" s="62"/>
      <c r="H568" s="52"/>
    </row>
    <row r="569" spans="1:8" x14ac:dyDescent="0.25">
      <c r="A569" s="52"/>
      <c r="B569" s="52"/>
      <c r="C569" s="52"/>
      <c r="D569" s="52"/>
      <c r="E569" s="52"/>
      <c r="F569" s="52"/>
      <c r="G569" s="62"/>
      <c r="H569" s="52"/>
    </row>
    <row r="570" spans="1:8" x14ac:dyDescent="0.25">
      <c r="A570" s="52"/>
      <c r="B570" s="52"/>
      <c r="C570" s="52"/>
      <c r="D570" s="52"/>
      <c r="E570" s="52"/>
      <c r="F570" s="52"/>
      <c r="G570" s="62"/>
      <c r="H570" s="52"/>
    </row>
    <row r="571" spans="1:8" x14ac:dyDescent="0.25">
      <c r="A571" s="52"/>
      <c r="B571" s="52"/>
      <c r="C571" s="52"/>
      <c r="D571" s="52"/>
      <c r="E571" s="52"/>
      <c r="F571" s="52"/>
      <c r="G571" s="62"/>
      <c r="H571" s="52"/>
    </row>
    <row r="572" spans="1:8" x14ac:dyDescent="0.25">
      <c r="A572" s="52"/>
      <c r="B572" s="52"/>
      <c r="C572" s="52"/>
      <c r="D572" s="52"/>
      <c r="E572" s="52"/>
      <c r="F572" s="52"/>
      <c r="G572" s="62"/>
      <c r="H572" s="52"/>
    </row>
    <row r="573" spans="1:8" x14ac:dyDescent="0.25">
      <c r="A573" s="52"/>
      <c r="B573" s="52"/>
      <c r="C573" s="52"/>
      <c r="D573" s="52"/>
      <c r="E573" s="52"/>
      <c r="F573" s="52"/>
      <c r="G573" s="62"/>
      <c r="H573" s="52"/>
    </row>
    <row r="574" spans="1:8" x14ac:dyDescent="0.25">
      <c r="A574" s="52"/>
      <c r="B574" s="52"/>
      <c r="C574" s="52"/>
      <c r="D574" s="52"/>
      <c r="E574" s="52"/>
      <c r="F574" s="52"/>
      <c r="G574" s="62"/>
      <c r="H574" s="52"/>
    </row>
    <row r="575" spans="1:8" x14ac:dyDescent="0.25">
      <c r="A575" s="52"/>
      <c r="B575" s="52"/>
      <c r="C575" s="52"/>
      <c r="D575" s="52"/>
      <c r="E575" s="52"/>
      <c r="F575" s="52"/>
      <c r="G575" s="62"/>
      <c r="H575" s="52"/>
    </row>
    <row r="576" spans="1:8" x14ac:dyDescent="0.25">
      <c r="A576" s="52"/>
      <c r="B576" s="52"/>
      <c r="C576" s="52"/>
      <c r="D576" s="52"/>
      <c r="E576" s="52"/>
      <c r="F576" s="52"/>
      <c r="G576" s="62"/>
      <c r="H576" s="52"/>
    </row>
    <row r="577" spans="1:8" x14ac:dyDescent="0.25">
      <c r="A577" s="52"/>
      <c r="B577" s="52"/>
      <c r="C577" s="52"/>
      <c r="D577" s="52"/>
      <c r="E577" s="52"/>
      <c r="F577" s="52"/>
      <c r="G577" s="62"/>
      <c r="H577" s="52"/>
    </row>
    <row r="578" spans="1:8" x14ac:dyDescent="0.25">
      <c r="A578" s="52"/>
      <c r="B578" s="52"/>
      <c r="C578" s="52"/>
      <c r="D578" s="52"/>
      <c r="E578" s="52"/>
      <c r="F578" s="52"/>
      <c r="G578" s="62"/>
      <c r="H578" s="52"/>
    </row>
    <row r="579" spans="1:8" x14ac:dyDescent="0.25">
      <c r="A579" s="52"/>
      <c r="B579" s="52"/>
      <c r="C579" s="52"/>
      <c r="D579" s="52"/>
      <c r="E579" s="52"/>
      <c r="F579" s="52"/>
      <c r="G579" s="62"/>
      <c r="H579" s="52"/>
    </row>
    <row r="580" spans="1:8" x14ac:dyDescent="0.25">
      <c r="A580" s="52"/>
      <c r="B580" s="52"/>
      <c r="C580" s="52"/>
      <c r="D580" s="52"/>
      <c r="E580" s="52"/>
      <c r="F580" s="52"/>
      <c r="G580" s="62"/>
      <c r="H580" s="52"/>
    </row>
    <row r="581" spans="1:8" x14ac:dyDescent="0.25">
      <c r="A581" s="52"/>
      <c r="B581" s="52"/>
      <c r="C581" s="52"/>
      <c r="D581" s="52"/>
      <c r="E581" s="52"/>
      <c r="F581" s="52"/>
      <c r="G581" s="62"/>
      <c r="H581" s="52"/>
    </row>
    <row r="582" spans="1:8" x14ac:dyDescent="0.25">
      <c r="A582" s="52"/>
      <c r="B582" s="52"/>
      <c r="C582" s="52"/>
      <c r="D582" s="52"/>
      <c r="E582" s="52"/>
      <c r="F582" s="52"/>
      <c r="G582" s="62"/>
      <c r="H582" s="52"/>
    </row>
    <row r="583" spans="1:8" x14ac:dyDescent="0.25">
      <c r="A583" s="52"/>
      <c r="B583" s="52"/>
      <c r="C583" s="52"/>
      <c r="D583" s="52"/>
      <c r="E583" s="52"/>
      <c r="F583" s="52"/>
      <c r="G583" s="62"/>
      <c r="H583" s="52"/>
    </row>
    <row r="584" spans="1:8" x14ac:dyDescent="0.25">
      <c r="A584" s="52"/>
      <c r="B584" s="52"/>
      <c r="C584" s="52"/>
      <c r="D584" s="52"/>
      <c r="E584" s="52"/>
      <c r="F584" s="52"/>
      <c r="G584" s="62"/>
      <c r="H584" s="52"/>
    </row>
    <row r="585" spans="1:8" x14ac:dyDescent="0.25">
      <c r="A585" s="52"/>
      <c r="B585" s="52"/>
      <c r="C585" s="52"/>
      <c r="D585" s="52"/>
      <c r="E585" s="52"/>
      <c r="F585" s="52"/>
      <c r="G585" s="62"/>
      <c r="H585" s="52"/>
    </row>
    <row r="586" spans="1:8" x14ac:dyDescent="0.25">
      <c r="A586" s="52"/>
      <c r="B586" s="52"/>
      <c r="C586" s="52"/>
      <c r="D586" s="52"/>
      <c r="E586" s="52"/>
      <c r="F586" s="52"/>
      <c r="G586" s="62"/>
      <c r="H586" s="52"/>
    </row>
    <row r="587" spans="1:8" x14ac:dyDescent="0.25">
      <c r="A587" s="52"/>
      <c r="B587" s="52"/>
      <c r="C587" s="52"/>
      <c r="D587" s="52"/>
      <c r="E587" s="52"/>
      <c r="F587" s="52"/>
      <c r="G587" s="62"/>
      <c r="H587" s="52"/>
    </row>
    <row r="588" spans="1:8" x14ac:dyDescent="0.25">
      <c r="A588" s="52"/>
      <c r="B588" s="52"/>
      <c r="C588" s="52"/>
      <c r="D588" s="52"/>
      <c r="E588" s="52"/>
      <c r="F588" s="52"/>
      <c r="G588" s="62"/>
      <c r="H588" s="52"/>
    </row>
    <row r="589" spans="1:8" x14ac:dyDescent="0.25">
      <c r="A589" s="52"/>
      <c r="B589" s="52"/>
      <c r="C589" s="52"/>
      <c r="D589" s="52"/>
      <c r="E589" s="52"/>
      <c r="F589" s="52"/>
      <c r="G589" s="62"/>
      <c r="H589" s="52"/>
    </row>
    <row r="590" spans="1:8" x14ac:dyDescent="0.25">
      <c r="A590" s="52"/>
      <c r="B590" s="52"/>
      <c r="C590" s="52"/>
      <c r="D590" s="52"/>
      <c r="E590" s="52"/>
      <c r="F590" s="52"/>
      <c r="G590" s="62"/>
      <c r="H590" s="52"/>
    </row>
    <row r="591" spans="1:8" x14ac:dyDescent="0.25">
      <c r="A591" s="52"/>
      <c r="B591" s="52"/>
      <c r="C591" s="52"/>
      <c r="D591" s="52"/>
      <c r="E591" s="52"/>
      <c r="F591" s="52"/>
      <c r="G591" s="62"/>
      <c r="H591" s="52"/>
    </row>
    <row r="592" spans="1:8" x14ac:dyDescent="0.25">
      <c r="A592" s="52"/>
      <c r="B592" s="52"/>
      <c r="C592" s="52"/>
      <c r="D592" s="52"/>
      <c r="E592" s="52"/>
      <c r="F592" s="52"/>
      <c r="G592" s="62"/>
      <c r="H592" s="52"/>
    </row>
    <row r="593" spans="1:8" x14ac:dyDescent="0.25">
      <c r="A593" s="52"/>
      <c r="B593" s="52"/>
      <c r="C593" s="52"/>
      <c r="D593" s="52"/>
      <c r="E593" s="52"/>
      <c r="F593" s="52"/>
      <c r="G593" s="62"/>
      <c r="H593" s="52"/>
    </row>
    <row r="594" spans="1:8" x14ac:dyDescent="0.25">
      <c r="A594" s="52"/>
      <c r="B594" s="52"/>
      <c r="C594" s="52"/>
      <c r="D594" s="52"/>
      <c r="E594" s="52"/>
      <c r="F594" s="52"/>
      <c r="G594" s="62"/>
      <c r="H594" s="52"/>
    </row>
    <row r="595" spans="1:8" x14ac:dyDescent="0.25">
      <c r="A595" s="52"/>
      <c r="B595" s="52"/>
      <c r="C595" s="52"/>
      <c r="D595" s="52"/>
      <c r="E595" s="52"/>
      <c r="F595" s="52"/>
      <c r="G595" s="62"/>
      <c r="H595" s="52"/>
    </row>
    <row r="596" spans="1:8" x14ac:dyDescent="0.25">
      <c r="A596" s="52"/>
      <c r="B596" s="52"/>
      <c r="C596" s="52"/>
      <c r="D596" s="52"/>
      <c r="E596" s="52"/>
      <c r="F596" s="52"/>
      <c r="G596" s="62"/>
      <c r="H596" s="52"/>
    </row>
    <row r="597" spans="1:8" x14ac:dyDescent="0.25">
      <c r="A597" s="52"/>
      <c r="B597" s="52"/>
      <c r="C597" s="52"/>
      <c r="D597" s="52"/>
      <c r="E597" s="52"/>
      <c r="F597" s="52"/>
      <c r="G597" s="62"/>
      <c r="H597" s="52"/>
    </row>
    <row r="598" spans="1:8" x14ac:dyDescent="0.25">
      <c r="A598" s="52"/>
      <c r="B598" s="52"/>
      <c r="C598" s="52"/>
      <c r="D598" s="52"/>
      <c r="E598" s="52"/>
      <c r="F598" s="52"/>
      <c r="G598" s="62"/>
      <c r="H598" s="52"/>
    </row>
    <row r="599" spans="1:8" x14ac:dyDescent="0.25">
      <c r="A599" s="52"/>
      <c r="B599" s="52"/>
      <c r="C599" s="52"/>
      <c r="D599" s="52"/>
      <c r="E599" s="52"/>
      <c r="F599" s="52"/>
      <c r="G599" s="62"/>
      <c r="H599" s="52"/>
    </row>
    <row r="600" spans="1:8" x14ac:dyDescent="0.25">
      <c r="A600" s="52"/>
      <c r="B600" s="52"/>
      <c r="C600" s="52"/>
      <c r="D600" s="52"/>
      <c r="E600" s="52"/>
      <c r="F600" s="52"/>
      <c r="G600" s="62"/>
      <c r="H600" s="52"/>
    </row>
    <row r="601" spans="1:8" x14ac:dyDescent="0.25">
      <c r="A601" s="52"/>
      <c r="B601" s="52"/>
      <c r="C601" s="52"/>
      <c r="D601" s="52"/>
      <c r="E601" s="52"/>
      <c r="F601" s="52"/>
      <c r="G601" s="62"/>
      <c r="H601" s="52"/>
    </row>
    <row r="602" spans="1:8" x14ac:dyDescent="0.25">
      <c r="A602" s="52"/>
      <c r="B602" s="52"/>
      <c r="C602" s="52"/>
      <c r="D602" s="52"/>
      <c r="E602" s="52"/>
      <c r="F602" s="52"/>
      <c r="G602" s="62"/>
      <c r="H602" s="52"/>
    </row>
    <row r="603" spans="1:8" x14ac:dyDescent="0.25">
      <c r="A603" s="52"/>
      <c r="B603" s="52"/>
      <c r="C603" s="52"/>
      <c r="D603" s="52"/>
      <c r="E603" s="52"/>
      <c r="F603" s="52"/>
      <c r="G603" s="62"/>
      <c r="H603" s="52"/>
    </row>
    <row r="604" spans="1:8" x14ac:dyDescent="0.25">
      <c r="A604" s="52"/>
      <c r="B604" s="52"/>
      <c r="C604" s="52"/>
      <c r="D604" s="52"/>
      <c r="E604" s="52"/>
      <c r="F604" s="52"/>
      <c r="G604" s="62"/>
      <c r="H604" s="52"/>
    </row>
    <row r="605" spans="1:8" x14ac:dyDescent="0.25">
      <c r="A605" s="52"/>
      <c r="B605" s="52"/>
      <c r="C605" s="52"/>
      <c r="D605" s="52"/>
      <c r="E605" s="52"/>
      <c r="F605" s="52"/>
      <c r="G605" s="62"/>
      <c r="H605" s="52"/>
    </row>
    <row r="606" spans="1:8" x14ac:dyDescent="0.25">
      <c r="A606" s="52"/>
      <c r="B606" s="52"/>
      <c r="C606" s="52"/>
      <c r="D606" s="52"/>
      <c r="E606" s="52"/>
      <c r="F606" s="52"/>
      <c r="G606" s="62"/>
      <c r="H606" s="52"/>
    </row>
    <row r="607" spans="1:8" x14ac:dyDescent="0.25">
      <c r="A607" s="52"/>
      <c r="B607" s="52"/>
      <c r="C607" s="52"/>
      <c r="D607" s="52"/>
      <c r="E607" s="52"/>
      <c r="F607" s="52"/>
      <c r="G607" s="62"/>
      <c r="H607" s="52"/>
    </row>
    <row r="608" spans="1:8" x14ac:dyDescent="0.25">
      <c r="A608" s="52"/>
      <c r="B608" s="52"/>
      <c r="C608" s="52"/>
      <c r="D608" s="52"/>
      <c r="E608" s="52"/>
      <c r="F608" s="52"/>
      <c r="G608" s="62"/>
      <c r="H608" s="52"/>
    </row>
    <row r="609" spans="1:8" x14ac:dyDescent="0.25">
      <c r="A609" s="52"/>
      <c r="B609" s="52"/>
      <c r="C609" s="52"/>
      <c r="D609" s="52"/>
      <c r="E609" s="52"/>
      <c r="F609" s="52"/>
      <c r="G609" s="62"/>
      <c r="H609" s="52"/>
    </row>
    <row r="610" spans="1:8" x14ac:dyDescent="0.25">
      <c r="A610" s="52"/>
      <c r="B610" s="52"/>
      <c r="C610" s="52"/>
      <c r="D610" s="52"/>
      <c r="E610" s="52"/>
      <c r="F610" s="52"/>
      <c r="G610" s="62"/>
      <c r="H610" s="52"/>
    </row>
    <row r="611" spans="1:8" x14ac:dyDescent="0.25">
      <c r="A611" s="52"/>
      <c r="B611" s="52"/>
      <c r="C611" s="52"/>
      <c r="D611" s="52"/>
      <c r="E611" s="52"/>
      <c r="F611" s="52"/>
      <c r="G611" s="62"/>
      <c r="H611" s="52"/>
    </row>
    <row r="612" spans="1:8" x14ac:dyDescent="0.25">
      <c r="A612" s="52"/>
      <c r="B612" s="52"/>
      <c r="C612" s="52"/>
      <c r="D612" s="52"/>
      <c r="E612" s="52"/>
      <c r="F612" s="52"/>
      <c r="G612" s="62"/>
      <c r="H612" s="52"/>
    </row>
    <row r="613" spans="1:8" x14ac:dyDescent="0.25">
      <c r="A613" s="52"/>
      <c r="B613" s="52"/>
      <c r="C613" s="52"/>
      <c r="D613" s="52"/>
      <c r="E613" s="52"/>
      <c r="F613" s="52"/>
      <c r="G613" s="62"/>
      <c r="H613" s="52"/>
    </row>
    <row r="614" spans="1:8" x14ac:dyDescent="0.25">
      <c r="A614" s="52"/>
      <c r="B614" s="52"/>
      <c r="C614" s="52"/>
      <c r="D614" s="52"/>
      <c r="E614" s="52"/>
      <c r="F614" s="52"/>
      <c r="G614" s="62"/>
      <c r="H614" s="52"/>
    </row>
    <row r="615" spans="1:8" x14ac:dyDescent="0.25">
      <c r="A615" s="52"/>
      <c r="B615" s="52"/>
      <c r="C615" s="52"/>
      <c r="D615" s="52"/>
      <c r="E615" s="52"/>
      <c r="F615" s="52"/>
      <c r="G615" s="62"/>
      <c r="H615" s="52"/>
    </row>
    <row r="616" spans="1:8" x14ac:dyDescent="0.25">
      <c r="A616" s="52"/>
      <c r="B616" s="52"/>
      <c r="C616" s="52"/>
      <c r="D616" s="52"/>
      <c r="E616" s="52"/>
      <c r="F616" s="52"/>
      <c r="G616" s="62"/>
      <c r="H616" s="52"/>
    </row>
    <row r="617" spans="1:8" x14ac:dyDescent="0.25">
      <c r="A617" s="52"/>
      <c r="B617" s="52"/>
      <c r="C617" s="52"/>
      <c r="D617" s="52"/>
      <c r="E617" s="52"/>
      <c r="F617" s="52"/>
      <c r="G617" s="62"/>
      <c r="H617" s="52"/>
    </row>
    <row r="618" spans="1:8" x14ac:dyDescent="0.25">
      <c r="A618" s="52"/>
      <c r="B618" s="52"/>
      <c r="C618" s="52"/>
      <c r="D618" s="52"/>
      <c r="E618" s="52"/>
      <c r="F618" s="52"/>
      <c r="G618" s="62"/>
      <c r="H618" s="52"/>
    </row>
    <row r="619" spans="1:8" x14ac:dyDescent="0.25">
      <c r="A619" s="52"/>
      <c r="B619" s="52"/>
      <c r="C619" s="52"/>
      <c r="D619" s="52"/>
      <c r="E619" s="52"/>
      <c r="F619" s="52"/>
      <c r="G619" s="62"/>
      <c r="H619" s="52"/>
    </row>
  </sheetData>
  <mergeCells count="2">
    <mergeCell ref="A1:H1"/>
    <mergeCell ref="D3:E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8"/>
  <sheetViews>
    <sheetView workbookViewId="0">
      <selection activeCell="B8" sqref="B8"/>
    </sheetView>
  </sheetViews>
  <sheetFormatPr defaultRowHeight="15" x14ac:dyDescent="0.25"/>
  <cols>
    <col min="1" max="1" width="6.28515625" customWidth="1"/>
    <col min="2" max="2" width="31.85546875" customWidth="1"/>
    <col min="3" max="3" width="8.140625" customWidth="1"/>
    <col min="4" max="4" width="8.85546875" bestFit="1" customWidth="1"/>
    <col min="5" max="5" width="8" bestFit="1" customWidth="1"/>
    <col min="6" max="6" width="8.42578125" bestFit="1" customWidth="1"/>
    <col min="7" max="7" width="12.140625" style="63" customWidth="1"/>
    <col min="8" max="8" width="9" customWidth="1"/>
  </cols>
  <sheetData>
    <row r="1" spans="1:10" ht="18.75" x14ac:dyDescent="0.3">
      <c r="A1" s="137" t="s">
        <v>713</v>
      </c>
      <c r="B1" s="138"/>
      <c r="C1" s="138"/>
      <c r="D1" s="138"/>
      <c r="E1" s="138"/>
      <c r="F1" s="138"/>
      <c r="G1" s="138"/>
      <c r="H1" s="139"/>
    </row>
    <row r="2" spans="1:10" x14ac:dyDescent="0.25">
      <c r="A2" s="58" t="s">
        <v>249</v>
      </c>
      <c r="B2" s="58" t="s">
        <v>250</v>
      </c>
      <c r="C2" s="59" t="s">
        <v>251</v>
      </c>
      <c r="D2" s="60" t="s">
        <v>252</v>
      </c>
      <c r="E2" s="59" t="s">
        <v>253</v>
      </c>
      <c r="F2" s="59" t="s">
        <v>254</v>
      </c>
      <c r="G2" s="61" t="s">
        <v>255</v>
      </c>
      <c r="H2" s="58" t="s">
        <v>256</v>
      </c>
    </row>
    <row r="3" spans="1:10" x14ac:dyDescent="0.25">
      <c r="A3" s="52"/>
      <c r="B3" s="56" t="s">
        <v>714</v>
      </c>
      <c r="C3" s="52"/>
      <c r="D3" s="140"/>
      <c r="E3" s="141"/>
      <c r="F3" s="52"/>
      <c r="G3" s="65"/>
      <c r="H3" s="52"/>
    </row>
    <row r="4" spans="1:10" x14ac:dyDescent="0.25">
      <c r="A4" s="52"/>
      <c r="B4" s="52" t="s">
        <v>715</v>
      </c>
      <c r="C4" s="52">
        <v>12</v>
      </c>
      <c r="D4" s="52"/>
      <c r="E4" s="52"/>
      <c r="F4" s="52"/>
      <c r="G4" s="76"/>
      <c r="H4" s="52"/>
    </row>
    <row r="5" spans="1:10" x14ac:dyDescent="0.25">
      <c r="A5" s="52"/>
      <c r="B5" s="52" t="s">
        <v>716</v>
      </c>
      <c r="C5" s="52">
        <f>12*3</f>
        <v>36</v>
      </c>
      <c r="D5" s="52"/>
      <c r="E5" s="52"/>
      <c r="F5" s="52"/>
      <c r="G5" s="62"/>
      <c r="H5" s="52"/>
      <c r="J5" s="75"/>
    </row>
    <row r="6" spans="1:10" x14ac:dyDescent="0.25">
      <c r="A6" s="52"/>
      <c r="B6" s="52" t="s">
        <v>718</v>
      </c>
      <c r="C6" s="52"/>
      <c r="D6" s="52"/>
      <c r="E6" s="52"/>
      <c r="F6" s="52"/>
      <c r="G6" s="62"/>
      <c r="H6" s="52"/>
    </row>
    <row r="7" spans="1:10" x14ac:dyDescent="0.25">
      <c r="A7" s="52"/>
      <c r="B7" s="52" t="s">
        <v>717</v>
      </c>
      <c r="C7" s="52">
        <f>12*3</f>
        <v>36</v>
      </c>
      <c r="D7" s="52"/>
      <c r="E7" s="52"/>
      <c r="F7" s="52"/>
      <c r="G7" s="62"/>
      <c r="H7" s="52"/>
    </row>
    <row r="8" spans="1:10" x14ac:dyDescent="0.25">
      <c r="A8" s="52"/>
      <c r="B8" s="52"/>
      <c r="C8" s="52"/>
      <c r="D8" s="52"/>
      <c r="E8" s="52"/>
      <c r="F8" s="52"/>
      <c r="G8" s="62"/>
      <c r="H8" s="52"/>
    </row>
    <row r="9" spans="1:10" x14ac:dyDescent="0.25">
      <c r="A9" s="52"/>
      <c r="B9" s="52"/>
      <c r="C9" s="52"/>
      <c r="D9" s="52"/>
      <c r="E9" s="52"/>
      <c r="F9" s="52"/>
      <c r="G9" s="62"/>
      <c r="H9" s="52"/>
    </row>
    <row r="10" spans="1:10" x14ac:dyDescent="0.25">
      <c r="A10" s="52"/>
      <c r="B10" s="52"/>
      <c r="C10" s="52"/>
      <c r="D10" s="52"/>
      <c r="E10" s="52"/>
      <c r="F10" s="52"/>
      <c r="G10" s="62"/>
      <c r="H10" s="52"/>
    </row>
    <row r="11" spans="1:10" x14ac:dyDescent="0.25">
      <c r="A11" s="52"/>
      <c r="B11" s="52"/>
      <c r="C11" s="52"/>
      <c r="D11" s="52"/>
      <c r="E11" s="52"/>
      <c r="F11" s="52"/>
      <c r="G11" s="62"/>
      <c r="H11" s="52"/>
    </row>
    <row r="12" spans="1:10" x14ac:dyDescent="0.25">
      <c r="A12" s="52"/>
      <c r="B12" s="52"/>
      <c r="C12" s="52"/>
      <c r="D12" s="52"/>
      <c r="E12" s="52"/>
      <c r="F12" s="52"/>
      <c r="G12" s="62"/>
      <c r="H12" s="52"/>
    </row>
    <row r="13" spans="1:10" x14ac:dyDescent="0.25">
      <c r="A13" s="52"/>
      <c r="B13" s="52"/>
      <c r="C13" s="52"/>
      <c r="D13" s="52"/>
      <c r="E13" s="52"/>
      <c r="F13" s="52"/>
      <c r="G13" s="62"/>
      <c r="H13" s="52"/>
    </row>
    <row r="14" spans="1:10" x14ac:dyDescent="0.25">
      <c r="A14" s="52"/>
      <c r="B14" s="52"/>
      <c r="C14" s="52"/>
      <c r="D14" s="52"/>
      <c r="E14" s="52"/>
      <c r="F14" s="52"/>
      <c r="G14" s="62"/>
      <c r="H14" s="52"/>
    </row>
    <row r="15" spans="1:10" x14ac:dyDescent="0.25">
      <c r="A15" s="52"/>
      <c r="B15" s="52"/>
      <c r="C15" s="52"/>
      <c r="D15" s="52"/>
      <c r="E15" s="52"/>
      <c r="F15" s="52"/>
      <c r="G15" s="62"/>
      <c r="H15" s="52"/>
    </row>
    <row r="16" spans="1:10" x14ac:dyDescent="0.25">
      <c r="A16" s="52"/>
      <c r="B16" s="52"/>
      <c r="C16" s="52"/>
      <c r="D16" s="52"/>
      <c r="E16" s="52"/>
      <c r="F16" s="52"/>
      <c r="G16" s="62"/>
      <c r="H16" s="52"/>
    </row>
    <row r="17" spans="1:10" x14ac:dyDescent="0.25">
      <c r="A17" s="52"/>
      <c r="B17" s="52"/>
      <c r="C17" s="52"/>
      <c r="D17" s="52"/>
      <c r="E17" s="52"/>
      <c r="F17" s="52"/>
      <c r="G17" s="62"/>
      <c r="H17" s="52"/>
    </row>
    <row r="18" spans="1:10" x14ac:dyDescent="0.25">
      <c r="A18" s="52"/>
      <c r="B18" s="52"/>
      <c r="C18" s="52"/>
      <c r="D18" s="52"/>
      <c r="E18" s="52"/>
      <c r="F18" s="52"/>
      <c r="G18" s="62"/>
      <c r="H18" s="52"/>
    </row>
    <row r="19" spans="1:10" x14ac:dyDescent="0.25">
      <c r="A19" s="52"/>
      <c r="B19" s="52"/>
      <c r="C19" s="52"/>
      <c r="D19" s="52"/>
      <c r="E19" s="52"/>
      <c r="F19" s="52"/>
      <c r="G19" s="62"/>
      <c r="H19" s="52"/>
    </row>
    <row r="20" spans="1:10" x14ac:dyDescent="0.25">
      <c r="A20" s="52"/>
      <c r="B20" s="52"/>
      <c r="C20" s="52"/>
      <c r="D20" s="52"/>
      <c r="E20" s="52"/>
      <c r="F20" s="52"/>
      <c r="G20" s="62"/>
      <c r="H20" s="52"/>
    </row>
    <row r="21" spans="1:10" x14ac:dyDescent="0.25">
      <c r="A21" s="52"/>
      <c r="B21" s="52"/>
      <c r="C21" s="52"/>
      <c r="D21" s="52"/>
      <c r="E21" s="52"/>
      <c r="F21" s="52"/>
      <c r="G21" s="62"/>
      <c r="H21" s="52"/>
    </row>
    <row r="22" spans="1:10" x14ac:dyDescent="0.25">
      <c r="A22" s="52"/>
      <c r="B22" s="52"/>
      <c r="C22" s="52"/>
      <c r="D22" s="52"/>
      <c r="E22" s="52"/>
      <c r="F22" s="52"/>
      <c r="G22" s="62"/>
      <c r="H22" s="52"/>
    </row>
    <row r="23" spans="1:10" x14ac:dyDescent="0.25">
      <c r="A23" s="52"/>
      <c r="B23" s="52"/>
      <c r="C23" s="52"/>
      <c r="D23" s="52"/>
      <c r="E23" s="52"/>
      <c r="F23" s="52"/>
      <c r="G23" s="62"/>
      <c r="H23" s="52"/>
    </row>
    <row r="24" spans="1:10" x14ac:dyDescent="0.25">
      <c r="A24" s="52"/>
      <c r="B24" s="52"/>
      <c r="C24" s="52"/>
      <c r="D24" s="52"/>
      <c r="E24" s="52"/>
      <c r="F24" s="52"/>
      <c r="G24" s="76"/>
      <c r="H24" s="52"/>
    </row>
    <row r="25" spans="1:10" x14ac:dyDescent="0.25">
      <c r="A25" s="52"/>
      <c r="B25" s="52"/>
      <c r="C25" s="52"/>
      <c r="D25" s="52"/>
      <c r="E25" s="52"/>
      <c r="F25" s="52"/>
      <c r="G25" s="62"/>
      <c r="H25" s="52"/>
      <c r="J25" s="75"/>
    </row>
    <row r="26" spans="1:10" x14ac:dyDescent="0.25">
      <c r="A26" s="52"/>
      <c r="B26" s="52"/>
      <c r="C26" s="52"/>
      <c r="D26" s="52"/>
      <c r="E26" s="52"/>
      <c r="F26" s="52"/>
      <c r="G26" s="62"/>
      <c r="H26" s="52"/>
    </row>
    <row r="27" spans="1:10" x14ac:dyDescent="0.25">
      <c r="A27" s="52"/>
      <c r="B27" s="52"/>
      <c r="C27" s="52"/>
      <c r="D27" s="52"/>
      <c r="E27" s="52"/>
      <c r="F27" s="52"/>
      <c r="G27" s="62"/>
      <c r="H27" s="52"/>
    </row>
    <row r="28" spans="1:10" x14ac:dyDescent="0.25">
      <c r="A28" s="52"/>
      <c r="B28" s="52"/>
      <c r="C28" s="52"/>
      <c r="D28" s="52"/>
      <c r="E28" s="52"/>
      <c r="F28" s="52"/>
      <c r="G28" s="62"/>
      <c r="H28" s="52"/>
    </row>
    <row r="29" spans="1:10" x14ac:dyDescent="0.25">
      <c r="A29" s="52"/>
      <c r="B29" s="52"/>
      <c r="C29" s="52"/>
      <c r="D29" s="52"/>
      <c r="E29" s="52"/>
      <c r="F29" s="52"/>
      <c r="G29" s="62"/>
      <c r="H29" s="52"/>
    </row>
    <row r="30" spans="1:10" x14ac:dyDescent="0.25">
      <c r="A30" s="52"/>
      <c r="B30" s="52"/>
      <c r="C30" s="52"/>
      <c r="D30" s="52"/>
      <c r="E30" s="52"/>
      <c r="F30" s="52"/>
      <c r="G30" s="62"/>
      <c r="H30" s="52"/>
    </row>
    <row r="31" spans="1:10" x14ac:dyDescent="0.25">
      <c r="A31" s="52"/>
      <c r="B31" s="52"/>
      <c r="C31" s="52"/>
      <c r="D31" s="52"/>
      <c r="E31" s="52"/>
      <c r="F31" s="52"/>
      <c r="G31" s="62"/>
      <c r="H31" s="52"/>
    </row>
    <row r="32" spans="1:10" x14ac:dyDescent="0.25">
      <c r="A32" s="52"/>
      <c r="B32" s="52"/>
      <c r="C32" s="52"/>
      <c r="D32" s="52"/>
      <c r="E32" s="52"/>
      <c r="F32" s="52"/>
      <c r="G32" s="62"/>
      <c r="H32" s="52"/>
    </row>
    <row r="33" spans="1:10" x14ac:dyDescent="0.25">
      <c r="A33" s="52"/>
      <c r="B33" s="52"/>
      <c r="C33" s="52"/>
      <c r="D33" s="52"/>
      <c r="E33" s="52"/>
      <c r="F33" s="52"/>
      <c r="G33" s="62"/>
      <c r="H33" s="52"/>
    </row>
    <row r="34" spans="1:10" x14ac:dyDescent="0.25">
      <c r="A34" s="52"/>
      <c r="B34" s="52"/>
      <c r="C34" s="52"/>
      <c r="D34" s="52"/>
      <c r="E34" s="52"/>
      <c r="F34" s="52"/>
      <c r="G34" s="62"/>
      <c r="H34" s="52"/>
    </row>
    <row r="35" spans="1:10" x14ac:dyDescent="0.25">
      <c r="A35" s="52"/>
      <c r="B35" s="52"/>
      <c r="C35" s="52"/>
      <c r="D35" s="52"/>
      <c r="E35" s="52"/>
      <c r="F35" s="52"/>
      <c r="G35" s="62"/>
      <c r="H35" s="52"/>
    </row>
    <row r="36" spans="1:10" x14ac:dyDescent="0.25">
      <c r="A36" s="52"/>
      <c r="B36" s="52"/>
      <c r="C36" s="52"/>
      <c r="D36" s="52"/>
      <c r="E36" s="52"/>
      <c r="F36" s="52"/>
      <c r="G36" s="62"/>
      <c r="H36" s="52"/>
    </row>
    <row r="37" spans="1:10" x14ac:dyDescent="0.25">
      <c r="A37" s="52"/>
      <c r="B37" s="52"/>
      <c r="C37" s="52"/>
      <c r="D37" s="52"/>
      <c r="E37" s="52"/>
      <c r="F37" s="52"/>
      <c r="G37" s="62"/>
      <c r="H37" s="52"/>
    </row>
    <row r="38" spans="1:10" x14ac:dyDescent="0.25">
      <c r="A38" s="52"/>
      <c r="B38" s="52"/>
      <c r="C38" s="52"/>
      <c r="D38" s="52"/>
      <c r="E38" s="52"/>
      <c r="F38" s="52"/>
      <c r="G38" s="76"/>
      <c r="H38" s="52"/>
    </row>
    <row r="39" spans="1:10" x14ac:dyDescent="0.25">
      <c r="A39" s="52"/>
      <c r="B39" s="52"/>
      <c r="C39" s="52"/>
      <c r="D39" s="52"/>
      <c r="E39" s="52"/>
      <c r="F39" s="52"/>
      <c r="G39" s="62"/>
      <c r="H39" s="52"/>
      <c r="J39" s="75"/>
    </row>
    <row r="40" spans="1:10" x14ac:dyDescent="0.25">
      <c r="A40" s="52"/>
      <c r="B40" s="52"/>
      <c r="C40" s="52"/>
      <c r="D40" s="52"/>
      <c r="E40" s="52"/>
      <c r="F40" s="52"/>
      <c r="G40" s="62"/>
      <c r="H40" s="52"/>
    </row>
    <row r="41" spans="1:10" x14ac:dyDescent="0.25">
      <c r="A41" s="52"/>
      <c r="B41" s="52"/>
      <c r="C41" s="52"/>
      <c r="D41" s="52"/>
      <c r="E41" s="52"/>
      <c r="F41" s="52"/>
      <c r="G41" s="62"/>
      <c r="H41" s="52"/>
    </row>
    <row r="42" spans="1:10" x14ac:dyDescent="0.25">
      <c r="A42" s="52"/>
      <c r="B42" s="52"/>
      <c r="C42" s="52"/>
      <c r="D42" s="52"/>
      <c r="E42" s="52"/>
      <c r="F42" s="52"/>
      <c r="G42" s="62"/>
      <c r="H42" s="52"/>
    </row>
    <row r="43" spans="1:10" x14ac:dyDescent="0.25">
      <c r="A43" s="52"/>
      <c r="B43" s="52"/>
      <c r="C43" s="52"/>
      <c r="D43" s="52"/>
      <c r="E43" s="52"/>
      <c r="F43" s="52"/>
      <c r="G43" s="62"/>
      <c r="H43" s="52"/>
    </row>
    <row r="44" spans="1:10" x14ac:dyDescent="0.25">
      <c r="A44" s="52"/>
      <c r="B44" s="52"/>
      <c r="C44" s="52"/>
      <c r="D44" s="52"/>
      <c r="E44" s="52"/>
      <c r="F44" s="52"/>
      <c r="G44" s="62"/>
      <c r="H44" s="52"/>
    </row>
    <row r="45" spans="1:10" x14ac:dyDescent="0.25">
      <c r="A45" s="52"/>
      <c r="B45" s="52"/>
      <c r="C45" s="52"/>
      <c r="D45" s="52"/>
      <c r="E45" s="52"/>
      <c r="F45" s="52"/>
      <c r="G45" s="62"/>
      <c r="H45" s="52"/>
    </row>
    <row r="46" spans="1:10" x14ac:dyDescent="0.25">
      <c r="A46" s="52"/>
      <c r="B46" s="52"/>
      <c r="C46" s="52"/>
      <c r="D46" s="52"/>
      <c r="E46" s="52"/>
      <c r="F46" s="52"/>
      <c r="G46" s="62"/>
      <c r="H46" s="52"/>
    </row>
    <row r="47" spans="1:10" x14ac:dyDescent="0.25">
      <c r="A47" s="52"/>
      <c r="B47" s="52"/>
      <c r="C47" s="52"/>
      <c r="D47" s="52"/>
      <c r="E47" s="52"/>
      <c r="F47" s="52"/>
      <c r="G47" s="62"/>
      <c r="H47" s="52"/>
    </row>
    <row r="48" spans="1:10" x14ac:dyDescent="0.25">
      <c r="A48" s="52"/>
      <c r="B48" s="52"/>
      <c r="C48" s="52"/>
      <c r="D48" s="52"/>
      <c r="E48" s="52"/>
      <c r="F48" s="52"/>
      <c r="G48" s="62"/>
      <c r="H48" s="52"/>
    </row>
    <row r="49" spans="1:8" x14ac:dyDescent="0.25">
      <c r="A49" s="52"/>
      <c r="B49" s="52"/>
      <c r="C49" s="52"/>
      <c r="D49" s="52"/>
      <c r="E49" s="52"/>
      <c r="F49" s="52"/>
      <c r="G49" s="62"/>
      <c r="H49" s="52"/>
    </row>
    <row r="50" spans="1:8" x14ac:dyDescent="0.25">
      <c r="A50" s="52"/>
      <c r="B50" s="52"/>
      <c r="C50" s="52"/>
      <c r="D50" s="52"/>
      <c r="E50" s="52"/>
      <c r="F50" s="52"/>
      <c r="G50" s="62"/>
      <c r="H50" s="52"/>
    </row>
    <row r="51" spans="1:8" x14ac:dyDescent="0.25">
      <c r="A51" s="52"/>
      <c r="B51" s="52"/>
      <c r="C51" s="52"/>
      <c r="D51" s="52"/>
      <c r="E51" s="52"/>
      <c r="F51" s="52"/>
      <c r="G51" s="62"/>
      <c r="H51" s="52"/>
    </row>
    <row r="52" spans="1:8" x14ac:dyDescent="0.25">
      <c r="A52" s="52"/>
      <c r="B52" s="52"/>
      <c r="C52" s="52"/>
      <c r="D52" s="52"/>
      <c r="E52" s="52"/>
      <c r="F52" s="52"/>
      <c r="G52" s="62"/>
      <c r="H52" s="52"/>
    </row>
    <row r="53" spans="1:8" x14ac:dyDescent="0.25">
      <c r="A53" s="52"/>
      <c r="B53" s="52"/>
      <c r="C53" s="52"/>
      <c r="D53" s="52"/>
      <c r="E53" s="52"/>
      <c r="F53" s="52"/>
      <c r="G53" s="62"/>
      <c r="H53" s="52"/>
    </row>
    <row r="54" spans="1:8" x14ac:dyDescent="0.25">
      <c r="A54" s="52"/>
      <c r="B54" s="52"/>
      <c r="C54" s="52"/>
      <c r="D54" s="52"/>
      <c r="E54" s="52"/>
      <c r="F54" s="52"/>
      <c r="G54" s="62"/>
      <c r="H54" s="52"/>
    </row>
    <row r="55" spans="1:8" x14ac:dyDescent="0.25">
      <c r="A55" s="52"/>
      <c r="B55" s="52"/>
      <c r="C55" s="52"/>
      <c r="D55" s="52"/>
      <c r="E55" s="52"/>
      <c r="F55" s="52"/>
      <c r="G55" s="62"/>
      <c r="H55" s="52"/>
    </row>
    <row r="56" spans="1:8" x14ac:dyDescent="0.25">
      <c r="A56" s="52"/>
      <c r="B56" s="52"/>
      <c r="C56" s="52"/>
      <c r="D56" s="52"/>
      <c r="E56" s="52"/>
      <c r="F56" s="52"/>
      <c r="G56" s="62"/>
      <c r="H56" s="52"/>
    </row>
    <row r="57" spans="1:8" x14ac:dyDescent="0.25">
      <c r="A57" s="52"/>
      <c r="B57" s="52"/>
      <c r="C57" s="52"/>
      <c r="D57" s="52"/>
      <c r="E57" s="52"/>
      <c r="F57" s="52"/>
      <c r="G57" s="62"/>
      <c r="H57" s="52"/>
    </row>
    <row r="58" spans="1:8" x14ac:dyDescent="0.25">
      <c r="A58" s="52"/>
      <c r="B58" s="52"/>
      <c r="C58" s="52"/>
      <c r="D58" s="52"/>
      <c r="E58" s="52"/>
      <c r="F58" s="52"/>
      <c r="G58" s="62"/>
      <c r="H58" s="52"/>
    </row>
    <row r="59" spans="1:8" x14ac:dyDescent="0.25">
      <c r="A59" s="52"/>
      <c r="B59" s="52"/>
      <c r="C59" s="52"/>
      <c r="D59" s="52"/>
      <c r="E59" s="52"/>
      <c r="F59" s="52"/>
      <c r="G59" s="62"/>
      <c r="H59" s="52"/>
    </row>
    <row r="60" spans="1:8" x14ac:dyDescent="0.25">
      <c r="A60" s="52"/>
      <c r="B60" s="52"/>
      <c r="C60" s="52"/>
      <c r="D60" s="52"/>
      <c r="E60" s="52"/>
      <c r="F60" s="52"/>
      <c r="G60" s="62"/>
      <c r="H60" s="52"/>
    </row>
    <row r="61" spans="1:8" x14ac:dyDescent="0.25">
      <c r="A61" s="52"/>
      <c r="B61" s="52"/>
      <c r="C61" s="52"/>
      <c r="D61" s="52"/>
      <c r="E61" s="52"/>
      <c r="F61" s="52"/>
      <c r="G61" s="62"/>
      <c r="H61" s="52"/>
    </row>
    <row r="62" spans="1:8" x14ac:dyDescent="0.25">
      <c r="A62" s="52"/>
      <c r="B62" s="52"/>
      <c r="C62" s="52"/>
      <c r="D62" s="52"/>
      <c r="E62" s="52"/>
      <c r="F62" s="52"/>
      <c r="G62" s="62"/>
      <c r="H62" s="52"/>
    </row>
    <row r="63" spans="1:8" x14ac:dyDescent="0.25">
      <c r="A63" s="52"/>
      <c r="B63" s="52"/>
      <c r="C63" s="52"/>
      <c r="D63" s="52"/>
      <c r="E63" s="52"/>
      <c r="F63" s="52"/>
      <c r="G63" s="62"/>
      <c r="H63" s="52"/>
    </row>
    <row r="64" spans="1:8" x14ac:dyDescent="0.25">
      <c r="A64" s="52"/>
      <c r="B64" s="52"/>
      <c r="C64" s="52"/>
      <c r="D64" s="52"/>
      <c r="E64" s="52"/>
      <c r="F64" s="52"/>
      <c r="G64" s="62"/>
      <c r="H64" s="52"/>
    </row>
    <row r="65" spans="1:8" x14ac:dyDescent="0.25">
      <c r="A65" s="52"/>
      <c r="B65" s="52"/>
      <c r="C65" s="52"/>
      <c r="D65" s="52"/>
      <c r="E65" s="52"/>
      <c r="F65" s="52"/>
      <c r="G65" s="62"/>
      <c r="H65" s="52"/>
    </row>
    <row r="66" spans="1:8" x14ac:dyDescent="0.25">
      <c r="A66" s="52"/>
      <c r="B66" s="52"/>
      <c r="C66" s="52"/>
      <c r="D66" s="52"/>
      <c r="E66" s="52"/>
      <c r="F66" s="52"/>
      <c r="G66" s="62"/>
      <c r="H66" s="52"/>
    </row>
    <row r="67" spans="1:8" x14ac:dyDescent="0.25">
      <c r="A67" s="52"/>
      <c r="B67" s="52"/>
      <c r="C67" s="52"/>
      <c r="D67" s="52"/>
      <c r="E67" s="52"/>
      <c r="F67" s="52"/>
      <c r="G67" s="62"/>
      <c r="H67" s="52"/>
    </row>
    <row r="68" spans="1:8" x14ac:dyDescent="0.25">
      <c r="A68" s="52"/>
      <c r="B68" s="52"/>
      <c r="C68" s="52"/>
      <c r="D68" s="52"/>
      <c r="E68" s="52"/>
      <c r="F68" s="52"/>
      <c r="G68" s="62"/>
      <c r="H68" s="52"/>
    </row>
    <row r="69" spans="1:8" x14ac:dyDescent="0.25">
      <c r="A69" s="52"/>
      <c r="B69" s="52"/>
      <c r="C69" s="52"/>
      <c r="D69" s="52"/>
      <c r="E69" s="52"/>
      <c r="F69" s="52"/>
      <c r="G69" s="62"/>
      <c r="H69" s="52"/>
    </row>
    <row r="70" spans="1:8" x14ac:dyDescent="0.25">
      <c r="A70" s="52"/>
      <c r="B70" s="52"/>
      <c r="C70" s="52"/>
      <c r="D70" s="52"/>
      <c r="E70" s="52"/>
      <c r="F70" s="52"/>
      <c r="G70" s="62"/>
      <c r="H70" s="52"/>
    </row>
    <row r="71" spans="1:8" x14ac:dyDescent="0.25">
      <c r="A71" s="52"/>
      <c r="B71" s="52"/>
      <c r="C71" s="52"/>
      <c r="D71" s="52"/>
      <c r="E71" s="52"/>
      <c r="F71" s="52"/>
      <c r="G71" s="62"/>
      <c r="H71" s="52"/>
    </row>
    <row r="72" spans="1:8" x14ac:dyDescent="0.25">
      <c r="A72" s="52"/>
      <c r="B72" s="52"/>
      <c r="C72" s="52"/>
      <c r="D72" s="52"/>
      <c r="E72" s="52"/>
      <c r="F72" s="52"/>
      <c r="G72" s="62"/>
      <c r="H72" s="52"/>
    </row>
    <row r="73" spans="1:8" x14ac:dyDescent="0.25">
      <c r="A73" s="52"/>
      <c r="B73" s="52"/>
      <c r="C73" s="52"/>
      <c r="D73" s="52"/>
      <c r="E73" s="52"/>
      <c r="F73" s="52"/>
      <c r="G73" s="62"/>
      <c r="H73" s="52"/>
    </row>
    <row r="74" spans="1:8" x14ac:dyDescent="0.25">
      <c r="A74" s="52"/>
      <c r="B74" s="52"/>
      <c r="C74" s="78"/>
      <c r="D74" s="78"/>
      <c r="E74" s="52"/>
      <c r="F74" s="78"/>
      <c r="G74" s="79"/>
      <c r="H74" s="78"/>
    </row>
    <row r="75" spans="1:8" x14ac:dyDescent="0.25">
      <c r="A75" s="52"/>
      <c r="B75" s="52"/>
      <c r="C75" s="52"/>
      <c r="D75" s="52"/>
      <c r="E75" s="52"/>
      <c r="F75" s="52"/>
      <c r="G75" s="62"/>
      <c r="H75" s="52"/>
    </row>
    <row r="76" spans="1:8" x14ac:dyDescent="0.25">
      <c r="A76" s="52"/>
      <c r="B76" s="52"/>
      <c r="C76" s="52"/>
      <c r="D76" s="52"/>
      <c r="E76" s="52"/>
      <c r="F76" s="52"/>
      <c r="G76" s="62"/>
      <c r="H76" s="52"/>
    </row>
    <row r="77" spans="1:8" x14ac:dyDescent="0.25">
      <c r="A77" s="52"/>
      <c r="B77" s="56"/>
      <c r="C77" s="52"/>
      <c r="D77" s="52"/>
      <c r="E77" s="52"/>
      <c r="F77" s="52"/>
      <c r="G77" s="62"/>
      <c r="H77" s="52"/>
    </row>
    <row r="78" spans="1:8" x14ac:dyDescent="0.25">
      <c r="A78" s="52"/>
      <c r="B78" s="52"/>
      <c r="C78" s="52"/>
      <c r="D78" s="52"/>
      <c r="E78" s="52"/>
      <c r="F78" s="52"/>
      <c r="G78" s="62"/>
      <c r="H78" s="52"/>
    </row>
    <row r="79" spans="1:8" x14ac:dyDescent="0.25">
      <c r="A79" s="52"/>
      <c r="B79" s="52"/>
      <c r="C79" s="52"/>
      <c r="D79" s="52"/>
      <c r="E79" s="52"/>
      <c r="F79" s="52"/>
      <c r="G79" s="62"/>
      <c r="H79" s="52"/>
    </row>
    <row r="80" spans="1:8" x14ac:dyDescent="0.25">
      <c r="A80" s="52"/>
      <c r="B80" s="52"/>
      <c r="C80" s="52"/>
      <c r="D80" s="52"/>
      <c r="E80" s="52"/>
      <c r="F80" s="52"/>
      <c r="G80" s="62"/>
      <c r="H80" s="52"/>
    </row>
    <row r="81" spans="1:8" x14ac:dyDescent="0.25">
      <c r="A81" s="52"/>
      <c r="B81" s="52"/>
      <c r="C81" s="52"/>
      <c r="D81" s="52"/>
      <c r="E81" s="52"/>
      <c r="F81" s="52"/>
      <c r="G81" s="62"/>
      <c r="H81" s="52"/>
    </row>
    <row r="82" spans="1:8" x14ac:dyDescent="0.25">
      <c r="A82" s="52"/>
      <c r="B82" s="52"/>
      <c r="C82" s="52"/>
      <c r="D82" s="52"/>
      <c r="E82" s="52"/>
      <c r="F82" s="52"/>
      <c r="G82" s="62"/>
      <c r="H82" s="52"/>
    </row>
    <row r="83" spans="1:8" x14ac:dyDescent="0.25">
      <c r="A83" s="52"/>
      <c r="B83" s="52"/>
      <c r="C83" s="52"/>
      <c r="D83" s="52"/>
      <c r="E83" s="52"/>
      <c r="F83" s="52"/>
      <c r="G83" s="62"/>
      <c r="H83" s="52"/>
    </row>
    <row r="84" spans="1:8" x14ac:dyDescent="0.25">
      <c r="A84" s="52"/>
      <c r="B84" s="52"/>
      <c r="C84" s="52"/>
      <c r="D84" s="52"/>
      <c r="E84" s="52"/>
      <c r="F84" s="52"/>
      <c r="G84" s="62"/>
      <c r="H84" s="52"/>
    </row>
    <row r="85" spans="1:8" x14ac:dyDescent="0.25">
      <c r="A85" s="52"/>
      <c r="B85" s="52"/>
      <c r="C85" s="52"/>
      <c r="D85" s="52"/>
      <c r="E85" s="52"/>
      <c r="F85" s="52"/>
      <c r="G85" s="62"/>
      <c r="H85" s="52"/>
    </row>
    <row r="86" spans="1:8" x14ac:dyDescent="0.25">
      <c r="A86" s="52"/>
      <c r="B86" s="52"/>
      <c r="C86" s="52"/>
      <c r="D86" s="52"/>
      <c r="E86" s="52"/>
      <c r="F86" s="52"/>
      <c r="G86" s="62"/>
      <c r="H86" s="52"/>
    </row>
    <row r="87" spans="1:8" x14ac:dyDescent="0.25">
      <c r="A87" s="52"/>
      <c r="B87" s="52"/>
      <c r="C87" s="52"/>
      <c r="D87" s="52"/>
      <c r="E87" s="52"/>
      <c r="F87" s="52"/>
      <c r="G87" s="62"/>
      <c r="H87" s="52"/>
    </row>
    <row r="88" spans="1:8" x14ac:dyDescent="0.25">
      <c r="A88" s="52"/>
      <c r="B88" s="52"/>
      <c r="C88" s="52"/>
      <c r="D88" s="52"/>
      <c r="E88" s="52"/>
      <c r="F88" s="52"/>
      <c r="G88" s="62"/>
      <c r="H88" s="52"/>
    </row>
    <row r="89" spans="1:8" x14ac:dyDescent="0.25">
      <c r="A89" s="52"/>
      <c r="B89" s="52"/>
      <c r="C89" s="52"/>
      <c r="D89" s="52"/>
      <c r="E89" s="52"/>
      <c r="F89" s="52"/>
      <c r="G89" s="62"/>
      <c r="H89" s="52"/>
    </row>
    <row r="90" spans="1:8" x14ac:dyDescent="0.25">
      <c r="A90" s="52"/>
      <c r="B90" s="52"/>
      <c r="C90" s="52"/>
      <c r="D90" s="52"/>
      <c r="E90" s="52"/>
      <c r="F90" s="52"/>
      <c r="G90" s="62"/>
      <c r="H90" s="52"/>
    </row>
    <row r="91" spans="1:8" x14ac:dyDescent="0.25">
      <c r="A91" s="52"/>
      <c r="B91" s="52"/>
      <c r="C91" s="52"/>
      <c r="D91" s="52"/>
      <c r="E91" s="52"/>
      <c r="F91" s="52"/>
      <c r="G91" s="62"/>
      <c r="H91" s="52"/>
    </row>
    <row r="92" spans="1:8" x14ac:dyDescent="0.25">
      <c r="A92" s="52"/>
      <c r="B92" s="52"/>
      <c r="C92" s="52"/>
      <c r="D92" s="52"/>
      <c r="E92" s="52"/>
      <c r="F92" s="52"/>
      <c r="G92" s="62"/>
      <c r="H92" s="52"/>
    </row>
    <row r="93" spans="1:8" x14ac:dyDescent="0.25">
      <c r="A93" s="52"/>
      <c r="B93" s="52"/>
      <c r="C93" s="52"/>
      <c r="D93" s="52"/>
      <c r="E93" s="52"/>
      <c r="F93" s="52"/>
      <c r="G93" s="62"/>
      <c r="H93" s="52"/>
    </row>
    <row r="94" spans="1:8" x14ac:dyDescent="0.25">
      <c r="A94" s="52"/>
      <c r="B94" s="52"/>
      <c r="C94" s="52"/>
      <c r="D94" s="52"/>
      <c r="E94" s="52"/>
      <c r="F94" s="52"/>
      <c r="G94" s="62"/>
      <c r="H94" s="52"/>
    </row>
    <row r="95" spans="1:8" x14ac:dyDescent="0.25">
      <c r="A95" s="52"/>
      <c r="B95" s="52"/>
      <c r="C95" s="52"/>
      <c r="D95" s="52"/>
      <c r="E95" s="52"/>
      <c r="F95" s="52"/>
      <c r="G95" s="62"/>
      <c r="H95" s="52"/>
    </row>
    <row r="96" spans="1:8" x14ac:dyDescent="0.25">
      <c r="A96" s="52"/>
      <c r="B96" s="52"/>
      <c r="C96" s="52"/>
      <c r="D96" s="52"/>
      <c r="E96" s="52"/>
      <c r="F96" s="52"/>
      <c r="G96" s="62"/>
      <c r="H96" s="52"/>
    </row>
    <row r="97" spans="1:10" x14ac:dyDescent="0.25">
      <c r="A97" s="52"/>
      <c r="B97" s="52"/>
      <c r="C97" s="52"/>
      <c r="D97" s="52"/>
      <c r="E97" s="52"/>
      <c r="F97" s="52"/>
      <c r="G97" s="62"/>
      <c r="H97" s="52"/>
    </row>
    <row r="98" spans="1:10" x14ac:dyDescent="0.25">
      <c r="A98" s="52"/>
      <c r="B98" s="52"/>
      <c r="C98" s="52"/>
      <c r="D98" s="52"/>
      <c r="E98" s="52"/>
      <c r="F98" s="52"/>
      <c r="G98" s="62"/>
      <c r="H98" s="52"/>
    </row>
    <row r="99" spans="1:10" x14ac:dyDescent="0.25">
      <c r="A99" s="52"/>
      <c r="B99" s="52"/>
      <c r="C99" s="52"/>
      <c r="D99" s="52"/>
      <c r="E99" s="52"/>
      <c r="F99" s="52"/>
      <c r="G99" s="62"/>
      <c r="H99" s="52"/>
    </row>
    <row r="100" spans="1:10" x14ac:dyDescent="0.25">
      <c r="A100" s="52"/>
      <c r="B100" s="52"/>
      <c r="C100" s="52"/>
      <c r="D100" s="52"/>
      <c r="E100" s="52"/>
      <c r="F100" s="52"/>
      <c r="G100" s="62"/>
      <c r="H100" s="52"/>
    </row>
    <row r="101" spans="1:10" x14ac:dyDescent="0.25">
      <c r="A101" s="52"/>
      <c r="B101" s="52"/>
      <c r="C101" s="52"/>
      <c r="D101" s="52"/>
      <c r="E101" s="52"/>
      <c r="F101" s="52"/>
      <c r="G101" s="62"/>
      <c r="H101" s="52"/>
    </row>
    <row r="102" spans="1:10" x14ac:dyDescent="0.25">
      <c r="A102" s="52"/>
      <c r="B102" s="52"/>
      <c r="C102" s="52"/>
      <c r="D102" s="52"/>
      <c r="E102" s="52"/>
      <c r="F102" s="52"/>
      <c r="G102" s="62"/>
      <c r="H102" s="52"/>
    </row>
    <row r="103" spans="1:10" x14ac:dyDescent="0.25">
      <c r="A103" s="52"/>
      <c r="B103" s="52"/>
      <c r="C103" s="52"/>
      <c r="D103" s="52"/>
      <c r="E103" s="52"/>
      <c r="F103" s="52"/>
      <c r="G103" s="62"/>
      <c r="H103" s="52"/>
      <c r="J103">
        <f>2.95-0.125-0.15</f>
        <v>2.6750000000000003</v>
      </c>
    </row>
    <row r="104" spans="1:10" x14ac:dyDescent="0.25">
      <c r="A104" s="52"/>
      <c r="B104" s="52"/>
      <c r="C104" s="52"/>
      <c r="D104" s="52"/>
      <c r="E104" s="52"/>
      <c r="F104" s="52"/>
      <c r="G104" s="62"/>
      <c r="H104" s="52"/>
    </row>
    <row r="105" spans="1:10" x14ac:dyDescent="0.25">
      <c r="A105" s="52"/>
      <c r="B105" s="52"/>
      <c r="C105" s="52"/>
      <c r="D105" s="52"/>
      <c r="E105" s="52"/>
      <c r="F105" s="52"/>
      <c r="G105" s="62"/>
      <c r="H105" s="52"/>
    </row>
    <row r="106" spans="1:10" x14ac:dyDescent="0.25">
      <c r="A106" s="52"/>
      <c r="B106" s="52"/>
      <c r="C106" s="52"/>
      <c r="D106" s="52"/>
      <c r="E106" s="52"/>
      <c r="F106" s="52"/>
      <c r="G106" s="62"/>
      <c r="H106" s="52"/>
    </row>
    <row r="107" spans="1:10" x14ac:dyDescent="0.25">
      <c r="A107" s="52"/>
      <c r="B107" s="52"/>
      <c r="C107" s="52"/>
      <c r="D107" s="52"/>
      <c r="E107" s="52"/>
      <c r="F107" s="52"/>
      <c r="G107" s="62"/>
      <c r="H107" s="52"/>
    </row>
    <row r="108" spans="1:10" x14ac:dyDescent="0.25">
      <c r="A108" s="52"/>
      <c r="B108" s="52"/>
      <c r="C108" s="52"/>
      <c r="D108" s="52"/>
      <c r="E108" s="52"/>
      <c r="F108" s="52"/>
      <c r="G108" s="62"/>
      <c r="H108" s="52"/>
    </row>
    <row r="109" spans="1:10" x14ac:dyDescent="0.25">
      <c r="A109" s="52"/>
      <c r="B109" s="52"/>
      <c r="C109" s="52"/>
      <c r="D109" s="52"/>
      <c r="E109" s="52"/>
      <c r="F109" s="52"/>
      <c r="G109" s="62"/>
      <c r="H109" s="52"/>
    </row>
    <row r="110" spans="1:10" x14ac:dyDescent="0.25">
      <c r="A110" s="52"/>
      <c r="B110" s="52"/>
      <c r="C110" s="52"/>
      <c r="D110" s="52"/>
      <c r="E110" s="52"/>
      <c r="F110" s="52"/>
      <c r="G110" s="62"/>
      <c r="H110" s="52"/>
    </row>
    <row r="111" spans="1:10" x14ac:dyDescent="0.25">
      <c r="A111" s="52"/>
      <c r="B111" s="52"/>
      <c r="C111" s="52"/>
      <c r="D111" s="52"/>
      <c r="E111" s="52"/>
      <c r="F111" s="52"/>
      <c r="G111" s="62"/>
      <c r="H111" s="52"/>
    </row>
    <row r="112" spans="1:10" x14ac:dyDescent="0.25">
      <c r="A112" s="52"/>
      <c r="B112" s="52"/>
      <c r="C112" s="52"/>
      <c r="D112" s="52"/>
      <c r="E112" s="52"/>
      <c r="F112" s="52"/>
      <c r="G112" s="62"/>
      <c r="H112" s="52"/>
    </row>
    <row r="113" spans="1:8" x14ac:dyDescent="0.25">
      <c r="A113" s="52"/>
      <c r="B113" s="52"/>
      <c r="C113" s="52"/>
      <c r="D113" s="52"/>
      <c r="E113" s="52"/>
      <c r="F113" s="52"/>
      <c r="G113" s="62"/>
      <c r="H113" s="52"/>
    </row>
    <row r="114" spans="1:8" x14ac:dyDescent="0.25">
      <c r="A114" s="52"/>
      <c r="B114" s="52"/>
      <c r="C114" s="52"/>
      <c r="D114" s="52"/>
      <c r="E114" s="52"/>
      <c r="F114" s="52"/>
      <c r="G114" s="62"/>
      <c r="H114" s="52"/>
    </row>
    <row r="115" spans="1:8" x14ac:dyDescent="0.25">
      <c r="A115" s="52"/>
      <c r="B115" s="52"/>
      <c r="C115" s="52"/>
      <c r="D115" s="52"/>
      <c r="E115" s="52"/>
      <c r="F115" s="52"/>
      <c r="G115" s="62"/>
      <c r="H115" s="52"/>
    </row>
    <row r="116" spans="1:8" x14ac:dyDescent="0.25">
      <c r="A116" s="52"/>
      <c r="B116" s="52"/>
      <c r="C116" s="52"/>
      <c r="D116" s="52"/>
      <c r="E116" s="52"/>
      <c r="F116" s="52"/>
      <c r="G116" s="62"/>
      <c r="H116" s="52"/>
    </row>
    <row r="117" spans="1:8" x14ac:dyDescent="0.25">
      <c r="A117" s="52"/>
      <c r="B117" s="52"/>
      <c r="C117" s="52"/>
      <c r="D117" s="52"/>
      <c r="E117" s="52"/>
      <c r="F117" s="52"/>
      <c r="G117" s="62"/>
      <c r="H117" s="52"/>
    </row>
    <row r="118" spans="1:8" x14ac:dyDescent="0.25">
      <c r="A118" s="52"/>
      <c r="B118" s="52"/>
      <c r="C118" s="52"/>
      <c r="D118" s="52"/>
      <c r="E118" s="52"/>
      <c r="F118" s="52"/>
      <c r="G118" s="62"/>
      <c r="H118" s="52"/>
    </row>
    <row r="119" spans="1:8" x14ac:dyDescent="0.25">
      <c r="A119" s="52"/>
      <c r="B119" s="52"/>
      <c r="C119" s="52"/>
      <c r="D119" s="52"/>
      <c r="E119" s="52"/>
      <c r="F119" s="52"/>
      <c r="G119" s="62"/>
      <c r="H119" s="52"/>
    </row>
    <row r="120" spans="1:8" x14ac:dyDescent="0.25">
      <c r="A120" s="52"/>
      <c r="B120" s="52"/>
      <c r="C120" s="52"/>
      <c r="D120" s="52"/>
      <c r="E120" s="52"/>
      <c r="F120" s="52"/>
      <c r="G120" s="62"/>
      <c r="H120" s="52"/>
    </row>
    <row r="121" spans="1:8" x14ac:dyDescent="0.25">
      <c r="A121" s="52"/>
      <c r="B121" s="52"/>
      <c r="C121" s="52"/>
      <c r="D121" s="52"/>
      <c r="E121" s="52"/>
      <c r="F121" s="52"/>
      <c r="G121" s="62"/>
      <c r="H121" s="52"/>
    </row>
    <row r="122" spans="1:8" x14ac:dyDescent="0.25">
      <c r="A122" s="52"/>
      <c r="B122" s="52"/>
      <c r="C122" s="52"/>
      <c r="D122" s="52"/>
      <c r="E122" s="52"/>
      <c r="F122" s="52"/>
      <c r="G122" s="62"/>
      <c r="H122" s="52"/>
    </row>
    <row r="123" spans="1:8" x14ac:dyDescent="0.25">
      <c r="A123" s="52"/>
      <c r="B123" s="52"/>
      <c r="C123" s="52"/>
      <c r="D123" s="52"/>
      <c r="E123" s="52"/>
      <c r="F123" s="52"/>
      <c r="G123" s="62"/>
      <c r="H123" s="52"/>
    </row>
    <row r="124" spans="1:8" x14ac:dyDescent="0.25">
      <c r="A124" s="52"/>
      <c r="B124" s="52"/>
      <c r="C124" s="52"/>
      <c r="D124" s="52"/>
      <c r="E124" s="52"/>
      <c r="F124" s="52"/>
      <c r="G124" s="62"/>
      <c r="H124" s="52"/>
    </row>
    <row r="125" spans="1:8" x14ac:dyDescent="0.25">
      <c r="A125" s="52"/>
      <c r="B125" s="52"/>
      <c r="C125" s="52"/>
      <c r="D125" s="52"/>
      <c r="E125" s="52"/>
      <c r="F125" s="52"/>
      <c r="G125" s="62"/>
      <c r="H125" s="52"/>
    </row>
    <row r="126" spans="1:8" x14ac:dyDescent="0.25">
      <c r="A126" s="52"/>
      <c r="B126" s="52"/>
      <c r="C126" s="52"/>
      <c r="D126" s="52"/>
      <c r="E126" s="52"/>
      <c r="F126" s="52"/>
      <c r="G126" s="62"/>
      <c r="H126" s="52"/>
    </row>
    <row r="127" spans="1:8" x14ac:dyDescent="0.25">
      <c r="A127" s="52"/>
      <c r="B127" s="52"/>
      <c r="C127" s="52"/>
      <c r="D127" s="52"/>
      <c r="E127" s="52"/>
      <c r="F127" s="52"/>
      <c r="G127" s="62"/>
      <c r="H127" s="52"/>
    </row>
    <row r="128" spans="1:8" x14ac:dyDescent="0.25">
      <c r="A128" s="52"/>
      <c r="B128" s="52"/>
      <c r="C128" s="52"/>
      <c r="D128" s="52"/>
      <c r="E128" s="52"/>
      <c r="F128" s="52"/>
      <c r="G128" s="62"/>
      <c r="H128" s="52"/>
    </row>
    <row r="129" spans="1:8" x14ac:dyDescent="0.25">
      <c r="A129" s="52"/>
      <c r="B129" s="52"/>
      <c r="C129" s="52"/>
      <c r="D129" s="52"/>
      <c r="E129" s="52"/>
      <c r="F129" s="52"/>
      <c r="G129" s="62"/>
      <c r="H129" s="52"/>
    </row>
    <row r="130" spans="1:8" x14ac:dyDescent="0.25">
      <c r="A130" s="52"/>
      <c r="B130" s="52"/>
      <c r="C130" s="52"/>
      <c r="D130" s="52"/>
      <c r="E130" s="52"/>
      <c r="F130" s="52"/>
      <c r="G130" s="62"/>
      <c r="H130" s="52"/>
    </row>
    <row r="131" spans="1:8" x14ac:dyDescent="0.25">
      <c r="A131" s="52"/>
      <c r="B131" s="52"/>
      <c r="C131" s="52"/>
      <c r="D131" s="52"/>
      <c r="E131" s="52"/>
      <c r="F131" s="52"/>
      <c r="G131" s="62"/>
      <c r="H131" s="52"/>
    </row>
    <row r="132" spans="1:8" x14ac:dyDescent="0.25">
      <c r="A132" s="52"/>
      <c r="B132" s="52"/>
      <c r="C132" s="52"/>
      <c r="D132" s="52"/>
      <c r="E132" s="52"/>
      <c r="F132" s="52"/>
      <c r="G132" s="62"/>
      <c r="H132" s="52"/>
    </row>
    <row r="133" spans="1:8" x14ac:dyDescent="0.25">
      <c r="A133" s="52"/>
      <c r="B133" s="52"/>
      <c r="C133" s="52"/>
      <c r="D133" s="52"/>
      <c r="E133" s="52"/>
      <c r="F133" s="52"/>
      <c r="G133" s="62"/>
      <c r="H133" s="52"/>
    </row>
    <row r="134" spans="1:8" x14ac:dyDescent="0.25">
      <c r="A134" s="52"/>
      <c r="B134" s="56"/>
      <c r="C134" s="52"/>
      <c r="D134" s="52"/>
      <c r="E134" s="52"/>
      <c r="F134" s="52"/>
      <c r="G134" s="62"/>
      <c r="H134" s="52"/>
    </row>
    <row r="135" spans="1:8" x14ac:dyDescent="0.25">
      <c r="A135" s="52"/>
      <c r="B135" s="52"/>
      <c r="C135" s="52"/>
      <c r="D135" s="52"/>
      <c r="E135" s="52"/>
      <c r="F135" s="52"/>
      <c r="G135" s="62"/>
      <c r="H135" s="52"/>
    </row>
    <row r="136" spans="1:8" x14ac:dyDescent="0.25">
      <c r="A136" s="52"/>
      <c r="B136" s="52"/>
      <c r="C136" s="52"/>
      <c r="D136" s="52"/>
      <c r="E136" s="52"/>
      <c r="F136" s="52"/>
      <c r="G136" s="62"/>
      <c r="H136" s="52"/>
    </row>
    <row r="137" spans="1:8" x14ac:dyDescent="0.25">
      <c r="A137" s="52"/>
      <c r="B137" s="52"/>
      <c r="C137" s="52"/>
      <c r="D137" s="52"/>
      <c r="E137" s="52"/>
      <c r="F137" s="52"/>
      <c r="G137" s="62"/>
      <c r="H137" s="52"/>
    </row>
    <row r="138" spans="1:8" x14ac:dyDescent="0.25">
      <c r="A138" s="52"/>
      <c r="B138" s="52"/>
      <c r="C138" s="52"/>
      <c r="D138" s="52"/>
      <c r="E138" s="52"/>
      <c r="F138" s="52"/>
      <c r="G138" s="62"/>
      <c r="H138" s="52"/>
    </row>
    <row r="139" spans="1:8" x14ac:dyDescent="0.25">
      <c r="A139" s="52"/>
      <c r="B139" s="52"/>
      <c r="C139" s="52"/>
      <c r="D139" s="52"/>
      <c r="E139" s="52"/>
      <c r="F139" s="52"/>
      <c r="G139" s="62"/>
      <c r="H139" s="52"/>
    </row>
    <row r="140" spans="1:8" x14ac:dyDescent="0.25">
      <c r="A140" s="52"/>
      <c r="B140" s="52"/>
      <c r="C140" s="52"/>
      <c r="D140" s="52"/>
      <c r="E140" s="52"/>
      <c r="F140" s="52"/>
      <c r="G140" s="62"/>
      <c r="H140" s="52"/>
    </row>
    <row r="141" spans="1:8" x14ac:dyDescent="0.25">
      <c r="A141" s="52"/>
      <c r="B141" s="52"/>
      <c r="C141" s="52"/>
      <c r="D141" s="52"/>
      <c r="E141" s="52"/>
      <c r="F141" s="52"/>
      <c r="G141" s="62"/>
      <c r="H141" s="52"/>
    </row>
    <row r="142" spans="1:8" x14ac:dyDescent="0.25">
      <c r="A142" s="52"/>
      <c r="B142" s="52"/>
      <c r="C142" s="52"/>
      <c r="D142" s="52"/>
      <c r="E142" s="52"/>
      <c r="F142" s="52"/>
      <c r="G142" s="62"/>
      <c r="H142" s="52"/>
    </row>
    <row r="143" spans="1:8" x14ac:dyDescent="0.25">
      <c r="A143" s="52"/>
      <c r="B143" s="52"/>
      <c r="C143" s="52"/>
      <c r="D143" s="52"/>
      <c r="E143" s="52"/>
      <c r="F143" s="52"/>
      <c r="G143" s="62"/>
      <c r="H143" s="52"/>
    </row>
    <row r="144" spans="1:8" x14ac:dyDescent="0.25">
      <c r="A144" s="52"/>
      <c r="B144" s="52"/>
      <c r="C144" s="52"/>
      <c r="D144" s="52"/>
      <c r="E144" s="52"/>
      <c r="F144" s="52"/>
      <c r="G144" s="62"/>
      <c r="H144" s="52"/>
    </row>
    <row r="145" spans="1:8" x14ac:dyDescent="0.25">
      <c r="A145" s="52"/>
      <c r="B145" s="52"/>
      <c r="C145" s="52"/>
      <c r="D145" s="52"/>
      <c r="E145" s="52"/>
      <c r="F145" s="52"/>
      <c r="G145" s="62"/>
      <c r="H145" s="52"/>
    </row>
    <row r="146" spans="1:8" x14ac:dyDescent="0.25">
      <c r="A146" s="52"/>
      <c r="B146" s="52"/>
      <c r="C146" s="52"/>
      <c r="D146" s="52"/>
      <c r="E146" s="52"/>
      <c r="F146" s="52"/>
      <c r="G146" s="62"/>
      <c r="H146" s="52"/>
    </row>
    <row r="147" spans="1:8" x14ac:dyDescent="0.25">
      <c r="A147" s="52"/>
      <c r="B147" s="52"/>
      <c r="C147" s="52"/>
      <c r="D147" s="52"/>
      <c r="E147" s="52"/>
      <c r="F147" s="52"/>
      <c r="G147" s="62"/>
      <c r="H147" s="52"/>
    </row>
    <row r="148" spans="1:8" x14ac:dyDescent="0.25">
      <c r="A148" s="52"/>
      <c r="B148" s="52"/>
      <c r="C148" s="52"/>
      <c r="D148" s="52"/>
      <c r="E148" s="52"/>
      <c r="F148" s="52"/>
      <c r="G148" s="62"/>
      <c r="H148" s="52"/>
    </row>
    <row r="149" spans="1:8" x14ac:dyDescent="0.25">
      <c r="A149" s="52"/>
      <c r="B149" s="52"/>
      <c r="C149" s="52"/>
      <c r="D149" s="52"/>
      <c r="E149" s="52"/>
      <c r="F149" s="52"/>
      <c r="G149" s="62"/>
      <c r="H149" s="52"/>
    </row>
    <row r="150" spans="1:8" x14ac:dyDescent="0.25">
      <c r="A150" s="52"/>
      <c r="B150" s="52"/>
      <c r="C150" s="52"/>
      <c r="D150" s="52"/>
      <c r="E150" s="52"/>
      <c r="F150" s="52"/>
      <c r="G150" s="62"/>
      <c r="H150" s="52"/>
    </row>
    <row r="151" spans="1:8" x14ac:dyDescent="0.25">
      <c r="A151" s="52"/>
      <c r="B151" s="52"/>
      <c r="C151" s="52"/>
      <c r="D151" s="52"/>
      <c r="E151" s="52"/>
      <c r="F151" s="52"/>
      <c r="G151" s="62"/>
      <c r="H151" s="52"/>
    </row>
    <row r="152" spans="1:8" x14ac:dyDescent="0.25">
      <c r="A152" s="52"/>
      <c r="B152" s="56"/>
      <c r="C152" s="52"/>
      <c r="D152" s="52"/>
      <c r="E152" s="52"/>
      <c r="F152" s="52"/>
      <c r="G152" s="62"/>
      <c r="H152" s="52"/>
    </row>
    <row r="153" spans="1:8" x14ac:dyDescent="0.25">
      <c r="A153" s="52"/>
      <c r="B153" s="52"/>
      <c r="C153" s="52"/>
      <c r="D153" s="52"/>
      <c r="E153" s="52"/>
      <c r="F153" s="52"/>
      <c r="G153" s="62"/>
      <c r="H153" s="52"/>
    </row>
    <row r="154" spans="1:8" x14ac:dyDescent="0.25">
      <c r="A154" s="52"/>
      <c r="B154" s="52"/>
      <c r="C154" s="52"/>
      <c r="D154" s="52"/>
      <c r="E154" s="52"/>
      <c r="F154" s="52"/>
      <c r="G154" s="62"/>
      <c r="H154" s="52"/>
    </row>
    <row r="155" spans="1:8" x14ac:dyDescent="0.25">
      <c r="A155" s="52"/>
      <c r="B155" s="52"/>
      <c r="C155" s="52"/>
      <c r="D155" s="52"/>
      <c r="E155" s="52"/>
      <c r="F155" s="52"/>
      <c r="G155" s="62"/>
      <c r="H155" s="52"/>
    </row>
    <row r="156" spans="1:8" x14ac:dyDescent="0.25">
      <c r="A156" s="52"/>
      <c r="B156" s="52"/>
      <c r="C156" s="52"/>
      <c r="D156" s="52"/>
      <c r="E156" s="52"/>
      <c r="F156" s="52"/>
      <c r="G156" s="62"/>
      <c r="H156" s="52"/>
    </row>
    <row r="157" spans="1:8" x14ac:dyDescent="0.25">
      <c r="A157" s="52"/>
      <c r="B157" s="52"/>
      <c r="C157" s="52"/>
      <c r="D157" s="52"/>
      <c r="E157" s="52"/>
      <c r="F157" s="52"/>
      <c r="G157" s="62"/>
      <c r="H157" s="52"/>
    </row>
    <row r="158" spans="1:8" x14ac:dyDescent="0.25">
      <c r="A158" s="52"/>
      <c r="B158" s="52"/>
      <c r="C158" s="52"/>
      <c r="D158" s="52"/>
      <c r="E158" s="52"/>
      <c r="F158" s="52"/>
      <c r="G158" s="62"/>
      <c r="H158" s="52"/>
    </row>
    <row r="159" spans="1:8" x14ac:dyDescent="0.25">
      <c r="A159" s="52"/>
      <c r="B159" s="52"/>
      <c r="C159" s="52"/>
      <c r="D159" s="52"/>
      <c r="E159" s="52"/>
      <c r="F159" s="52"/>
      <c r="G159" s="62"/>
      <c r="H159" s="52"/>
    </row>
    <row r="160" spans="1:8" x14ac:dyDescent="0.25">
      <c r="A160" s="52"/>
      <c r="B160" s="52"/>
      <c r="C160" s="52"/>
      <c r="D160" s="52"/>
      <c r="E160" s="52"/>
      <c r="F160" s="52"/>
      <c r="G160" s="62"/>
      <c r="H160" s="52"/>
    </row>
    <row r="161" spans="1:8" x14ac:dyDescent="0.25">
      <c r="A161" s="52"/>
      <c r="B161" s="52"/>
      <c r="C161" s="52"/>
      <c r="D161" s="52"/>
      <c r="E161" s="52"/>
      <c r="F161" s="52"/>
      <c r="G161" s="62"/>
      <c r="H161" s="52"/>
    </row>
    <row r="162" spans="1:8" x14ac:dyDescent="0.25">
      <c r="A162" s="52"/>
      <c r="B162" s="52"/>
      <c r="C162" s="52"/>
      <c r="D162" s="52"/>
      <c r="E162" s="52"/>
      <c r="F162" s="52"/>
      <c r="G162" s="62"/>
      <c r="H162" s="52"/>
    </row>
    <row r="163" spans="1:8" x14ac:dyDescent="0.25">
      <c r="A163" s="52"/>
      <c r="B163" s="52"/>
      <c r="C163" s="52"/>
      <c r="D163" s="52"/>
      <c r="E163" s="52"/>
      <c r="F163" s="52"/>
      <c r="G163" s="62"/>
      <c r="H163" s="52"/>
    </row>
    <row r="164" spans="1:8" x14ac:dyDescent="0.25">
      <c r="A164" s="52"/>
      <c r="B164" s="52"/>
      <c r="C164" s="52"/>
      <c r="D164" s="52"/>
      <c r="E164" s="52"/>
      <c r="F164" s="52"/>
      <c r="G164" s="62"/>
      <c r="H164" s="52"/>
    </row>
    <row r="165" spans="1:8" x14ac:dyDescent="0.25">
      <c r="A165" s="52"/>
      <c r="B165" s="52"/>
      <c r="C165" s="52"/>
      <c r="D165" s="52"/>
      <c r="E165" s="52"/>
      <c r="F165" s="52"/>
      <c r="G165" s="62"/>
      <c r="H165" s="52"/>
    </row>
    <row r="166" spans="1:8" x14ac:dyDescent="0.25">
      <c r="A166" s="52"/>
      <c r="B166" s="52"/>
      <c r="C166" s="52"/>
      <c r="D166" s="52"/>
      <c r="E166" s="52"/>
      <c r="F166" s="52"/>
      <c r="G166" s="62"/>
      <c r="H166" s="52"/>
    </row>
    <row r="167" spans="1:8" x14ac:dyDescent="0.25">
      <c r="A167" s="52"/>
      <c r="B167" s="52"/>
      <c r="C167" s="52"/>
      <c r="D167" s="52"/>
      <c r="E167" s="52"/>
      <c r="F167" s="52"/>
      <c r="G167" s="62"/>
      <c r="H167" s="52"/>
    </row>
    <row r="168" spans="1:8" x14ac:dyDescent="0.25">
      <c r="A168" s="52"/>
      <c r="B168" s="52"/>
      <c r="C168" s="52"/>
      <c r="D168" s="52"/>
      <c r="E168" s="52"/>
      <c r="F168" s="52"/>
      <c r="G168" s="62"/>
      <c r="H168" s="52"/>
    </row>
    <row r="169" spans="1:8" x14ac:dyDescent="0.25">
      <c r="A169" s="52"/>
      <c r="B169" s="52"/>
      <c r="C169" s="52"/>
      <c r="D169" s="52"/>
      <c r="E169" s="52"/>
      <c r="F169" s="52"/>
      <c r="G169" s="62"/>
      <c r="H169" s="52"/>
    </row>
    <row r="170" spans="1:8" x14ac:dyDescent="0.25">
      <c r="A170" s="52"/>
      <c r="B170" s="52"/>
      <c r="C170" s="52"/>
      <c r="D170" s="52"/>
      <c r="E170" s="52"/>
      <c r="F170" s="52"/>
      <c r="G170" s="62"/>
      <c r="H170" s="52"/>
    </row>
    <row r="171" spans="1:8" x14ac:dyDescent="0.25">
      <c r="A171" s="52"/>
      <c r="B171" s="52"/>
      <c r="C171" s="52"/>
      <c r="D171" s="52"/>
      <c r="E171" s="52"/>
      <c r="F171" s="52"/>
      <c r="G171" s="62"/>
      <c r="H171" s="52"/>
    </row>
    <row r="172" spans="1:8" x14ac:dyDescent="0.25">
      <c r="A172" s="52"/>
      <c r="B172" s="52"/>
      <c r="C172" s="52"/>
      <c r="D172" s="52"/>
      <c r="E172" s="52"/>
      <c r="F172" s="52"/>
      <c r="G172" s="62"/>
      <c r="H172" s="52"/>
    </row>
    <row r="173" spans="1:8" x14ac:dyDescent="0.25">
      <c r="A173" s="52"/>
      <c r="B173" s="52"/>
      <c r="C173" s="52"/>
      <c r="D173" s="52"/>
      <c r="E173" s="52"/>
      <c r="F173" s="52"/>
      <c r="G173" s="62"/>
      <c r="H173" s="52"/>
    </row>
    <row r="174" spans="1:8" x14ac:dyDescent="0.25">
      <c r="A174" s="52"/>
      <c r="B174" s="52"/>
      <c r="C174" s="52"/>
      <c r="D174" s="52"/>
      <c r="E174" s="52"/>
      <c r="F174" s="52"/>
      <c r="G174" s="62"/>
      <c r="H174" s="52"/>
    </row>
    <row r="175" spans="1:8" x14ac:dyDescent="0.25">
      <c r="A175" s="52"/>
      <c r="B175" s="52"/>
      <c r="C175" s="52"/>
      <c r="D175" s="52"/>
      <c r="E175" s="52"/>
      <c r="F175" s="52"/>
      <c r="G175" s="62"/>
      <c r="H175" s="52"/>
    </row>
    <row r="176" spans="1:8" x14ac:dyDescent="0.25">
      <c r="A176" s="52"/>
      <c r="B176" s="52"/>
      <c r="C176" s="52"/>
      <c r="D176" s="52"/>
      <c r="E176" s="52"/>
      <c r="F176" s="52"/>
      <c r="G176" s="62"/>
      <c r="H176" s="52"/>
    </row>
    <row r="177" spans="1:10" x14ac:dyDescent="0.25">
      <c r="A177" s="52"/>
      <c r="B177" s="52"/>
      <c r="C177" s="52"/>
      <c r="D177" s="52"/>
      <c r="E177" s="52"/>
      <c r="F177" s="52"/>
      <c r="G177" s="62"/>
      <c r="H177" s="52"/>
    </row>
    <row r="178" spans="1:10" x14ac:dyDescent="0.25">
      <c r="A178" s="52"/>
      <c r="B178" s="52"/>
      <c r="C178" s="52"/>
      <c r="D178" s="52"/>
      <c r="E178" s="52"/>
      <c r="F178" s="52"/>
      <c r="G178" s="62"/>
      <c r="H178" s="52"/>
      <c r="J178">
        <f>2.95-0.125-0.15</f>
        <v>2.6750000000000003</v>
      </c>
    </row>
    <row r="179" spans="1:10" x14ac:dyDescent="0.25">
      <c r="A179" s="52"/>
      <c r="B179" s="52"/>
      <c r="C179" s="52"/>
      <c r="D179" s="52"/>
      <c r="E179" s="52"/>
      <c r="F179" s="52"/>
      <c r="G179" s="62"/>
      <c r="H179" s="52"/>
    </row>
    <row r="180" spans="1:10" x14ac:dyDescent="0.25">
      <c r="A180" s="52"/>
      <c r="B180" s="52"/>
      <c r="C180" s="52"/>
      <c r="D180" s="52"/>
      <c r="E180" s="52"/>
      <c r="F180" s="52"/>
      <c r="G180" s="62"/>
      <c r="H180" s="52"/>
    </row>
    <row r="181" spans="1:10" x14ac:dyDescent="0.25">
      <c r="A181" s="52"/>
      <c r="B181" s="52"/>
      <c r="C181" s="52"/>
      <c r="D181" s="52"/>
      <c r="E181" s="52"/>
      <c r="F181" s="52"/>
      <c r="G181" s="62"/>
      <c r="H181" s="52"/>
    </row>
    <row r="182" spans="1:10" x14ac:dyDescent="0.25">
      <c r="A182" s="52"/>
      <c r="B182" s="52"/>
      <c r="C182" s="52"/>
      <c r="D182" s="52"/>
      <c r="E182" s="52"/>
      <c r="F182" s="52"/>
      <c r="G182" s="62"/>
      <c r="H182" s="52"/>
    </row>
    <row r="183" spans="1:10" x14ac:dyDescent="0.25">
      <c r="A183" s="52"/>
      <c r="B183" s="52"/>
      <c r="C183" s="52"/>
      <c r="D183" s="52"/>
      <c r="E183" s="52"/>
      <c r="F183" s="52"/>
      <c r="G183" s="62"/>
      <c r="H183" s="52"/>
    </row>
    <row r="184" spans="1:10" x14ac:dyDescent="0.25">
      <c r="A184" s="52"/>
      <c r="B184" s="52"/>
      <c r="C184" s="52"/>
      <c r="D184" s="52"/>
      <c r="E184" s="52"/>
      <c r="F184" s="52"/>
      <c r="G184" s="62"/>
      <c r="H184" s="52"/>
    </row>
    <row r="185" spans="1:10" x14ac:dyDescent="0.25">
      <c r="A185" s="52"/>
      <c r="B185" s="52"/>
      <c r="C185" s="52"/>
      <c r="D185" s="52"/>
      <c r="E185" s="52"/>
      <c r="F185" s="52"/>
      <c r="G185" s="62"/>
      <c r="H185" s="52"/>
    </row>
    <row r="186" spans="1:10" x14ac:dyDescent="0.25">
      <c r="A186" s="52"/>
      <c r="B186" s="52"/>
      <c r="C186" s="52"/>
      <c r="D186" s="52"/>
      <c r="E186" s="52"/>
      <c r="F186" s="52"/>
      <c r="G186" s="62"/>
      <c r="H186" s="52"/>
    </row>
    <row r="187" spans="1:10" x14ac:dyDescent="0.25">
      <c r="A187" s="52"/>
      <c r="B187" s="52"/>
      <c r="C187" s="52"/>
      <c r="D187" s="52"/>
      <c r="E187" s="52"/>
      <c r="F187" s="52"/>
      <c r="G187" s="62"/>
      <c r="H187" s="52"/>
    </row>
    <row r="188" spans="1:10" x14ac:dyDescent="0.25">
      <c r="A188" s="52"/>
      <c r="B188" s="52"/>
      <c r="C188" s="52"/>
      <c r="D188" s="52"/>
      <c r="E188" s="52"/>
      <c r="F188" s="52"/>
      <c r="G188" s="62"/>
      <c r="H188" s="52"/>
    </row>
    <row r="189" spans="1:10" x14ac:dyDescent="0.25">
      <c r="A189" s="52"/>
      <c r="B189" s="52"/>
      <c r="C189" s="52"/>
      <c r="D189" s="52"/>
      <c r="E189" s="52"/>
      <c r="F189" s="52"/>
      <c r="G189" s="62"/>
      <c r="H189" s="52"/>
    </row>
    <row r="190" spans="1:10" x14ac:dyDescent="0.25">
      <c r="A190" s="52"/>
      <c r="B190" s="52"/>
      <c r="C190" s="52"/>
      <c r="D190" s="52"/>
      <c r="E190" s="52"/>
      <c r="F190" s="52"/>
      <c r="G190" s="62"/>
      <c r="H190" s="52"/>
    </row>
    <row r="191" spans="1:10" x14ac:dyDescent="0.25">
      <c r="A191" s="52"/>
      <c r="B191" s="52"/>
      <c r="C191" s="52"/>
      <c r="D191" s="52"/>
      <c r="E191" s="52"/>
      <c r="F191" s="52"/>
      <c r="G191" s="62"/>
      <c r="H191" s="52"/>
    </row>
    <row r="192" spans="1:10" x14ac:dyDescent="0.25">
      <c r="A192" s="52"/>
      <c r="B192" s="52"/>
      <c r="C192" s="52"/>
      <c r="D192" s="52"/>
      <c r="E192" s="52"/>
      <c r="F192" s="52"/>
      <c r="G192" s="62"/>
      <c r="H192" s="52"/>
    </row>
    <row r="193" spans="1:8" x14ac:dyDescent="0.25">
      <c r="A193" s="52"/>
      <c r="B193" s="52"/>
      <c r="C193" s="52"/>
      <c r="D193" s="52"/>
      <c r="E193" s="52"/>
      <c r="F193" s="52"/>
      <c r="G193" s="62"/>
      <c r="H193" s="52"/>
    </row>
    <row r="194" spans="1:8" x14ac:dyDescent="0.25">
      <c r="A194" s="52"/>
      <c r="B194" s="52"/>
      <c r="C194" s="52"/>
      <c r="D194" s="52"/>
      <c r="E194" s="52"/>
      <c r="F194" s="52"/>
      <c r="G194" s="62"/>
      <c r="H194" s="52"/>
    </row>
    <row r="195" spans="1:8" x14ac:dyDescent="0.25">
      <c r="A195" s="52"/>
      <c r="B195" s="52"/>
      <c r="C195" s="52"/>
      <c r="D195" s="52"/>
      <c r="E195" s="52"/>
      <c r="F195" s="52"/>
      <c r="G195" s="62"/>
      <c r="H195" s="52"/>
    </row>
    <row r="196" spans="1:8" x14ac:dyDescent="0.25">
      <c r="A196" s="52"/>
      <c r="B196" s="52"/>
      <c r="C196" s="52"/>
      <c r="D196" s="52"/>
      <c r="E196" s="52"/>
      <c r="F196" s="52"/>
      <c r="G196" s="62"/>
      <c r="H196" s="52"/>
    </row>
    <row r="197" spans="1:8" x14ac:dyDescent="0.25">
      <c r="A197" s="52"/>
      <c r="B197" s="52"/>
      <c r="C197" s="52"/>
      <c r="D197" s="52"/>
      <c r="E197" s="52"/>
      <c r="F197" s="52"/>
      <c r="G197" s="62"/>
      <c r="H197" s="52"/>
    </row>
    <row r="198" spans="1:8" x14ac:dyDescent="0.25">
      <c r="A198" s="52"/>
      <c r="B198" s="52"/>
      <c r="C198" s="52"/>
      <c r="D198" s="52"/>
      <c r="E198" s="52"/>
      <c r="F198" s="52"/>
      <c r="G198" s="62"/>
      <c r="H198" s="52"/>
    </row>
    <row r="199" spans="1:8" x14ac:dyDescent="0.25">
      <c r="A199" s="52"/>
      <c r="B199" s="52"/>
      <c r="C199" s="52"/>
      <c r="D199" s="52"/>
      <c r="E199" s="52"/>
      <c r="F199" s="52"/>
      <c r="G199" s="62"/>
      <c r="H199" s="52"/>
    </row>
    <row r="200" spans="1:8" x14ac:dyDescent="0.25">
      <c r="A200" s="52"/>
      <c r="B200" s="52"/>
      <c r="C200" s="52"/>
      <c r="D200" s="52"/>
      <c r="E200" s="52"/>
      <c r="F200" s="52"/>
      <c r="G200" s="62"/>
      <c r="H200" s="52"/>
    </row>
    <row r="201" spans="1:8" x14ac:dyDescent="0.25">
      <c r="A201" s="52"/>
      <c r="B201" s="52"/>
      <c r="C201" s="52"/>
      <c r="D201" s="52"/>
      <c r="E201" s="52"/>
      <c r="F201" s="52"/>
      <c r="G201" s="62"/>
      <c r="H201" s="52"/>
    </row>
    <row r="202" spans="1:8" x14ac:dyDescent="0.25">
      <c r="A202" s="52"/>
      <c r="B202" s="52"/>
      <c r="C202" s="52"/>
      <c r="D202" s="52"/>
      <c r="E202" s="52"/>
      <c r="F202" s="52"/>
      <c r="G202" s="62"/>
      <c r="H202" s="52"/>
    </row>
    <row r="203" spans="1:8" x14ac:dyDescent="0.25">
      <c r="A203" s="52"/>
      <c r="B203" s="52"/>
      <c r="C203" s="52"/>
      <c r="D203" s="52"/>
      <c r="E203" s="52"/>
      <c r="F203" s="52"/>
      <c r="G203" s="62"/>
      <c r="H203" s="52"/>
    </row>
    <row r="204" spans="1:8" x14ac:dyDescent="0.25">
      <c r="A204" s="52"/>
      <c r="B204" s="52"/>
      <c r="C204" s="52"/>
      <c r="D204" s="52"/>
      <c r="E204" s="52"/>
      <c r="F204" s="52"/>
      <c r="G204" s="62"/>
      <c r="H204" s="52"/>
    </row>
    <row r="205" spans="1:8" x14ac:dyDescent="0.25">
      <c r="A205" s="52"/>
      <c r="B205" s="52"/>
      <c r="C205" s="52"/>
      <c r="D205" s="52"/>
      <c r="E205" s="52"/>
      <c r="F205" s="52"/>
      <c r="G205" s="62"/>
      <c r="H205" s="52"/>
    </row>
    <row r="206" spans="1:8" x14ac:dyDescent="0.25">
      <c r="A206" s="52"/>
      <c r="B206" s="52"/>
      <c r="C206" s="52"/>
      <c r="D206" s="52"/>
      <c r="E206" s="52"/>
      <c r="F206" s="52"/>
      <c r="G206" s="62"/>
      <c r="H206" s="52"/>
    </row>
    <row r="207" spans="1:8" x14ac:dyDescent="0.25">
      <c r="A207" s="52"/>
      <c r="B207" s="52"/>
      <c r="C207" s="52"/>
      <c r="D207" s="52"/>
      <c r="E207" s="52"/>
      <c r="F207" s="52"/>
      <c r="G207" s="62"/>
      <c r="H207" s="52"/>
    </row>
    <row r="208" spans="1:8" x14ac:dyDescent="0.25">
      <c r="A208" s="52"/>
      <c r="B208" s="52"/>
      <c r="C208" s="52"/>
      <c r="D208" s="52"/>
      <c r="E208" s="52"/>
      <c r="F208" s="52"/>
      <c r="G208" s="62"/>
      <c r="H208" s="52"/>
    </row>
    <row r="209" spans="1:8" x14ac:dyDescent="0.25">
      <c r="A209" s="52"/>
      <c r="B209" s="56"/>
      <c r="C209" s="52"/>
      <c r="D209" s="52"/>
      <c r="E209" s="52"/>
      <c r="F209" s="52"/>
      <c r="G209" s="62"/>
      <c r="H209" s="52"/>
    </row>
    <row r="210" spans="1:8" x14ac:dyDescent="0.25">
      <c r="A210" s="52"/>
      <c r="B210" s="52"/>
      <c r="C210" s="52"/>
      <c r="D210" s="52"/>
      <c r="E210" s="52"/>
      <c r="F210" s="52"/>
      <c r="G210" s="62"/>
      <c r="H210" s="52"/>
    </row>
    <row r="211" spans="1:8" x14ac:dyDescent="0.25">
      <c r="A211" s="52"/>
      <c r="B211" s="52"/>
      <c r="C211" s="52"/>
      <c r="D211" s="52"/>
      <c r="E211" s="52"/>
      <c r="F211" s="52"/>
      <c r="G211" s="62"/>
      <c r="H211" s="52"/>
    </row>
    <row r="212" spans="1:8" x14ac:dyDescent="0.25">
      <c r="A212" s="52"/>
      <c r="B212" s="52"/>
      <c r="C212" s="52"/>
      <c r="D212" s="52"/>
      <c r="E212" s="52"/>
      <c r="F212" s="52"/>
      <c r="G212" s="62"/>
      <c r="H212" s="52"/>
    </row>
    <row r="213" spans="1:8" x14ac:dyDescent="0.25">
      <c r="A213" s="52"/>
      <c r="B213" s="52"/>
      <c r="C213" s="52"/>
      <c r="D213" s="52"/>
      <c r="E213" s="52"/>
      <c r="F213" s="52"/>
      <c r="G213" s="62"/>
      <c r="H213" s="52"/>
    </row>
    <row r="214" spans="1:8" x14ac:dyDescent="0.25">
      <c r="A214" s="52"/>
      <c r="B214" s="52"/>
      <c r="C214" s="52"/>
      <c r="D214" s="52"/>
      <c r="E214" s="52"/>
      <c r="F214" s="52"/>
      <c r="G214" s="62"/>
      <c r="H214" s="52"/>
    </row>
    <row r="215" spans="1:8" x14ac:dyDescent="0.25">
      <c r="A215" s="52"/>
      <c r="B215" s="52"/>
      <c r="C215" s="52"/>
      <c r="D215" s="52"/>
      <c r="E215" s="52"/>
      <c r="F215" s="52"/>
      <c r="G215" s="62"/>
      <c r="H215" s="52"/>
    </row>
    <row r="216" spans="1:8" x14ac:dyDescent="0.25">
      <c r="A216" s="52"/>
      <c r="B216" s="52"/>
      <c r="C216" s="52"/>
      <c r="D216" s="52"/>
      <c r="E216" s="52"/>
      <c r="F216" s="52"/>
      <c r="G216" s="62"/>
      <c r="H216" s="52"/>
    </row>
    <row r="217" spans="1:8" x14ac:dyDescent="0.25">
      <c r="A217" s="52"/>
      <c r="B217" s="52"/>
      <c r="C217" s="52"/>
      <c r="D217" s="52"/>
      <c r="E217" s="52"/>
      <c r="F217" s="52"/>
      <c r="G217" s="62"/>
      <c r="H217" s="52"/>
    </row>
    <row r="218" spans="1:8" x14ac:dyDescent="0.25">
      <c r="A218" s="52"/>
      <c r="B218" s="52"/>
      <c r="C218" s="52"/>
      <c r="D218" s="52"/>
      <c r="E218" s="52"/>
      <c r="F218" s="52"/>
      <c r="G218" s="62"/>
      <c r="H218" s="52"/>
    </row>
    <row r="219" spans="1:8" x14ac:dyDescent="0.25">
      <c r="A219" s="52"/>
      <c r="B219" s="52"/>
      <c r="C219" s="52"/>
      <c r="D219" s="52"/>
      <c r="E219" s="52"/>
      <c r="F219" s="52"/>
      <c r="G219" s="62"/>
      <c r="H219" s="52"/>
    </row>
    <row r="220" spans="1:8" x14ac:dyDescent="0.25">
      <c r="A220" s="52"/>
      <c r="B220" s="52"/>
      <c r="C220" s="52"/>
      <c r="D220" s="52"/>
      <c r="E220" s="52"/>
      <c r="F220" s="52"/>
      <c r="G220" s="62"/>
      <c r="H220" s="52"/>
    </row>
    <row r="221" spans="1:8" x14ac:dyDescent="0.25">
      <c r="A221" s="52"/>
      <c r="B221" s="52"/>
      <c r="C221" s="52"/>
      <c r="D221" s="52"/>
      <c r="E221" s="52"/>
      <c r="F221" s="52"/>
      <c r="G221" s="62"/>
      <c r="H221" s="52"/>
    </row>
    <row r="222" spans="1:8" x14ac:dyDescent="0.25">
      <c r="A222" s="52"/>
      <c r="B222" s="52"/>
      <c r="C222" s="52"/>
      <c r="D222" s="52"/>
      <c r="E222" s="52"/>
      <c r="F222" s="52"/>
      <c r="G222" s="62"/>
      <c r="H222" s="52"/>
    </row>
    <row r="223" spans="1:8" x14ac:dyDescent="0.25">
      <c r="A223" s="52"/>
      <c r="B223" s="52"/>
      <c r="C223" s="52"/>
      <c r="D223" s="52"/>
      <c r="E223" s="52"/>
      <c r="F223" s="52"/>
      <c r="G223" s="62"/>
      <c r="H223" s="52"/>
    </row>
    <row r="224" spans="1:8" x14ac:dyDescent="0.25">
      <c r="A224" s="52"/>
      <c r="B224" s="52"/>
      <c r="C224" s="52"/>
      <c r="D224" s="52"/>
      <c r="E224" s="52"/>
      <c r="F224" s="52"/>
      <c r="G224" s="62"/>
      <c r="H224" s="52"/>
    </row>
    <row r="225" spans="1:8" x14ac:dyDescent="0.25">
      <c r="A225" s="52"/>
      <c r="B225" s="52"/>
      <c r="C225" s="52"/>
      <c r="D225" s="52"/>
      <c r="E225" s="52"/>
      <c r="F225" s="52"/>
      <c r="G225" s="62"/>
      <c r="H225" s="52"/>
    </row>
    <row r="226" spans="1:8" x14ac:dyDescent="0.25">
      <c r="A226" s="52"/>
      <c r="B226" s="52"/>
      <c r="C226" s="52"/>
      <c r="D226" s="52"/>
      <c r="E226" s="52"/>
      <c r="F226" s="52"/>
      <c r="G226" s="62"/>
      <c r="H226" s="52"/>
    </row>
    <row r="227" spans="1:8" x14ac:dyDescent="0.25">
      <c r="A227" s="52"/>
      <c r="B227" s="56"/>
      <c r="C227" s="52"/>
      <c r="D227" s="52"/>
      <c r="E227" s="52"/>
      <c r="F227" s="52"/>
      <c r="G227" s="62"/>
      <c r="H227" s="52"/>
    </row>
    <row r="228" spans="1:8" x14ac:dyDescent="0.25">
      <c r="A228" s="52"/>
      <c r="B228" s="52"/>
      <c r="C228" s="52"/>
      <c r="D228" s="52"/>
      <c r="E228" s="52"/>
      <c r="F228" s="52"/>
      <c r="G228" s="62"/>
      <c r="H228" s="52"/>
    </row>
    <row r="229" spans="1:8" x14ac:dyDescent="0.25">
      <c r="A229" s="52"/>
      <c r="B229" s="52"/>
      <c r="C229" s="52"/>
      <c r="D229" s="52"/>
      <c r="E229" s="52"/>
      <c r="F229" s="52"/>
      <c r="G229" s="62"/>
      <c r="H229" s="52"/>
    </row>
    <row r="230" spans="1:8" x14ac:dyDescent="0.25">
      <c r="A230" s="52"/>
      <c r="B230" s="52"/>
      <c r="C230" s="52"/>
      <c r="D230" s="52"/>
      <c r="E230" s="52"/>
      <c r="F230" s="52"/>
      <c r="G230" s="62"/>
      <c r="H230" s="52"/>
    </row>
    <row r="231" spans="1:8" x14ac:dyDescent="0.25">
      <c r="A231" s="52"/>
      <c r="B231" s="52"/>
      <c r="C231" s="52"/>
      <c r="D231" s="52"/>
      <c r="E231" s="52"/>
      <c r="F231" s="52"/>
      <c r="G231" s="62"/>
      <c r="H231" s="52"/>
    </row>
    <row r="232" spans="1:8" x14ac:dyDescent="0.25">
      <c r="A232" s="52"/>
      <c r="B232" s="52"/>
      <c r="C232" s="52"/>
      <c r="D232" s="52"/>
      <c r="E232" s="52"/>
      <c r="F232" s="52"/>
      <c r="G232" s="62"/>
      <c r="H232" s="52"/>
    </row>
    <row r="233" spans="1:8" x14ac:dyDescent="0.25">
      <c r="A233" s="52"/>
      <c r="B233" s="52"/>
      <c r="C233" s="52"/>
      <c r="D233" s="52"/>
      <c r="E233" s="52"/>
      <c r="F233" s="52"/>
      <c r="G233" s="62"/>
      <c r="H233" s="52"/>
    </row>
    <row r="234" spans="1:8" x14ac:dyDescent="0.25">
      <c r="A234" s="52"/>
      <c r="B234" s="52"/>
      <c r="C234" s="52"/>
      <c r="D234" s="52"/>
      <c r="E234" s="52"/>
      <c r="F234" s="52"/>
      <c r="G234" s="62"/>
      <c r="H234" s="52"/>
    </row>
    <row r="235" spans="1:8" x14ac:dyDescent="0.25">
      <c r="A235" s="52"/>
      <c r="B235" s="52"/>
      <c r="C235" s="52"/>
      <c r="D235" s="52"/>
      <c r="E235" s="52"/>
      <c r="F235" s="52"/>
      <c r="G235" s="62"/>
      <c r="H235" s="52"/>
    </row>
    <row r="236" spans="1:8" x14ac:dyDescent="0.25">
      <c r="A236" s="52"/>
      <c r="B236" s="52"/>
      <c r="C236" s="52"/>
      <c r="D236" s="52"/>
      <c r="E236" s="52"/>
      <c r="F236" s="52"/>
      <c r="G236" s="62"/>
      <c r="H236" s="52"/>
    </row>
    <row r="237" spans="1:8" x14ac:dyDescent="0.25">
      <c r="A237" s="52"/>
      <c r="B237" s="52"/>
      <c r="C237" s="52"/>
      <c r="D237" s="52"/>
      <c r="E237" s="52"/>
      <c r="F237" s="52"/>
      <c r="G237" s="62"/>
      <c r="H237" s="52"/>
    </row>
    <row r="238" spans="1:8" x14ac:dyDescent="0.25">
      <c r="A238" s="52"/>
      <c r="B238" s="52"/>
      <c r="C238" s="52"/>
      <c r="D238" s="52"/>
      <c r="E238" s="52"/>
      <c r="F238" s="52"/>
      <c r="G238" s="62"/>
      <c r="H238" s="52"/>
    </row>
    <row r="239" spans="1:8" x14ac:dyDescent="0.25">
      <c r="A239" s="52"/>
      <c r="B239" s="52"/>
      <c r="C239" s="52"/>
      <c r="D239" s="52"/>
      <c r="E239" s="52"/>
      <c r="F239" s="52"/>
      <c r="G239" s="62"/>
      <c r="H239" s="52"/>
    </row>
    <row r="240" spans="1:8" x14ac:dyDescent="0.25">
      <c r="A240" s="52"/>
      <c r="B240" s="52"/>
      <c r="C240" s="52"/>
      <c r="D240" s="52"/>
      <c r="E240" s="52"/>
      <c r="F240" s="52"/>
      <c r="G240" s="62"/>
      <c r="H240" s="52"/>
    </row>
    <row r="241" spans="1:8" x14ac:dyDescent="0.25">
      <c r="A241" s="52"/>
      <c r="B241" s="52"/>
      <c r="C241" s="52"/>
      <c r="D241" s="52"/>
      <c r="E241" s="52"/>
      <c r="F241" s="52"/>
      <c r="G241" s="62"/>
      <c r="H241" s="52"/>
    </row>
    <row r="242" spans="1:8" x14ac:dyDescent="0.25">
      <c r="A242" s="52"/>
      <c r="B242" s="52"/>
      <c r="C242" s="52"/>
      <c r="D242" s="52"/>
      <c r="E242" s="52"/>
      <c r="F242" s="52"/>
      <c r="G242" s="62"/>
      <c r="H242" s="52"/>
    </row>
    <row r="243" spans="1:8" x14ac:dyDescent="0.25">
      <c r="A243" s="52"/>
      <c r="B243" s="52"/>
      <c r="C243" s="52"/>
      <c r="D243" s="52"/>
      <c r="E243" s="52"/>
      <c r="F243" s="52"/>
      <c r="G243" s="62"/>
      <c r="H243" s="52"/>
    </row>
    <row r="244" spans="1:8" x14ac:dyDescent="0.25">
      <c r="A244" s="52"/>
      <c r="B244" s="52"/>
      <c r="C244" s="52"/>
      <c r="D244" s="52"/>
      <c r="E244" s="52"/>
      <c r="F244" s="52"/>
      <c r="G244" s="62"/>
      <c r="H244" s="52"/>
    </row>
    <row r="245" spans="1:8" x14ac:dyDescent="0.25">
      <c r="A245" s="52"/>
      <c r="B245" s="52"/>
      <c r="C245" s="52"/>
      <c r="D245" s="52"/>
      <c r="E245" s="52"/>
      <c r="F245" s="52"/>
      <c r="G245" s="62"/>
      <c r="H245" s="52"/>
    </row>
    <row r="246" spans="1:8" x14ac:dyDescent="0.25">
      <c r="A246" s="52"/>
      <c r="B246" s="52"/>
      <c r="C246" s="52"/>
      <c r="D246" s="52"/>
      <c r="E246" s="52"/>
      <c r="F246" s="52"/>
      <c r="G246" s="62"/>
      <c r="H246" s="52"/>
    </row>
    <row r="247" spans="1:8" x14ac:dyDescent="0.25">
      <c r="A247" s="52"/>
      <c r="B247" s="52"/>
      <c r="C247" s="52"/>
      <c r="D247" s="52"/>
      <c r="E247" s="52"/>
      <c r="F247" s="52"/>
      <c r="G247" s="62"/>
      <c r="H247" s="52"/>
    </row>
    <row r="248" spans="1:8" x14ac:dyDescent="0.25">
      <c r="A248" s="52"/>
      <c r="B248" s="52"/>
      <c r="C248" s="52"/>
      <c r="D248" s="52"/>
      <c r="E248" s="52"/>
      <c r="F248" s="52"/>
      <c r="G248" s="62"/>
      <c r="H248" s="52"/>
    </row>
    <row r="249" spans="1:8" x14ac:dyDescent="0.25">
      <c r="A249" s="52"/>
      <c r="B249" s="52"/>
      <c r="C249" s="52"/>
      <c r="D249" s="52"/>
      <c r="E249" s="52"/>
      <c r="F249" s="52"/>
      <c r="G249" s="62"/>
      <c r="H249" s="52"/>
    </row>
    <row r="250" spans="1:8" x14ac:dyDescent="0.25">
      <c r="A250" s="52"/>
      <c r="B250" s="52"/>
      <c r="C250" s="52"/>
      <c r="D250" s="52"/>
      <c r="E250" s="52"/>
      <c r="F250" s="52"/>
      <c r="G250" s="62"/>
      <c r="H250" s="52"/>
    </row>
    <row r="251" spans="1:8" x14ac:dyDescent="0.25">
      <c r="A251" s="52"/>
      <c r="B251" s="52"/>
      <c r="C251" s="52"/>
      <c r="D251" s="52"/>
      <c r="E251" s="52"/>
      <c r="F251" s="52"/>
      <c r="G251" s="62"/>
      <c r="H251" s="52"/>
    </row>
    <row r="252" spans="1:8" x14ac:dyDescent="0.25">
      <c r="A252" s="52"/>
      <c r="B252" s="52"/>
      <c r="C252" s="52"/>
      <c r="D252" s="52"/>
      <c r="E252" s="52"/>
      <c r="F252" s="52"/>
      <c r="G252" s="62"/>
      <c r="H252" s="52"/>
    </row>
    <row r="253" spans="1:8" x14ac:dyDescent="0.25">
      <c r="A253" s="52"/>
      <c r="B253" s="52"/>
      <c r="C253" s="52"/>
      <c r="D253" s="52"/>
      <c r="E253" s="52"/>
      <c r="F253" s="52"/>
      <c r="G253" s="62"/>
      <c r="H253" s="52"/>
    </row>
    <row r="254" spans="1:8" x14ac:dyDescent="0.25">
      <c r="A254" s="52"/>
      <c r="B254" s="52"/>
      <c r="C254" s="52"/>
      <c r="D254" s="52"/>
      <c r="E254" s="52"/>
      <c r="F254" s="52"/>
      <c r="G254" s="62"/>
      <c r="H254" s="52"/>
    </row>
    <row r="255" spans="1:8" x14ac:dyDescent="0.25">
      <c r="A255" s="52"/>
      <c r="B255" s="52"/>
      <c r="C255" s="52"/>
      <c r="D255" s="52"/>
      <c r="E255" s="52"/>
      <c r="F255" s="52"/>
      <c r="G255" s="62"/>
      <c r="H255" s="52"/>
    </row>
    <row r="256" spans="1:8" x14ac:dyDescent="0.25">
      <c r="A256" s="52"/>
      <c r="B256" s="52"/>
      <c r="C256" s="52"/>
      <c r="D256" s="52"/>
      <c r="E256" s="52"/>
      <c r="F256" s="52"/>
      <c r="G256" s="62"/>
      <c r="H256" s="52"/>
    </row>
    <row r="257" spans="1:8" x14ac:dyDescent="0.25">
      <c r="A257" s="52"/>
      <c r="B257" s="52"/>
      <c r="C257" s="52"/>
      <c r="D257" s="52"/>
      <c r="E257" s="52"/>
      <c r="F257" s="52"/>
      <c r="G257" s="62"/>
      <c r="H257" s="52"/>
    </row>
    <row r="258" spans="1:8" x14ac:dyDescent="0.25">
      <c r="A258" s="52"/>
      <c r="B258" s="52"/>
      <c r="C258" s="52"/>
      <c r="D258" s="52"/>
      <c r="E258" s="52"/>
      <c r="F258" s="52"/>
      <c r="G258" s="62"/>
      <c r="H258" s="52"/>
    </row>
    <row r="259" spans="1:8" x14ac:dyDescent="0.25">
      <c r="A259" s="52"/>
      <c r="B259" s="52"/>
      <c r="C259" s="52"/>
      <c r="D259" s="52"/>
      <c r="E259" s="52"/>
      <c r="F259" s="52"/>
      <c r="G259" s="62"/>
      <c r="H259" s="52"/>
    </row>
    <row r="260" spans="1:8" x14ac:dyDescent="0.25">
      <c r="A260" s="52"/>
      <c r="B260" s="52"/>
      <c r="C260" s="52"/>
      <c r="D260" s="52"/>
      <c r="E260" s="52"/>
      <c r="F260" s="52"/>
      <c r="G260" s="62"/>
      <c r="H260" s="52"/>
    </row>
    <row r="261" spans="1:8" x14ac:dyDescent="0.25">
      <c r="A261" s="52"/>
      <c r="B261" s="52"/>
      <c r="C261" s="52"/>
      <c r="D261" s="52"/>
      <c r="E261" s="52"/>
      <c r="F261" s="52"/>
      <c r="G261" s="62"/>
      <c r="H261" s="52"/>
    </row>
    <row r="262" spans="1:8" x14ac:dyDescent="0.25">
      <c r="A262" s="52"/>
      <c r="B262" s="52"/>
      <c r="C262" s="52"/>
      <c r="D262" s="52"/>
      <c r="E262" s="52"/>
      <c r="F262" s="52"/>
      <c r="G262" s="62"/>
      <c r="H262" s="52"/>
    </row>
    <row r="263" spans="1:8" x14ac:dyDescent="0.25">
      <c r="A263" s="52"/>
      <c r="B263" s="52"/>
      <c r="C263" s="52"/>
      <c r="D263" s="52"/>
      <c r="E263" s="52"/>
      <c r="F263" s="52"/>
      <c r="G263" s="62"/>
      <c r="H263" s="52"/>
    </row>
    <row r="264" spans="1:8" x14ac:dyDescent="0.25">
      <c r="A264" s="52"/>
      <c r="B264" s="52"/>
      <c r="C264" s="52"/>
      <c r="D264" s="52"/>
      <c r="E264" s="52"/>
      <c r="F264" s="52"/>
      <c r="G264" s="62"/>
      <c r="H264" s="52"/>
    </row>
    <row r="265" spans="1:8" x14ac:dyDescent="0.25">
      <c r="A265" s="52"/>
      <c r="B265" s="52"/>
      <c r="C265" s="52"/>
      <c r="D265" s="52"/>
      <c r="E265" s="52"/>
      <c r="F265" s="52"/>
      <c r="G265" s="62"/>
      <c r="H265" s="52"/>
    </row>
    <row r="266" spans="1:8" x14ac:dyDescent="0.25">
      <c r="A266" s="52"/>
      <c r="B266" s="52"/>
      <c r="C266" s="52"/>
      <c r="D266" s="52"/>
      <c r="E266" s="52"/>
      <c r="F266" s="52"/>
      <c r="G266" s="62"/>
      <c r="H266" s="52"/>
    </row>
    <row r="267" spans="1:8" x14ac:dyDescent="0.25">
      <c r="A267" s="52"/>
      <c r="B267" s="52"/>
      <c r="C267" s="52"/>
      <c r="D267" s="52"/>
      <c r="E267" s="52"/>
      <c r="F267" s="52"/>
      <c r="G267" s="62"/>
      <c r="H267" s="52"/>
    </row>
    <row r="268" spans="1:8" x14ac:dyDescent="0.25">
      <c r="A268" s="52"/>
      <c r="B268" s="52"/>
      <c r="C268" s="52"/>
      <c r="D268" s="52"/>
      <c r="E268" s="52"/>
      <c r="F268" s="52"/>
      <c r="G268" s="62"/>
      <c r="H268" s="52"/>
    </row>
    <row r="269" spans="1:8" x14ac:dyDescent="0.25">
      <c r="A269" s="52"/>
      <c r="B269" s="52"/>
      <c r="C269" s="52"/>
      <c r="D269" s="52"/>
      <c r="E269" s="52"/>
      <c r="F269" s="52"/>
      <c r="G269" s="62"/>
      <c r="H269" s="52"/>
    </row>
    <row r="270" spans="1:8" x14ac:dyDescent="0.25">
      <c r="A270" s="52"/>
      <c r="B270" s="56"/>
      <c r="C270" s="52"/>
      <c r="D270" s="52"/>
      <c r="E270" s="52"/>
      <c r="F270" s="52"/>
      <c r="G270" s="62"/>
      <c r="H270" s="52"/>
    </row>
    <row r="271" spans="1:8" x14ac:dyDescent="0.25">
      <c r="A271" s="52"/>
      <c r="B271" s="52"/>
      <c r="C271" s="52"/>
      <c r="D271" s="52"/>
      <c r="E271" s="52"/>
      <c r="F271" s="52"/>
      <c r="G271" s="62"/>
      <c r="H271" s="52"/>
    </row>
    <row r="272" spans="1:8" x14ac:dyDescent="0.25">
      <c r="A272" s="52"/>
      <c r="B272" s="52"/>
      <c r="C272" s="52"/>
      <c r="D272" s="52"/>
      <c r="E272" s="52"/>
      <c r="F272" s="52"/>
      <c r="G272" s="62"/>
      <c r="H272" s="52"/>
    </row>
    <row r="273" spans="1:8" x14ac:dyDescent="0.25">
      <c r="A273" s="52"/>
      <c r="B273" s="52"/>
      <c r="C273" s="52"/>
      <c r="D273" s="52"/>
      <c r="E273" s="52"/>
      <c r="F273" s="52"/>
      <c r="G273" s="62"/>
      <c r="H273" s="52"/>
    </row>
    <row r="274" spans="1:8" x14ac:dyDescent="0.25">
      <c r="A274" s="52"/>
      <c r="B274" s="52"/>
      <c r="C274" s="52"/>
      <c r="D274" s="52"/>
      <c r="E274" s="52"/>
      <c r="F274" s="52"/>
      <c r="G274" s="62"/>
      <c r="H274" s="52"/>
    </row>
    <row r="275" spans="1:8" x14ac:dyDescent="0.25">
      <c r="A275" s="52"/>
      <c r="B275" s="52"/>
      <c r="C275" s="52"/>
      <c r="D275" s="52"/>
      <c r="E275" s="52"/>
      <c r="F275" s="52"/>
      <c r="G275" s="62"/>
      <c r="H275" s="52"/>
    </row>
    <row r="276" spans="1:8" x14ac:dyDescent="0.25">
      <c r="A276" s="52"/>
      <c r="B276" s="52"/>
      <c r="C276" s="52"/>
      <c r="D276" s="52"/>
      <c r="E276" s="52"/>
      <c r="F276" s="52"/>
      <c r="G276" s="62"/>
      <c r="H276" s="52"/>
    </row>
    <row r="277" spans="1:8" x14ac:dyDescent="0.25">
      <c r="A277" s="52"/>
      <c r="B277" s="52"/>
      <c r="C277" s="52"/>
      <c r="D277" s="52"/>
      <c r="E277" s="52"/>
      <c r="F277" s="52"/>
      <c r="G277" s="62"/>
      <c r="H277" s="52"/>
    </row>
    <row r="278" spans="1:8" x14ac:dyDescent="0.25">
      <c r="A278" s="52"/>
      <c r="B278" s="52"/>
      <c r="C278" s="52"/>
      <c r="D278" s="52"/>
      <c r="E278" s="52"/>
      <c r="F278" s="52"/>
      <c r="G278" s="62"/>
      <c r="H278" s="52"/>
    </row>
    <row r="279" spans="1:8" x14ac:dyDescent="0.25">
      <c r="A279" s="52"/>
      <c r="B279" s="52"/>
      <c r="C279" s="52"/>
      <c r="D279" s="52"/>
      <c r="E279" s="52"/>
      <c r="F279" s="52"/>
      <c r="G279" s="62"/>
      <c r="H279" s="52"/>
    </row>
    <row r="280" spans="1:8" x14ac:dyDescent="0.25">
      <c r="A280" s="52"/>
      <c r="B280" s="52"/>
      <c r="C280" s="52"/>
      <c r="D280" s="52"/>
      <c r="E280" s="52"/>
      <c r="F280" s="52"/>
      <c r="G280" s="62"/>
      <c r="H280" s="52"/>
    </row>
    <row r="281" spans="1:8" x14ac:dyDescent="0.25">
      <c r="A281" s="52"/>
      <c r="B281" s="52"/>
      <c r="C281" s="52"/>
      <c r="D281" s="52"/>
      <c r="E281" s="52"/>
      <c r="F281" s="52"/>
      <c r="G281" s="62"/>
      <c r="H281" s="52"/>
    </row>
    <row r="282" spans="1:8" x14ac:dyDescent="0.25">
      <c r="A282" s="52"/>
      <c r="B282" s="52"/>
      <c r="C282" s="52"/>
      <c r="D282" s="52"/>
      <c r="E282" s="52"/>
      <c r="F282" s="52"/>
      <c r="G282" s="62"/>
      <c r="H282" s="52"/>
    </row>
    <row r="283" spans="1:8" x14ac:dyDescent="0.25">
      <c r="A283" s="52"/>
      <c r="B283" s="52"/>
      <c r="C283" s="52"/>
      <c r="D283" s="52"/>
      <c r="E283" s="52"/>
      <c r="F283" s="52"/>
      <c r="G283" s="62"/>
      <c r="H283" s="52"/>
    </row>
    <row r="284" spans="1:8" x14ac:dyDescent="0.25">
      <c r="A284" s="52"/>
      <c r="B284" s="52"/>
      <c r="C284" s="52"/>
      <c r="D284" s="52"/>
      <c r="E284" s="52"/>
      <c r="F284" s="52"/>
      <c r="G284" s="62"/>
      <c r="H284" s="52"/>
    </row>
    <row r="285" spans="1:8" x14ac:dyDescent="0.25">
      <c r="A285" s="52"/>
      <c r="B285" s="52"/>
      <c r="C285" s="52"/>
      <c r="D285" s="52"/>
      <c r="E285" s="52"/>
      <c r="F285" s="52"/>
      <c r="G285" s="62"/>
      <c r="H285" s="52"/>
    </row>
    <row r="286" spans="1:8" x14ac:dyDescent="0.25">
      <c r="A286" s="52"/>
      <c r="B286" s="52"/>
      <c r="C286" s="52"/>
      <c r="D286" s="52"/>
      <c r="E286" s="52"/>
      <c r="F286" s="52"/>
      <c r="G286" s="62"/>
      <c r="H286" s="52"/>
    </row>
    <row r="287" spans="1:8" x14ac:dyDescent="0.25">
      <c r="A287" s="52"/>
      <c r="B287" s="52"/>
      <c r="C287" s="52"/>
      <c r="D287" s="52"/>
      <c r="E287" s="52"/>
      <c r="F287" s="52"/>
      <c r="G287" s="62"/>
      <c r="H287" s="52"/>
    </row>
    <row r="288" spans="1:8" x14ac:dyDescent="0.25">
      <c r="A288" s="52"/>
      <c r="B288" s="52"/>
      <c r="C288" s="52"/>
      <c r="D288" s="52"/>
      <c r="E288" s="52"/>
      <c r="F288" s="52"/>
      <c r="G288" s="62"/>
      <c r="H288" s="52"/>
    </row>
    <row r="289" spans="1:13" x14ac:dyDescent="0.25">
      <c r="A289" s="52"/>
      <c r="B289" s="52"/>
      <c r="C289" s="52"/>
      <c r="D289" s="52"/>
      <c r="E289" s="52"/>
      <c r="F289" s="52"/>
      <c r="G289" s="62"/>
      <c r="H289" s="52"/>
    </row>
    <row r="290" spans="1:13" x14ac:dyDescent="0.25">
      <c r="A290" s="52"/>
      <c r="B290" s="52"/>
      <c r="C290" s="52"/>
      <c r="D290" s="52"/>
      <c r="E290" s="52"/>
      <c r="F290" s="52"/>
      <c r="G290" s="62"/>
      <c r="H290" s="52"/>
    </row>
    <row r="291" spans="1:13" x14ac:dyDescent="0.25">
      <c r="A291" s="52"/>
      <c r="B291" s="52"/>
      <c r="C291" s="52"/>
      <c r="D291" s="52"/>
      <c r="E291" s="52"/>
      <c r="F291" s="52"/>
      <c r="G291" s="62"/>
      <c r="H291" s="52"/>
    </row>
    <row r="292" spans="1:13" x14ac:dyDescent="0.25">
      <c r="A292" s="52"/>
      <c r="B292" s="52"/>
      <c r="C292" s="52"/>
      <c r="D292" s="52"/>
      <c r="E292" s="52"/>
      <c r="F292" s="52"/>
      <c r="G292" s="62"/>
      <c r="H292" s="52"/>
      <c r="M292">
        <f>2.4*1.55</f>
        <v>3.7199999999999998</v>
      </c>
    </row>
    <row r="293" spans="1:13" x14ac:dyDescent="0.25">
      <c r="A293" s="52"/>
      <c r="B293" s="52"/>
      <c r="C293" s="52"/>
      <c r="D293" s="52"/>
      <c r="E293" s="52"/>
      <c r="F293" s="52"/>
      <c r="G293" s="62"/>
      <c r="H293" s="52"/>
    </row>
    <row r="294" spans="1:13" x14ac:dyDescent="0.25">
      <c r="A294" s="52"/>
      <c r="B294" s="52"/>
      <c r="C294" s="52"/>
      <c r="D294" s="52"/>
      <c r="E294" s="52"/>
      <c r="F294" s="52"/>
      <c r="G294" s="62"/>
      <c r="H294" s="52"/>
    </row>
    <row r="295" spans="1:13" x14ac:dyDescent="0.25">
      <c r="A295" s="52"/>
      <c r="B295" s="52"/>
      <c r="C295" s="52"/>
      <c r="D295" s="52"/>
      <c r="E295" s="52"/>
      <c r="F295" s="52"/>
      <c r="G295" s="62"/>
      <c r="H295" s="52"/>
    </row>
    <row r="296" spans="1:13" x14ac:dyDescent="0.25">
      <c r="A296" s="52"/>
      <c r="B296" s="56"/>
      <c r="C296" s="52"/>
      <c r="D296" s="52"/>
      <c r="E296" s="52"/>
      <c r="F296" s="52"/>
      <c r="G296" s="62"/>
      <c r="H296" s="52"/>
    </row>
    <row r="297" spans="1:13" x14ac:dyDescent="0.25">
      <c r="A297" s="52"/>
      <c r="B297" s="52"/>
      <c r="C297" s="52"/>
      <c r="D297" s="52"/>
      <c r="E297" s="52"/>
      <c r="F297" s="52"/>
      <c r="G297" s="62"/>
      <c r="H297" s="52"/>
    </row>
    <row r="298" spans="1:13" x14ac:dyDescent="0.25">
      <c r="A298" s="52"/>
      <c r="B298" s="52"/>
      <c r="C298" s="52"/>
      <c r="D298" s="52"/>
      <c r="E298" s="52"/>
      <c r="F298" s="52"/>
      <c r="G298" s="62"/>
      <c r="H298" s="52"/>
    </row>
    <row r="299" spans="1:13" x14ac:dyDescent="0.25">
      <c r="A299" s="52"/>
      <c r="B299" s="52"/>
      <c r="C299" s="52"/>
      <c r="D299" s="52"/>
      <c r="E299" s="52"/>
      <c r="F299" s="52"/>
      <c r="G299" s="62"/>
      <c r="H299" s="52"/>
    </row>
    <row r="300" spans="1:13" x14ac:dyDescent="0.25">
      <c r="A300" s="52"/>
      <c r="B300" s="52"/>
      <c r="C300" s="52"/>
      <c r="D300" s="52"/>
      <c r="E300" s="52"/>
      <c r="F300" s="52"/>
      <c r="G300" s="62"/>
      <c r="H300" s="52"/>
    </row>
    <row r="301" spans="1:13" x14ac:dyDescent="0.25">
      <c r="A301" s="52"/>
      <c r="B301" s="52"/>
      <c r="C301" s="52"/>
      <c r="D301" s="52"/>
      <c r="E301" s="52"/>
      <c r="F301" s="52"/>
      <c r="G301" s="62"/>
      <c r="H301" s="52"/>
    </row>
    <row r="302" spans="1:13" x14ac:dyDescent="0.25">
      <c r="A302" s="52"/>
      <c r="B302" s="52"/>
      <c r="C302" s="52"/>
      <c r="D302" s="52"/>
      <c r="E302" s="52"/>
      <c r="F302" s="52"/>
      <c r="G302" s="62"/>
      <c r="H302" s="52"/>
    </row>
    <row r="303" spans="1:13" x14ac:dyDescent="0.25">
      <c r="A303" s="52"/>
      <c r="B303" s="52"/>
      <c r="C303" s="52"/>
      <c r="D303" s="52"/>
      <c r="E303" s="52"/>
      <c r="F303" s="52"/>
      <c r="G303" s="62"/>
      <c r="H303" s="52"/>
    </row>
    <row r="304" spans="1:13" x14ac:dyDescent="0.25">
      <c r="A304" s="52"/>
      <c r="B304" s="52"/>
      <c r="C304" s="52"/>
      <c r="D304" s="52"/>
      <c r="E304" s="52"/>
      <c r="F304" s="52"/>
      <c r="G304" s="62"/>
      <c r="H304" s="52"/>
    </row>
    <row r="305" spans="1:8" x14ac:dyDescent="0.25">
      <c r="A305" s="52"/>
      <c r="B305" s="52"/>
      <c r="C305" s="52"/>
      <c r="D305" s="52"/>
      <c r="E305" s="52"/>
      <c r="F305" s="52"/>
      <c r="G305" s="62"/>
      <c r="H305" s="52"/>
    </row>
    <row r="306" spans="1:8" x14ac:dyDescent="0.25">
      <c r="A306" s="52"/>
      <c r="B306" s="52"/>
      <c r="C306" s="52"/>
      <c r="D306" s="52"/>
      <c r="E306" s="52"/>
      <c r="F306" s="52"/>
      <c r="G306" s="62"/>
      <c r="H306" s="52"/>
    </row>
    <row r="307" spans="1:8" x14ac:dyDescent="0.25">
      <c r="A307" s="52"/>
      <c r="B307" s="52"/>
      <c r="C307" s="52"/>
      <c r="D307" s="52"/>
      <c r="E307" s="52"/>
      <c r="F307" s="52"/>
      <c r="G307" s="62"/>
      <c r="H307" s="52"/>
    </row>
    <row r="308" spans="1:8" x14ac:dyDescent="0.25">
      <c r="A308" s="52"/>
      <c r="B308" s="52"/>
      <c r="C308" s="52"/>
      <c r="D308" s="52"/>
      <c r="E308" s="52"/>
      <c r="F308" s="52"/>
      <c r="G308" s="62"/>
      <c r="H308" s="52"/>
    </row>
    <row r="309" spans="1:8" x14ac:dyDescent="0.25">
      <c r="A309" s="52"/>
      <c r="B309" s="52"/>
      <c r="C309" s="52"/>
      <c r="D309" s="52"/>
      <c r="E309" s="52"/>
      <c r="F309" s="52"/>
      <c r="G309" s="62"/>
      <c r="H309" s="52"/>
    </row>
    <row r="310" spans="1:8" x14ac:dyDescent="0.25">
      <c r="A310" s="52"/>
      <c r="B310" s="56"/>
      <c r="C310" s="52"/>
      <c r="D310" s="52"/>
      <c r="E310" s="52"/>
      <c r="F310" s="52"/>
      <c r="G310" s="62"/>
      <c r="H310" s="52"/>
    </row>
    <row r="311" spans="1:8" x14ac:dyDescent="0.25">
      <c r="A311" s="52"/>
      <c r="B311" s="52"/>
      <c r="C311" s="52"/>
      <c r="D311" s="52"/>
      <c r="E311" s="52"/>
      <c r="F311" s="52"/>
      <c r="G311" s="62"/>
      <c r="H311" s="52"/>
    </row>
    <row r="312" spans="1:8" x14ac:dyDescent="0.25">
      <c r="A312" s="52"/>
      <c r="B312" s="52"/>
      <c r="C312" s="52"/>
      <c r="D312" s="52"/>
      <c r="E312" s="52"/>
      <c r="F312" s="52"/>
      <c r="G312" s="62"/>
      <c r="H312" s="52"/>
    </row>
    <row r="313" spans="1:8" x14ac:dyDescent="0.25">
      <c r="A313" s="52"/>
      <c r="B313" s="52"/>
      <c r="C313" s="52"/>
      <c r="D313" s="52"/>
      <c r="E313" s="52"/>
      <c r="F313" s="52"/>
      <c r="G313" s="62"/>
      <c r="H313" s="52"/>
    </row>
    <row r="314" spans="1:8" x14ac:dyDescent="0.25">
      <c r="A314" s="52"/>
      <c r="B314" s="52"/>
      <c r="C314" s="52"/>
      <c r="D314" s="52"/>
      <c r="E314" s="52"/>
      <c r="F314" s="52"/>
      <c r="G314" s="62"/>
      <c r="H314" s="52"/>
    </row>
    <row r="315" spans="1:8" x14ac:dyDescent="0.25">
      <c r="A315" s="52"/>
      <c r="B315" s="52"/>
      <c r="C315" s="52"/>
      <c r="D315" s="52"/>
      <c r="E315" s="52"/>
      <c r="F315" s="52"/>
      <c r="G315" s="62"/>
      <c r="H315" s="52"/>
    </row>
    <row r="316" spans="1:8" x14ac:dyDescent="0.25">
      <c r="A316" s="52"/>
      <c r="B316" s="52"/>
      <c r="C316" s="52"/>
      <c r="D316" s="52"/>
      <c r="E316" s="52"/>
      <c r="F316" s="52"/>
      <c r="G316" s="62"/>
      <c r="H316" s="52"/>
    </row>
    <row r="317" spans="1:8" x14ac:dyDescent="0.25">
      <c r="A317" s="52"/>
      <c r="B317" s="52"/>
      <c r="C317" s="52"/>
      <c r="D317" s="52"/>
      <c r="E317" s="52"/>
      <c r="F317" s="52"/>
      <c r="G317" s="62"/>
      <c r="H317" s="52"/>
    </row>
    <row r="318" spans="1:8" x14ac:dyDescent="0.25">
      <c r="A318" s="52"/>
      <c r="B318" s="52"/>
      <c r="C318" s="52"/>
      <c r="D318" s="52"/>
      <c r="E318" s="52"/>
      <c r="F318" s="52"/>
      <c r="G318" s="62"/>
      <c r="H318" s="52"/>
    </row>
    <row r="319" spans="1:8" x14ac:dyDescent="0.25">
      <c r="A319" s="52"/>
      <c r="B319" s="52"/>
      <c r="C319" s="52"/>
      <c r="D319" s="52"/>
      <c r="E319" s="52"/>
      <c r="F319" s="52"/>
      <c r="G319" s="62"/>
      <c r="H319" s="52"/>
    </row>
    <row r="320" spans="1:8" x14ac:dyDescent="0.25">
      <c r="A320" s="52"/>
      <c r="B320" s="52"/>
      <c r="C320" s="52"/>
      <c r="D320" s="52"/>
      <c r="E320" s="52"/>
      <c r="F320" s="52"/>
      <c r="G320" s="62"/>
      <c r="H320" s="52"/>
    </row>
    <row r="321" spans="1:8" x14ac:dyDescent="0.25">
      <c r="A321" s="52"/>
      <c r="B321" s="52"/>
      <c r="C321" s="52"/>
      <c r="D321" s="52"/>
      <c r="E321" s="52"/>
      <c r="F321" s="52"/>
      <c r="G321" s="62"/>
      <c r="H321" s="52"/>
    </row>
    <row r="322" spans="1:8" x14ac:dyDescent="0.25">
      <c r="A322" s="52"/>
      <c r="B322" s="52"/>
      <c r="C322" s="52"/>
      <c r="D322" s="52"/>
      <c r="E322" s="52"/>
      <c r="F322" s="52"/>
      <c r="G322" s="62"/>
      <c r="H322" s="52"/>
    </row>
    <row r="323" spans="1:8" x14ac:dyDescent="0.25">
      <c r="A323" s="52"/>
      <c r="B323" s="52"/>
      <c r="C323" s="52"/>
      <c r="D323" s="52"/>
      <c r="E323" s="52"/>
      <c r="F323" s="52"/>
      <c r="G323" s="62"/>
      <c r="H323" s="52"/>
    </row>
    <row r="324" spans="1:8" x14ac:dyDescent="0.25">
      <c r="A324" s="52"/>
      <c r="B324" s="52"/>
      <c r="C324" s="52"/>
      <c r="D324" s="52"/>
      <c r="E324" s="52"/>
      <c r="F324" s="52"/>
      <c r="G324" s="62"/>
      <c r="H324" s="52"/>
    </row>
    <row r="325" spans="1:8" x14ac:dyDescent="0.25">
      <c r="A325" s="52"/>
      <c r="B325" s="52"/>
      <c r="C325" s="52"/>
      <c r="D325" s="52"/>
      <c r="E325" s="52"/>
      <c r="F325" s="52"/>
      <c r="G325" s="62"/>
      <c r="H325" s="52"/>
    </row>
    <row r="326" spans="1:8" x14ac:dyDescent="0.25">
      <c r="A326" s="52"/>
      <c r="B326" s="52"/>
      <c r="C326" s="52"/>
      <c r="D326" s="52"/>
      <c r="E326" s="52"/>
      <c r="F326" s="52"/>
      <c r="G326" s="62"/>
      <c r="H326" s="52"/>
    </row>
    <row r="327" spans="1:8" x14ac:dyDescent="0.25">
      <c r="A327" s="52"/>
      <c r="B327" s="52"/>
      <c r="C327" s="52"/>
      <c r="D327" s="52"/>
      <c r="E327" s="52"/>
      <c r="F327" s="52"/>
      <c r="G327" s="62"/>
      <c r="H327" s="52"/>
    </row>
    <row r="328" spans="1:8" x14ac:dyDescent="0.25">
      <c r="A328" s="52"/>
      <c r="B328" s="52"/>
      <c r="C328" s="52"/>
      <c r="D328" s="52"/>
      <c r="E328" s="52"/>
      <c r="F328" s="52"/>
      <c r="G328" s="62"/>
      <c r="H328" s="52"/>
    </row>
    <row r="329" spans="1:8" x14ac:dyDescent="0.25">
      <c r="A329" s="52"/>
      <c r="B329" s="52"/>
      <c r="C329" s="52"/>
      <c r="D329" s="52"/>
      <c r="E329" s="52"/>
      <c r="F329" s="52"/>
      <c r="G329" s="62"/>
      <c r="H329" s="52"/>
    </row>
    <row r="330" spans="1:8" x14ac:dyDescent="0.25">
      <c r="A330" s="52"/>
      <c r="B330" s="52"/>
      <c r="C330" s="52"/>
      <c r="D330" s="52"/>
      <c r="E330" s="52"/>
      <c r="F330" s="52"/>
      <c r="G330" s="62"/>
      <c r="H330" s="52"/>
    </row>
    <row r="331" spans="1:8" x14ac:dyDescent="0.25">
      <c r="A331" s="52"/>
      <c r="B331" s="52"/>
      <c r="C331" s="52"/>
      <c r="D331" s="52"/>
      <c r="E331" s="52"/>
      <c r="F331" s="52"/>
      <c r="G331" s="62"/>
      <c r="H331" s="52"/>
    </row>
    <row r="332" spans="1:8" x14ac:dyDescent="0.25">
      <c r="A332" s="52"/>
      <c r="B332" s="52"/>
      <c r="C332" s="52"/>
      <c r="D332" s="52"/>
      <c r="E332" s="52"/>
      <c r="F332" s="52"/>
      <c r="G332" s="62"/>
      <c r="H332" s="52"/>
    </row>
    <row r="333" spans="1:8" x14ac:dyDescent="0.25">
      <c r="A333" s="52"/>
      <c r="B333" s="52"/>
      <c r="C333" s="52"/>
      <c r="D333" s="52"/>
      <c r="E333" s="52"/>
      <c r="F333" s="52"/>
      <c r="G333" s="62"/>
      <c r="H333" s="52"/>
    </row>
    <row r="334" spans="1:8" x14ac:dyDescent="0.25">
      <c r="A334" s="52"/>
      <c r="B334" s="52"/>
      <c r="C334" s="52"/>
      <c r="D334" s="52"/>
      <c r="E334" s="52"/>
      <c r="F334" s="52"/>
      <c r="G334" s="62"/>
      <c r="H334" s="52"/>
    </row>
    <row r="335" spans="1:8" x14ac:dyDescent="0.25">
      <c r="A335" s="52"/>
      <c r="B335" s="52"/>
      <c r="C335" s="52"/>
      <c r="D335" s="52"/>
      <c r="E335" s="52"/>
      <c r="F335" s="52"/>
      <c r="G335" s="62"/>
      <c r="H335" s="52"/>
    </row>
    <row r="336" spans="1:8" x14ac:dyDescent="0.25">
      <c r="A336" s="52"/>
      <c r="B336" s="52"/>
      <c r="C336" s="52"/>
      <c r="D336" s="52"/>
      <c r="E336" s="52"/>
      <c r="F336" s="52"/>
      <c r="G336" s="62"/>
      <c r="H336" s="52"/>
    </row>
    <row r="337" spans="1:8" x14ac:dyDescent="0.25">
      <c r="A337" s="52"/>
      <c r="B337" s="52"/>
      <c r="C337" s="52"/>
      <c r="D337" s="52"/>
      <c r="E337" s="52"/>
      <c r="F337" s="52"/>
      <c r="G337" s="62"/>
      <c r="H337" s="52"/>
    </row>
    <row r="338" spans="1:8" x14ac:dyDescent="0.25">
      <c r="A338" s="52"/>
      <c r="B338" s="52"/>
      <c r="C338" s="52"/>
      <c r="D338" s="52"/>
      <c r="E338" s="52"/>
      <c r="F338" s="52"/>
      <c r="G338" s="62"/>
      <c r="H338" s="52"/>
    </row>
    <row r="339" spans="1:8" x14ac:dyDescent="0.25">
      <c r="A339" s="52"/>
      <c r="B339" s="52"/>
      <c r="C339" s="52"/>
      <c r="D339" s="52"/>
      <c r="E339" s="52"/>
      <c r="F339" s="52"/>
      <c r="G339" s="62"/>
      <c r="H339" s="52"/>
    </row>
    <row r="340" spans="1:8" x14ac:dyDescent="0.25">
      <c r="A340" s="52"/>
      <c r="B340" s="52"/>
      <c r="C340" s="52"/>
      <c r="D340" s="52"/>
      <c r="E340" s="52"/>
      <c r="F340" s="52"/>
      <c r="G340" s="62"/>
      <c r="H340" s="52"/>
    </row>
    <row r="341" spans="1:8" x14ac:dyDescent="0.25">
      <c r="A341" s="52"/>
      <c r="B341" s="52"/>
      <c r="C341" s="52"/>
      <c r="D341" s="52"/>
      <c r="E341" s="52"/>
      <c r="F341" s="52"/>
      <c r="G341" s="62"/>
      <c r="H341" s="52"/>
    </row>
    <row r="342" spans="1:8" x14ac:dyDescent="0.25">
      <c r="A342" s="52"/>
      <c r="B342" s="52"/>
      <c r="C342" s="52"/>
      <c r="D342" s="52"/>
      <c r="E342" s="52"/>
      <c r="F342" s="52"/>
      <c r="G342" s="62"/>
      <c r="H342" s="52"/>
    </row>
    <row r="343" spans="1:8" x14ac:dyDescent="0.25">
      <c r="A343" s="52"/>
      <c r="B343" s="52"/>
      <c r="C343" s="52"/>
      <c r="D343" s="52"/>
      <c r="E343" s="52"/>
      <c r="F343" s="52"/>
      <c r="G343" s="62"/>
      <c r="H343" s="52"/>
    </row>
    <row r="344" spans="1:8" x14ac:dyDescent="0.25">
      <c r="A344" s="52"/>
      <c r="B344" s="52"/>
      <c r="C344" s="52"/>
      <c r="D344" s="52"/>
      <c r="E344" s="52"/>
      <c r="F344" s="52"/>
      <c r="G344" s="62"/>
      <c r="H344" s="52"/>
    </row>
    <row r="345" spans="1:8" x14ac:dyDescent="0.25">
      <c r="A345" s="52"/>
      <c r="B345" s="52"/>
      <c r="C345" s="52"/>
      <c r="D345" s="52"/>
      <c r="E345" s="52"/>
      <c r="F345" s="52"/>
      <c r="G345" s="62"/>
      <c r="H345" s="52"/>
    </row>
    <row r="346" spans="1:8" x14ac:dyDescent="0.25">
      <c r="A346" s="52"/>
      <c r="B346" s="52"/>
      <c r="C346" s="52"/>
      <c r="D346" s="52"/>
      <c r="E346" s="52"/>
      <c r="F346" s="52"/>
      <c r="G346" s="62"/>
      <c r="H346" s="52"/>
    </row>
    <row r="347" spans="1:8" x14ac:dyDescent="0.25">
      <c r="A347" s="52"/>
      <c r="B347" s="52"/>
      <c r="C347" s="52"/>
      <c r="D347" s="52"/>
      <c r="E347" s="52"/>
      <c r="F347" s="52"/>
      <c r="G347" s="62"/>
      <c r="H347" s="52"/>
    </row>
    <row r="348" spans="1:8" x14ac:dyDescent="0.25">
      <c r="A348" s="52"/>
      <c r="B348" s="52"/>
      <c r="C348" s="52"/>
      <c r="D348" s="52"/>
      <c r="E348" s="52"/>
      <c r="F348" s="52"/>
      <c r="G348" s="62"/>
      <c r="H348" s="52"/>
    </row>
    <row r="349" spans="1:8" x14ac:dyDescent="0.25">
      <c r="A349" s="52"/>
      <c r="B349" s="52"/>
      <c r="C349" s="52"/>
      <c r="D349" s="52"/>
      <c r="E349" s="52"/>
      <c r="F349" s="52"/>
      <c r="G349" s="62"/>
      <c r="H349" s="52"/>
    </row>
    <row r="350" spans="1:8" x14ac:dyDescent="0.25">
      <c r="A350" s="52"/>
      <c r="B350" s="52"/>
      <c r="C350" s="52"/>
      <c r="D350" s="52"/>
      <c r="E350" s="52"/>
      <c r="F350" s="52"/>
      <c r="G350" s="62"/>
      <c r="H350" s="52"/>
    </row>
    <row r="351" spans="1:8" x14ac:dyDescent="0.25">
      <c r="A351" s="52"/>
      <c r="B351" s="52"/>
      <c r="C351" s="52"/>
      <c r="D351" s="52"/>
      <c r="E351" s="52"/>
      <c r="F351" s="52"/>
      <c r="G351" s="62"/>
      <c r="H351" s="52"/>
    </row>
    <row r="352" spans="1:8" x14ac:dyDescent="0.25">
      <c r="A352" s="52"/>
      <c r="B352" s="52"/>
      <c r="C352" s="52"/>
      <c r="D352" s="52"/>
      <c r="E352" s="52"/>
      <c r="F352" s="52"/>
      <c r="G352" s="62"/>
      <c r="H352" s="52"/>
    </row>
    <row r="353" spans="1:8" x14ac:dyDescent="0.25">
      <c r="A353" s="52"/>
      <c r="B353" s="56"/>
      <c r="C353" s="52"/>
      <c r="D353" s="52"/>
      <c r="E353" s="52"/>
      <c r="F353" s="52"/>
      <c r="G353" s="62"/>
      <c r="H353" s="52"/>
    </row>
    <row r="354" spans="1:8" x14ac:dyDescent="0.25">
      <c r="A354" s="52"/>
      <c r="B354" s="52"/>
      <c r="C354" s="52"/>
      <c r="D354" s="52"/>
      <c r="E354" s="52"/>
      <c r="F354" s="52"/>
      <c r="G354" s="62"/>
      <c r="H354" s="52"/>
    </row>
    <row r="355" spans="1:8" x14ac:dyDescent="0.25">
      <c r="A355" s="52"/>
      <c r="B355" s="52"/>
      <c r="C355" s="52"/>
      <c r="D355" s="52"/>
      <c r="E355" s="52"/>
      <c r="F355" s="52"/>
      <c r="G355" s="62"/>
      <c r="H355" s="52"/>
    </row>
    <row r="356" spans="1:8" x14ac:dyDescent="0.25">
      <c r="A356" s="52"/>
      <c r="B356" s="52"/>
      <c r="C356" s="52"/>
      <c r="D356" s="52"/>
      <c r="E356" s="52"/>
      <c r="F356" s="52"/>
      <c r="G356" s="62"/>
      <c r="H356" s="52"/>
    </row>
    <row r="357" spans="1:8" x14ac:dyDescent="0.25">
      <c r="A357" s="52"/>
      <c r="B357" s="52"/>
      <c r="C357" s="52"/>
      <c r="D357" s="52"/>
      <c r="E357" s="52"/>
      <c r="F357" s="52"/>
      <c r="G357" s="62"/>
      <c r="H357" s="52"/>
    </row>
    <row r="358" spans="1:8" x14ac:dyDescent="0.25">
      <c r="A358" s="52"/>
      <c r="B358" s="52"/>
      <c r="C358" s="52"/>
      <c r="D358" s="52"/>
      <c r="E358" s="52"/>
      <c r="F358" s="52"/>
      <c r="G358" s="62"/>
      <c r="H358" s="52"/>
    </row>
    <row r="359" spans="1:8" x14ac:dyDescent="0.25">
      <c r="A359" s="52"/>
      <c r="B359" s="52"/>
      <c r="C359" s="52"/>
      <c r="D359" s="52"/>
      <c r="E359" s="52"/>
      <c r="F359" s="52"/>
      <c r="G359" s="62"/>
      <c r="H359" s="52"/>
    </row>
    <row r="360" spans="1:8" x14ac:dyDescent="0.25">
      <c r="A360" s="52"/>
      <c r="B360" s="52"/>
      <c r="C360" s="52"/>
      <c r="D360" s="52"/>
      <c r="E360" s="52"/>
      <c r="F360" s="52"/>
      <c r="G360" s="62"/>
      <c r="H360" s="52"/>
    </row>
    <row r="361" spans="1:8" x14ac:dyDescent="0.25">
      <c r="A361" s="52"/>
      <c r="B361" s="52"/>
      <c r="C361" s="52"/>
      <c r="D361" s="52"/>
      <c r="E361" s="52"/>
      <c r="F361" s="52"/>
      <c r="G361" s="62"/>
      <c r="H361" s="52"/>
    </row>
    <row r="362" spans="1:8" x14ac:dyDescent="0.25">
      <c r="A362" s="52"/>
      <c r="B362" s="52"/>
      <c r="C362" s="52"/>
      <c r="D362" s="52"/>
      <c r="E362" s="52"/>
      <c r="F362" s="52"/>
      <c r="G362" s="62"/>
      <c r="H362" s="52"/>
    </row>
    <row r="363" spans="1:8" x14ac:dyDescent="0.25">
      <c r="A363" s="52"/>
      <c r="B363" s="52"/>
      <c r="C363" s="52"/>
      <c r="D363" s="52"/>
      <c r="E363" s="52"/>
      <c r="F363" s="52"/>
      <c r="G363" s="62"/>
      <c r="H363" s="52"/>
    </row>
    <row r="364" spans="1:8" x14ac:dyDescent="0.25">
      <c r="A364" s="52"/>
      <c r="B364" s="52"/>
      <c r="C364" s="52"/>
      <c r="D364" s="52"/>
      <c r="E364" s="52"/>
      <c r="F364" s="52"/>
      <c r="G364" s="62"/>
      <c r="H364" s="52"/>
    </row>
    <row r="365" spans="1:8" x14ac:dyDescent="0.25">
      <c r="A365" s="52"/>
      <c r="B365" s="52"/>
      <c r="C365" s="52"/>
      <c r="D365" s="52"/>
      <c r="E365" s="52"/>
      <c r="F365" s="52"/>
      <c r="G365" s="62"/>
      <c r="H365" s="52"/>
    </row>
    <row r="366" spans="1:8" x14ac:dyDescent="0.25">
      <c r="A366" s="52"/>
      <c r="B366" s="52"/>
      <c r="C366" s="52"/>
      <c r="D366" s="52"/>
      <c r="E366" s="52"/>
      <c r="F366" s="52"/>
      <c r="G366" s="62"/>
      <c r="H366" s="52"/>
    </row>
    <row r="367" spans="1:8" x14ac:dyDescent="0.25">
      <c r="A367" s="52"/>
      <c r="B367" s="52"/>
      <c r="C367" s="52"/>
      <c r="D367" s="52"/>
      <c r="E367" s="52"/>
      <c r="F367" s="52"/>
      <c r="G367" s="62"/>
      <c r="H367" s="52"/>
    </row>
    <row r="368" spans="1:8" x14ac:dyDescent="0.25">
      <c r="A368" s="52"/>
      <c r="B368" s="52"/>
      <c r="C368" s="52"/>
      <c r="D368" s="52"/>
      <c r="E368" s="52"/>
      <c r="F368" s="52"/>
      <c r="G368" s="62"/>
      <c r="H368" s="52"/>
    </row>
    <row r="369" spans="1:13" x14ac:dyDescent="0.25">
      <c r="A369" s="52"/>
      <c r="B369" s="52"/>
      <c r="C369" s="52"/>
      <c r="D369" s="52"/>
      <c r="E369" s="52"/>
      <c r="F369" s="52"/>
      <c r="G369" s="62"/>
      <c r="H369" s="52"/>
    </row>
    <row r="370" spans="1:13" x14ac:dyDescent="0.25">
      <c r="A370" s="52"/>
      <c r="B370" s="52"/>
      <c r="C370" s="52"/>
      <c r="D370" s="52"/>
      <c r="E370" s="52"/>
      <c r="F370" s="52"/>
      <c r="G370" s="62"/>
      <c r="H370" s="52"/>
    </row>
    <row r="371" spans="1:13" x14ac:dyDescent="0.25">
      <c r="A371" s="52"/>
      <c r="B371" s="52"/>
      <c r="C371" s="52"/>
      <c r="D371" s="52"/>
      <c r="E371" s="52"/>
      <c r="F371" s="52"/>
      <c r="G371" s="62"/>
      <c r="H371" s="52"/>
    </row>
    <row r="372" spans="1:13" x14ac:dyDescent="0.25">
      <c r="A372" s="52"/>
      <c r="B372" s="52"/>
      <c r="C372" s="52"/>
      <c r="D372" s="52"/>
      <c r="E372" s="52"/>
      <c r="F372" s="52"/>
      <c r="G372" s="62"/>
      <c r="H372" s="52"/>
    </row>
    <row r="373" spans="1:13" x14ac:dyDescent="0.25">
      <c r="A373" s="52"/>
      <c r="B373" s="52"/>
      <c r="C373" s="52"/>
      <c r="D373" s="52"/>
      <c r="E373" s="52"/>
      <c r="F373" s="52"/>
      <c r="G373" s="62"/>
      <c r="H373" s="52"/>
    </row>
    <row r="374" spans="1:13" x14ac:dyDescent="0.25">
      <c r="A374" s="52"/>
      <c r="B374" s="52"/>
      <c r="C374" s="52"/>
      <c r="D374" s="52"/>
      <c r="E374" s="52"/>
      <c r="F374" s="52"/>
      <c r="G374" s="62"/>
      <c r="H374" s="52"/>
    </row>
    <row r="375" spans="1:13" x14ac:dyDescent="0.25">
      <c r="A375" s="52"/>
      <c r="B375" s="52"/>
      <c r="C375" s="52"/>
      <c r="D375" s="52"/>
      <c r="E375" s="52"/>
      <c r="F375" s="52"/>
      <c r="G375" s="62"/>
      <c r="H375" s="52"/>
      <c r="M375">
        <f>2.4*1.55</f>
        <v>3.7199999999999998</v>
      </c>
    </row>
    <row r="376" spans="1:13" x14ac:dyDescent="0.25">
      <c r="A376" s="52"/>
      <c r="B376" s="52"/>
      <c r="C376" s="52"/>
      <c r="D376" s="52"/>
      <c r="E376" s="52"/>
      <c r="F376" s="52"/>
      <c r="G376" s="62"/>
      <c r="H376" s="52"/>
    </row>
    <row r="377" spans="1:13" x14ac:dyDescent="0.25">
      <c r="A377" s="52"/>
      <c r="B377" s="52"/>
      <c r="C377" s="52"/>
      <c r="D377" s="52"/>
      <c r="E377" s="52"/>
      <c r="F377" s="52"/>
      <c r="G377" s="62"/>
      <c r="H377" s="52"/>
    </row>
    <row r="378" spans="1:13" x14ac:dyDescent="0.25">
      <c r="A378" s="52"/>
      <c r="B378" s="52"/>
      <c r="C378" s="52"/>
      <c r="D378" s="52"/>
      <c r="E378" s="52"/>
      <c r="F378" s="52"/>
      <c r="G378" s="62"/>
      <c r="H378" s="52"/>
    </row>
    <row r="379" spans="1:13" x14ac:dyDescent="0.25">
      <c r="A379" s="52"/>
      <c r="B379" s="56"/>
      <c r="C379" s="52"/>
      <c r="D379" s="52"/>
      <c r="E379" s="52"/>
      <c r="F379" s="52"/>
      <c r="G379" s="62"/>
      <c r="H379" s="52"/>
    </row>
    <row r="380" spans="1:13" x14ac:dyDescent="0.25">
      <c r="A380" s="52"/>
      <c r="B380" s="52"/>
      <c r="C380" s="52"/>
      <c r="D380" s="52"/>
      <c r="E380" s="52"/>
      <c r="F380" s="52"/>
      <c r="G380" s="62"/>
      <c r="H380" s="52"/>
    </row>
    <row r="381" spans="1:13" x14ac:dyDescent="0.25">
      <c r="A381" s="52"/>
      <c r="B381" s="52"/>
      <c r="C381" s="52"/>
      <c r="D381" s="52"/>
      <c r="E381" s="52"/>
      <c r="F381" s="52"/>
      <c r="G381" s="62"/>
      <c r="H381" s="52"/>
    </row>
    <row r="382" spans="1:13" x14ac:dyDescent="0.25">
      <c r="A382" s="52"/>
      <c r="B382" s="52"/>
      <c r="C382" s="52"/>
      <c r="D382" s="52"/>
      <c r="E382" s="52"/>
      <c r="F382" s="52"/>
      <c r="G382" s="62"/>
      <c r="H382" s="52"/>
    </row>
    <row r="383" spans="1:13" x14ac:dyDescent="0.25">
      <c r="A383" s="52"/>
      <c r="B383" s="52"/>
      <c r="C383" s="52"/>
      <c r="D383" s="52"/>
      <c r="E383" s="52"/>
      <c r="F383" s="52"/>
      <c r="G383" s="62"/>
      <c r="H383" s="52"/>
    </row>
    <row r="384" spans="1:13" x14ac:dyDescent="0.25">
      <c r="A384" s="52"/>
      <c r="B384" s="52"/>
      <c r="C384" s="52"/>
      <c r="D384" s="52"/>
      <c r="E384" s="52"/>
      <c r="F384" s="52"/>
      <c r="G384" s="62"/>
      <c r="H384" s="52"/>
    </row>
    <row r="385" spans="1:8" x14ac:dyDescent="0.25">
      <c r="A385" s="52"/>
      <c r="B385" s="52"/>
      <c r="C385" s="52"/>
      <c r="D385" s="52"/>
      <c r="E385" s="52"/>
      <c r="F385" s="52"/>
      <c r="G385" s="62"/>
      <c r="H385" s="52"/>
    </row>
    <row r="386" spans="1:8" x14ac:dyDescent="0.25">
      <c r="A386" s="52"/>
      <c r="B386" s="52"/>
      <c r="C386" s="52"/>
      <c r="D386" s="52"/>
      <c r="E386" s="52"/>
      <c r="F386" s="52"/>
      <c r="G386" s="62"/>
      <c r="H386" s="52"/>
    </row>
    <row r="387" spans="1:8" x14ac:dyDescent="0.25">
      <c r="A387" s="52"/>
      <c r="B387" s="52"/>
      <c r="C387" s="52"/>
      <c r="D387" s="52"/>
      <c r="E387" s="52"/>
      <c r="F387" s="52"/>
      <c r="G387" s="62"/>
      <c r="H387" s="52"/>
    </row>
    <row r="388" spans="1:8" x14ac:dyDescent="0.25">
      <c r="A388" s="52"/>
      <c r="B388" s="52"/>
      <c r="C388" s="52"/>
      <c r="D388" s="52"/>
      <c r="E388" s="52"/>
      <c r="F388" s="52"/>
      <c r="G388" s="62"/>
      <c r="H388" s="52"/>
    </row>
    <row r="389" spans="1:8" x14ac:dyDescent="0.25">
      <c r="A389" s="52"/>
      <c r="B389" s="52"/>
      <c r="C389" s="52"/>
      <c r="D389" s="52"/>
      <c r="E389" s="52"/>
      <c r="F389" s="52"/>
      <c r="G389" s="62"/>
      <c r="H389" s="52"/>
    </row>
    <row r="390" spans="1:8" x14ac:dyDescent="0.25">
      <c r="A390" s="52"/>
      <c r="B390" s="52"/>
      <c r="C390" s="52"/>
      <c r="D390" s="52"/>
      <c r="E390" s="52"/>
      <c r="F390" s="52"/>
      <c r="G390" s="62"/>
      <c r="H390" s="52"/>
    </row>
    <row r="391" spans="1:8" x14ac:dyDescent="0.25">
      <c r="A391" s="52"/>
      <c r="B391" s="52"/>
      <c r="C391" s="52"/>
      <c r="D391" s="52"/>
      <c r="E391" s="52"/>
      <c r="F391" s="52"/>
      <c r="G391" s="62"/>
      <c r="H391" s="52"/>
    </row>
    <row r="392" spans="1:8" x14ac:dyDescent="0.25">
      <c r="A392" s="52"/>
      <c r="B392" s="52"/>
      <c r="C392" s="52"/>
      <c r="D392" s="52"/>
      <c r="E392" s="52"/>
      <c r="F392" s="52"/>
      <c r="G392" s="62"/>
      <c r="H392" s="52"/>
    </row>
    <row r="393" spans="1:8" x14ac:dyDescent="0.25">
      <c r="A393" s="52"/>
      <c r="B393" s="56"/>
      <c r="C393" s="52"/>
      <c r="D393" s="52"/>
      <c r="E393" s="52"/>
      <c r="F393" s="52"/>
      <c r="G393" s="62"/>
      <c r="H393" s="52"/>
    </row>
    <row r="394" spans="1:8" x14ac:dyDescent="0.25">
      <c r="A394" s="52"/>
      <c r="B394" s="52"/>
      <c r="C394" s="52"/>
      <c r="D394" s="52"/>
      <c r="E394" s="52"/>
      <c r="F394" s="52"/>
      <c r="G394" s="62"/>
      <c r="H394" s="52"/>
    </row>
    <row r="395" spans="1:8" x14ac:dyDescent="0.25">
      <c r="A395" s="52"/>
      <c r="B395" s="52"/>
      <c r="C395" s="52"/>
      <c r="D395" s="52"/>
      <c r="E395" s="52"/>
      <c r="F395" s="52"/>
      <c r="G395" s="62"/>
      <c r="H395" s="52"/>
    </row>
    <row r="396" spans="1:8" x14ac:dyDescent="0.25">
      <c r="A396" s="52"/>
      <c r="B396" s="52"/>
      <c r="C396" s="52"/>
      <c r="D396" s="52"/>
      <c r="E396" s="52"/>
      <c r="F396" s="52"/>
      <c r="G396" s="62"/>
      <c r="H396" s="52"/>
    </row>
    <row r="397" spans="1:8" x14ac:dyDescent="0.25">
      <c r="A397" s="52"/>
      <c r="B397" s="52"/>
      <c r="C397" s="52"/>
      <c r="D397" s="52"/>
      <c r="E397" s="52"/>
      <c r="F397" s="52"/>
      <c r="G397" s="62"/>
      <c r="H397" s="52"/>
    </row>
    <row r="398" spans="1:8" x14ac:dyDescent="0.25">
      <c r="A398" s="52"/>
      <c r="B398" s="52"/>
      <c r="C398" s="52"/>
      <c r="D398" s="52"/>
      <c r="E398" s="52"/>
      <c r="F398" s="52"/>
      <c r="G398" s="62"/>
      <c r="H398" s="52"/>
    </row>
    <row r="399" spans="1:8" x14ac:dyDescent="0.25">
      <c r="A399" s="52"/>
      <c r="B399" s="52"/>
      <c r="C399" s="52"/>
      <c r="D399" s="52"/>
      <c r="E399" s="52"/>
      <c r="F399" s="52"/>
      <c r="G399" s="62"/>
      <c r="H399" s="52"/>
    </row>
    <row r="400" spans="1:8" x14ac:dyDescent="0.25">
      <c r="A400" s="52"/>
      <c r="B400" s="52"/>
      <c r="C400" s="52"/>
      <c r="D400" s="52"/>
      <c r="E400" s="52"/>
      <c r="F400" s="52"/>
      <c r="G400" s="62"/>
      <c r="H400" s="52"/>
    </row>
    <row r="401" spans="1:8" x14ac:dyDescent="0.25">
      <c r="A401" s="52"/>
      <c r="B401" s="52"/>
      <c r="C401" s="52"/>
      <c r="D401" s="52"/>
      <c r="E401" s="52"/>
      <c r="F401" s="52"/>
      <c r="G401" s="62"/>
      <c r="H401" s="52"/>
    </row>
    <row r="402" spans="1:8" x14ac:dyDescent="0.25">
      <c r="A402" s="52"/>
      <c r="B402" s="52"/>
      <c r="C402" s="52"/>
      <c r="D402" s="52"/>
      <c r="E402" s="52"/>
      <c r="F402" s="52"/>
      <c r="G402" s="62"/>
      <c r="H402" s="52"/>
    </row>
    <row r="403" spans="1:8" x14ac:dyDescent="0.25">
      <c r="A403" s="52"/>
      <c r="B403" s="52"/>
      <c r="C403" s="52"/>
      <c r="D403" s="52"/>
      <c r="E403" s="52"/>
      <c r="F403" s="52"/>
      <c r="G403" s="62"/>
      <c r="H403" s="52"/>
    </row>
    <row r="404" spans="1:8" x14ac:dyDescent="0.25">
      <c r="A404" s="52"/>
      <c r="B404" s="52"/>
      <c r="C404" s="52"/>
      <c r="D404" s="52"/>
      <c r="E404" s="52"/>
      <c r="F404" s="52"/>
      <c r="G404" s="62"/>
      <c r="H404" s="52"/>
    </row>
    <row r="405" spans="1:8" x14ac:dyDescent="0.25">
      <c r="A405" s="52"/>
      <c r="B405" s="52"/>
      <c r="C405" s="52"/>
      <c r="D405" s="52"/>
      <c r="E405" s="52"/>
      <c r="F405" s="52"/>
      <c r="G405" s="62"/>
      <c r="H405" s="52"/>
    </row>
    <row r="406" spans="1:8" x14ac:dyDescent="0.25">
      <c r="A406" s="52"/>
      <c r="B406" s="52"/>
      <c r="C406" s="52"/>
      <c r="D406" s="52"/>
      <c r="E406" s="52"/>
      <c r="F406" s="52"/>
      <c r="G406" s="62"/>
      <c r="H406" s="52"/>
    </row>
    <row r="407" spans="1:8" x14ac:dyDescent="0.25">
      <c r="A407" s="52"/>
      <c r="B407" s="52"/>
      <c r="C407" s="52"/>
      <c r="D407" s="52"/>
      <c r="E407" s="52"/>
      <c r="F407" s="52"/>
      <c r="G407" s="62"/>
      <c r="H407" s="52"/>
    </row>
    <row r="408" spans="1:8" x14ac:dyDescent="0.25">
      <c r="A408" s="52"/>
      <c r="B408" s="52"/>
      <c r="C408" s="52"/>
      <c r="D408" s="52"/>
      <c r="E408" s="52"/>
      <c r="F408" s="52"/>
      <c r="G408" s="62"/>
      <c r="H408" s="52"/>
    </row>
    <row r="409" spans="1:8" x14ac:dyDescent="0.25">
      <c r="A409" s="52"/>
      <c r="B409" s="52"/>
      <c r="C409" s="52"/>
      <c r="D409" s="52"/>
      <c r="E409" s="52"/>
      <c r="F409" s="52"/>
      <c r="G409" s="62"/>
      <c r="H409" s="52"/>
    </row>
    <row r="410" spans="1:8" x14ac:dyDescent="0.25">
      <c r="A410" s="52"/>
      <c r="B410" s="52"/>
      <c r="C410" s="52"/>
      <c r="D410" s="52"/>
      <c r="E410" s="52"/>
      <c r="F410" s="52"/>
      <c r="G410" s="62"/>
      <c r="H410" s="52"/>
    </row>
    <row r="411" spans="1:8" x14ac:dyDescent="0.25">
      <c r="A411" s="52"/>
      <c r="B411" s="52"/>
      <c r="C411" s="52"/>
      <c r="D411" s="52"/>
      <c r="E411" s="52"/>
      <c r="F411" s="52"/>
      <c r="G411" s="62"/>
      <c r="H411" s="52"/>
    </row>
    <row r="412" spans="1:8" x14ac:dyDescent="0.25">
      <c r="A412" s="52"/>
      <c r="B412" s="52"/>
      <c r="C412" s="52"/>
      <c r="D412" s="52"/>
      <c r="E412" s="52"/>
      <c r="F412" s="52"/>
      <c r="G412" s="62"/>
      <c r="H412" s="52"/>
    </row>
    <row r="413" spans="1:8" x14ac:dyDescent="0.25">
      <c r="A413" s="52"/>
      <c r="B413" s="52"/>
      <c r="C413" s="52"/>
      <c r="D413" s="52"/>
      <c r="E413" s="52"/>
      <c r="F413" s="52"/>
      <c r="G413" s="62"/>
      <c r="H413" s="52"/>
    </row>
    <row r="414" spans="1:8" x14ac:dyDescent="0.25">
      <c r="A414" s="52"/>
      <c r="B414" s="52"/>
      <c r="C414" s="52"/>
      <c r="D414" s="52"/>
      <c r="E414" s="52"/>
      <c r="F414" s="52"/>
      <c r="G414" s="62"/>
      <c r="H414" s="52"/>
    </row>
    <row r="415" spans="1:8" x14ac:dyDescent="0.25">
      <c r="A415" s="52"/>
      <c r="B415" s="52"/>
      <c r="C415" s="52"/>
      <c r="D415" s="52"/>
      <c r="E415" s="52"/>
      <c r="F415" s="52"/>
      <c r="G415" s="62"/>
      <c r="H415" s="52"/>
    </row>
    <row r="416" spans="1:8" x14ac:dyDescent="0.25">
      <c r="A416" s="52"/>
      <c r="B416" s="52"/>
      <c r="C416" s="52"/>
      <c r="D416" s="52"/>
      <c r="E416" s="52"/>
      <c r="F416" s="52"/>
      <c r="G416" s="62"/>
      <c r="H416" s="52"/>
    </row>
    <row r="417" spans="1:8" x14ac:dyDescent="0.25">
      <c r="A417" s="52"/>
      <c r="B417" s="52"/>
      <c r="C417" s="52"/>
      <c r="D417" s="52"/>
      <c r="E417" s="52"/>
      <c r="F417" s="52"/>
      <c r="G417" s="62"/>
      <c r="H417" s="52"/>
    </row>
    <row r="418" spans="1:8" x14ac:dyDescent="0.25">
      <c r="A418" s="52"/>
      <c r="B418" s="52"/>
      <c r="C418" s="52"/>
      <c r="D418" s="52"/>
      <c r="E418" s="52"/>
      <c r="F418" s="52"/>
      <c r="G418" s="62"/>
      <c r="H418" s="52"/>
    </row>
    <row r="419" spans="1:8" x14ac:dyDescent="0.25">
      <c r="A419" s="52"/>
      <c r="B419" s="52"/>
      <c r="C419" s="52"/>
      <c r="D419" s="52"/>
      <c r="E419" s="52"/>
      <c r="F419" s="52"/>
      <c r="G419" s="62"/>
      <c r="H419" s="52"/>
    </row>
    <row r="420" spans="1:8" x14ac:dyDescent="0.25">
      <c r="A420" s="52"/>
      <c r="B420" s="52"/>
      <c r="C420" s="52"/>
      <c r="D420" s="52"/>
      <c r="E420" s="52"/>
      <c r="F420" s="52"/>
      <c r="G420" s="62"/>
      <c r="H420" s="52"/>
    </row>
    <row r="421" spans="1:8" x14ac:dyDescent="0.25">
      <c r="A421" s="52"/>
      <c r="B421" s="52"/>
      <c r="C421" s="52"/>
      <c r="D421" s="52"/>
      <c r="E421" s="52"/>
      <c r="F421" s="52"/>
      <c r="G421" s="62"/>
      <c r="H421" s="52"/>
    </row>
    <row r="422" spans="1:8" x14ac:dyDescent="0.25">
      <c r="A422" s="52"/>
      <c r="B422" s="52"/>
      <c r="C422" s="52"/>
      <c r="D422" s="52"/>
      <c r="E422" s="52"/>
      <c r="F422" s="52"/>
      <c r="G422" s="62"/>
      <c r="H422" s="52"/>
    </row>
    <row r="423" spans="1:8" x14ac:dyDescent="0.25">
      <c r="A423" s="52"/>
      <c r="B423" s="52"/>
      <c r="C423" s="52"/>
      <c r="D423" s="52"/>
      <c r="E423" s="52"/>
      <c r="F423" s="52"/>
      <c r="G423" s="62"/>
      <c r="H423" s="52"/>
    </row>
    <row r="424" spans="1:8" x14ac:dyDescent="0.25">
      <c r="A424" s="52"/>
      <c r="B424" s="52"/>
      <c r="C424" s="52"/>
      <c r="D424" s="52"/>
      <c r="E424" s="52"/>
      <c r="F424" s="52"/>
      <c r="G424" s="62"/>
      <c r="H424" s="52"/>
    </row>
    <row r="425" spans="1:8" x14ac:dyDescent="0.25">
      <c r="A425" s="52"/>
      <c r="B425" s="52"/>
      <c r="C425" s="52"/>
      <c r="D425" s="52"/>
      <c r="E425" s="52"/>
      <c r="F425" s="52"/>
      <c r="G425" s="62"/>
      <c r="H425" s="52"/>
    </row>
    <row r="426" spans="1:8" x14ac:dyDescent="0.25">
      <c r="A426" s="52"/>
      <c r="B426" s="52"/>
      <c r="C426" s="52"/>
      <c r="D426" s="52"/>
      <c r="E426" s="52"/>
      <c r="F426" s="52"/>
      <c r="G426" s="62"/>
      <c r="H426" s="52"/>
    </row>
    <row r="427" spans="1:8" x14ac:dyDescent="0.25">
      <c r="A427" s="52"/>
      <c r="B427" s="52"/>
      <c r="C427" s="52"/>
      <c r="D427" s="52"/>
      <c r="E427" s="52"/>
      <c r="F427" s="52"/>
      <c r="G427" s="62"/>
      <c r="H427" s="52"/>
    </row>
    <row r="428" spans="1:8" x14ac:dyDescent="0.25">
      <c r="A428" s="52"/>
      <c r="B428" s="52"/>
      <c r="C428" s="52"/>
      <c r="D428" s="52"/>
      <c r="E428" s="52"/>
      <c r="F428" s="52"/>
      <c r="G428" s="62"/>
      <c r="H428" s="52"/>
    </row>
    <row r="429" spans="1:8" x14ac:dyDescent="0.25">
      <c r="A429" s="52"/>
      <c r="B429" s="52"/>
      <c r="C429" s="52"/>
      <c r="D429" s="52"/>
      <c r="E429" s="52"/>
      <c r="F429" s="52"/>
      <c r="G429" s="62"/>
      <c r="H429" s="52"/>
    </row>
    <row r="430" spans="1:8" x14ac:dyDescent="0.25">
      <c r="A430" s="52"/>
      <c r="B430" s="52"/>
      <c r="C430" s="52"/>
      <c r="D430" s="52"/>
      <c r="E430" s="52"/>
      <c r="F430" s="52"/>
      <c r="G430" s="62"/>
      <c r="H430" s="52"/>
    </row>
    <row r="431" spans="1:8" x14ac:dyDescent="0.25">
      <c r="A431" s="52"/>
      <c r="B431" s="52"/>
      <c r="C431" s="52"/>
      <c r="D431" s="52"/>
      <c r="E431" s="52"/>
      <c r="F431" s="52"/>
      <c r="G431" s="62"/>
      <c r="H431" s="52"/>
    </row>
    <row r="432" spans="1:8" x14ac:dyDescent="0.25">
      <c r="A432" s="52"/>
      <c r="B432" s="52"/>
      <c r="C432" s="52"/>
      <c r="D432" s="52"/>
      <c r="E432" s="52"/>
      <c r="F432" s="52"/>
      <c r="G432" s="62"/>
      <c r="H432" s="52"/>
    </row>
    <row r="433" spans="1:8" x14ac:dyDescent="0.25">
      <c r="A433" s="52"/>
      <c r="B433" s="52"/>
      <c r="C433" s="52"/>
      <c r="D433" s="52"/>
      <c r="E433" s="52"/>
      <c r="F433" s="52"/>
      <c r="G433" s="62"/>
      <c r="H433" s="52"/>
    </row>
    <row r="434" spans="1:8" x14ac:dyDescent="0.25">
      <c r="A434" s="52"/>
      <c r="B434" s="52"/>
      <c r="C434" s="52"/>
      <c r="D434" s="52"/>
      <c r="E434" s="52"/>
      <c r="F434" s="52"/>
      <c r="G434" s="62"/>
      <c r="H434" s="52"/>
    </row>
    <row r="435" spans="1:8" x14ac:dyDescent="0.25">
      <c r="A435" s="52"/>
      <c r="B435" s="52"/>
      <c r="C435" s="52"/>
      <c r="D435" s="52"/>
      <c r="E435" s="52"/>
      <c r="F435" s="52"/>
      <c r="G435" s="62"/>
      <c r="H435" s="52"/>
    </row>
    <row r="436" spans="1:8" x14ac:dyDescent="0.25">
      <c r="A436" s="52"/>
      <c r="B436" s="56"/>
      <c r="C436" s="52"/>
      <c r="D436" s="52"/>
      <c r="E436" s="52"/>
      <c r="F436" s="52"/>
      <c r="G436" s="62"/>
      <c r="H436" s="52"/>
    </row>
    <row r="437" spans="1:8" x14ac:dyDescent="0.25">
      <c r="A437" s="52"/>
      <c r="B437" s="52"/>
      <c r="C437" s="52"/>
      <c r="D437" s="52"/>
      <c r="E437" s="52"/>
      <c r="F437" s="52"/>
      <c r="G437" s="62"/>
      <c r="H437" s="52"/>
    </row>
    <row r="438" spans="1:8" x14ac:dyDescent="0.25">
      <c r="A438" s="52"/>
      <c r="B438" s="52"/>
      <c r="C438" s="52"/>
      <c r="D438" s="52"/>
      <c r="E438" s="52"/>
      <c r="F438" s="52"/>
      <c r="G438" s="62"/>
      <c r="H438" s="52"/>
    </row>
    <row r="439" spans="1:8" x14ac:dyDescent="0.25">
      <c r="A439" s="52"/>
      <c r="B439" s="52"/>
      <c r="C439" s="52"/>
      <c r="D439" s="52"/>
      <c r="E439" s="52"/>
      <c r="F439" s="52"/>
      <c r="G439" s="62"/>
      <c r="H439" s="52"/>
    </row>
    <row r="440" spans="1:8" x14ac:dyDescent="0.25">
      <c r="A440" s="52"/>
      <c r="B440" s="52"/>
      <c r="C440" s="52"/>
      <c r="D440" s="52"/>
      <c r="E440" s="52"/>
      <c r="F440" s="52"/>
      <c r="G440" s="62"/>
      <c r="H440" s="52"/>
    </row>
    <row r="441" spans="1:8" x14ac:dyDescent="0.25">
      <c r="A441" s="52"/>
      <c r="B441" s="52"/>
      <c r="C441" s="52"/>
      <c r="D441" s="52"/>
      <c r="E441" s="52"/>
      <c r="F441" s="52"/>
      <c r="G441" s="62"/>
      <c r="H441" s="52"/>
    </row>
    <row r="442" spans="1:8" x14ac:dyDescent="0.25">
      <c r="A442" s="52"/>
      <c r="B442" s="52"/>
      <c r="C442" s="52"/>
      <c r="D442" s="52"/>
      <c r="E442" s="52"/>
      <c r="F442" s="52"/>
      <c r="G442" s="62"/>
      <c r="H442" s="52"/>
    </row>
    <row r="443" spans="1:8" x14ac:dyDescent="0.25">
      <c r="A443" s="52"/>
      <c r="B443" s="52"/>
      <c r="C443" s="52"/>
      <c r="D443" s="52"/>
      <c r="E443" s="52"/>
      <c r="F443" s="52"/>
      <c r="G443" s="62"/>
      <c r="H443" s="52"/>
    </row>
    <row r="444" spans="1:8" x14ac:dyDescent="0.25">
      <c r="A444" s="52"/>
      <c r="B444" s="52"/>
      <c r="C444" s="52"/>
      <c r="D444" s="52"/>
      <c r="E444" s="52"/>
      <c r="F444" s="52"/>
      <c r="G444" s="62"/>
      <c r="H444" s="52"/>
    </row>
    <row r="445" spans="1:8" x14ac:dyDescent="0.25">
      <c r="A445" s="52"/>
      <c r="B445" s="52"/>
      <c r="C445" s="52"/>
      <c r="D445" s="52"/>
      <c r="E445" s="52"/>
      <c r="F445" s="52"/>
      <c r="G445" s="62"/>
      <c r="H445" s="52"/>
    </row>
    <row r="446" spans="1:8" x14ac:dyDescent="0.25">
      <c r="A446" s="52"/>
      <c r="B446" s="52"/>
      <c r="C446" s="52"/>
      <c r="D446" s="52"/>
      <c r="E446" s="52"/>
      <c r="F446" s="52"/>
      <c r="G446" s="62"/>
      <c r="H446" s="52"/>
    </row>
    <row r="447" spans="1:8" x14ac:dyDescent="0.25">
      <c r="A447" s="52"/>
      <c r="B447" s="52"/>
      <c r="C447" s="52"/>
      <c r="D447" s="52"/>
      <c r="E447" s="52"/>
      <c r="F447" s="52"/>
      <c r="G447" s="62"/>
      <c r="H447" s="52"/>
    </row>
    <row r="448" spans="1:8" x14ac:dyDescent="0.25">
      <c r="A448" s="52"/>
      <c r="B448" s="52"/>
      <c r="C448" s="52"/>
      <c r="D448" s="52"/>
      <c r="E448" s="52"/>
      <c r="F448" s="52"/>
      <c r="G448" s="62"/>
      <c r="H448" s="52"/>
    </row>
    <row r="449" spans="1:13" x14ac:dyDescent="0.25">
      <c r="A449" s="52"/>
      <c r="B449" s="52"/>
      <c r="C449" s="52"/>
      <c r="D449" s="52"/>
      <c r="E449" s="52"/>
      <c r="F449" s="52"/>
      <c r="G449" s="62"/>
      <c r="H449" s="52"/>
    </row>
    <row r="450" spans="1:13" x14ac:dyDescent="0.25">
      <c r="A450" s="52"/>
      <c r="B450" s="52"/>
      <c r="C450" s="52"/>
      <c r="D450" s="52"/>
      <c r="E450" s="52"/>
      <c r="F450" s="52"/>
      <c r="G450" s="62"/>
      <c r="H450" s="52"/>
    </row>
    <row r="451" spans="1:13" x14ac:dyDescent="0.25">
      <c r="A451" s="52"/>
      <c r="B451" s="52"/>
      <c r="C451" s="52"/>
      <c r="D451" s="52"/>
      <c r="E451" s="52"/>
      <c r="F451" s="52"/>
      <c r="G451" s="62"/>
      <c r="H451" s="52"/>
    </row>
    <row r="452" spans="1:13" x14ac:dyDescent="0.25">
      <c r="A452" s="52"/>
      <c r="B452" s="52"/>
      <c r="C452" s="52"/>
      <c r="D452" s="52"/>
      <c r="E452" s="52"/>
      <c r="F452" s="52"/>
      <c r="G452" s="62"/>
      <c r="H452" s="52"/>
    </row>
    <row r="453" spans="1:13" x14ac:dyDescent="0.25">
      <c r="A453" s="52"/>
      <c r="B453" s="52"/>
      <c r="C453" s="52"/>
      <c r="D453" s="52"/>
      <c r="E453" s="52"/>
      <c r="F453" s="52"/>
      <c r="G453" s="62"/>
      <c r="H453" s="52"/>
    </row>
    <row r="454" spans="1:13" x14ac:dyDescent="0.25">
      <c r="A454" s="52"/>
      <c r="B454" s="52"/>
      <c r="C454" s="52"/>
      <c r="D454" s="52"/>
      <c r="E454" s="52"/>
      <c r="F454" s="52"/>
      <c r="G454" s="62"/>
      <c r="H454" s="52"/>
    </row>
    <row r="455" spans="1:13" x14ac:dyDescent="0.25">
      <c r="A455" s="52"/>
      <c r="B455" s="52"/>
      <c r="C455" s="52"/>
      <c r="D455" s="52"/>
      <c r="E455" s="52"/>
      <c r="F455" s="52"/>
      <c r="G455" s="62"/>
      <c r="H455" s="52"/>
    </row>
    <row r="456" spans="1:13" x14ac:dyDescent="0.25">
      <c r="A456" s="52"/>
      <c r="B456" s="52"/>
      <c r="C456" s="52"/>
      <c r="D456" s="52"/>
      <c r="E456" s="52"/>
      <c r="F456" s="52"/>
      <c r="G456" s="62"/>
      <c r="H456" s="52"/>
    </row>
    <row r="457" spans="1:13" x14ac:dyDescent="0.25">
      <c r="A457" s="52"/>
      <c r="B457" s="52"/>
      <c r="C457" s="52"/>
      <c r="D457" s="52"/>
      <c r="E457" s="52"/>
      <c r="F457" s="52"/>
      <c r="G457" s="62"/>
      <c r="H457" s="52"/>
    </row>
    <row r="458" spans="1:13" x14ac:dyDescent="0.25">
      <c r="A458" s="52"/>
      <c r="B458" s="52"/>
      <c r="C458" s="52"/>
      <c r="D458" s="52"/>
      <c r="E458" s="52"/>
      <c r="F458" s="52"/>
      <c r="G458" s="62"/>
      <c r="H458" s="52"/>
      <c r="M458">
        <f>2.4*1.55</f>
        <v>3.7199999999999998</v>
      </c>
    </row>
    <row r="459" spans="1:13" x14ac:dyDescent="0.25">
      <c r="A459" s="52"/>
      <c r="B459" s="52"/>
      <c r="C459" s="52"/>
      <c r="D459" s="52"/>
      <c r="E459" s="52"/>
      <c r="F459" s="52"/>
      <c r="G459" s="62"/>
      <c r="H459" s="52"/>
    </row>
    <row r="460" spans="1:13" x14ac:dyDescent="0.25">
      <c r="A460" s="52"/>
      <c r="B460" s="52"/>
      <c r="C460" s="52"/>
      <c r="D460" s="52"/>
      <c r="E460" s="52"/>
      <c r="F460" s="52"/>
      <c r="G460" s="62"/>
      <c r="H460" s="52"/>
    </row>
    <row r="461" spans="1:13" x14ac:dyDescent="0.25">
      <c r="A461" s="52"/>
      <c r="B461" s="52"/>
      <c r="C461" s="52"/>
      <c r="D461" s="52"/>
      <c r="E461" s="52"/>
      <c r="F461" s="52"/>
      <c r="G461" s="62"/>
      <c r="H461" s="52"/>
    </row>
    <row r="462" spans="1:13" x14ac:dyDescent="0.25">
      <c r="A462" s="52"/>
      <c r="B462" s="56"/>
      <c r="C462" s="52"/>
      <c r="D462" s="52"/>
      <c r="E462" s="52"/>
      <c r="F462" s="52"/>
      <c r="G462" s="62"/>
      <c r="H462" s="52"/>
    </row>
    <row r="463" spans="1:13" x14ac:dyDescent="0.25">
      <c r="A463" s="52"/>
      <c r="B463" s="52"/>
      <c r="C463" s="52"/>
      <c r="D463" s="52"/>
      <c r="E463" s="52"/>
      <c r="F463" s="52"/>
      <c r="G463" s="62"/>
      <c r="H463" s="52"/>
    </row>
    <row r="464" spans="1:13" x14ac:dyDescent="0.25">
      <c r="A464" s="52"/>
      <c r="B464" s="52"/>
      <c r="C464" s="52"/>
      <c r="D464" s="52"/>
      <c r="E464" s="52"/>
      <c r="F464" s="52"/>
      <c r="G464" s="62"/>
      <c r="H464" s="52"/>
    </row>
    <row r="465" spans="1:8" x14ac:dyDescent="0.25">
      <c r="A465" s="52"/>
      <c r="B465" s="52"/>
      <c r="C465" s="52"/>
      <c r="D465" s="52"/>
      <c r="E465" s="52"/>
      <c r="F465" s="52"/>
      <c r="G465" s="62"/>
      <c r="H465" s="52"/>
    </row>
    <row r="466" spans="1:8" x14ac:dyDescent="0.25">
      <c r="A466" s="52"/>
      <c r="B466" s="52"/>
      <c r="C466" s="52"/>
      <c r="D466" s="52"/>
      <c r="E466" s="52"/>
      <c r="F466" s="52"/>
      <c r="G466" s="62"/>
      <c r="H466" s="52"/>
    </row>
    <row r="467" spans="1:8" x14ac:dyDescent="0.25">
      <c r="A467" s="52"/>
      <c r="B467" s="52"/>
      <c r="C467" s="52"/>
      <c r="D467" s="52"/>
      <c r="E467" s="52"/>
      <c r="F467" s="52"/>
      <c r="G467" s="62"/>
      <c r="H467" s="52"/>
    </row>
    <row r="468" spans="1:8" x14ac:dyDescent="0.25">
      <c r="A468" s="52"/>
      <c r="B468" s="52"/>
      <c r="C468" s="52"/>
      <c r="D468" s="52"/>
      <c r="E468" s="52"/>
      <c r="F468" s="52"/>
      <c r="G468" s="62"/>
      <c r="H468" s="52"/>
    </row>
    <row r="469" spans="1:8" x14ac:dyDescent="0.25">
      <c r="A469" s="52"/>
      <c r="B469" s="52"/>
      <c r="C469" s="52"/>
      <c r="D469" s="52"/>
      <c r="E469" s="52"/>
      <c r="F469" s="52"/>
      <c r="G469" s="62"/>
      <c r="H469" s="52"/>
    </row>
    <row r="470" spans="1:8" x14ac:dyDescent="0.25">
      <c r="A470" s="52"/>
      <c r="B470" s="52"/>
      <c r="C470" s="52"/>
      <c r="D470" s="52"/>
      <c r="E470" s="52"/>
      <c r="F470" s="52"/>
      <c r="G470" s="62"/>
      <c r="H470" s="52"/>
    </row>
    <row r="471" spans="1:8" x14ac:dyDescent="0.25">
      <c r="A471" s="52"/>
      <c r="B471" s="52"/>
      <c r="C471" s="52"/>
      <c r="D471" s="52"/>
      <c r="E471" s="52"/>
      <c r="F471" s="52"/>
      <c r="G471" s="62"/>
      <c r="H471" s="52"/>
    </row>
    <row r="472" spans="1:8" x14ac:dyDescent="0.25">
      <c r="A472" s="52"/>
      <c r="B472" s="52"/>
      <c r="C472" s="52"/>
      <c r="D472" s="52"/>
      <c r="E472" s="52"/>
      <c r="F472" s="52"/>
      <c r="G472" s="62"/>
      <c r="H472" s="52"/>
    </row>
    <row r="473" spans="1:8" x14ac:dyDescent="0.25">
      <c r="A473" s="52"/>
      <c r="B473" s="52"/>
      <c r="C473" s="52"/>
      <c r="D473" s="52"/>
      <c r="E473" s="52"/>
      <c r="F473" s="52"/>
      <c r="G473" s="62"/>
      <c r="H473" s="52"/>
    </row>
    <row r="474" spans="1:8" x14ac:dyDescent="0.25">
      <c r="A474" s="52"/>
      <c r="B474" s="52"/>
      <c r="C474" s="52"/>
      <c r="D474" s="52"/>
      <c r="E474" s="52"/>
      <c r="F474" s="52"/>
      <c r="G474" s="62"/>
      <c r="H474" s="52"/>
    </row>
    <row r="475" spans="1:8" x14ac:dyDescent="0.25">
      <c r="A475" s="52"/>
      <c r="B475" s="52"/>
      <c r="C475" s="52"/>
      <c r="D475" s="52"/>
      <c r="E475" s="52"/>
      <c r="F475" s="52"/>
      <c r="G475" s="62"/>
      <c r="H475" s="52"/>
    </row>
    <row r="476" spans="1:8" x14ac:dyDescent="0.25">
      <c r="A476" s="52"/>
      <c r="B476" s="52"/>
      <c r="C476" s="52"/>
      <c r="D476" s="52"/>
      <c r="E476" s="52"/>
      <c r="F476" s="52"/>
      <c r="G476" s="62"/>
      <c r="H476" s="52"/>
    </row>
    <row r="477" spans="1:8" x14ac:dyDescent="0.25">
      <c r="A477" s="52"/>
      <c r="B477" s="52"/>
      <c r="C477" s="52"/>
      <c r="D477" s="52"/>
      <c r="E477" s="52"/>
      <c r="F477" s="52"/>
      <c r="G477" s="62"/>
      <c r="H477" s="52"/>
    </row>
    <row r="478" spans="1:8" x14ac:dyDescent="0.25">
      <c r="A478" s="52"/>
      <c r="B478" s="52"/>
      <c r="C478" s="52"/>
      <c r="D478" s="52"/>
      <c r="E478" s="52"/>
      <c r="F478" s="52"/>
      <c r="G478" s="62"/>
      <c r="H478" s="52"/>
    </row>
    <row r="479" spans="1:8" x14ac:dyDescent="0.25">
      <c r="A479" s="52"/>
      <c r="B479" s="52"/>
      <c r="C479" s="52"/>
      <c r="D479" s="52"/>
      <c r="E479" s="52"/>
      <c r="F479" s="52"/>
      <c r="G479" s="62"/>
      <c r="H479" s="52"/>
    </row>
    <row r="480" spans="1:8" x14ac:dyDescent="0.25">
      <c r="A480" s="52"/>
      <c r="B480" s="52"/>
      <c r="C480" s="52"/>
      <c r="D480" s="52"/>
      <c r="E480" s="52"/>
      <c r="F480" s="52"/>
      <c r="G480" s="62"/>
      <c r="H480" s="52"/>
    </row>
    <row r="481" spans="1:8" x14ac:dyDescent="0.25">
      <c r="A481" s="52"/>
      <c r="B481" s="52"/>
      <c r="C481" s="52"/>
      <c r="D481" s="52"/>
      <c r="E481" s="52"/>
      <c r="F481" s="52"/>
      <c r="G481" s="62"/>
      <c r="H481" s="52"/>
    </row>
    <row r="482" spans="1:8" x14ac:dyDescent="0.25">
      <c r="A482" s="52"/>
      <c r="B482" s="52"/>
      <c r="C482" s="52"/>
      <c r="D482" s="52"/>
      <c r="E482" s="52"/>
      <c r="F482" s="52"/>
      <c r="G482" s="62"/>
      <c r="H482" s="52"/>
    </row>
    <row r="483" spans="1:8" x14ac:dyDescent="0.25">
      <c r="A483" s="52"/>
      <c r="B483" s="52"/>
      <c r="C483" s="52"/>
      <c r="D483" s="52"/>
      <c r="E483" s="52"/>
      <c r="F483" s="52"/>
      <c r="G483" s="62"/>
      <c r="H483" s="52"/>
    </row>
    <row r="484" spans="1:8" x14ac:dyDescent="0.25">
      <c r="A484" s="52"/>
      <c r="B484" s="52"/>
      <c r="C484" s="52"/>
      <c r="D484" s="52"/>
      <c r="E484" s="52"/>
      <c r="F484" s="52"/>
      <c r="G484" s="62"/>
      <c r="H484" s="52"/>
    </row>
    <row r="485" spans="1:8" x14ac:dyDescent="0.25">
      <c r="A485" s="52"/>
      <c r="B485" s="52"/>
      <c r="C485" s="52"/>
      <c r="D485" s="52"/>
      <c r="E485" s="52"/>
      <c r="F485" s="52"/>
      <c r="G485" s="62"/>
      <c r="H485" s="52"/>
    </row>
    <row r="486" spans="1:8" x14ac:dyDescent="0.25">
      <c r="A486" s="52"/>
      <c r="B486" s="52"/>
      <c r="C486" s="52"/>
      <c r="D486" s="52"/>
      <c r="E486" s="52"/>
      <c r="F486" s="52"/>
      <c r="G486" s="62"/>
      <c r="H486" s="52"/>
    </row>
    <row r="487" spans="1:8" x14ac:dyDescent="0.25">
      <c r="A487" s="52"/>
      <c r="B487" s="52"/>
      <c r="C487" s="52"/>
      <c r="D487" s="52"/>
      <c r="E487" s="52"/>
      <c r="F487" s="52"/>
      <c r="G487" s="62"/>
      <c r="H487" s="52"/>
    </row>
    <row r="488" spans="1:8" x14ac:dyDescent="0.25">
      <c r="A488" s="52"/>
      <c r="B488" s="52"/>
      <c r="C488" s="52"/>
      <c r="D488" s="52"/>
      <c r="E488" s="52"/>
      <c r="F488" s="52"/>
      <c r="G488" s="62"/>
      <c r="H488" s="52"/>
    </row>
    <row r="489" spans="1:8" x14ac:dyDescent="0.25">
      <c r="A489" s="52"/>
      <c r="B489" s="52"/>
      <c r="C489" s="52"/>
      <c r="D489" s="52"/>
      <c r="E489" s="52"/>
      <c r="F489" s="52"/>
      <c r="G489" s="62"/>
      <c r="H489" s="52"/>
    </row>
    <row r="490" spans="1:8" x14ac:dyDescent="0.25">
      <c r="A490" s="52"/>
      <c r="B490" s="52"/>
      <c r="C490" s="52"/>
      <c r="D490" s="52"/>
      <c r="E490" s="52"/>
      <c r="F490" s="52"/>
      <c r="G490" s="62"/>
      <c r="H490" s="52"/>
    </row>
    <row r="491" spans="1:8" x14ac:dyDescent="0.25">
      <c r="A491" s="52"/>
      <c r="B491" s="52"/>
      <c r="C491" s="52"/>
      <c r="D491" s="52"/>
      <c r="E491" s="52"/>
      <c r="F491" s="52"/>
      <c r="G491" s="62"/>
      <c r="H491" s="52"/>
    </row>
    <row r="492" spans="1:8" x14ac:dyDescent="0.25">
      <c r="A492" s="52"/>
      <c r="B492" s="52"/>
      <c r="C492" s="52"/>
      <c r="D492" s="52"/>
      <c r="E492" s="52"/>
      <c r="F492" s="52"/>
      <c r="G492" s="62"/>
      <c r="H492" s="52"/>
    </row>
    <row r="493" spans="1:8" x14ac:dyDescent="0.25">
      <c r="A493" s="52"/>
      <c r="B493" s="52"/>
      <c r="C493" s="52"/>
      <c r="D493" s="52"/>
      <c r="E493" s="52"/>
      <c r="F493" s="52"/>
      <c r="G493" s="62"/>
      <c r="H493" s="52"/>
    </row>
    <row r="494" spans="1:8" x14ac:dyDescent="0.25">
      <c r="A494" s="52"/>
      <c r="B494" s="52"/>
      <c r="C494" s="52"/>
      <c r="D494" s="52"/>
      <c r="E494" s="52"/>
      <c r="F494" s="52"/>
      <c r="G494" s="62"/>
      <c r="H494" s="52"/>
    </row>
    <row r="495" spans="1:8" x14ac:dyDescent="0.25">
      <c r="A495" s="52"/>
      <c r="B495" s="52"/>
      <c r="C495" s="52"/>
      <c r="D495" s="52"/>
      <c r="E495" s="52"/>
      <c r="F495" s="52"/>
      <c r="G495" s="62"/>
      <c r="H495" s="52"/>
    </row>
    <row r="496" spans="1:8" x14ac:dyDescent="0.25">
      <c r="A496" s="52"/>
      <c r="B496" s="52"/>
      <c r="C496" s="52"/>
      <c r="D496" s="52"/>
      <c r="E496" s="52"/>
      <c r="F496" s="52"/>
      <c r="G496" s="62"/>
      <c r="H496" s="52"/>
    </row>
    <row r="497" spans="1:8" x14ac:dyDescent="0.25">
      <c r="A497" s="52"/>
      <c r="B497" s="52"/>
      <c r="C497" s="52"/>
      <c r="D497" s="52"/>
      <c r="E497" s="52"/>
      <c r="F497" s="52"/>
      <c r="G497" s="62"/>
      <c r="H497" s="52"/>
    </row>
    <row r="498" spans="1:8" x14ac:dyDescent="0.25">
      <c r="A498" s="52"/>
      <c r="B498" s="52"/>
      <c r="C498" s="52"/>
      <c r="D498" s="52"/>
      <c r="E498" s="52"/>
      <c r="F498" s="52"/>
      <c r="G498" s="62"/>
      <c r="H498" s="52"/>
    </row>
    <row r="499" spans="1:8" x14ac:dyDescent="0.25">
      <c r="A499" s="52"/>
      <c r="B499" s="52"/>
      <c r="C499" s="52"/>
      <c r="D499" s="52"/>
      <c r="E499" s="52"/>
      <c r="F499" s="52"/>
      <c r="G499" s="62"/>
      <c r="H499" s="52"/>
    </row>
    <row r="500" spans="1:8" x14ac:dyDescent="0.25">
      <c r="A500" s="52"/>
      <c r="B500" s="52"/>
      <c r="C500" s="52"/>
      <c r="D500" s="52"/>
      <c r="E500" s="52"/>
      <c r="F500" s="52"/>
      <c r="G500" s="62"/>
      <c r="H500" s="52"/>
    </row>
    <row r="501" spans="1:8" x14ac:dyDescent="0.25">
      <c r="A501" s="52"/>
      <c r="B501" s="52"/>
      <c r="C501" s="52"/>
      <c r="D501" s="52"/>
      <c r="E501" s="52"/>
      <c r="F501" s="52"/>
      <c r="G501" s="62"/>
      <c r="H501" s="52"/>
    </row>
    <row r="502" spans="1:8" x14ac:dyDescent="0.25">
      <c r="A502" s="52"/>
      <c r="B502" s="52"/>
      <c r="C502" s="52"/>
      <c r="D502" s="52"/>
      <c r="E502" s="52"/>
      <c r="F502" s="52"/>
      <c r="G502" s="62"/>
      <c r="H502" s="52"/>
    </row>
    <row r="503" spans="1:8" x14ac:dyDescent="0.25">
      <c r="A503" s="52"/>
      <c r="B503" s="52"/>
      <c r="C503" s="52"/>
      <c r="D503" s="52"/>
      <c r="E503" s="52"/>
      <c r="F503" s="52"/>
      <c r="G503" s="62"/>
      <c r="H503" s="52"/>
    </row>
    <row r="504" spans="1:8" x14ac:dyDescent="0.25">
      <c r="A504" s="52"/>
      <c r="B504" s="52"/>
      <c r="C504" s="52"/>
      <c r="D504" s="52"/>
      <c r="E504" s="52"/>
      <c r="F504" s="52"/>
      <c r="G504" s="62"/>
      <c r="H504" s="52"/>
    </row>
    <row r="505" spans="1:8" x14ac:dyDescent="0.25">
      <c r="A505" s="52"/>
      <c r="B505" s="52"/>
      <c r="C505" s="52"/>
      <c r="D505" s="52"/>
      <c r="E505" s="52"/>
      <c r="F505" s="52"/>
      <c r="G505" s="62"/>
      <c r="H505" s="52"/>
    </row>
    <row r="506" spans="1:8" x14ac:dyDescent="0.25">
      <c r="A506" s="52"/>
      <c r="B506" s="52"/>
      <c r="C506" s="52"/>
      <c r="D506" s="52"/>
      <c r="E506" s="52"/>
      <c r="F506" s="52"/>
      <c r="G506" s="62"/>
      <c r="H506" s="52"/>
    </row>
    <row r="507" spans="1:8" x14ac:dyDescent="0.25">
      <c r="A507" s="52"/>
      <c r="B507" s="52"/>
      <c r="C507" s="52"/>
      <c r="D507" s="52"/>
      <c r="E507" s="52"/>
      <c r="F507" s="52"/>
      <c r="G507" s="62"/>
      <c r="H507" s="52"/>
    </row>
    <row r="508" spans="1:8" x14ac:dyDescent="0.25">
      <c r="A508" s="52"/>
      <c r="B508" s="52"/>
      <c r="C508" s="52"/>
      <c r="D508" s="52"/>
      <c r="E508" s="52"/>
      <c r="F508" s="52"/>
      <c r="G508" s="62"/>
      <c r="H508" s="52"/>
    </row>
    <row r="509" spans="1:8" x14ac:dyDescent="0.25">
      <c r="A509" s="52"/>
      <c r="B509" s="56"/>
      <c r="C509" s="52"/>
      <c r="D509" s="52"/>
      <c r="E509" s="52"/>
      <c r="F509" s="52"/>
      <c r="G509" s="62"/>
      <c r="H509" s="52"/>
    </row>
    <row r="510" spans="1:8" x14ac:dyDescent="0.25">
      <c r="A510" s="52"/>
      <c r="B510" s="52"/>
      <c r="C510" s="52"/>
      <c r="D510" s="52"/>
      <c r="E510" s="52"/>
      <c r="F510" s="52"/>
      <c r="G510" s="62"/>
      <c r="H510" s="52"/>
    </row>
    <row r="511" spans="1:8" x14ac:dyDescent="0.25">
      <c r="A511" s="52"/>
      <c r="B511" s="52"/>
      <c r="C511" s="52"/>
      <c r="D511" s="52"/>
      <c r="E511" s="52"/>
      <c r="F511" s="52"/>
      <c r="G511" s="62"/>
      <c r="H511" s="52"/>
    </row>
    <row r="512" spans="1:8" x14ac:dyDescent="0.25">
      <c r="A512" s="52"/>
      <c r="B512" s="52"/>
      <c r="C512" s="52"/>
      <c r="D512" s="52"/>
      <c r="E512" s="52"/>
      <c r="F512" s="52"/>
      <c r="G512" s="62"/>
      <c r="H512" s="52"/>
    </row>
    <row r="513" spans="1:8" x14ac:dyDescent="0.25">
      <c r="A513" s="52"/>
      <c r="B513" s="52"/>
      <c r="C513" s="52"/>
      <c r="D513" s="52"/>
      <c r="E513" s="52"/>
      <c r="F513" s="52"/>
      <c r="G513" s="62"/>
      <c r="H513" s="52"/>
    </row>
    <row r="514" spans="1:8" x14ac:dyDescent="0.25">
      <c r="A514" s="52"/>
      <c r="B514" s="52"/>
      <c r="C514" s="52"/>
      <c r="D514" s="52"/>
      <c r="E514" s="52"/>
      <c r="F514" s="52"/>
      <c r="G514" s="62"/>
      <c r="H514" s="52"/>
    </row>
    <row r="515" spans="1:8" x14ac:dyDescent="0.25">
      <c r="A515" s="52"/>
      <c r="B515" s="52"/>
      <c r="C515" s="52"/>
      <c r="D515" s="52"/>
      <c r="E515" s="52"/>
      <c r="F515" s="52"/>
      <c r="G515" s="62"/>
      <c r="H515" s="52"/>
    </row>
    <row r="516" spans="1:8" x14ac:dyDescent="0.25">
      <c r="A516" s="52"/>
      <c r="B516" s="52"/>
      <c r="C516" s="52"/>
      <c r="D516" s="52"/>
      <c r="E516" s="52"/>
      <c r="F516" s="52"/>
      <c r="G516" s="62"/>
      <c r="H516" s="52"/>
    </row>
    <row r="517" spans="1:8" x14ac:dyDescent="0.25">
      <c r="A517" s="52"/>
      <c r="B517" s="52"/>
      <c r="C517" s="52"/>
      <c r="D517" s="52"/>
      <c r="E517" s="52"/>
      <c r="F517" s="52"/>
      <c r="G517" s="62"/>
      <c r="H517" s="52"/>
    </row>
    <row r="518" spans="1:8" x14ac:dyDescent="0.25">
      <c r="A518" s="52"/>
      <c r="B518" s="52"/>
      <c r="C518" s="52"/>
      <c r="D518" s="52"/>
      <c r="E518" s="52"/>
      <c r="F518" s="52"/>
      <c r="G518" s="62"/>
      <c r="H518" s="52"/>
    </row>
    <row r="519" spans="1:8" x14ac:dyDescent="0.25">
      <c r="A519" s="52"/>
      <c r="B519" s="52"/>
      <c r="C519" s="52"/>
      <c r="D519" s="52"/>
      <c r="E519" s="52"/>
      <c r="F519" s="52"/>
      <c r="G519" s="62"/>
      <c r="H519" s="52"/>
    </row>
    <row r="520" spans="1:8" x14ac:dyDescent="0.25">
      <c r="A520" s="52"/>
      <c r="B520" s="52"/>
      <c r="C520" s="52"/>
      <c r="D520" s="52"/>
      <c r="E520" s="52"/>
      <c r="F520" s="52"/>
      <c r="G520" s="62"/>
      <c r="H520" s="52"/>
    </row>
    <row r="521" spans="1:8" x14ac:dyDescent="0.25">
      <c r="A521" s="52"/>
      <c r="B521" s="52"/>
      <c r="C521" s="52"/>
      <c r="D521" s="52"/>
      <c r="E521" s="52"/>
      <c r="F521" s="52"/>
      <c r="G521" s="62"/>
      <c r="H521" s="52"/>
    </row>
    <row r="522" spans="1:8" x14ac:dyDescent="0.25">
      <c r="A522" s="52"/>
      <c r="B522" s="52"/>
      <c r="C522" s="52"/>
      <c r="D522" s="52"/>
      <c r="E522" s="52"/>
      <c r="F522" s="52"/>
      <c r="G522" s="62"/>
      <c r="H522" s="52"/>
    </row>
    <row r="523" spans="1:8" x14ac:dyDescent="0.25">
      <c r="A523" s="52"/>
      <c r="B523" s="52"/>
      <c r="C523" s="52"/>
      <c r="D523" s="52"/>
      <c r="E523" s="52"/>
      <c r="F523" s="52"/>
      <c r="G523" s="62"/>
      <c r="H523" s="52"/>
    </row>
    <row r="524" spans="1:8" x14ac:dyDescent="0.25">
      <c r="A524" s="52"/>
      <c r="B524" s="52"/>
      <c r="C524" s="52"/>
      <c r="D524" s="52"/>
      <c r="E524" s="52"/>
      <c r="F524" s="52"/>
      <c r="G524" s="62"/>
      <c r="H524" s="52"/>
    </row>
    <row r="525" spans="1:8" x14ac:dyDescent="0.25">
      <c r="A525" s="52"/>
      <c r="B525" s="52"/>
      <c r="C525" s="52"/>
      <c r="D525" s="52"/>
      <c r="E525" s="52"/>
      <c r="F525" s="52"/>
      <c r="G525" s="62"/>
      <c r="H525" s="52"/>
    </row>
    <row r="526" spans="1:8" x14ac:dyDescent="0.25">
      <c r="A526" s="52"/>
      <c r="B526" s="52"/>
      <c r="C526" s="52"/>
      <c r="D526" s="52"/>
      <c r="E526" s="52"/>
      <c r="F526" s="52"/>
      <c r="G526" s="62"/>
      <c r="H526" s="52"/>
    </row>
    <row r="527" spans="1:8" x14ac:dyDescent="0.25">
      <c r="A527" s="52"/>
      <c r="B527" s="52"/>
      <c r="C527" s="52"/>
      <c r="D527" s="52"/>
      <c r="E527" s="52"/>
      <c r="F527" s="52"/>
      <c r="G527" s="62"/>
      <c r="H527" s="52"/>
    </row>
    <row r="528" spans="1:8" x14ac:dyDescent="0.25">
      <c r="A528" s="52"/>
      <c r="B528" s="52"/>
      <c r="C528" s="52"/>
      <c r="D528" s="52"/>
      <c r="E528" s="52"/>
      <c r="F528" s="52"/>
      <c r="G528" s="62"/>
      <c r="H528" s="52"/>
    </row>
    <row r="529" spans="1:8" x14ac:dyDescent="0.25">
      <c r="A529" s="52"/>
      <c r="B529" s="52"/>
      <c r="C529" s="52"/>
      <c r="D529" s="52"/>
      <c r="E529" s="52"/>
      <c r="F529" s="52"/>
      <c r="G529" s="62"/>
      <c r="H529" s="52"/>
    </row>
    <row r="530" spans="1:8" x14ac:dyDescent="0.25">
      <c r="A530" s="52"/>
      <c r="B530" s="52"/>
      <c r="C530" s="52"/>
      <c r="D530" s="52"/>
      <c r="E530" s="52"/>
      <c r="F530" s="52"/>
      <c r="G530" s="62"/>
      <c r="H530" s="52"/>
    </row>
    <row r="531" spans="1:8" x14ac:dyDescent="0.25">
      <c r="A531" s="52"/>
      <c r="B531" s="52"/>
      <c r="C531" s="52"/>
      <c r="D531" s="52"/>
      <c r="E531" s="52"/>
      <c r="F531" s="52"/>
      <c r="G531" s="62"/>
      <c r="H531" s="52"/>
    </row>
    <row r="532" spans="1:8" x14ac:dyDescent="0.25">
      <c r="A532" s="52"/>
      <c r="B532" s="52"/>
      <c r="C532" s="52"/>
      <c r="D532" s="52"/>
      <c r="E532" s="52"/>
      <c r="F532" s="52"/>
      <c r="G532" s="62"/>
      <c r="H532" s="52"/>
    </row>
    <row r="533" spans="1:8" x14ac:dyDescent="0.25">
      <c r="A533" s="52"/>
      <c r="B533" s="52"/>
      <c r="C533" s="52"/>
      <c r="D533" s="52"/>
      <c r="E533" s="52"/>
      <c r="F533" s="52"/>
      <c r="G533" s="62"/>
      <c r="H533" s="52"/>
    </row>
    <row r="534" spans="1:8" x14ac:dyDescent="0.25">
      <c r="A534" s="52"/>
      <c r="B534" s="52"/>
      <c r="C534" s="52"/>
      <c r="D534" s="52"/>
      <c r="E534" s="52"/>
      <c r="F534" s="52"/>
      <c r="G534" s="62"/>
      <c r="H534" s="52"/>
    </row>
    <row r="535" spans="1:8" x14ac:dyDescent="0.25">
      <c r="A535" s="52"/>
      <c r="B535" s="52"/>
      <c r="C535" s="52"/>
      <c r="D535" s="52"/>
      <c r="E535" s="52"/>
      <c r="F535" s="52"/>
      <c r="G535" s="62"/>
      <c r="H535" s="52"/>
    </row>
    <row r="536" spans="1:8" x14ac:dyDescent="0.25">
      <c r="A536" s="52"/>
      <c r="B536" s="52"/>
      <c r="C536" s="52"/>
      <c r="D536" s="52"/>
      <c r="E536" s="52"/>
      <c r="F536" s="52"/>
      <c r="G536" s="62"/>
      <c r="H536" s="52"/>
    </row>
    <row r="537" spans="1:8" x14ac:dyDescent="0.25">
      <c r="A537" s="52"/>
      <c r="B537" s="52"/>
      <c r="C537" s="52"/>
      <c r="D537" s="52"/>
      <c r="E537" s="52"/>
      <c r="F537" s="52"/>
      <c r="G537" s="62"/>
      <c r="H537" s="52"/>
    </row>
    <row r="538" spans="1:8" x14ac:dyDescent="0.25">
      <c r="A538" s="52"/>
      <c r="B538" s="52"/>
      <c r="C538" s="52"/>
      <c r="D538" s="52"/>
      <c r="E538" s="52"/>
      <c r="F538" s="52"/>
      <c r="G538" s="62"/>
      <c r="H538" s="52"/>
    </row>
    <row r="539" spans="1:8" x14ac:dyDescent="0.25">
      <c r="A539" s="52"/>
      <c r="B539" s="52"/>
      <c r="C539" s="52"/>
      <c r="D539" s="52"/>
      <c r="E539" s="52"/>
      <c r="F539" s="52"/>
      <c r="G539" s="62"/>
      <c r="H539" s="52"/>
    </row>
    <row r="540" spans="1:8" x14ac:dyDescent="0.25">
      <c r="A540" s="52"/>
      <c r="B540" s="52"/>
      <c r="C540" s="52"/>
      <c r="D540" s="52"/>
      <c r="E540" s="52"/>
      <c r="F540" s="52"/>
      <c r="G540" s="62"/>
      <c r="H540" s="52"/>
    </row>
    <row r="541" spans="1:8" x14ac:dyDescent="0.25">
      <c r="A541" s="52"/>
      <c r="B541" s="52"/>
      <c r="C541" s="52"/>
      <c r="D541" s="52"/>
      <c r="E541" s="52"/>
      <c r="F541" s="52"/>
      <c r="G541" s="62"/>
      <c r="H541" s="52"/>
    </row>
    <row r="542" spans="1:8" x14ac:dyDescent="0.25">
      <c r="A542" s="52"/>
      <c r="B542" s="52"/>
      <c r="C542" s="52"/>
      <c r="D542" s="52"/>
      <c r="E542" s="52"/>
      <c r="F542" s="52"/>
      <c r="G542" s="62"/>
      <c r="H542" s="52"/>
    </row>
    <row r="543" spans="1:8" x14ac:dyDescent="0.25">
      <c r="A543" s="52"/>
      <c r="B543" s="56"/>
      <c r="C543" s="52"/>
      <c r="D543" s="52"/>
      <c r="E543" s="52"/>
      <c r="F543" s="52"/>
      <c r="G543" s="62"/>
      <c r="H543" s="52"/>
    </row>
    <row r="544" spans="1:8" x14ac:dyDescent="0.25">
      <c r="A544" s="52"/>
      <c r="B544" s="52"/>
      <c r="C544" s="52"/>
      <c r="D544" s="52"/>
      <c r="E544" s="52"/>
      <c r="F544" s="52"/>
      <c r="G544" s="62"/>
      <c r="H544" s="52"/>
    </row>
    <row r="545" spans="1:8" x14ac:dyDescent="0.25">
      <c r="A545" s="52"/>
      <c r="B545" s="52"/>
      <c r="C545" s="52"/>
      <c r="D545" s="52"/>
      <c r="E545" s="52"/>
      <c r="F545" s="52"/>
      <c r="G545" s="62"/>
      <c r="H545" s="52"/>
    </row>
    <row r="546" spans="1:8" x14ac:dyDescent="0.25">
      <c r="A546" s="52"/>
      <c r="B546" s="52"/>
      <c r="C546" s="52"/>
      <c r="D546" s="52"/>
      <c r="E546" s="52"/>
      <c r="F546" s="52"/>
      <c r="G546" s="62"/>
      <c r="H546" s="52"/>
    </row>
    <row r="547" spans="1:8" x14ac:dyDescent="0.25">
      <c r="A547" s="52"/>
      <c r="B547" s="52"/>
      <c r="C547" s="52"/>
      <c r="D547" s="52"/>
      <c r="E547" s="52"/>
      <c r="F547" s="52"/>
      <c r="G547" s="62"/>
      <c r="H547" s="52"/>
    </row>
    <row r="548" spans="1:8" x14ac:dyDescent="0.25">
      <c r="A548" s="52"/>
      <c r="B548" s="52"/>
      <c r="C548" s="52"/>
      <c r="D548" s="52"/>
      <c r="E548" s="52"/>
      <c r="F548" s="52"/>
      <c r="G548" s="62"/>
      <c r="H548" s="52"/>
    </row>
    <row r="549" spans="1:8" x14ac:dyDescent="0.25">
      <c r="A549" s="52"/>
      <c r="B549" s="52"/>
      <c r="C549" s="52"/>
      <c r="D549" s="52"/>
      <c r="E549" s="52"/>
      <c r="F549" s="52"/>
      <c r="G549" s="62"/>
      <c r="H549" s="52"/>
    </row>
    <row r="550" spans="1:8" x14ac:dyDescent="0.25">
      <c r="A550" s="52"/>
      <c r="B550" s="52"/>
      <c r="C550" s="52"/>
      <c r="D550" s="52"/>
      <c r="E550" s="52"/>
      <c r="F550" s="52"/>
      <c r="G550" s="62"/>
      <c r="H550" s="52"/>
    </row>
    <row r="551" spans="1:8" x14ac:dyDescent="0.25">
      <c r="A551" s="52"/>
      <c r="B551" s="52"/>
      <c r="C551" s="52"/>
      <c r="D551" s="52"/>
      <c r="E551" s="52"/>
      <c r="F551" s="52"/>
      <c r="G551" s="62"/>
      <c r="H551" s="52"/>
    </row>
    <row r="552" spans="1:8" x14ac:dyDescent="0.25">
      <c r="A552" s="52"/>
      <c r="B552" s="52"/>
      <c r="C552" s="52"/>
      <c r="D552" s="52"/>
      <c r="E552" s="52"/>
      <c r="F552" s="52"/>
      <c r="G552" s="62"/>
      <c r="H552" s="52"/>
    </row>
    <row r="553" spans="1:8" x14ac:dyDescent="0.25">
      <c r="A553" s="52"/>
      <c r="B553" s="52"/>
      <c r="C553" s="52"/>
      <c r="D553" s="52"/>
      <c r="E553" s="52"/>
      <c r="F553" s="52"/>
      <c r="G553" s="62"/>
      <c r="H553" s="52"/>
    </row>
    <row r="554" spans="1:8" x14ac:dyDescent="0.25">
      <c r="A554" s="52"/>
      <c r="B554" s="52"/>
      <c r="C554" s="52"/>
      <c r="D554" s="52"/>
      <c r="E554" s="52"/>
      <c r="F554" s="52"/>
      <c r="G554" s="62"/>
      <c r="H554" s="52"/>
    </row>
    <row r="555" spans="1:8" x14ac:dyDescent="0.25">
      <c r="A555" s="52"/>
      <c r="B555" s="52"/>
      <c r="C555" s="52"/>
      <c r="D555" s="52"/>
      <c r="E555" s="52"/>
      <c r="F555" s="52"/>
      <c r="G555" s="62"/>
      <c r="H555" s="52"/>
    </row>
    <row r="556" spans="1:8" x14ac:dyDescent="0.25">
      <c r="A556" s="52"/>
      <c r="B556" s="52"/>
      <c r="C556" s="52"/>
      <c r="D556" s="52"/>
      <c r="E556" s="52"/>
      <c r="F556" s="52"/>
      <c r="G556" s="62"/>
      <c r="H556" s="52"/>
    </row>
    <row r="557" spans="1:8" x14ac:dyDescent="0.25">
      <c r="A557" s="52"/>
      <c r="B557" s="52"/>
      <c r="C557" s="52"/>
      <c r="D557" s="52"/>
      <c r="E557" s="52"/>
      <c r="F557" s="52"/>
      <c r="G557" s="62"/>
      <c r="H557" s="52"/>
    </row>
    <row r="558" spans="1:8" x14ac:dyDescent="0.25">
      <c r="A558" s="52"/>
      <c r="B558" s="52"/>
      <c r="C558" s="52"/>
      <c r="D558" s="52"/>
      <c r="E558" s="52"/>
      <c r="F558" s="52"/>
      <c r="G558" s="62"/>
      <c r="H558" s="52"/>
    </row>
    <row r="559" spans="1:8" x14ac:dyDescent="0.25">
      <c r="A559" s="52"/>
      <c r="B559" s="52"/>
      <c r="C559" s="52"/>
      <c r="D559" s="52"/>
      <c r="E559" s="52"/>
      <c r="F559" s="52"/>
      <c r="G559" s="62"/>
      <c r="H559" s="52"/>
    </row>
    <row r="560" spans="1:8" x14ac:dyDescent="0.25">
      <c r="A560" s="52"/>
      <c r="B560" s="56"/>
      <c r="C560" s="52"/>
      <c r="D560" s="52"/>
      <c r="E560" s="52"/>
      <c r="F560" s="52"/>
      <c r="G560" s="62"/>
      <c r="H560" s="52"/>
    </row>
    <row r="561" spans="1:8" x14ac:dyDescent="0.25">
      <c r="A561" s="52"/>
      <c r="B561" s="52"/>
      <c r="C561" s="52"/>
      <c r="D561" s="52"/>
      <c r="E561" s="52"/>
      <c r="F561" s="52"/>
      <c r="G561" s="62"/>
      <c r="H561" s="52"/>
    </row>
    <row r="562" spans="1:8" x14ac:dyDescent="0.25">
      <c r="A562" s="52"/>
      <c r="B562" s="52"/>
      <c r="C562" s="52"/>
      <c r="D562" s="52"/>
      <c r="E562" s="52"/>
      <c r="F562" s="52"/>
      <c r="G562" s="62"/>
      <c r="H562" s="52"/>
    </row>
    <row r="563" spans="1:8" x14ac:dyDescent="0.25">
      <c r="A563" s="52"/>
      <c r="B563" s="52"/>
      <c r="C563" s="52"/>
      <c r="D563" s="52"/>
      <c r="E563" s="52"/>
      <c r="F563" s="52"/>
      <c r="G563" s="62"/>
      <c r="H563" s="52"/>
    </row>
    <row r="564" spans="1:8" x14ac:dyDescent="0.25">
      <c r="A564" s="52"/>
      <c r="B564" s="52"/>
      <c r="C564" s="52"/>
      <c r="D564" s="52"/>
      <c r="E564" s="52"/>
      <c r="F564" s="52"/>
      <c r="G564" s="62"/>
      <c r="H564" s="52"/>
    </row>
    <row r="565" spans="1:8" x14ac:dyDescent="0.25">
      <c r="A565" s="52"/>
      <c r="B565" s="52"/>
      <c r="C565" s="52"/>
      <c r="D565" s="52"/>
      <c r="E565" s="52"/>
      <c r="F565" s="52"/>
      <c r="G565" s="62"/>
      <c r="H565" s="52"/>
    </row>
    <row r="566" spans="1:8" x14ac:dyDescent="0.25">
      <c r="A566" s="52"/>
      <c r="B566" s="52"/>
      <c r="C566" s="52"/>
      <c r="D566" s="52"/>
      <c r="E566" s="52"/>
      <c r="F566" s="52"/>
      <c r="G566" s="62"/>
      <c r="H566" s="52"/>
    </row>
    <row r="567" spans="1:8" x14ac:dyDescent="0.25">
      <c r="A567" s="52"/>
      <c r="B567" s="52"/>
      <c r="C567" s="52"/>
      <c r="D567" s="52"/>
      <c r="E567" s="52"/>
      <c r="F567" s="52"/>
      <c r="G567" s="62"/>
      <c r="H567" s="52"/>
    </row>
    <row r="568" spans="1:8" x14ac:dyDescent="0.25">
      <c r="A568" s="52"/>
      <c r="B568" s="52"/>
      <c r="C568" s="52"/>
      <c r="D568" s="52"/>
      <c r="E568" s="52"/>
      <c r="F568" s="52"/>
      <c r="G568" s="62"/>
      <c r="H568" s="52"/>
    </row>
    <row r="569" spans="1:8" x14ac:dyDescent="0.25">
      <c r="A569" s="52"/>
      <c r="B569" s="52"/>
      <c r="C569" s="52"/>
      <c r="D569" s="52"/>
      <c r="E569" s="52"/>
      <c r="F569" s="52"/>
      <c r="G569" s="62"/>
      <c r="H569" s="52"/>
    </row>
    <row r="570" spans="1:8" x14ac:dyDescent="0.25">
      <c r="A570" s="52"/>
      <c r="B570" s="52"/>
      <c r="C570" s="52"/>
      <c r="D570" s="52"/>
      <c r="E570" s="52"/>
      <c r="F570" s="52"/>
      <c r="G570" s="62"/>
      <c r="H570" s="52"/>
    </row>
    <row r="571" spans="1:8" x14ac:dyDescent="0.25">
      <c r="A571" s="52"/>
      <c r="B571" s="52"/>
      <c r="C571" s="52"/>
      <c r="D571" s="52"/>
      <c r="E571" s="52"/>
      <c r="F571" s="52"/>
      <c r="G571" s="62"/>
      <c r="H571" s="52"/>
    </row>
    <row r="572" spans="1:8" x14ac:dyDescent="0.25">
      <c r="A572" s="52"/>
      <c r="B572" s="52"/>
      <c r="C572" s="52"/>
      <c r="D572" s="52"/>
      <c r="E572" s="52"/>
      <c r="F572" s="52"/>
      <c r="G572" s="62"/>
      <c r="H572" s="52"/>
    </row>
    <row r="573" spans="1:8" x14ac:dyDescent="0.25">
      <c r="A573" s="52"/>
      <c r="B573" s="52"/>
      <c r="C573" s="52"/>
      <c r="D573" s="52"/>
      <c r="E573" s="52"/>
      <c r="F573" s="52"/>
      <c r="G573" s="62"/>
      <c r="H573" s="52"/>
    </row>
    <row r="574" spans="1:8" x14ac:dyDescent="0.25">
      <c r="A574" s="52"/>
      <c r="B574" s="52"/>
      <c r="C574" s="52"/>
      <c r="D574" s="52"/>
      <c r="E574" s="52"/>
      <c r="F574" s="52"/>
      <c r="G574" s="62"/>
      <c r="H574" s="52"/>
    </row>
    <row r="575" spans="1:8" x14ac:dyDescent="0.25">
      <c r="A575" s="52"/>
      <c r="B575" s="52"/>
      <c r="C575" s="52"/>
      <c r="D575" s="52"/>
      <c r="E575" s="52"/>
      <c r="F575" s="52"/>
      <c r="G575" s="62"/>
      <c r="H575" s="52"/>
    </row>
    <row r="576" spans="1:8" x14ac:dyDescent="0.25">
      <c r="A576" s="52"/>
      <c r="B576" s="52"/>
      <c r="C576" s="52"/>
      <c r="D576" s="52"/>
      <c r="E576" s="52"/>
      <c r="F576" s="52"/>
      <c r="G576" s="62"/>
      <c r="H576" s="52"/>
    </row>
    <row r="577" spans="1:8" x14ac:dyDescent="0.25">
      <c r="A577" s="52"/>
      <c r="B577" s="52"/>
      <c r="C577" s="52"/>
      <c r="D577" s="52"/>
      <c r="E577" s="52"/>
      <c r="F577" s="52"/>
      <c r="G577" s="62"/>
      <c r="H577" s="52"/>
    </row>
    <row r="578" spans="1:8" x14ac:dyDescent="0.25">
      <c r="A578" s="52"/>
      <c r="B578" s="52"/>
      <c r="C578" s="52"/>
      <c r="D578" s="52"/>
      <c r="E578" s="52"/>
      <c r="F578" s="52"/>
      <c r="G578" s="62"/>
      <c r="H578" s="52"/>
    </row>
    <row r="579" spans="1:8" x14ac:dyDescent="0.25">
      <c r="A579" s="52"/>
      <c r="B579" s="52"/>
      <c r="C579" s="52"/>
      <c r="D579" s="52"/>
      <c r="E579" s="52"/>
      <c r="F579" s="52"/>
      <c r="G579" s="62"/>
      <c r="H579" s="52"/>
    </row>
    <row r="580" spans="1:8" x14ac:dyDescent="0.25">
      <c r="A580" s="52"/>
      <c r="B580" s="52"/>
      <c r="C580" s="52"/>
      <c r="D580" s="52"/>
      <c r="E580" s="52"/>
      <c r="F580" s="52"/>
      <c r="G580" s="62"/>
      <c r="H580" s="52"/>
    </row>
    <row r="581" spans="1:8" x14ac:dyDescent="0.25">
      <c r="A581" s="52"/>
      <c r="B581" s="52"/>
      <c r="C581" s="52"/>
      <c r="D581" s="52"/>
      <c r="E581" s="52"/>
      <c r="F581" s="52"/>
      <c r="G581" s="62"/>
      <c r="H581" s="52"/>
    </row>
    <row r="582" spans="1:8" x14ac:dyDescent="0.25">
      <c r="A582" s="52"/>
      <c r="B582" s="52"/>
      <c r="C582" s="52"/>
      <c r="D582" s="52"/>
      <c r="E582" s="52"/>
      <c r="F582" s="52"/>
      <c r="G582" s="62"/>
      <c r="H582" s="52"/>
    </row>
    <row r="583" spans="1:8" x14ac:dyDescent="0.25">
      <c r="A583" s="52"/>
      <c r="B583" s="52"/>
      <c r="C583" s="52"/>
      <c r="D583" s="52"/>
      <c r="E583" s="52"/>
      <c r="F583" s="52"/>
      <c r="G583" s="62"/>
      <c r="H583" s="52"/>
    </row>
    <row r="584" spans="1:8" x14ac:dyDescent="0.25">
      <c r="A584" s="52"/>
      <c r="B584" s="52"/>
      <c r="C584" s="52"/>
      <c r="D584" s="52"/>
      <c r="E584" s="52"/>
      <c r="F584" s="52"/>
      <c r="G584" s="62"/>
      <c r="H584" s="52"/>
    </row>
    <row r="585" spans="1:8" x14ac:dyDescent="0.25">
      <c r="A585" s="52"/>
      <c r="B585" s="52"/>
      <c r="C585" s="52"/>
      <c r="D585" s="52"/>
      <c r="E585" s="52"/>
      <c r="F585" s="52"/>
      <c r="G585" s="62"/>
      <c r="H585" s="52"/>
    </row>
    <row r="586" spans="1:8" x14ac:dyDescent="0.25">
      <c r="A586" s="52"/>
      <c r="B586" s="52"/>
      <c r="C586" s="52"/>
      <c r="D586" s="52"/>
      <c r="E586" s="52"/>
      <c r="F586" s="52"/>
      <c r="G586" s="62"/>
      <c r="H586" s="52"/>
    </row>
    <row r="587" spans="1:8" x14ac:dyDescent="0.25">
      <c r="A587" s="52"/>
      <c r="B587" s="52"/>
      <c r="C587" s="52"/>
      <c r="D587" s="52"/>
      <c r="E587" s="52"/>
      <c r="F587" s="52"/>
      <c r="G587" s="62"/>
      <c r="H587" s="52"/>
    </row>
    <row r="588" spans="1:8" x14ac:dyDescent="0.25">
      <c r="A588" s="52"/>
      <c r="B588" s="52"/>
      <c r="C588" s="52"/>
      <c r="D588" s="52"/>
      <c r="E588" s="52"/>
      <c r="F588" s="52"/>
      <c r="G588" s="62"/>
      <c r="H588" s="52"/>
    </row>
    <row r="589" spans="1:8" x14ac:dyDescent="0.25">
      <c r="A589" s="52"/>
      <c r="B589" s="52"/>
      <c r="C589" s="52"/>
      <c r="D589" s="52"/>
      <c r="E589" s="52"/>
      <c r="F589" s="52"/>
      <c r="G589" s="62"/>
      <c r="H589" s="52"/>
    </row>
    <row r="590" spans="1:8" x14ac:dyDescent="0.25">
      <c r="A590" s="52"/>
      <c r="B590" s="52"/>
      <c r="C590" s="52"/>
      <c r="D590" s="52"/>
      <c r="E590" s="52"/>
      <c r="F590" s="52"/>
      <c r="G590" s="62"/>
      <c r="H590" s="52"/>
    </row>
    <row r="591" spans="1:8" x14ac:dyDescent="0.25">
      <c r="A591" s="52"/>
      <c r="B591" s="52"/>
      <c r="C591" s="52"/>
      <c r="D591" s="52"/>
      <c r="E591" s="52"/>
      <c r="F591" s="52"/>
      <c r="G591" s="62"/>
      <c r="H591" s="52"/>
    </row>
    <row r="592" spans="1:8" x14ac:dyDescent="0.25">
      <c r="A592" s="52"/>
      <c r="B592" s="52"/>
      <c r="C592" s="52"/>
      <c r="D592" s="52"/>
      <c r="E592" s="52"/>
      <c r="F592" s="52"/>
      <c r="G592" s="62"/>
      <c r="H592" s="52"/>
    </row>
    <row r="593" spans="1:8" x14ac:dyDescent="0.25">
      <c r="A593" s="52"/>
      <c r="B593" s="52"/>
      <c r="C593" s="52"/>
      <c r="D593" s="52"/>
      <c r="E593" s="52"/>
      <c r="F593" s="52"/>
      <c r="G593" s="62"/>
      <c r="H593" s="52"/>
    </row>
    <row r="594" spans="1:8" x14ac:dyDescent="0.25">
      <c r="A594" s="52"/>
      <c r="B594" s="52"/>
      <c r="C594" s="52"/>
      <c r="D594" s="52"/>
      <c r="E594" s="52"/>
      <c r="F594" s="52"/>
      <c r="G594" s="62"/>
      <c r="H594" s="52"/>
    </row>
    <row r="595" spans="1:8" x14ac:dyDescent="0.25">
      <c r="A595" s="52"/>
      <c r="B595" s="52"/>
      <c r="C595" s="52"/>
      <c r="D595" s="52"/>
      <c r="E595" s="52"/>
      <c r="F595" s="52"/>
      <c r="G595" s="62"/>
      <c r="H595" s="52"/>
    </row>
    <row r="596" spans="1:8" x14ac:dyDescent="0.25">
      <c r="A596" s="52"/>
      <c r="B596" s="52"/>
      <c r="C596" s="52"/>
      <c r="D596" s="52"/>
      <c r="E596" s="52"/>
      <c r="F596" s="52"/>
      <c r="G596" s="62"/>
      <c r="H596" s="52"/>
    </row>
    <row r="597" spans="1:8" x14ac:dyDescent="0.25">
      <c r="A597" s="52"/>
      <c r="B597" s="52"/>
      <c r="C597" s="52"/>
      <c r="D597" s="52"/>
      <c r="E597" s="52"/>
      <c r="F597" s="52"/>
      <c r="G597" s="62"/>
      <c r="H597" s="52"/>
    </row>
    <row r="598" spans="1:8" x14ac:dyDescent="0.25">
      <c r="A598" s="52"/>
      <c r="B598" s="52"/>
      <c r="C598" s="52"/>
      <c r="D598" s="52"/>
      <c r="E598" s="52"/>
      <c r="F598" s="52"/>
      <c r="G598" s="62"/>
      <c r="H598" s="52"/>
    </row>
    <row r="599" spans="1:8" x14ac:dyDescent="0.25">
      <c r="A599" s="52"/>
      <c r="B599" s="52"/>
      <c r="C599" s="52"/>
      <c r="D599" s="52"/>
      <c r="E599" s="52"/>
      <c r="F599" s="52"/>
      <c r="G599" s="62"/>
      <c r="H599" s="52"/>
    </row>
    <row r="600" spans="1:8" x14ac:dyDescent="0.25">
      <c r="A600" s="52"/>
      <c r="B600" s="52"/>
      <c r="C600" s="52"/>
      <c r="D600" s="52"/>
      <c r="E600" s="52"/>
      <c r="F600" s="52"/>
      <c r="G600" s="62"/>
      <c r="H600" s="52"/>
    </row>
    <row r="601" spans="1:8" x14ac:dyDescent="0.25">
      <c r="A601" s="52"/>
      <c r="B601" s="52"/>
      <c r="C601" s="52"/>
      <c r="D601" s="52"/>
      <c r="E601" s="52"/>
      <c r="F601" s="52"/>
      <c r="G601" s="62"/>
      <c r="H601" s="52"/>
    </row>
    <row r="602" spans="1:8" x14ac:dyDescent="0.25">
      <c r="A602" s="52"/>
      <c r="B602" s="52"/>
      <c r="C602" s="52"/>
      <c r="D602" s="52"/>
      <c r="E602" s="52"/>
      <c r="F602" s="52"/>
      <c r="G602" s="62"/>
      <c r="H602" s="52"/>
    </row>
    <row r="603" spans="1:8" x14ac:dyDescent="0.25">
      <c r="A603" s="52"/>
      <c r="B603" s="52"/>
      <c r="C603" s="52"/>
      <c r="D603" s="52"/>
      <c r="E603" s="52"/>
      <c r="F603" s="52"/>
      <c r="G603" s="62"/>
      <c r="H603" s="52"/>
    </row>
    <row r="604" spans="1:8" x14ac:dyDescent="0.25">
      <c r="A604" s="52"/>
      <c r="B604" s="52"/>
      <c r="C604" s="52"/>
      <c r="D604" s="52"/>
      <c r="E604" s="52"/>
      <c r="F604" s="52"/>
      <c r="G604" s="62"/>
      <c r="H604" s="52"/>
    </row>
    <row r="605" spans="1:8" x14ac:dyDescent="0.25">
      <c r="A605" s="52"/>
      <c r="B605" s="52"/>
      <c r="C605" s="52"/>
      <c r="D605" s="52"/>
      <c r="E605" s="52"/>
      <c r="F605" s="52"/>
      <c r="G605" s="62"/>
      <c r="H605" s="52"/>
    </row>
    <row r="606" spans="1:8" x14ac:dyDescent="0.25">
      <c r="A606" s="52"/>
      <c r="B606" s="52"/>
      <c r="C606" s="52"/>
      <c r="D606" s="52"/>
      <c r="E606" s="52"/>
      <c r="F606" s="52"/>
      <c r="G606" s="62">
        <f t="shared" ref="G606:G621" si="0">+PRODUCT(C606:F606)</f>
        <v>0</v>
      </c>
      <c r="H606" s="52"/>
    </row>
    <row r="607" spans="1:8" x14ac:dyDescent="0.25">
      <c r="A607" s="52"/>
      <c r="B607" s="52"/>
      <c r="C607" s="52"/>
      <c r="D607" s="52"/>
      <c r="E607" s="52"/>
      <c r="F607" s="52"/>
      <c r="G607" s="62">
        <f t="shared" si="0"/>
        <v>0</v>
      </c>
      <c r="H607" s="52"/>
    </row>
    <row r="608" spans="1:8" x14ac:dyDescent="0.25">
      <c r="A608" s="52"/>
      <c r="B608" s="52"/>
      <c r="C608" s="52"/>
      <c r="D608" s="52"/>
      <c r="E608" s="52"/>
      <c r="F608" s="52"/>
      <c r="G608" s="62">
        <f t="shared" si="0"/>
        <v>0</v>
      </c>
      <c r="H608" s="52"/>
    </row>
    <row r="609" spans="1:8" x14ac:dyDescent="0.25">
      <c r="A609" s="52"/>
      <c r="B609" s="52"/>
      <c r="C609" s="52"/>
      <c r="D609" s="52"/>
      <c r="E609" s="52"/>
      <c r="F609" s="52"/>
      <c r="G609" s="62">
        <f t="shared" si="0"/>
        <v>0</v>
      </c>
      <c r="H609" s="52"/>
    </row>
    <row r="610" spans="1:8" x14ac:dyDescent="0.25">
      <c r="A610" s="52"/>
      <c r="B610" s="52"/>
      <c r="C610" s="52"/>
      <c r="D610" s="52"/>
      <c r="E610" s="52"/>
      <c r="F610" s="52"/>
      <c r="G610" s="62">
        <f t="shared" si="0"/>
        <v>0</v>
      </c>
      <c r="H610" s="52"/>
    </row>
    <row r="611" spans="1:8" x14ac:dyDescent="0.25">
      <c r="A611" s="52"/>
      <c r="B611" s="52"/>
      <c r="C611" s="52"/>
      <c r="D611" s="52"/>
      <c r="E611" s="52"/>
      <c r="F611" s="52"/>
      <c r="G611" s="62">
        <f t="shared" si="0"/>
        <v>0</v>
      </c>
      <c r="H611" s="52"/>
    </row>
    <row r="612" spans="1:8" x14ac:dyDescent="0.25">
      <c r="A612" s="52"/>
      <c r="B612" s="52"/>
      <c r="C612" s="52"/>
      <c r="D612" s="52"/>
      <c r="E612" s="52"/>
      <c r="F612" s="52"/>
      <c r="G612" s="62">
        <f t="shared" si="0"/>
        <v>0</v>
      </c>
      <c r="H612" s="52"/>
    </row>
    <row r="613" spans="1:8" x14ac:dyDescent="0.25">
      <c r="A613" s="52"/>
      <c r="B613" s="52"/>
      <c r="C613" s="52"/>
      <c r="D613" s="52"/>
      <c r="E613" s="52"/>
      <c r="F613" s="52"/>
      <c r="G613" s="62">
        <f t="shared" si="0"/>
        <v>0</v>
      </c>
      <c r="H613" s="52"/>
    </row>
    <row r="614" spans="1:8" x14ac:dyDescent="0.25">
      <c r="A614" s="52"/>
      <c r="B614" s="52"/>
      <c r="C614" s="52"/>
      <c r="D614" s="52"/>
      <c r="E614" s="52"/>
      <c r="F614" s="52"/>
      <c r="G614" s="62">
        <f t="shared" si="0"/>
        <v>0</v>
      </c>
      <c r="H614" s="52"/>
    </row>
    <row r="615" spans="1:8" x14ac:dyDescent="0.25">
      <c r="A615" s="52"/>
      <c r="B615" s="52"/>
      <c r="C615" s="52"/>
      <c r="D615" s="52"/>
      <c r="E615" s="52"/>
      <c r="F615" s="52"/>
      <c r="G615" s="62">
        <f t="shared" si="0"/>
        <v>0</v>
      </c>
      <c r="H615" s="52"/>
    </row>
    <row r="616" spans="1:8" x14ac:dyDescent="0.25">
      <c r="A616" s="52"/>
      <c r="B616" s="52"/>
      <c r="C616" s="52"/>
      <c r="D616" s="52"/>
      <c r="E616" s="52"/>
      <c r="F616" s="52"/>
      <c r="G616" s="62">
        <f t="shared" si="0"/>
        <v>0</v>
      </c>
      <c r="H616" s="52"/>
    </row>
    <row r="617" spans="1:8" x14ac:dyDescent="0.25">
      <c r="A617" s="52"/>
      <c r="B617" s="52"/>
      <c r="C617" s="52"/>
      <c r="D617" s="52"/>
      <c r="E617" s="52"/>
      <c r="F617" s="52"/>
      <c r="G617" s="62">
        <f t="shared" si="0"/>
        <v>0</v>
      </c>
      <c r="H617" s="52"/>
    </row>
    <row r="618" spans="1:8" x14ac:dyDescent="0.25">
      <c r="A618" s="52"/>
      <c r="B618" s="52"/>
      <c r="C618" s="52"/>
      <c r="D618" s="52"/>
      <c r="E618" s="52"/>
      <c r="F618" s="52"/>
      <c r="G618" s="62">
        <f t="shared" si="0"/>
        <v>0</v>
      </c>
      <c r="H618" s="52"/>
    </row>
    <row r="619" spans="1:8" x14ac:dyDescent="0.25">
      <c r="A619" s="52"/>
      <c r="B619" s="52"/>
      <c r="C619" s="52"/>
      <c r="D619" s="52"/>
      <c r="E619" s="52"/>
      <c r="F619" s="52"/>
      <c r="G619" s="62">
        <f t="shared" si="0"/>
        <v>0</v>
      </c>
      <c r="H619" s="52"/>
    </row>
    <row r="620" spans="1:8" x14ac:dyDescent="0.25">
      <c r="A620" s="52"/>
      <c r="B620" s="52"/>
      <c r="C620" s="52"/>
      <c r="D620" s="52"/>
      <c r="E620" s="52"/>
      <c r="F620" s="52"/>
      <c r="G620" s="62">
        <f t="shared" si="0"/>
        <v>0</v>
      </c>
      <c r="H620" s="52"/>
    </row>
    <row r="621" spans="1:8" x14ac:dyDescent="0.25">
      <c r="A621" s="52"/>
      <c r="B621" s="52"/>
      <c r="C621" s="52"/>
      <c r="D621" s="52"/>
      <c r="E621" s="52"/>
      <c r="F621" s="52"/>
      <c r="G621" s="62">
        <f t="shared" si="0"/>
        <v>0</v>
      </c>
      <c r="H621" s="52"/>
    </row>
    <row r="622" spans="1:8" x14ac:dyDescent="0.25">
      <c r="A622" s="52"/>
      <c r="B622" s="52"/>
      <c r="C622" s="52"/>
      <c r="D622" s="52"/>
      <c r="E622" s="52"/>
      <c r="F622" s="52"/>
      <c r="G622" s="62"/>
      <c r="H622" s="52"/>
    </row>
    <row r="623" spans="1:8" x14ac:dyDescent="0.25">
      <c r="A623" s="52"/>
      <c r="B623" s="56" t="s">
        <v>589</v>
      </c>
      <c r="C623" s="52"/>
      <c r="D623" s="52"/>
      <c r="E623" s="52"/>
      <c r="F623" s="52"/>
      <c r="G623" s="65">
        <f>+ROUND(SUMIF($E$4:$E$621,".2",$G$4:$G$621)*2,2)</f>
        <v>0</v>
      </c>
      <c r="H623" s="56" t="s">
        <v>593</v>
      </c>
    </row>
    <row r="624" spans="1:8" x14ac:dyDescent="0.25">
      <c r="A624" s="52"/>
      <c r="B624" s="56" t="s">
        <v>590</v>
      </c>
      <c r="C624" s="52"/>
      <c r="D624" s="52"/>
      <c r="E624" s="52"/>
      <c r="F624" s="52"/>
      <c r="G624" s="65">
        <f>+ROUND(SUMIF($E$4:$E$621,".23",$G$4:$G$621)*2,2)</f>
        <v>0</v>
      </c>
      <c r="H624" s="56" t="s">
        <v>593</v>
      </c>
    </row>
    <row r="625" spans="1:8" x14ac:dyDescent="0.25">
      <c r="A625" s="52"/>
      <c r="B625" s="56" t="s">
        <v>591</v>
      </c>
      <c r="C625" s="52"/>
      <c r="D625" s="52"/>
      <c r="E625" s="52"/>
      <c r="F625" s="52"/>
      <c r="G625" s="65">
        <f>+ROUND((SUMIF($E$4:$E$621,".115",$G$4:$G$621)/0.115)*2,2)</f>
        <v>0</v>
      </c>
      <c r="H625" s="56" t="s">
        <v>426</v>
      </c>
    </row>
    <row r="626" spans="1:8" x14ac:dyDescent="0.25">
      <c r="A626" s="52"/>
      <c r="B626" s="56" t="s">
        <v>592</v>
      </c>
      <c r="C626" s="52"/>
      <c r="D626" s="52"/>
      <c r="E626" s="52"/>
      <c r="F626" s="52"/>
      <c r="G626" s="65">
        <f>+ROUND((SUMIF($E$4:$E$621,".1",$G$4:$G$621)/0.1)*2,2)</f>
        <v>0</v>
      </c>
      <c r="H626" s="56" t="s">
        <v>426</v>
      </c>
    </row>
    <row r="627" spans="1:8" x14ac:dyDescent="0.25">
      <c r="A627" s="52"/>
      <c r="B627" s="52"/>
      <c r="C627" s="52"/>
      <c r="D627" s="52"/>
      <c r="E627" s="52"/>
      <c r="F627" s="52"/>
      <c r="G627" s="62">
        <f t="shared" ref="G627" si="1">+PRODUCT(C627:F627)</f>
        <v>0</v>
      </c>
      <c r="H627" s="52"/>
    </row>
    <row r="628" spans="1:8" x14ac:dyDescent="0.25">
      <c r="G628" s="64"/>
    </row>
  </sheetData>
  <mergeCells count="2">
    <mergeCell ref="A1:H1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Summary Qty</vt:lpstr>
      <vt:lpstr>Summary Amt</vt:lpstr>
      <vt:lpstr>Steel Summary</vt:lpstr>
      <vt:lpstr>RCC Summary</vt:lpstr>
      <vt:lpstr>Shuttering summary</vt:lpstr>
      <vt:lpstr>Raft Steel</vt:lpstr>
      <vt:lpstr>Columns Steel</vt:lpstr>
      <vt:lpstr>Typical floor STEEL</vt:lpstr>
      <vt:lpstr>Plinth Steel</vt:lpstr>
      <vt:lpstr>RCC</vt:lpstr>
      <vt:lpstr>RCC Typical floor</vt:lpstr>
      <vt:lpstr>Floor Shuttering</vt:lpstr>
      <vt:lpstr>Shuttering Raft</vt:lpstr>
      <vt:lpstr>Blockwork</vt:lpstr>
      <vt:lpstr>Plaster</vt:lpstr>
      <vt:lpstr>Door Frame</vt:lpstr>
      <vt:lpstr>'Typical floor STEEL'!Print_Titles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2026-02-01T11:47:58Z</dcterms:modified>
</cp:coreProperties>
</file>