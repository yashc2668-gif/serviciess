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24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9" i="1" l="1"/>
  <c r="F10" i="1"/>
  <c r="I10" i="1" s="1"/>
  <c r="F9" i="1"/>
  <c r="I15" i="1"/>
  <c r="I14" i="1"/>
  <c r="I13" i="1"/>
  <c r="I12" i="1"/>
  <c r="I11" i="1"/>
  <c r="I9" i="1" l="1"/>
  <c r="I18" i="1" s="1"/>
</calcChain>
</file>

<file path=xl/sharedStrings.xml><?xml version="1.0" encoding="utf-8"?>
<sst xmlns="http://schemas.openxmlformats.org/spreadsheetml/2006/main" count="28" uniqueCount="21">
  <si>
    <t>COMPANY- OMAXE PANCHAM REALCON PVT LTD</t>
  </si>
  <si>
    <t>PROJECT- TOWER-E</t>
  </si>
  <si>
    <t>LOCATION- NAINI, PRAYAGRAJ</t>
  </si>
  <si>
    <t>S.NO.</t>
  </si>
  <si>
    <t>DESCRIPTION</t>
  </si>
  <si>
    <t>UNIT</t>
  </si>
  <si>
    <t>NOS</t>
  </si>
  <si>
    <t>MEASUREMENT</t>
  </si>
  <si>
    <t>QTY.</t>
  </si>
  <si>
    <t>REMARKS</t>
  </si>
  <si>
    <t>L</t>
  </si>
  <si>
    <t>B</t>
  </si>
  <si>
    <t>H/T</t>
  </si>
  <si>
    <t>GRID (22'-43'/A-Q')</t>
  </si>
  <si>
    <t>GRID (22'-26'/M'-Q')</t>
  </si>
  <si>
    <t>GRID (38'-43'/A-E')</t>
  </si>
  <si>
    <t>GRID (22'-30'/A-B')</t>
  </si>
  <si>
    <t>TOTAL</t>
  </si>
  <si>
    <t>MB SHEET-  SOIL SURFACE DRESSING BELOW PLINTH BEAM</t>
  </si>
  <si>
    <t>SOIL DRESSING FOR RAFT PCC</t>
  </si>
  <si>
    <t>SQM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</si>
</sst>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0" xfId="0" applyBorder="1"/>
    <xf numFmtId="0" fontId="0" fillId="0" borderId="5" xfId="0" applyBorder="1"/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2" fontId="1" fillId="3" borderId="7" xfId="0" applyNumberFormat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activeCell="F9" sqref="F9"/>
    </sheetView>
  </sheetViews>
  <sheetFormatPr defaultRowHeight="15" x14ac:dyDescent="0.25"/>
  <cols>
    <col min="2" max="2" width="19.140625" customWidth="1"/>
    <col min="9" max="9" width="9.85546875" customWidth="1"/>
    <col min="10" max="10" width="11.140625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10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6"/>
    </row>
    <row r="3" spans="1:10" x14ac:dyDescent="0.25">
      <c r="A3" s="4" t="s">
        <v>2</v>
      </c>
      <c r="B3" s="5"/>
      <c r="C3" s="5"/>
      <c r="D3" s="5"/>
      <c r="E3" s="5"/>
      <c r="F3" s="5"/>
      <c r="G3" s="5"/>
      <c r="H3" s="5"/>
      <c r="I3" s="5"/>
      <c r="J3" s="6"/>
    </row>
    <row r="4" spans="1:10" x14ac:dyDescent="0.25">
      <c r="A4" s="4" t="s">
        <v>18</v>
      </c>
      <c r="B4" s="5"/>
      <c r="C4" s="5"/>
      <c r="D4" s="5"/>
      <c r="E4" s="5"/>
      <c r="F4" s="5"/>
      <c r="G4" s="5"/>
      <c r="H4" s="5"/>
      <c r="I4" s="5"/>
      <c r="J4" s="6"/>
    </row>
    <row r="5" spans="1:10" x14ac:dyDescent="0.25">
      <c r="A5" s="7"/>
      <c r="B5" s="8"/>
      <c r="C5" s="8"/>
      <c r="D5" s="8"/>
      <c r="E5" s="8"/>
      <c r="F5" s="8"/>
      <c r="G5" s="8"/>
      <c r="H5" s="8"/>
      <c r="I5" s="8"/>
      <c r="J5" s="9"/>
    </row>
    <row r="6" spans="1:10" x14ac:dyDescent="0.25">
      <c r="A6" s="28" t="s">
        <v>3</v>
      </c>
      <c r="B6" s="23" t="s">
        <v>4</v>
      </c>
      <c r="C6" s="23" t="s">
        <v>5</v>
      </c>
      <c r="D6" s="23" t="s">
        <v>6</v>
      </c>
      <c r="E6" s="23" t="s">
        <v>6</v>
      </c>
      <c r="F6" s="23" t="s">
        <v>7</v>
      </c>
      <c r="G6" s="23"/>
      <c r="H6" s="23"/>
      <c r="I6" s="23" t="s">
        <v>8</v>
      </c>
      <c r="J6" s="24" t="s">
        <v>9</v>
      </c>
    </row>
    <row r="7" spans="1:10" x14ac:dyDescent="0.25">
      <c r="A7" s="28"/>
      <c r="B7" s="23"/>
      <c r="C7" s="23"/>
      <c r="D7" s="23"/>
      <c r="E7" s="23"/>
      <c r="F7" s="10" t="s">
        <v>10</v>
      </c>
      <c r="G7" s="10" t="s">
        <v>11</v>
      </c>
      <c r="H7" s="10" t="s">
        <v>12</v>
      </c>
      <c r="I7" s="23"/>
      <c r="J7" s="24"/>
    </row>
    <row r="8" spans="1:10" ht="30" x14ac:dyDescent="0.25">
      <c r="A8" s="11"/>
      <c r="B8" s="12" t="s">
        <v>19</v>
      </c>
      <c r="C8" s="13"/>
      <c r="D8" s="13"/>
      <c r="E8" s="13"/>
      <c r="F8" s="13"/>
      <c r="G8" s="13"/>
      <c r="H8" s="13"/>
      <c r="I8" s="13"/>
      <c r="J8" s="14"/>
    </row>
    <row r="9" spans="1:10" x14ac:dyDescent="0.25">
      <c r="A9" s="11">
        <v>1</v>
      </c>
      <c r="B9" s="13" t="s">
        <v>13</v>
      </c>
      <c r="C9" s="13" t="s">
        <v>20</v>
      </c>
      <c r="D9" s="13">
        <v>1</v>
      </c>
      <c r="E9" s="13">
        <v>1</v>
      </c>
      <c r="F9" s="15">
        <f>31.935+0.15+0.15+0.1+0.1</f>
        <v>32.435000000000002</v>
      </c>
      <c r="G9" s="15">
        <f>36.895+0.15+0.15+0.1</f>
        <v>37.295000000000002</v>
      </c>
      <c r="H9" s="15"/>
      <c r="I9" s="16">
        <f t="shared" ref="I9:I15" si="0">PRODUCT(D9:H9)</f>
        <v>1209.6633250000002</v>
      </c>
      <c r="J9" s="14"/>
    </row>
    <row r="10" spans="1:10" x14ac:dyDescent="0.25">
      <c r="A10" s="11">
        <v>2</v>
      </c>
      <c r="B10" s="13"/>
      <c r="C10" s="13" t="s">
        <v>20</v>
      </c>
      <c r="D10" s="13">
        <v>1</v>
      </c>
      <c r="E10" s="13">
        <v>1</v>
      </c>
      <c r="F10" s="15">
        <f>8.78+0.15+0.15+0.1+0.1</f>
        <v>9.2799999999999994</v>
      </c>
      <c r="G10" s="15">
        <v>0.51500000000000001</v>
      </c>
      <c r="H10" s="15"/>
      <c r="I10" s="16">
        <f t="shared" si="0"/>
        <v>4.7791999999999994</v>
      </c>
      <c r="J10" s="14"/>
    </row>
    <row r="11" spans="1:10" x14ac:dyDescent="0.25">
      <c r="A11" s="11">
        <v>3</v>
      </c>
      <c r="B11" s="13" t="s">
        <v>14</v>
      </c>
      <c r="C11" s="13" t="s">
        <v>20</v>
      </c>
      <c r="D11" s="13">
        <v>-1</v>
      </c>
      <c r="E11" s="13">
        <v>1</v>
      </c>
      <c r="F11" s="15">
        <v>11</v>
      </c>
      <c r="G11" s="15">
        <v>12.414999999999999</v>
      </c>
      <c r="H11" s="15"/>
      <c r="I11" s="16">
        <f t="shared" si="0"/>
        <v>-136.565</v>
      </c>
      <c r="J11" s="14"/>
    </row>
    <row r="12" spans="1:10" x14ac:dyDescent="0.25">
      <c r="A12" s="11">
        <v>4</v>
      </c>
      <c r="B12" s="13" t="s">
        <v>15</v>
      </c>
      <c r="C12" s="13" t="s">
        <v>20</v>
      </c>
      <c r="D12" s="13">
        <v>-1</v>
      </c>
      <c r="E12" s="13">
        <v>1</v>
      </c>
      <c r="F12" s="15">
        <v>11.09</v>
      </c>
      <c r="G12" s="15">
        <v>10.285</v>
      </c>
      <c r="H12" s="15"/>
      <c r="I12" s="16">
        <f t="shared" si="0"/>
        <v>-114.06065</v>
      </c>
      <c r="J12" s="14"/>
    </row>
    <row r="13" spans="1:10" x14ac:dyDescent="0.25">
      <c r="A13" s="11">
        <v>5</v>
      </c>
      <c r="B13" s="25" t="s">
        <v>16</v>
      </c>
      <c r="C13" s="13" t="s">
        <v>20</v>
      </c>
      <c r="D13" s="13">
        <v>-1</v>
      </c>
      <c r="E13" s="13">
        <v>1</v>
      </c>
      <c r="F13" s="15">
        <v>11.285</v>
      </c>
      <c r="G13" s="15">
        <v>1.405</v>
      </c>
      <c r="H13" s="15"/>
      <c r="I13" s="16">
        <f t="shared" si="0"/>
        <v>-15.855425</v>
      </c>
      <c r="J13" s="14"/>
    </row>
    <row r="14" spans="1:10" x14ac:dyDescent="0.25">
      <c r="A14" s="11">
        <v>6</v>
      </c>
      <c r="B14" s="26"/>
      <c r="C14" s="13" t="s">
        <v>20</v>
      </c>
      <c r="D14" s="13">
        <v>-1</v>
      </c>
      <c r="E14" s="13">
        <v>1</v>
      </c>
      <c r="F14" s="15">
        <v>1.6950000000000001</v>
      </c>
      <c r="G14" s="15">
        <v>0.81499999999999995</v>
      </c>
      <c r="H14" s="15"/>
      <c r="I14" s="16">
        <f t="shared" si="0"/>
        <v>-1.3814249999999999</v>
      </c>
      <c r="J14" s="14"/>
    </row>
    <row r="15" spans="1:10" x14ac:dyDescent="0.25">
      <c r="A15" s="11">
        <v>7</v>
      </c>
      <c r="B15" s="27"/>
      <c r="C15" s="13" t="s">
        <v>20</v>
      </c>
      <c r="D15" s="13">
        <v>-1</v>
      </c>
      <c r="E15" s="13">
        <v>1</v>
      </c>
      <c r="F15" s="15">
        <v>3.95</v>
      </c>
      <c r="G15" s="15">
        <v>1.5</v>
      </c>
      <c r="H15" s="15"/>
      <c r="I15" s="16">
        <f t="shared" si="0"/>
        <v>-5.9250000000000007</v>
      </c>
      <c r="J15" s="14"/>
    </row>
    <row r="16" spans="1:10" x14ac:dyDescent="0.25">
      <c r="A16" s="11"/>
      <c r="B16" s="13"/>
      <c r="C16" s="13"/>
      <c r="D16" s="13"/>
      <c r="E16" s="13"/>
      <c r="F16" s="13"/>
      <c r="G16" s="13"/>
      <c r="H16" s="15"/>
      <c r="I16" s="16"/>
      <c r="J16" s="14"/>
    </row>
    <row r="17" spans="1:10" x14ac:dyDescent="0.25">
      <c r="A17" s="11"/>
      <c r="B17" s="13"/>
      <c r="C17" s="13"/>
      <c r="D17" s="13"/>
      <c r="E17" s="13"/>
      <c r="F17" s="13"/>
      <c r="G17" s="13"/>
      <c r="H17" s="13"/>
      <c r="I17" s="16"/>
      <c r="J17" s="14"/>
    </row>
    <row r="18" spans="1:10" x14ac:dyDescent="0.25">
      <c r="A18" s="11"/>
      <c r="B18" s="13"/>
      <c r="C18" s="13"/>
      <c r="D18" s="13"/>
      <c r="E18" s="13"/>
      <c r="F18" s="13"/>
      <c r="G18" s="13"/>
      <c r="H18" s="17" t="s">
        <v>17</v>
      </c>
      <c r="I18" s="18">
        <f>SUM(I8:I17)</f>
        <v>940.65502500000014</v>
      </c>
      <c r="J18" s="14"/>
    </row>
    <row r="19" spans="1:10" ht="15.75" thickBot="1" x14ac:dyDescent="0.3">
      <c r="A19" s="19"/>
      <c r="B19" s="20"/>
      <c r="C19" s="20"/>
      <c r="D19" s="20"/>
      <c r="E19" s="20"/>
      <c r="F19" s="20"/>
      <c r="G19" s="20"/>
      <c r="H19" s="20"/>
      <c r="I19" s="20"/>
      <c r="J19" s="21"/>
    </row>
    <row r="20" spans="1:10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</row>
  </sheetData>
  <mergeCells count="9">
    <mergeCell ref="I6:I7"/>
    <mergeCell ref="J6:J7"/>
    <mergeCell ref="B13:B15"/>
    <mergeCell ref="A6:A7"/>
    <mergeCell ref="B6:B7"/>
    <mergeCell ref="C6:C7"/>
    <mergeCell ref="D6:D7"/>
    <mergeCell ref="E6:E7"/>
    <mergeCell ref="F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2025-03-30T10:37:58Z</dcterms:created>
  <dcterms:modified xsi:type="dcterms:W3CDTF">2025-05-28T18:19:27Z</dcterms:modified>
</cp:coreProperties>
</file>