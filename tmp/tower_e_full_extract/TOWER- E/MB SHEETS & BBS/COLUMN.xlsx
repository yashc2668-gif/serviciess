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1" r:id="rId1"/>
    <sheet name="COLUMN FARMA" sheetId="2" r:id="rId2"/>
    <sheet name="CASTING SHEDULE" sheetId="3" r:id="rId3"/>
    <sheet name="Sheet2" sheetId="4" r:id="rId4"/>
    <sheet name="Sheet3" sheetId="5" r:id="rId5"/>
  </sheets>
  <calcPr calcId="145621"/>
</workbook>
</file>

<file path=xl/calcChain.xml><?xml version="1.0" encoding="utf-8"?>
<calcChain xmlns="http://schemas.openxmlformats.org/spreadsheetml/2006/main">
  <c r="F28" i="5" l="1"/>
  <c r="F20" i="5"/>
  <c r="F12" i="5"/>
  <c r="F4" i="5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4" i="2"/>
  <c r="C23" i="2"/>
  <c r="C19" i="2"/>
  <c r="C11" i="2"/>
  <c r="C9" i="2"/>
  <c r="D21" i="3"/>
  <c r="H21" i="3"/>
  <c r="G21" i="3"/>
  <c r="F21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3" i="3"/>
  <c r="E21" i="3"/>
  <c r="H26" i="2"/>
  <c r="I21" i="3" l="1"/>
  <c r="F5" i="4"/>
  <c r="E3" i="4"/>
  <c r="C21" i="3" l="1"/>
  <c r="I7" i="2"/>
  <c r="I6" i="2"/>
  <c r="I5" i="2"/>
  <c r="I4" i="2"/>
  <c r="I24" i="2"/>
  <c r="I22" i="2"/>
  <c r="I21" i="2"/>
  <c r="I20" i="2"/>
  <c r="I18" i="2"/>
  <c r="I16" i="2"/>
  <c r="I15" i="2"/>
  <c r="I14" i="2"/>
  <c r="I13" i="2"/>
  <c r="I12" i="2"/>
  <c r="I10" i="2"/>
  <c r="I8" i="2"/>
</calcChain>
</file>

<file path=xl/sharedStrings.xml><?xml version="1.0" encoding="utf-8"?>
<sst xmlns="http://schemas.openxmlformats.org/spreadsheetml/2006/main" count="105" uniqueCount="70">
  <si>
    <t>TOWER -E</t>
  </si>
  <si>
    <t>SNO.</t>
  </si>
  <si>
    <t>PARTICLARS</t>
  </si>
  <si>
    <t>RAFT RCC</t>
  </si>
  <si>
    <t>UNIT</t>
  </si>
  <si>
    <t>CUM</t>
  </si>
  <si>
    <t>QTY</t>
  </si>
  <si>
    <t>RAFT SHUTTERING</t>
  </si>
  <si>
    <t>SQM</t>
  </si>
  <si>
    <t>REMARK</t>
  </si>
  <si>
    <t>PLY-70, PLATE-230</t>
  </si>
  <si>
    <t>PLINTH BEAM RCC</t>
  </si>
  <si>
    <t>PLINTH BEAM SHUTTERING</t>
  </si>
  <si>
    <t>PLINTH BEAM 200 BOTTOM</t>
  </si>
  <si>
    <t>RMT</t>
  </si>
  <si>
    <t>PLINTH BEAM 100 BOTTOM</t>
  </si>
  <si>
    <t>PLINTH BEAM 230 BOTTOM</t>
  </si>
  <si>
    <t>PLINTH BEAM SIDE SHUTTERING 450 MM</t>
  </si>
  <si>
    <t xml:space="preserve">SNO </t>
  </si>
  <si>
    <t>COLUMN</t>
  </si>
  <si>
    <t xml:space="preserve"> TOTAL IN FULL SLAB</t>
  </si>
  <si>
    <t>HALF SLAB</t>
  </si>
  <si>
    <t>SW 3 (230x1000)</t>
  </si>
  <si>
    <t>SW 4 (230x1150)</t>
  </si>
  <si>
    <t>SW 5 (230x1700)</t>
  </si>
  <si>
    <t>SW 6 (230x1185)</t>
  </si>
  <si>
    <t>SW 7 (230x1855)</t>
  </si>
  <si>
    <t>SW 8 (230x3600)</t>
  </si>
  <si>
    <t>SW 10 (230x3445)</t>
  </si>
  <si>
    <t>SW 11 (230x4065)</t>
  </si>
  <si>
    <t>SW 13 (200x3445)</t>
  </si>
  <si>
    <t>1ST DAY</t>
  </si>
  <si>
    <t>2ND DAY</t>
  </si>
  <si>
    <t>3RD DAY</t>
  </si>
  <si>
    <t>TOTAL</t>
  </si>
  <si>
    <t>BRICKS REQUIRED FOR RAFT</t>
  </si>
  <si>
    <t>SNO</t>
  </si>
  <si>
    <t>PARTICULARS</t>
  </si>
  <si>
    <t>RAFT LENGTH</t>
  </si>
  <si>
    <t>BRICK WORK H</t>
  </si>
  <si>
    <t>TOTAL SQM</t>
  </si>
  <si>
    <t>RAFT</t>
  </si>
  <si>
    <t>BRICKS REQUIRED</t>
  </si>
  <si>
    <t>NOS OF FRAME</t>
  </si>
  <si>
    <t>TOWER -E COLUMN &amp; SHARE WALL DETAILS</t>
  </si>
  <si>
    <t>REMARKS</t>
  </si>
  <si>
    <t>SIZE IN MM</t>
  </si>
  <si>
    <t>SW 1 (L-SHAPE)</t>
  </si>
  <si>
    <t>SW 2 (L-SHAPE)</t>
  </si>
  <si>
    <t>SW 9 (L-SHAPE)</t>
  </si>
  <si>
    <t>SW 12 (L-SHAPE)</t>
  </si>
  <si>
    <t>TOTAL FRAME</t>
  </si>
  <si>
    <t>COLUMN &amp; SHARE WALL</t>
  </si>
  <si>
    <t>C1, C2, C3, C8 (300X600)</t>
  </si>
  <si>
    <t>C4, C5 (300X750)</t>
  </si>
  <si>
    <t>C6 (300X715)</t>
  </si>
  <si>
    <t>C7 (300X800)</t>
  </si>
  <si>
    <t>4TH DAY</t>
  </si>
  <si>
    <t xml:space="preserve">TOTAL COLUMN </t>
  </si>
  <si>
    <t>TOWER-E COLUMN &amp; SHARE WALL CASTING SHEDULE</t>
  </si>
  <si>
    <t>WIDTH</t>
  </si>
  <si>
    <t>LENGTH</t>
  </si>
  <si>
    <t>HEIGHT</t>
  </si>
  <si>
    <t>AS PER DRW.</t>
  </si>
  <si>
    <t>SHAPE &amp; SIZE IN MM</t>
  </si>
  <si>
    <t>SW 1 (L-SHAPE)             HEIGHT-2500 MM</t>
  </si>
  <si>
    <t>SW 2 (L-SHAPE)            HEIGHT- 2500 MM</t>
  </si>
  <si>
    <t>SW 9 (L-SHAPE)              HEIGHT- 2500 MM</t>
  </si>
  <si>
    <t>SW 12 (L-SHAPE)      HEIGHT- 2500 MM</t>
  </si>
  <si>
    <t>TOWER -E  SHARE WALL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</si>
</sst>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7" fillId="0" borderId="11" xfId="0" applyNumberFormat="1" applyFont="1" applyFill="1" applyBorder="1" applyAlignment="1">
      <alignment horizontal="center" vertical="center"/>
    </xf>
    <xf numFmtId="1" fontId="7" fillId="0" borderId="14" xfId="0" applyNumberFormat="1" applyFont="1" applyFill="1" applyBorder="1" applyAlignment="1">
      <alignment horizontal="left" vertical="top"/>
    </xf>
    <xf numFmtId="1" fontId="7" fillId="0" borderId="14" xfId="0" applyNumberFormat="1" applyFont="1" applyFill="1" applyBorder="1" applyAlignment="1">
      <alignment horizontal="center" vertical="center"/>
    </xf>
    <xf numFmtId="1" fontId="7" fillId="0" borderId="14" xfId="0" applyNumberFormat="1" applyFont="1" applyFill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left" vertical="center"/>
    </xf>
    <xf numFmtId="1" fontId="7" fillId="0" borderId="3" xfId="0" applyNumberFormat="1" applyFont="1" applyFill="1" applyBorder="1" applyAlignment="1">
      <alignment horizontal="left" vertical="center"/>
    </xf>
    <xf numFmtId="1" fontId="7" fillId="0" borderId="19" xfId="0" applyNumberFormat="1" applyFont="1" applyFill="1" applyBorder="1" applyAlignment="1">
      <alignment horizontal="left" vertical="center"/>
    </xf>
    <xf numFmtId="1" fontId="7" fillId="0" borderId="20" xfId="0" applyNumberFormat="1" applyFont="1" applyFill="1" applyBorder="1" applyAlignment="1">
      <alignment horizontal="right" vertical="center"/>
    </xf>
    <xf numFmtId="1" fontId="7" fillId="0" borderId="19" xfId="0" applyNumberFormat="1" applyFont="1" applyFill="1" applyBorder="1" applyAlignment="1">
      <alignment horizontal="right" vertical="center"/>
    </xf>
    <xf numFmtId="1" fontId="7" fillId="0" borderId="21" xfId="0" applyNumberFormat="1" applyFont="1" applyFill="1" applyBorder="1" applyAlignment="1">
      <alignment horizontal="right" vertical="center"/>
    </xf>
    <xf numFmtId="1" fontId="7" fillId="0" borderId="2" xfId="0" applyNumberFormat="1" applyFont="1" applyFill="1" applyBorder="1" applyAlignment="1">
      <alignment horizontal="center" vertical="center"/>
    </xf>
    <xf numFmtId="1" fontId="7" fillId="0" borderId="19" xfId="0" applyNumberFormat="1" applyFont="1" applyFill="1" applyBorder="1" applyAlignment="1">
      <alignment horizontal="center" vertical="center"/>
    </xf>
    <xf numFmtId="1" fontId="7" fillId="0" borderId="3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2" fontId="5" fillId="2" borderId="11" xfId="0" applyNumberFormat="1" applyFont="1" applyFill="1" applyBorder="1" applyAlignment="1">
      <alignment horizontal="center" vertical="center"/>
    </xf>
    <xf numFmtId="2" fontId="5" fillId="2" borderId="14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99391</xdr:colOff>
      <xdr:row>4</xdr:row>
      <xdr:rowOff>57978</xdr:rowOff>
    </xdr:from>
    <xdr:to>
      <xdr:col>3</xdr:col>
      <xdr:colOff>107673</xdr:colOff>
      <xdr:row>8</xdr:row>
      <xdr:rowOff>149087</xdr:rowOff>
    </xdr:to>
    <xdr:cxnSp macro="">
      <xdr:nvCxnSpPr>
        <xdr:cNvPr id="3" name="Straight Connector 2"/>
        <xdr:cNvCxnSpPr/>
      </xdr:nvCxnSpPr>
      <xdr:spPr>
        <a:xfrm flipH="1">
          <a:off x="3304761" y="1606826"/>
          <a:ext cx="8282" cy="85310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91110</xdr:colOff>
      <xdr:row>4</xdr:row>
      <xdr:rowOff>74543</xdr:rowOff>
    </xdr:from>
    <xdr:to>
      <xdr:col>3</xdr:col>
      <xdr:colOff>770282</xdr:colOff>
      <xdr:row>4</xdr:row>
      <xdr:rowOff>74543</xdr:rowOff>
    </xdr:to>
    <xdr:cxnSp macro="">
      <xdr:nvCxnSpPr>
        <xdr:cNvPr id="6" name="Straight Connector 5"/>
        <xdr:cNvCxnSpPr/>
      </xdr:nvCxnSpPr>
      <xdr:spPr>
        <a:xfrm flipH="1">
          <a:off x="3296480" y="1623391"/>
          <a:ext cx="679172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753718</xdr:colOff>
      <xdr:row>4</xdr:row>
      <xdr:rowOff>74543</xdr:rowOff>
    </xdr:from>
    <xdr:to>
      <xdr:col>3</xdr:col>
      <xdr:colOff>753718</xdr:colOff>
      <xdr:row>5</xdr:row>
      <xdr:rowOff>132521</xdr:rowOff>
    </xdr:to>
    <xdr:cxnSp macro="">
      <xdr:nvCxnSpPr>
        <xdr:cNvPr id="9" name="Straight Connector 8"/>
        <xdr:cNvCxnSpPr/>
      </xdr:nvCxnSpPr>
      <xdr:spPr>
        <a:xfrm>
          <a:off x="3959088" y="1623391"/>
          <a:ext cx="0" cy="24847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414130</xdr:colOff>
      <xdr:row>5</xdr:row>
      <xdr:rowOff>115956</xdr:rowOff>
    </xdr:from>
    <xdr:to>
      <xdr:col>3</xdr:col>
      <xdr:colOff>770283</xdr:colOff>
      <xdr:row>5</xdr:row>
      <xdr:rowOff>124239</xdr:rowOff>
    </xdr:to>
    <xdr:cxnSp macro="">
      <xdr:nvCxnSpPr>
        <xdr:cNvPr id="14" name="Straight Connector 13"/>
        <xdr:cNvCxnSpPr/>
      </xdr:nvCxnSpPr>
      <xdr:spPr>
        <a:xfrm flipH="1">
          <a:off x="3619500" y="1855304"/>
          <a:ext cx="356153" cy="828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414130</xdr:colOff>
      <xdr:row>5</xdr:row>
      <xdr:rowOff>99394</xdr:rowOff>
    </xdr:from>
    <xdr:to>
      <xdr:col>3</xdr:col>
      <xdr:colOff>414132</xdr:colOff>
      <xdr:row>8</xdr:row>
      <xdr:rowOff>132522</xdr:rowOff>
    </xdr:to>
    <xdr:cxnSp macro="">
      <xdr:nvCxnSpPr>
        <xdr:cNvPr id="17" name="Straight Connector 16"/>
        <xdr:cNvCxnSpPr/>
      </xdr:nvCxnSpPr>
      <xdr:spPr>
        <a:xfrm flipV="1">
          <a:off x="3619500" y="1838742"/>
          <a:ext cx="2" cy="60462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91108</xdr:colOff>
      <xdr:row>8</xdr:row>
      <xdr:rowOff>140804</xdr:rowOff>
    </xdr:from>
    <xdr:to>
      <xdr:col>3</xdr:col>
      <xdr:colOff>422413</xdr:colOff>
      <xdr:row>8</xdr:row>
      <xdr:rowOff>140804</xdr:rowOff>
    </xdr:to>
    <xdr:cxnSp macro="">
      <xdr:nvCxnSpPr>
        <xdr:cNvPr id="20" name="Straight Connector 19"/>
        <xdr:cNvCxnSpPr/>
      </xdr:nvCxnSpPr>
      <xdr:spPr>
        <a:xfrm>
          <a:off x="3296478" y="2451652"/>
          <a:ext cx="33130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480392</xdr:colOff>
      <xdr:row>6</xdr:row>
      <xdr:rowOff>182217</xdr:rowOff>
    </xdr:from>
    <xdr:to>
      <xdr:col>4</xdr:col>
      <xdr:colOff>0</xdr:colOff>
      <xdr:row>7</xdr:row>
      <xdr:rowOff>66262</xdr:rowOff>
    </xdr:to>
    <xdr:cxnSp macro="">
      <xdr:nvCxnSpPr>
        <xdr:cNvPr id="40" name="Straight Arrow Connector 39"/>
        <xdr:cNvCxnSpPr/>
      </xdr:nvCxnSpPr>
      <xdr:spPr>
        <a:xfrm flipH="1" flipV="1">
          <a:off x="3205370" y="1350065"/>
          <a:ext cx="323021" cy="7454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99391</xdr:colOff>
      <xdr:row>12</xdr:row>
      <xdr:rowOff>57978</xdr:rowOff>
    </xdr:from>
    <xdr:to>
      <xdr:col>3</xdr:col>
      <xdr:colOff>107673</xdr:colOff>
      <xdr:row>16</xdr:row>
      <xdr:rowOff>149087</xdr:rowOff>
    </xdr:to>
    <xdr:cxnSp macro="">
      <xdr:nvCxnSpPr>
        <xdr:cNvPr id="45" name="Straight Connector 44"/>
        <xdr:cNvCxnSpPr/>
      </xdr:nvCxnSpPr>
      <xdr:spPr>
        <a:xfrm flipH="1">
          <a:off x="2824369" y="1134717"/>
          <a:ext cx="8282" cy="85310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91110</xdr:colOff>
      <xdr:row>12</xdr:row>
      <xdr:rowOff>74543</xdr:rowOff>
    </xdr:from>
    <xdr:to>
      <xdr:col>3</xdr:col>
      <xdr:colOff>770282</xdr:colOff>
      <xdr:row>12</xdr:row>
      <xdr:rowOff>74543</xdr:rowOff>
    </xdr:to>
    <xdr:cxnSp macro="">
      <xdr:nvCxnSpPr>
        <xdr:cNvPr id="46" name="Straight Connector 45"/>
        <xdr:cNvCxnSpPr/>
      </xdr:nvCxnSpPr>
      <xdr:spPr>
        <a:xfrm flipH="1">
          <a:off x="2816088" y="1151282"/>
          <a:ext cx="679172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753718</xdr:colOff>
      <xdr:row>12</xdr:row>
      <xdr:rowOff>74543</xdr:rowOff>
    </xdr:from>
    <xdr:to>
      <xdr:col>3</xdr:col>
      <xdr:colOff>753718</xdr:colOff>
      <xdr:row>13</xdr:row>
      <xdr:rowOff>132521</xdr:rowOff>
    </xdr:to>
    <xdr:cxnSp macro="">
      <xdr:nvCxnSpPr>
        <xdr:cNvPr id="47" name="Straight Connector 46"/>
        <xdr:cNvCxnSpPr/>
      </xdr:nvCxnSpPr>
      <xdr:spPr>
        <a:xfrm>
          <a:off x="3478696" y="1151282"/>
          <a:ext cx="0" cy="24847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414130</xdr:colOff>
      <xdr:row>13</xdr:row>
      <xdr:rowOff>115956</xdr:rowOff>
    </xdr:from>
    <xdr:to>
      <xdr:col>3</xdr:col>
      <xdr:colOff>770283</xdr:colOff>
      <xdr:row>13</xdr:row>
      <xdr:rowOff>124239</xdr:rowOff>
    </xdr:to>
    <xdr:cxnSp macro="">
      <xdr:nvCxnSpPr>
        <xdr:cNvPr id="48" name="Straight Connector 47"/>
        <xdr:cNvCxnSpPr/>
      </xdr:nvCxnSpPr>
      <xdr:spPr>
        <a:xfrm flipH="1">
          <a:off x="3139108" y="1383195"/>
          <a:ext cx="356153" cy="828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414130</xdr:colOff>
      <xdr:row>13</xdr:row>
      <xdr:rowOff>99394</xdr:rowOff>
    </xdr:from>
    <xdr:to>
      <xdr:col>3</xdr:col>
      <xdr:colOff>414132</xdr:colOff>
      <xdr:row>16</xdr:row>
      <xdr:rowOff>132522</xdr:rowOff>
    </xdr:to>
    <xdr:cxnSp macro="">
      <xdr:nvCxnSpPr>
        <xdr:cNvPr id="49" name="Straight Connector 48"/>
        <xdr:cNvCxnSpPr/>
      </xdr:nvCxnSpPr>
      <xdr:spPr>
        <a:xfrm flipV="1">
          <a:off x="3139108" y="1366633"/>
          <a:ext cx="2" cy="60462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91108</xdr:colOff>
      <xdr:row>16</xdr:row>
      <xdr:rowOff>140804</xdr:rowOff>
    </xdr:from>
    <xdr:to>
      <xdr:col>3</xdr:col>
      <xdr:colOff>422413</xdr:colOff>
      <xdr:row>16</xdr:row>
      <xdr:rowOff>140804</xdr:rowOff>
    </xdr:to>
    <xdr:cxnSp macro="">
      <xdr:nvCxnSpPr>
        <xdr:cNvPr id="50" name="Straight Connector 49"/>
        <xdr:cNvCxnSpPr/>
      </xdr:nvCxnSpPr>
      <xdr:spPr>
        <a:xfrm>
          <a:off x="2816086" y="1979543"/>
          <a:ext cx="33130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480392</xdr:colOff>
      <xdr:row>14</xdr:row>
      <xdr:rowOff>182217</xdr:rowOff>
    </xdr:from>
    <xdr:to>
      <xdr:col>4</xdr:col>
      <xdr:colOff>0</xdr:colOff>
      <xdr:row>15</xdr:row>
      <xdr:rowOff>66262</xdr:rowOff>
    </xdr:to>
    <xdr:cxnSp macro="">
      <xdr:nvCxnSpPr>
        <xdr:cNvPr id="51" name="Straight Arrow Connector 50"/>
        <xdr:cNvCxnSpPr/>
      </xdr:nvCxnSpPr>
      <xdr:spPr>
        <a:xfrm flipH="1" flipV="1">
          <a:off x="3205370" y="1639956"/>
          <a:ext cx="323021" cy="7454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99391</xdr:colOff>
      <xdr:row>20</xdr:row>
      <xdr:rowOff>57978</xdr:rowOff>
    </xdr:from>
    <xdr:to>
      <xdr:col>3</xdr:col>
      <xdr:colOff>107673</xdr:colOff>
      <xdr:row>24</xdr:row>
      <xdr:rowOff>149087</xdr:rowOff>
    </xdr:to>
    <xdr:cxnSp macro="">
      <xdr:nvCxnSpPr>
        <xdr:cNvPr id="52" name="Straight Connector 51"/>
        <xdr:cNvCxnSpPr/>
      </xdr:nvCxnSpPr>
      <xdr:spPr>
        <a:xfrm flipH="1">
          <a:off x="2824369" y="2484782"/>
          <a:ext cx="8282" cy="85310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91110</xdr:colOff>
      <xdr:row>20</xdr:row>
      <xdr:rowOff>74543</xdr:rowOff>
    </xdr:from>
    <xdr:to>
      <xdr:col>3</xdr:col>
      <xdr:colOff>770282</xdr:colOff>
      <xdr:row>20</xdr:row>
      <xdr:rowOff>74543</xdr:rowOff>
    </xdr:to>
    <xdr:cxnSp macro="">
      <xdr:nvCxnSpPr>
        <xdr:cNvPr id="53" name="Straight Connector 52"/>
        <xdr:cNvCxnSpPr/>
      </xdr:nvCxnSpPr>
      <xdr:spPr>
        <a:xfrm flipH="1">
          <a:off x="2816088" y="2501347"/>
          <a:ext cx="679172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753718</xdr:colOff>
      <xdr:row>20</xdr:row>
      <xdr:rowOff>74543</xdr:rowOff>
    </xdr:from>
    <xdr:to>
      <xdr:col>3</xdr:col>
      <xdr:colOff>753718</xdr:colOff>
      <xdr:row>21</xdr:row>
      <xdr:rowOff>132521</xdr:rowOff>
    </xdr:to>
    <xdr:cxnSp macro="">
      <xdr:nvCxnSpPr>
        <xdr:cNvPr id="54" name="Straight Connector 53"/>
        <xdr:cNvCxnSpPr/>
      </xdr:nvCxnSpPr>
      <xdr:spPr>
        <a:xfrm>
          <a:off x="3478696" y="2501347"/>
          <a:ext cx="0" cy="24847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414130</xdr:colOff>
      <xdr:row>21</xdr:row>
      <xdr:rowOff>115956</xdr:rowOff>
    </xdr:from>
    <xdr:to>
      <xdr:col>3</xdr:col>
      <xdr:colOff>770283</xdr:colOff>
      <xdr:row>21</xdr:row>
      <xdr:rowOff>124239</xdr:rowOff>
    </xdr:to>
    <xdr:cxnSp macro="">
      <xdr:nvCxnSpPr>
        <xdr:cNvPr id="55" name="Straight Connector 54"/>
        <xdr:cNvCxnSpPr/>
      </xdr:nvCxnSpPr>
      <xdr:spPr>
        <a:xfrm flipH="1">
          <a:off x="3139108" y="2733260"/>
          <a:ext cx="356153" cy="828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414130</xdr:colOff>
      <xdr:row>21</xdr:row>
      <xdr:rowOff>99394</xdr:rowOff>
    </xdr:from>
    <xdr:to>
      <xdr:col>3</xdr:col>
      <xdr:colOff>414132</xdr:colOff>
      <xdr:row>24</xdr:row>
      <xdr:rowOff>132522</xdr:rowOff>
    </xdr:to>
    <xdr:cxnSp macro="">
      <xdr:nvCxnSpPr>
        <xdr:cNvPr id="56" name="Straight Connector 55"/>
        <xdr:cNvCxnSpPr/>
      </xdr:nvCxnSpPr>
      <xdr:spPr>
        <a:xfrm flipV="1">
          <a:off x="3139108" y="2716698"/>
          <a:ext cx="2" cy="60462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91108</xdr:colOff>
      <xdr:row>24</xdr:row>
      <xdr:rowOff>140804</xdr:rowOff>
    </xdr:from>
    <xdr:to>
      <xdr:col>3</xdr:col>
      <xdr:colOff>422413</xdr:colOff>
      <xdr:row>24</xdr:row>
      <xdr:rowOff>140804</xdr:rowOff>
    </xdr:to>
    <xdr:cxnSp macro="">
      <xdr:nvCxnSpPr>
        <xdr:cNvPr id="57" name="Straight Connector 56"/>
        <xdr:cNvCxnSpPr/>
      </xdr:nvCxnSpPr>
      <xdr:spPr>
        <a:xfrm>
          <a:off x="2816086" y="3329608"/>
          <a:ext cx="33130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480392</xdr:colOff>
      <xdr:row>22</xdr:row>
      <xdr:rowOff>182217</xdr:rowOff>
    </xdr:from>
    <xdr:to>
      <xdr:col>4</xdr:col>
      <xdr:colOff>0</xdr:colOff>
      <xdr:row>23</xdr:row>
      <xdr:rowOff>66262</xdr:rowOff>
    </xdr:to>
    <xdr:cxnSp macro="">
      <xdr:nvCxnSpPr>
        <xdr:cNvPr id="58" name="Straight Arrow Connector 57"/>
        <xdr:cNvCxnSpPr/>
      </xdr:nvCxnSpPr>
      <xdr:spPr>
        <a:xfrm flipH="1" flipV="1">
          <a:off x="3205370" y="2990021"/>
          <a:ext cx="323021" cy="7454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99391</xdr:colOff>
      <xdr:row>28</xdr:row>
      <xdr:rowOff>57978</xdr:rowOff>
    </xdr:from>
    <xdr:to>
      <xdr:col>3</xdr:col>
      <xdr:colOff>107673</xdr:colOff>
      <xdr:row>32</xdr:row>
      <xdr:rowOff>149087</xdr:rowOff>
    </xdr:to>
    <xdr:cxnSp macro="">
      <xdr:nvCxnSpPr>
        <xdr:cNvPr id="59" name="Straight Connector 58"/>
        <xdr:cNvCxnSpPr/>
      </xdr:nvCxnSpPr>
      <xdr:spPr>
        <a:xfrm flipH="1">
          <a:off x="2824369" y="3826565"/>
          <a:ext cx="8282" cy="85310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91110</xdr:colOff>
      <xdr:row>28</xdr:row>
      <xdr:rowOff>74543</xdr:rowOff>
    </xdr:from>
    <xdr:to>
      <xdr:col>3</xdr:col>
      <xdr:colOff>770282</xdr:colOff>
      <xdr:row>28</xdr:row>
      <xdr:rowOff>74543</xdr:rowOff>
    </xdr:to>
    <xdr:cxnSp macro="">
      <xdr:nvCxnSpPr>
        <xdr:cNvPr id="60" name="Straight Connector 59"/>
        <xdr:cNvCxnSpPr/>
      </xdr:nvCxnSpPr>
      <xdr:spPr>
        <a:xfrm flipH="1">
          <a:off x="2816088" y="3843130"/>
          <a:ext cx="679172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753718</xdr:colOff>
      <xdr:row>28</xdr:row>
      <xdr:rowOff>74543</xdr:rowOff>
    </xdr:from>
    <xdr:to>
      <xdr:col>3</xdr:col>
      <xdr:colOff>753718</xdr:colOff>
      <xdr:row>29</xdr:row>
      <xdr:rowOff>132521</xdr:rowOff>
    </xdr:to>
    <xdr:cxnSp macro="">
      <xdr:nvCxnSpPr>
        <xdr:cNvPr id="61" name="Straight Connector 60"/>
        <xdr:cNvCxnSpPr/>
      </xdr:nvCxnSpPr>
      <xdr:spPr>
        <a:xfrm>
          <a:off x="3478696" y="3843130"/>
          <a:ext cx="0" cy="24847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414130</xdr:colOff>
      <xdr:row>29</xdr:row>
      <xdr:rowOff>115956</xdr:rowOff>
    </xdr:from>
    <xdr:to>
      <xdr:col>3</xdr:col>
      <xdr:colOff>770283</xdr:colOff>
      <xdr:row>29</xdr:row>
      <xdr:rowOff>124239</xdr:rowOff>
    </xdr:to>
    <xdr:cxnSp macro="">
      <xdr:nvCxnSpPr>
        <xdr:cNvPr id="62" name="Straight Connector 61"/>
        <xdr:cNvCxnSpPr/>
      </xdr:nvCxnSpPr>
      <xdr:spPr>
        <a:xfrm flipH="1">
          <a:off x="3139108" y="4075043"/>
          <a:ext cx="356153" cy="828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414130</xdr:colOff>
      <xdr:row>29</xdr:row>
      <xdr:rowOff>99394</xdr:rowOff>
    </xdr:from>
    <xdr:to>
      <xdr:col>3</xdr:col>
      <xdr:colOff>414132</xdr:colOff>
      <xdr:row>32</xdr:row>
      <xdr:rowOff>132522</xdr:rowOff>
    </xdr:to>
    <xdr:cxnSp macro="">
      <xdr:nvCxnSpPr>
        <xdr:cNvPr id="63" name="Straight Connector 62"/>
        <xdr:cNvCxnSpPr/>
      </xdr:nvCxnSpPr>
      <xdr:spPr>
        <a:xfrm flipV="1">
          <a:off x="3139108" y="4058481"/>
          <a:ext cx="2" cy="60462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91108</xdr:colOff>
      <xdr:row>32</xdr:row>
      <xdr:rowOff>140804</xdr:rowOff>
    </xdr:from>
    <xdr:to>
      <xdr:col>3</xdr:col>
      <xdr:colOff>422413</xdr:colOff>
      <xdr:row>32</xdr:row>
      <xdr:rowOff>140804</xdr:rowOff>
    </xdr:to>
    <xdr:cxnSp macro="">
      <xdr:nvCxnSpPr>
        <xdr:cNvPr id="64" name="Straight Connector 63"/>
        <xdr:cNvCxnSpPr/>
      </xdr:nvCxnSpPr>
      <xdr:spPr>
        <a:xfrm>
          <a:off x="2816086" y="4671391"/>
          <a:ext cx="33130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480392</xdr:colOff>
      <xdr:row>30</xdr:row>
      <xdr:rowOff>182217</xdr:rowOff>
    </xdr:from>
    <xdr:to>
      <xdr:col>4</xdr:col>
      <xdr:colOff>0</xdr:colOff>
      <xdr:row>31</xdr:row>
      <xdr:rowOff>66262</xdr:rowOff>
    </xdr:to>
    <xdr:cxnSp macro="">
      <xdr:nvCxnSpPr>
        <xdr:cNvPr id="65" name="Straight Arrow Connector 64"/>
        <xdr:cNvCxnSpPr/>
      </xdr:nvCxnSpPr>
      <xdr:spPr>
        <a:xfrm flipH="1" flipV="1">
          <a:off x="3205370" y="4331804"/>
          <a:ext cx="323021" cy="7454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B12" sqref="B12"/>
    </sheetView>
  </sheetViews>
  <sheetFormatPr defaultRowHeight="15" x14ac:dyDescent="0.25"/>
  <cols>
    <col min="2" max="2" width="36.42578125" customWidth="1"/>
    <col min="3" max="3" width="19.5703125" customWidth="1"/>
    <col min="4" max="4" width="17.7109375" customWidth="1"/>
    <col min="5" max="5" width="18.7109375" customWidth="1"/>
    <col min="6" max="6" width="12.140625" customWidth="1"/>
    <col min="7" max="7" width="27" customWidth="1"/>
  </cols>
  <sheetData>
    <row r="1" spans="1:7" ht="35.25" customHeight="1" x14ac:dyDescent="0.35">
      <c r="A1" s="50" t="s">
        <v>0</v>
      </c>
      <c r="B1" s="50"/>
      <c r="C1" s="50"/>
      <c r="D1" s="50"/>
      <c r="E1" s="50"/>
      <c r="F1" s="50"/>
      <c r="G1" s="1" t="s">
        <v>9</v>
      </c>
    </row>
    <row r="2" spans="1:7" ht="24.95" customHeight="1" x14ac:dyDescent="0.35">
      <c r="A2" s="5" t="s">
        <v>1</v>
      </c>
      <c r="B2" s="5" t="s">
        <v>2</v>
      </c>
      <c r="C2" s="5" t="s">
        <v>4</v>
      </c>
      <c r="D2" s="5" t="s">
        <v>6</v>
      </c>
      <c r="E2" s="1"/>
      <c r="F2" s="1"/>
      <c r="G2" s="1"/>
    </row>
    <row r="3" spans="1:7" ht="24.95" customHeight="1" x14ac:dyDescent="0.25">
      <c r="A3" s="3">
        <v>1</v>
      </c>
      <c r="B3" s="1" t="s">
        <v>3</v>
      </c>
      <c r="C3" s="1" t="s">
        <v>5</v>
      </c>
      <c r="D3" s="3">
        <v>1552</v>
      </c>
      <c r="E3" s="1"/>
      <c r="F3" s="1"/>
      <c r="G3" s="1"/>
    </row>
    <row r="4" spans="1:7" ht="24.95" customHeight="1" x14ac:dyDescent="0.25">
      <c r="A4" s="3">
        <v>2</v>
      </c>
      <c r="B4" s="1" t="s">
        <v>7</v>
      </c>
      <c r="C4" s="1" t="s">
        <v>8</v>
      </c>
      <c r="D4" s="3">
        <v>216</v>
      </c>
      <c r="E4" s="1"/>
      <c r="F4" s="1"/>
      <c r="G4" s="1" t="s">
        <v>10</v>
      </c>
    </row>
    <row r="5" spans="1:7" ht="24.95" customHeight="1" x14ac:dyDescent="0.25">
      <c r="A5" s="3">
        <v>3</v>
      </c>
      <c r="B5" s="1" t="s">
        <v>11</v>
      </c>
      <c r="C5" s="1" t="s">
        <v>5</v>
      </c>
      <c r="D5" s="3">
        <v>35</v>
      </c>
      <c r="E5" s="1"/>
      <c r="F5" s="1"/>
      <c r="G5" s="1"/>
    </row>
    <row r="6" spans="1:7" ht="24.95" customHeight="1" x14ac:dyDescent="0.25">
      <c r="A6" s="3">
        <v>4</v>
      </c>
      <c r="B6" s="1" t="s">
        <v>12</v>
      </c>
      <c r="C6" s="1" t="s">
        <v>8</v>
      </c>
      <c r="D6" s="3">
        <v>352</v>
      </c>
      <c r="E6" s="1"/>
      <c r="F6" s="1"/>
      <c r="G6" s="1"/>
    </row>
    <row r="7" spans="1:7" ht="24.95" customHeight="1" x14ac:dyDescent="0.25">
      <c r="A7" s="3">
        <v>5</v>
      </c>
      <c r="B7" s="1" t="s">
        <v>13</v>
      </c>
      <c r="C7" s="1" t="s">
        <v>14</v>
      </c>
      <c r="D7" s="3">
        <v>322</v>
      </c>
      <c r="E7" s="1"/>
      <c r="F7" s="1"/>
      <c r="G7" s="1"/>
    </row>
    <row r="8" spans="1:7" ht="24.95" customHeight="1" x14ac:dyDescent="0.25">
      <c r="A8" s="3">
        <v>6</v>
      </c>
      <c r="B8" s="1" t="s">
        <v>15</v>
      </c>
      <c r="C8" s="1" t="s">
        <v>14</v>
      </c>
      <c r="D8" s="3">
        <v>30</v>
      </c>
      <c r="E8" s="1"/>
      <c r="F8" s="1"/>
      <c r="G8" s="1"/>
    </row>
    <row r="9" spans="1:7" ht="24.95" customHeight="1" x14ac:dyDescent="0.25">
      <c r="A9" s="3">
        <v>7</v>
      </c>
      <c r="B9" s="1" t="s">
        <v>16</v>
      </c>
      <c r="C9" s="1" t="s">
        <v>14</v>
      </c>
      <c r="D9" s="3">
        <v>38</v>
      </c>
      <c r="E9" s="1"/>
      <c r="F9" s="1"/>
      <c r="G9" s="1"/>
    </row>
    <row r="10" spans="1:7" ht="24.95" customHeight="1" x14ac:dyDescent="0.25">
      <c r="A10" s="3">
        <v>8</v>
      </c>
      <c r="B10" s="2" t="s">
        <v>17</v>
      </c>
      <c r="C10" s="1"/>
      <c r="D10" s="3"/>
      <c r="E10" s="1"/>
      <c r="F10" s="1"/>
      <c r="G10" s="1"/>
    </row>
    <row r="11" spans="1:7" ht="24.95" customHeight="1" x14ac:dyDescent="0.25">
      <c r="A11" s="1"/>
      <c r="B11" s="1"/>
      <c r="C11" s="1"/>
      <c r="D11" s="1"/>
      <c r="E11" s="1"/>
      <c r="F11" s="1"/>
      <c r="G11" s="1"/>
    </row>
    <row r="12" spans="1:7" ht="24.95" customHeight="1" x14ac:dyDescent="0.25">
      <c r="A12" s="1"/>
      <c r="B12" s="1"/>
      <c r="C12" s="1"/>
      <c r="D12" s="1"/>
      <c r="E12" s="1"/>
      <c r="F12" s="1"/>
      <c r="G12" s="1"/>
    </row>
    <row r="13" spans="1:7" ht="24.95" customHeight="1" x14ac:dyDescent="0.25">
      <c r="A13" s="1"/>
      <c r="B13" s="1"/>
      <c r="C13" s="1"/>
      <c r="D13" s="1"/>
      <c r="E13" s="1"/>
      <c r="F13" s="1"/>
      <c r="G13" s="1"/>
    </row>
    <row r="14" spans="1:7" ht="24.95" customHeight="1" x14ac:dyDescent="0.25">
      <c r="A14" s="1"/>
      <c r="B14" s="1"/>
      <c r="C14" s="1"/>
      <c r="D14" s="1"/>
      <c r="E14" s="1"/>
      <c r="F14" s="1"/>
      <c r="G14" s="1"/>
    </row>
    <row r="15" spans="1:7" ht="24.95" customHeight="1" x14ac:dyDescent="0.25">
      <c r="A15" s="1"/>
      <c r="B15" s="1"/>
      <c r="C15" s="1"/>
      <c r="D15" s="1"/>
      <c r="E15" s="1"/>
      <c r="F15" s="1"/>
      <c r="G15" s="1"/>
    </row>
    <row r="16" spans="1:7" ht="24.95" customHeight="1" x14ac:dyDescent="0.25">
      <c r="A16" s="1"/>
      <c r="B16" s="1"/>
      <c r="C16" s="1"/>
      <c r="D16" s="1"/>
      <c r="E16" s="1"/>
      <c r="F16" s="1"/>
      <c r="G16" s="1"/>
    </row>
    <row r="17" spans="1:7" ht="24.95" customHeight="1" x14ac:dyDescent="0.25">
      <c r="A17" s="1"/>
      <c r="B17" s="1"/>
      <c r="C17" s="1"/>
      <c r="D17" s="1"/>
      <c r="E17" s="1"/>
      <c r="F17" s="1"/>
      <c r="G17" s="1"/>
    </row>
    <row r="18" spans="1:7" ht="24.95" customHeight="1" x14ac:dyDescent="0.25">
      <c r="A18" s="1"/>
      <c r="B18" s="1"/>
      <c r="C18" s="1"/>
      <c r="D18" s="1"/>
      <c r="E18" s="1"/>
      <c r="F18" s="1"/>
      <c r="G18" s="1"/>
    </row>
    <row r="19" spans="1:7" ht="24.95" customHeight="1" x14ac:dyDescent="0.25">
      <c r="A19" s="1"/>
      <c r="B19" s="1"/>
      <c r="C19" s="1"/>
      <c r="D19" s="1"/>
      <c r="E19" s="1"/>
      <c r="F19" s="1"/>
      <c r="G19" s="1"/>
    </row>
    <row r="20" spans="1:7" ht="24.95" customHeight="1" x14ac:dyDescent="0.25">
      <c r="A20" s="1"/>
      <c r="B20" s="1"/>
      <c r="C20" s="1"/>
      <c r="D20" s="1"/>
      <c r="E20" s="1"/>
      <c r="F20" s="1"/>
      <c r="G20" s="1"/>
    </row>
    <row r="21" spans="1:7" ht="24.95" customHeight="1" x14ac:dyDescent="0.25">
      <c r="A21" s="1"/>
      <c r="B21" s="1"/>
      <c r="C21" s="1"/>
      <c r="D21" s="1"/>
      <c r="E21" s="1"/>
      <c r="F21" s="1"/>
      <c r="G21" s="1"/>
    </row>
    <row r="22" spans="1:7" ht="24.95" customHeight="1" x14ac:dyDescent="0.25">
      <c r="A22" s="1"/>
      <c r="B22" s="1"/>
      <c r="C22" s="1"/>
      <c r="D22" s="1"/>
      <c r="E22" s="1"/>
      <c r="F22" s="1"/>
      <c r="G22" s="1"/>
    </row>
    <row r="23" spans="1:7" ht="24.95" customHeight="1" x14ac:dyDescent="0.25">
      <c r="A23" s="1"/>
      <c r="B23" s="1"/>
      <c r="C23" s="1"/>
      <c r="D23" s="1"/>
      <c r="E23" s="1"/>
      <c r="F23" s="1"/>
      <c r="G23" s="1"/>
    </row>
    <row r="24" spans="1:7" ht="24.95" customHeight="1" x14ac:dyDescent="0.25">
      <c r="A24" s="1"/>
      <c r="B24" s="1"/>
      <c r="C24" s="1"/>
      <c r="D24" s="1"/>
      <c r="E24" s="1"/>
      <c r="F24" s="1"/>
      <c r="G24" s="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view="pageBreakPreview" zoomScaleNormal="100" zoomScaleSheetLayoutView="100" workbookViewId="0">
      <selection activeCell="J17" sqref="J17"/>
    </sheetView>
  </sheetViews>
  <sheetFormatPr defaultRowHeight="15" x14ac:dyDescent="0.25"/>
  <cols>
    <col min="1" max="1" width="10.7109375" style="7" customWidth="1"/>
    <col min="2" max="2" width="22" style="7" bestFit="1" customWidth="1"/>
    <col min="3" max="4" width="15.42578125" style="7" customWidth="1"/>
    <col min="5" max="5" width="14.85546875" style="11" customWidth="1"/>
    <col min="6" max="6" width="19.85546875" style="7" hidden="1" customWidth="1"/>
    <col min="7" max="7" width="16.5703125" style="7" hidden="1" customWidth="1"/>
    <col min="8" max="8" width="16.140625" style="7" customWidth="1"/>
    <col min="9" max="9" width="16.140625" style="7" hidden="1" customWidth="1"/>
    <col min="10" max="10" width="18.42578125" style="7" customWidth="1"/>
    <col min="11" max="16384" width="9.140625" style="7"/>
  </cols>
  <sheetData>
    <row r="1" spans="1:10" ht="29.25" customHeight="1" x14ac:dyDescent="0.25">
      <c r="A1" s="51" t="s">
        <v>44</v>
      </c>
      <c r="B1" s="52"/>
      <c r="C1" s="52"/>
      <c r="D1" s="52"/>
      <c r="E1" s="52"/>
      <c r="F1" s="52"/>
      <c r="G1" s="52"/>
      <c r="H1" s="52"/>
      <c r="I1" s="52"/>
      <c r="J1" s="53"/>
    </row>
    <row r="2" spans="1:10" ht="31.5" customHeight="1" x14ac:dyDescent="0.25">
      <c r="A2" s="54" t="s">
        <v>18</v>
      </c>
      <c r="B2" s="56" t="s">
        <v>52</v>
      </c>
      <c r="C2" s="66" t="s">
        <v>46</v>
      </c>
      <c r="D2" s="66"/>
      <c r="E2" s="66"/>
      <c r="F2" s="10" t="s">
        <v>20</v>
      </c>
      <c r="G2" s="10" t="s">
        <v>21</v>
      </c>
      <c r="H2" s="58" t="s">
        <v>43</v>
      </c>
      <c r="I2" s="10"/>
      <c r="J2" s="60" t="s">
        <v>45</v>
      </c>
    </row>
    <row r="3" spans="1:10" ht="21" customHeight="1" x14ac:dyDescent="0.25">
      <c r="A3" s="55"/>
      <c r="B3" s="57"/>
      <c r="C3" s="10" t="s">
        <v>61</v>
      </c>
      <c r="D3" s="10" t="s">
        <v>60</v>
      </c>
      <c r="E3" s="10" t="s">
        <v>62</v>
      </c>
      <c r="F3" s="10"/>
      <c r="G3" s="10"/>
      <c r="H3" s="59"/>
      <c r="I3" s="10"/>
      <c r="J3" s="61"/>
    </row>
    <row r="4" spans="1:10" ht="23.25" customHeight="1" x14ac:dyDescent="0.25">
      <c r="A4" s="26">
        <v>1</v>
      </c>
      <c r="B4" s="9" t="s">
        <v>53</v>
      </c>
      <c r="C4" s="27">
        <v>600</v>
      </c>
      <c r="D4" s="9">
        <v>300</v>
      </c>
      <c r="E4" s="27">
        <f>2950-450</f>
        <v>2500</v>
      </c>
      <c r="F4" s="9">
        <v>62</v>
      </c>
      <c r="G4" s="9">
        <v>31</v>
      </c>
      <c r="H4" s="9">
        <v>10</v>
      </c>
      <c r="I4" s="9">
        <f>0.3*0.6*10*2.5</f>
        <v>4.5</v>
      </c>
      <c r="J4" s="28"/>
    </row>
    <row r="5" spans="1:10" ht="23.25" customHeight="1" x14ac:dyDescent="0.25">
      <c r="A5" s="26">
        <v>2</v>
      </c>
      <c r="B5" s="9" t="s">
        <v>54</v>
      </c>
      <c r="C5" s="27">
        <v>750</v>
      </c>
      <c r="D5" s="9">
        <v>300</v>
      </c>
      <c r="E5" s="27">
        <f t="shared" ref="E5:E24" si="0">2950-450</f>
        <v>2500</v>
      </c>
      <c r="F5" s="9">
        <v>30</v>
      </c>
      <c r="G5" s="9">
        <v>15</v>
      </c>
      <c r="H5" s="9">
        <v>5</v>
      </c>
      <c r="I5" s="29">
        <f>0.3*0.75*5*2.5</f>
        <v>2.8125</v>
      </c>
      <c r="J5" s="28"/>
    </row>
    <row r="6" spans="1:10" ht="23.25" customHeight="1" x14ac:dyDescent="0.25">
      <c r="A6" s="26">
        <v>3</v>
      </c>
      <c r="B6" s="9" t="s">
        <v>55</v>
      </c>
      <c r="C6" s="27">
        <v>715</v>
      </c>
      <c r="D6" s="9">
        <v>300</v>
      </c>
      <c r="E6" s="27">
        <f t="shared" si="0"/>
        <v>2500</v>
      </c>
      <c r="F6" s="9">
        <v>14</v>
      </c>
      <c r="G6" s="9">
        <v>7</v>
      </c>
      <c r="H6" s="9">
        <v>3</v>
      </c>
      <c r="I6" s="29">
        <f>0.3*0.715*3*2.5</f>
        <v>1.6087499999999999</v>
      </c>
      <c r="J6" s="28"/>
    </row>
    <row r="7" spans="1:10" ht="23.25" customHeight="1" x14ac:dyDescent="0.25">
      <c r="A7" s="26">
        <v>4</v>
      </c>
      <c r="B7" s="9" t="s">
        <v>56</v>
      </c>
      <c r="C7" s="27">
        <v>800</v>
      </c>
      <c r="D7" s="9">
        <v>300</v>
      </c>
      <c r="E7" s="27">
        <f t="shared" si="0"/>
        <v>2500</v>
      </c>
      <c r="F7" s="9">
        <v>4</v>
      </c>
      <c r="G7" s="9">
        <v>2</v>
      </c>
      <c r="H7" s="9">
        <v>1</v>
      </c>
      <c r="I7" s="9">
        <f>0.3*0.8*1*2.5</f>
        <v>0.6</v>
      </c>
      <c r="J7" s="28"/>
    </row>
    <row r="8" spans="1:10" ht="23.25" customHeight="1" x14ac:dyDescent="0.25">
      <c r="A8" s="26">
        <v>5</v>
      </c>
      <c r="B8" s="67" t="s">
        <v>47</v>
      </c>
      <c r="C8" s="30">
        <v>650</v>
      </c>
      <c r="D8" s="31">
        <v>230</v>
      </c>
      <c r="E8" s="27">
        <f t="shared" si="0"/>
        <v>2500</v>
      </c>
      <c r="F8" s="65">
        <v>2</v>
      </c>
      <c r="G8" s="64">
        <v>1</v>
      </c>
      <c r="H8" s="64">
        <v>1</v>
      </c>
      <c r="I8" s="63">
        <f>(H8+H9)/2</f>
        <v>0.5</v>
      </c>
      <c r="J8" s="62" t="s">
        <v>63</v>
      </c>
    </row>
    <row r="9" spans="1:10" ht="23.25" customHeight="1" x14ac:dyDescent="0.25">
      <c r="A9" s="26">
        <v>6</v>
      </c>
      <c r="B9" s="67"/>
      <c r="C9" s="30">
        <f>1650-230</f>
        <v>1420</v>
      </c>
      <c r="D9" s="31">
        <v>230</v>
      </c>
      <c r="E9" s="27">
        <f t="shared" si="0"/>
        <v>2500</v>
      </c>
      <c r="F9" s="65"/>
      <c r="G9" s="64"/>
      <c r="H9" s="64"/>
      <c r="I9" s="63"/>
      <c r="J9" s="62"/>
    </row>
    <row r="10" spans="1:10" ht="23.25" customHeight="1" x14ac:dyDescent="0.25">
      <c r="A10" s="26">
        <v>7</v>
      </c>
      <c r="B10" s="67" t="s">
        <v>48</v>
      </c>
      <c r="C10" s="30">
        <v>650</v>
      </c>
      <c r="D10" s="31">
        <v>230</v>
      </c>
      <c r="E10" s="27">
        <f t="shared" si="0"/>
        <v>2500</v>
      </c>
      <c r="F10" s="65">
        <v>2</v>
      </c>
      <c r="G10" s="64">
        <v>1</v>
      </c>
      <c r="H10" s="64">
        <v>1</v>
      </c>
      <c r="I10" s="63">
        <f>(H10+H11)/2</f>
        <v>0.5</v>
      </c>
      <c r="J10" s="62" t="s">
        <v>63</v>
      </c>
    </row>
    <row r="11" spans="1:10" ht="23.25" customHeight="1" x14ac:dyDescent="0.25">
      <c r="A11" s="26">
        <v>8</v>
      </c>
      <c r="B11" s="67"/>
      <c r="C11" s="30">
        <f>1850-230</f>
        <v>1620</v>
      </c>
      <c r="D11" s="31">
        <v>230</v>
      </c>
      <c r="E11" s="27">
        <f t="shared" si="0"/>
        <v>2500</v>
      </c>
      <c r="F11" s="65"/>
      <c r="G11" s="64"/>
      <c r="H11" s="64"/>
      <c r="I11" s="63"/>
      <c r="J11" s="62"/>
    </row>
    <row r="12" spans="1:10" ht="23.25" customHeight="1" x14ac:dyDescent="0.25">
      <c r="A12" s="26">
        <v>9</v>
      </c>
      <c r="B12" s="31" t="s">
        <v>22</v>
      </c>
      <c r="C12" s="30">
        <v>1000</v>
      </c>
      <c r="D12" s="31">
        <v>230</v>
      </c>
      <c r="E12" s="27">
        <f t="shared" si="0"/>
        <v>2500</v>
      </c>
      <c r="F12" s="32">
        <v>2</v>
      </c>
      <c r="G12" s="9">
        <v>1</v>
      </c>
      <c r="H12" s="9">
        <v>1</v>
      </c>
      <c r="I12" s="29">
        <f>H12/2</f>
        <v>0.5</v>
      </c>
      <c r="J12" s="28"/>
    </row>
    <row r="13" spans="1:10" ht="23.25" customHeight="1" x14ac:dyDescent="0.25">
      <c r="A13" s="26">
        <v>10</v>
      </c>
      <c r="B13" s="31" t="s">
        <v>23</v>
      </c>
      <c r="C13" s="30">
        <v>1150</v>
      </c>
      <c r="D13" s="31">
        <v>230</v>
      </c>
      <c r="E13" s="27">
        <f t="shared" si="0"/>
        <v>2500</v>
      </c>
      <c r="F13" s="32">
        <v>2</v>
      </c>
      <c r="G13" s="9">
        <v>1</v>
      </c>
      <c r="H13" s="9">
        <v>1</v>
      </c>
      <c r="I13" s="29">
        <f>H13/2</f>
        <v>0.5</v>
      </c>
      <c r="J13" s="28"/>
    </row>
    <row r="14" spans="1:10" ht="23.25" customHeight="1" x14ac:dyDescent="0.25">
      <c r="A14" s="26">
        <v>11</v>
      </c>
      <c r="B14" s="31" t="s">
        <v>24</v>
      </c>
      <c r="C14" s="30">
        <v>1700</v>
      </c>
      <c r="D14" s="31">
        <v>230</v>
      </c>
      <c r="E14" s="27">
        <f t="shared" si="0"/>
        <v>2500</v>
      </c>
      <c r="F14" s="32">
        <v>4</v>
      </c>
      <c r="G14" s="9">
        <v>2</v>
      </c>
      <c r="H14" s="9">
        <v>1</v>
      </c>
      <c r="I14" s="29">
        <f>H14/4</f>
        <v>0.25</v>
      </c>
      <c r="J14" s="28"/>
    </row>
    <row r="15" spans="1:10" ht="23.25" customHeight="1" x14ac:dyDescent="0.25">
      <c r="A15" s="26">
        <v>12</v>
      </c>
      <c r="B15" s="31" t="s">
        <v>25</v>
      </c>
      <c r="C15" s="30">
        <v>1185</v>
      </c>
      <c r="D15" s="31">
        <v>230</v>
      </c>
      <c r="E15" s="27">
        <f t="shared" si="0"/>
        <v>2500</v>
      </c>
      <c r="F15" s="32">
        <v>4</v>
      </c>
      <c r="G15" s="9">
        <v>2</v>
      </c>
      <c r="H15" s="9">
        <v>1</v>
      </c>
      <c r="I15" s="29">
        <f>H15/4</f>
        <v>0.25</v>
      </c>
      <c r="J15" s="28"/>
    </row>
    <row r="16" spans="1:10" ht="23.25" customHeight="1" x14ac:dyDescent="0.25">
      <c r="A16" s="26">
        <v>13</v>
      </c>
      <c r="B16" s="31" t="s">
        <v>26</v>
      </c>
      <c r="C16" s="30">
        <v>1855</v>
      </c>
      <c r="D16" s="31">
        <v>230</v>
      </c>
      <c r="E16" s="27">
        <f t="shared" si="0"/>
        <v>2500</v>
      </c>
      <c r="F16" s="32">
        <v>2</v>
      </c>
      <c r="G16" s="9">
        <v>1</v>
      </c>
      <c r="H16" s="9">
        <v>1</v>
      </c>
      <c r="I16" s="29">
        <f>H16/2</f>
        <v>0.5</v>
      </c>
      <c r="J16" s="28"/>
    </row>
    <row r="17" spans="1:10" ht="23.25" customHeight="1" x14ac:dyDescent="0.25">
      <c r="A17" s="26">
        <v>14</v>
      </c>
      <c r="B17" s="31" t="s">
        <v>27</v>
      </c>
      <c r="C17" s="30">
        <v>3600</v>
      </c>
      <c r="D17" s="31">
        <v>230</v>
      </c>
      <c r="E17" s="27">
        <f t="shared" si="0"/>
        <v>2500</v>
      </c>
      <c r="F17" s="32">
        <v>1</v>
      </c>
      <c r="G17" s="9">
        <v>1</v>
      </c>
      <c r="H17" s="9">
        <v>1</v>
      </c>
      <c r="I17" s="9">
        <v>2.0699999999999998</v>
      </c>
      <c r="J17" s="28"/>
    </row>
    <row r="18" spans="1:10" ht="23.25" customHeight="1" x14ac:dyDescent="0.25">
      <c r="A18" s="26">
        <v>15</v>
      </c>
      <c r="B18" s="67" t="s">
        <v>49</v>
      </c>
      <c r="C18" s="30">
        <v>650</v>
      </c>
      <c r="D18" s="31">
        <v>230</v>
      </c>
      <c r="E18" s="27">
        <f t="shared" si="0"/>
        <v>2500</v>
      </c>
      <c r="F18" s="65">
        <v>6</v>
      </c>
      <c r="G18" s="64">
        <v>3</v>
      </c>
      <c r="H18" s="64">
        <v>1</v>
      </c>
      <c r="I18" s="63">
        <f>(H18+H19)/6</f>
        <v>0.16666666666666666</v>
      </c>
      <c r="J18" s="62" t="s">
        <v>63</v>
      </c>
    </row>
    <row r="19" spans="1:10" ht="23.25" customHeight="1" x14ac:dyDescent="0.25">
      <c r="A19" s="26">
        <v>16</v>
      </c>
      <c r="B19" s="67"/>
      <c r="C19" s="30">
        <f>1850-230</f>
        <v>1620</v>
      </c>
      <c r="D19" s="31">
        <v>230</v>
      </c>
      <c r="E19" s="27">
        <f t="shared" si="0"/>
        <v>2500</v>
      </c>
      <c r="F19" s="65"/>
      <c r="G19" s="64"/>
      <c r="H19" s="64"/>
      <c r="I19" s="63"/>
      <c r="J19" s="62"/>
    </row>
    <row r="20" spans="1:10" ht="23.25" customHeight="1" x14ac:dyDescent="0.25">
      <c r="A20" s="26">
        <v>17</v>
      </c>
      <c r="B20" s="31" t="s">
        <v>28</v>
      </c>
      <c r="C20" s="30">
        <v>3445</v>
      </c>
      <c r="D20" s="31">
        <v>230</v>
      </c>
      <c r="E20" s="27">
        <f t="shared" si="0"/>
        <v>2500</v>
      </c>
      <c r="F20" s="32">
        <v>2</v>
      </c>
      <c r="G20" s="9">
        <v>1</v>
      </c>
      <c r="H20" s="9">
        <v>1</v>
      </c>
      <c r="I20" s="29">
        <f>H20/2</f>
        <v>0.5</v>
      </c>
      <c r="J20" s="28"/>
    </row>
    <row r="21" spans="1:10" ht="23.25" customHeight="1" x14ac:dyDescent="0.25">
      <c r="A21" s="26">
        <v>18</v>
      </c>
      <c r="B21" s="31" t="s">
        <v>29</v>
      </c>
      <c r="C21" s="30">
        <v>4065</v>
      </c>
      <c r="D21" s="31">
        <v>230</v>
      </c>
      <c r="E21" s="27">
        <f t="shared" si="0"/>
        <v>2500</v>
      </c>
      <c r="F21" s="32">
        <v>2</v>
      </c>
      <c r="G21" s="9">
        <v>1</v>
      </c>
      <c r="H21" s="9">
        <v>1</v>
      </c>
      <c r="I21" s="29">
        <f t="shared" ref="I21" si="1">H21/2</f>
        <v>0.5</v>
      </c>
      <c r="J21" s="28"/>
    </row>
    <row r="22" spans="1:10" ht="23.25" customHeight="1" x14ac:dyDescent="0.25">
      <c r="A22" s="26">
        <v>19</v>
      </c>
      <c r="B22" s="67" t="s">
        <v>50</v>
      </c>
      <c r="C22" s="30">
        <v>650</v>
      </c>
      <c r="D22" s="31">
        <v>230</v>
      </c>
      <c r="E22" s="27">
        <f t="shared" si="0"/>
        <v>2500</v>
      </c>
      <c r="F22" s="65">
        <v>2</v>
      </c>
      <c r="G22" s="64">
        <v>1</v>
      </c>
      <c r="H22" s="64">
        <v>1</v>
      </c>
      <c r="I22" s="63">
        <f>(H22+H23)/2</f>
        <v>0.5</v>
      </c>
      <c r="J22" s="62" t="s">
        <v>63</v>
      </c>
    </row>
    <row r="23" spans="1:10" ht="23.25" customHeight="1" x14ac:dyDescent="0.25">
      <c r="A23" s="26">
        <v>20</v>
      </c>
      <c r="B23" s="67"/>
      <c r="C23" s="30">
        <f>1535-230</f>
        <v>1305</v>
      </c>
      <c r="D23" s="31">
        <v>230</v>
      </c>
      <c r="E23" s="27">
        <f t="shared" si="0"/>
        <v>2500</v>
      </c>
      <c r="F23" s="65"/>
      <c r="G23" s="64"/>
      <c r="H23" s="64"/>
      <c r="I23" s="63"/>
      <c r="J23" s="62"/>
    </row>
    <row r="24" spans="1:10" ht="23.25" customHeight="1" x14ac:dyDescent="0.25">
      <c r="A24" s="26">
        <v>21</v>
      </c>
      <c r="B24" s="31" t="s">
        <v>30</v>
      </c>
      <c r="C24" s="30">
        <v>3445</v>
      </c>
      <c r="D24" s="31">
        <v>200</v>
      </c>
      <c r="E24" s="27">
        <f t="shared" si="0"/>
        <v>2500</v>
      </c>
      <c r="F24" s="32">
        <v>2</v>
      </c>
      <c r="G24" s="9">
        <v>1</v>
      </c>
      <c r="H24" s="9">
        <v>1</v>
      </c>
      <c r="I24" s="29">
        <f>H24/2</f>
        <v>0.5</v>
      </c>
      <c r="J24" s="28"/>
    </row>
    <row r="25" spans="1:10" ht="23.25" customHeight="1" x14ac:dyDescent="0.25">
      <c r="A25" s="26"/>
      <c r="B25" s="31"/>
      <c r="C25" s="31"/>
      <c r="D25" s="31"/>
      <c r="E25" s="30"/>
      <c r="F25" s="32"/>
      <c r="G25" s="9"/>
      <c r="H25" s="9"/>
      <c r="I25" s="29"/>
      <c r="J25" s="28"/>
    </row>
    <row r="26" spans="1:10" ht="23.25" customHeight="1" x14ac:dyDescent="0.25">
      <c r="A26" s="26"/>
      <c r="B26" s="9"/>
      <c r="C26" s="9"/>
      <c r="D26" s="9"/>
      <c r="E26" s="13" t="s">
        <v>51</v>
      </c>
      <c r="F26" s="14"/>
      <c r="G26" s="14"/>
      <c r="H26" s="14">
        <f>SUM(H4:H25)</f>
        <v>32</v>
      </c>
      <c r="I26" s="29"/>
      <c r="J26" s="28"/>
    </row>
    <row r="27" spans="1:10" ht="15.75" thickBot="1" x14ac:dyDescent="0.3">
      <c r="A27" s="33"/>
      <c r="B27" s="34"/>
      <c r="C27" s="34"/>
      <c r="D27" s="34"/>
      <c r="E27" s="35"/>
      <c r="F27" s="34"/>
      <c r="G27" s="34"/>
      <c r="H27" s="34"/>
      <c r="I27" s="34"/>
      <c r="J27" s="36"/>
    </row>
  </sheetData>
  <mergeCells count="30">
    <mergeCell ref="B8:B9"/>
    <mergeCell ref="B10:B11"/>
    <mergeCell ref="B18:B19"/>
    <mergeCell ref="B22:B23"/>
    <mergeCell ref="H22:H23"/>
    <mergeCell ref="H8:H9"/>
    <mergeCell ref="H10:H11"/>
    <mergeCell ref="H18:H19"/>
    <mergeCell ref="F18:F19"/>
    <mergeCell ref="F22:F23"/>
    <mergeCell ref="G22:G23"/>
    <mergeCell ref="F8:F9"/>
    <mergeCell ref="G8:G9"/>
    <mergeCell ref="F10:F11"/>
    <mergeCell ref="G10:G11"/>
    <mergeCell ref="G18:G19"/>
    <mergeCell ref="J8:J9"/>
    <mergeCell ref="J10:J11"/>
    <mergeCell ref="J18:J19"/>
    <mergeCell ref="J22:J23"/>
    <mergeCell ref="I8:I9"/>
    <mergeCell ref="I10:I11"/>
    <mergeCell ref="I18:I19"/>
    <mergeCell ref="I22:I23"/>
    <mergeCell ref="A1:J1"/>
    <mergeCell ref="A2:A3"/>
    <mergeCell ref="B2:B3"/>
    <mergeCell ref="H2:H3"/>
    <mergeCell ref="J2:J3"/>
    <mergeCell ref="C2:E2"/>
  </mergeCells>
  <pageMargins left="0.7" right="0.7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tabSelected="1" workbookViewId="0">
      <selection activeCell="K8" sqref="K8"/>
    </sheetView>
  </sheetViews>
  <sheetFormatPr defaultRowHeight="15" x14ac:dyDescent="0.25"/>
  <cols>
    <col min="1" max="1" width="9.140625" style="7"/>
    <col min="2" max="2" width="22" style="15" bestFit="1" customWidth="1"/>
    <col min="3" max="3" width="15.42578125" style="15" bestFit="1" customWidth="1"/>
    <col min="4" max="4" width="13.28515625" style="15" bestFit="1" customWidth="1"/>
    <col min="5" max="5" width="12.7109375" style="15" customWidth="1"/>
    <col min="6" max="6" width="13.28515625" style="15" customWidth="1"/>
    <col min="7" max="9" width="12.7109375" style="15" customWidth="1"/>
    <col min="10" max="10" width="14.28515625" style="15" customWidth="1"/>
    <col min="11" max="16384" width="9.140625" style="15"/>
  </cols>
  <sheetData>
    <row r="1" spans="1:10" ht="18.75" customHeight="1" x14ac:dyDescent="0.25">
      <c r="A1" s="68" t="s">
        <v>59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s="7" customFormat="1" ht="20.100000000000001" customHeight="1" x14ac:dyDescent="0.25">
      <c r="A2" s="4" t="s">
        <v>1</v>
      </c>
      <c r="B2" s="4" t="s">
        <v>19</v>
      </c>
      <c r="C2" s="4" t="s">
        <v>58</v>
      </c>
      <c r="D2" s="4" t="s">
        <v>51</v>
      </c>
      <c r="E2" s="4" t="s">
        <v>31</v>
      </c>
      <c r="F2" s="4" t="s">
        <v>32</v>
      </c>
      <c r="G2" s="4" t="s">
        <v>33</v>
      </c>
      <c r="H2" s="4" t="s">
        <v>57</v>
      </c>
      <c r="I2" s="4" t="s">
        <v>34</v>
      </c>
      <c r="J2" s="4" t="s">
        <v>45</v>
      </c>
    </row>
    <row r="3" spans="1:10" ht="20.100000000000001" customHeight="1" x14ac:dyDescent="0.25">
      <c r="A3" s="19">
        <v>1</v>
      </c>
      <c r="B3" s="19" t="s">
        <v>53</v>
      </c>
      <c r="C3" s="20">
        <v>31</v>
      </c>
      <c r="D3" s="20">
        <v>10</v>
      </c>
      <c r="E3" s="22">
        <v>10</v>
      </c>
      <c r="F3" s="22">
        <v>10</v>
      </c>
      <c r="G3" s="22">
        <v>10</v>
      </c>
      <c r="H3" s="22">
        <v>1</v>
      </c>
      <c r="I3" s="22">
        <f>SUM(E3:H3)</f>
        <v>31</v>
      </c>
      <c r="J3" s="16"/>
    </row>
    <row r="4" spans="1:10" ht="20.100000000000001" customHeight="1" x14ac:dyDescent="0.25">
      <c r="A4" s="4">
        <v>2</v>
      </c>
      <c r="B4" s="4" t="s">
        <v>54</v>
      </c>
      <c r="C4" s="21">
        <v>15</v>
      </c>
      <c r="D4" s="21">
        <v>5</v>
      </c>
      <c r="E4" s="23">
        <v>5</v>
      </c>
      <c r="F4" s="23">
        <v>5</v>
      </c>
      <c r="G4" s="23">
        <v>5</v>
      </c>
      <c r="H4" s="23"/>
      <c r="I4" s="23">
        <f t="shared" ref="I4:I19" si="0">SUM(E4:H4)</f>
        <v>15</v>
      </c>
      <c r="J4" s="16"/>
    </row>
    <row r="5" spans="1:10" ht="20.100000000000001" customHeight="1" x14ac:dyDescent="0.25">
      <c r="A5" s="4">
        <v>3</v>
      </c>
      <c r="B5" s="4" t="s">
        <v>55</v>
      </c>
      <c r="C5" s="21">
        <v>7</v>
      </c>
      <c r="D5" s="21">
        <v>3</v>
      </c>
      <c r="E5" s="23">
        <v>3</v>
      </c>
      <c r="F5" s="23">
        <v>3</v>
      </c>
      <c r="G5" s="23">
        <v>1</v>
      </c>
      <c r="H5" s="23"/>
      <c r="I5" s="23">
        <f t="shared" si="0"/>
        <v>7</v>
      </c>
      <c r="J5" s="16"/>
    </row>
    <row r="6" spans="1:10" ht="20.100000000000001" customHeight="1" x14ac:dyDescent="0.25">
      <c r="A6" s="4">
        <v>4</v>
      </c>
      <c r="B6" s="17" t="s">
        <v>56</v>
      </c>
      <c r="C6" s="21">
        <v>2</v>
      </c>
      <c r="D6" s="21">
        <v>1</v>
      </c>
      <c r="E6" s="23">
        <v>1</v>
      </c>
      <c r="F6" s="23">
        <v>1</v>
      </c>
      <c r="G6" s="23"/>
      <c r="H6" s="23"/>
      <c r="I6" s="23">
        <f t="shared" si="0"/>
        <v>2</v>
      </c>
      <c r="J6" s="16"/>
    </row>
    <row r="7" spans="1:10" ht="20.100000000000001" customHeight="1" x14ac:dyDescent="0.25">
      <c r="A7" s="4">
        <v>5</v>
      </c>
      <c r="B7" s="8" t="s">
        <v>47</v>
      </c>
      <c r="C7" s="21">
        <v>1</v>
      </c>
      <c r="D7" s="21">
        <v>1</v>
      </c>
      <c r="E7" s="23">
        <v>1</v>
      </c>
      <c r="F7" s="23"/>
      <c r="G7" s="23"/>
      <c r="H7" s="23"/>
      <c r="I7" s="23">
        <f t="shared" si="0"/>
        <v>1</v>
      </c>
      <c r="J7" s="16"/>
    </row>
    <row r="8" spans="1:10" ht="20.100000000000001" customHeight="1" x14ac:dyDescent="0.25">
      <c r="A8" s="4">
        <v>7</v>
      </c>
      <c r="B8" s="8" t="s">
        <v>48</v>
      </c>
      <c r="C8" s="21">
        <v>1</v>
      </c>
      <c r="D8" s="21">
        <v>1</v>
      </c>
      <c r="E8" s="23">
        <v>1</v>
      </c>
      <c r="F8" s="23"/>
      <c r="G8" s="23"/>
      <c r="H8" s="23"/>
      <c r="I8" s="23">
        <f t="shared" si="0"/>
        <v>1</v>
      </c>
      <c r="J8" s="16"/>
    </row>
    <row r="9" spans="1:10" ht="20.100000000000001" customHeight="1" x14ac:dyDescent="0.25">
      <c r="A9" s="4">
        <v>9</v>
      </c>
      <c r="B9" s="8" t="s">
        <v>22</v>
      </c>
      <c r="C9" s="21">
        <v>1</v>
      </c>
      <c r="D9" s="21">
        <v>1</v>
      </c>
      <c r="E9" s="23">
        <v>1</v>
      </c>
      <c r="F9" s="23"/>
      <c r="G9" s="23"/>
      <c r="H9" s="23"/>
      <c r="I9" s="23">
        <f t="shared" si="0"/>
        <v>1</v>
      </c>
      <c r="J9" s="16"/>
    </row>
    <row r="10" spans="1:10" ht="20.100000000000001" customHeight="1" x14ac:dyDescent="0.25">
      <c r="A10" s="4">
        <v>10</v>
      </c>
      <c r="B10" s="8" t="s">
        <v>23</v>
      </c>
      <c r="C10" s="21">
        <v>1</v>
      </c>
      <c r="D10" s="21">
        <v>1</v>
      </c>
      <c r="E10" s="23">
        <v>1</v>
      </c>
      <c r="F10" s="23"/>
      <c r="G10" s="23"/>
      <c r="H10" s="23"/>
      <c r="I10" s="23">
        <f t="shared" si="0"/>
        <v>1</v>
      </c>
      <c r="J10" s="16"/>
    </row>
    <row r="11" spans="1:10" ht="20.100000000000001" customHeight="1" x14ac:dyDescent="0.25">
      <c r="A11" s="4">
        <v>11</v>
      </c>
      <c r="B11" s="8" t="s">
        <v>24</v>
      </c>
      <c r="C11" s="21">
        <v>2</v>
      </c>
      <c r="D11" s="21">
        <v>1</v>
      </c>
      <c r="E11" s="23">
        <v>1</v>
      </c>
      <c r="F11" s="23">
        <v>1</v>
      </c>
      <c r="G11" s="23"/>
      <c r="H11" s="23"/>
      <c r="I11" s="23">
        <f t="shared" si="0"/>
        <v>2</v>
      </c>
      <c r="J11" s="16"/>
    </row>
    <row r="12" spans="1:10" ht="20.100000000000001" customHeight="1" x14ac:dyDescent="0.25">
      <c r="A12" s="4">
        <v>12</v>
      </c>
      <c r="B12" s="8" t="s">
        <v>25</v>
      </c>
      <c r="C12" s="21">
        <v>2</v>
      </c>
      <c r="D12" s="21">
        <v>1</v>
      </c>
      <c r="E12" s="23">
        <v>1</v>
      </c>
      <c r="F12" s="23">
        <v>1</v>
      </c>
      <c r="G12" s="23"/>
      <c r="H12" s="23"/>
      <c r="I12" s="23">
        <f t="shared" si="0"/>
        <v>2</v>
      </c>
      <c r="J12" s="16"/>
    </row>
    <row r="13" spans="1:10" ht="20.100000000000001" customHeight="1" x14ac:dyDescent="0.25">
      <c r="A13" s="4">
        <v>13</v>
      </c>
      <c r="B13" s="8" t="s">
        <v>26</v>
      </c>
      <c r="C13" s="21">
        <v>1</v>
      </c>
      <c r="D13" s="21">
        <v>1</v>
      </c>
      <c r="E13" s="23">
        <v>1</v>
      </c>
      <c r="F13" s="23"/>
      <c r="G13" s="23"/>
      <c r="H13" s="23"/>
      <c r="I13" s="23">
        <f t="shared" si="0"/>
        <v>1</v>
      </c>
      <c r="J13" s="16"/>
    </row>
    <row r="14" spans="1:10" ht="20.100000000000001" customHeight="1" x14ac:dyDescent="0.25">
      <c r="A14" s="4">
        <v>14</v>
      </c>
      <c r="B14" s="8" t="s">
        <v>27</v>
      </c>
      <c r="C14" s="21">
        <v>1</v>
      </c>
      <c r="D14" s="21">
        <v>1</v>
      </c>
      <c r="E14" s="23">
        <v>1</v>
      </c>
      <c r="F14" s="23"/>
      <c r="G14" s="23"/>
      <c r="H14" s="23"/>
      <c r="I14" s="23">
        <f t="shared" si="0"/>
        <v>1</v>
      </c>
      <c r="J14" s="16"/>
    </row>
    <row r="15" spans="1:10" ht="20.100000000000001" customHeight="1" x14ac:dyDescent="0.25">
      <c r="A15" s="4">
        <v>15</v>
      </c>
      <c r="B15" s="8" t="s">
        <v>49</v>
      </c>
      <c r="C15" s="21">
        <v>3</v>
      </c>
      <c r="D15" s="21">
        <v>1</v>
      </c>
      <c r="E15" s="23">
        <v>1</v>
      </c>
      <c r="F15" s="23">
        <v>1</v>
      </c>
      <c r="G15" s="23">
        <v>1</v>
      </c>
      <c r="H15" s="23"/>
      <c r="I15" s="23">
        <f t="shared" si="0"/>
        <v>3</v>
      </c>
      <c r="J15" s="16"/>
    </row>
    <row r="16" spans="1:10" ht="20.100000000000001" customHeight="1" x14ac:dyDescent="0.25">
      <c r="A16" s="4">
        <v>17</v>
      </c>
      <c r="B16" s="8" t="s">
        <v>28</v>
      </c>
      <c r="C16" s="21">
        <v>1</v>
      </c>
      <c r="D16" s="21">
        <v>1</v>
      </c>
      <c r="E16" s="23">
        <v>1</v>
      </c>
      <c r="F16" s="23"/>
      <c r="G16" s="23"/>
      <c r="H16" s="23"/>
      <c r="I16" s="23">
        <f t="shared" si="0"/>
        <v>1</v>
      </c>
      <c r="J16" s="16"/>
    </row>
    <row r="17" spans="1:10" ht="20.100000000000001" customHeight="1" x14ac:dyDescent="0.25">
      <c r="A17" s="4">
        <v>18</v>
      </c>
      <c r="B17" s="8" t="s">
        <v>29</v>
      </c>
      <c r="C17" s="21">
        <v>1</v>
      </c>
      <c r="D17" s="21">
        <v>1</v>
      </c>
      <c r="E17" s="23">
        <v>1</v>
      </c>
      <c r="F17" s="23"/>
      <c r="G17" s="23"/>
      <c r="H17" s="23"/>
      <c r="I17" s="23">
        <f t="shared" si="0"/>
        <v>1</v>
      </c>
      <c r="J17" s="16"/>
    </row>
    <row r="18" spans="1:10" ht="20.100000000000001" customHeight="1" x14ac:dyDescent="0.25">
      <c r="A18" s="4">
        <v>19</v>
      </c>
      <c r="B18" s="8" t="s">
        <v>50</v>
      </c>
      <c r="C18" s="21">
        <v>1</v>
      </c>
      <c r="D18" s="21">
        <v>1</v>
      </c>
      <c r="E18" s="23">
        <v>1</v>
      </c>
      <c r="F18" s="23"/>
      <c r="G18" s="23"/>
      <c r="H18" s="23"/>
      <c r="I18" s="23">
        <f t="shared" si="0"/>
        <v>1</v>
      </c>
      <c r="J18" s="16"/>
    </row>
    <row r="19" spans="1:10" ht="20.100000000000001" customHeight="1" x14ac:dyDescent="0.25">
      <c r="A19" s="4">
        <v>21</v>
      </c>
      <c r="B19" s="8" t="s">
        <v>30</v>
      </c>
      <c r="C19" s="21">
        <v>1</v>
      </c>
      <c r="D19" s="21">
        <v>1</v>
      </c>
      <c r="E19" s="23">
        <v>1</v>
      </c>
      <c r="F19" s="23"/>
      <c r="G19" s="23"/>
      <c r="H19" s="23"/>
      <c r="I19" s="23">
        <f t="shared" si="0"/>
        <v>1</v>
      </c>
      <c r="J19" s="16"/>
    </row>
    <row r="20" spans="1:10" ht="20.100000000000001" customHeight="1" x14ac:dyDescent="0.25">
      <c r="A20" s="4"/>
      <c r="B20" s="18"/>
      <c r="C20" s="16"/>
      <c r="D20" s="16"/>
      <c r="E20" s="16"/>
      <c r="F20" s="16"/>
      <c r="G20" s="16"/>
      <c r="H20" s="16"/>
      <c r="I20" s="16"/>
      <c r="J20" s="16"/>
    </row>
    <row r="21" spans="1:10" s="7" customFormat="1" ht="20.100000000000001" customHeight="1" x14ac:dyDescent="0.25">
      <c r="A21" s="12"/>
      <c r="B21" s="24" t="s">
        <v>34</v>
      </c>
      <c r="C21" s="25">
        <f>SUM(C3:C20)</f>
        <v>72</v>
      </c>
      <c r="D21" s="49">
        <f>SUM(D3:D19)</f>
        <v>32</v>
      </c>
      <c r="E21" s="49">
        <f>SUM(E3:E19)</f>
        <v>32</v>
      </c>
      <c r="F21" s="49">
        <f>SUM(F3:F19)</f>
        <v>22</v>
      </c>
      <c r="G21" s="49">
        <f>SUM(G3:G19)</f>
        <v>17</v>
      </c>
      <c r="H21" s="49">
        <f>SUM(H3:H19)</f>
        <v>1</v>
      </c>
      <c r="I21" s="25">
        <f t="shared" ref="I21" si="1">SUM(I3:I19)</f>
        <v>72</v>
      </c>
      <c r="J21" s="4"/>
    </row>
    <row r="22" spans="1:10" ht="20.100000000000001" customHeight="1" x14ac:dyDescent="0.25">
      <c r="A22" s="4"/>
      <c r="B22" s="16"/>
      <c r="C22" s="16"/>
      <c r="D22" s="16"/>
      <c r="E22" s="16"/>
      <c r="F22" s="16"/>
      <c r="G22" s="16"/>
      <c r="H22" s="16"/>
      <c r="I22" s="16"/>
      <c r="J22" s="16"/>
    </row>
  </sheetData>
  <mergeCells count="1">
    <mergeCell ref="A1:J1"/>
  </mergeCells>
  <pageMargins left="0.7" right="0.7" top="0.75" bottom="0.75" header="0.3" footer="0.3"/>
  <pageSetup scale="88" fitToHeight="0" orientation="landscape" r:id="rId1"/>
  <ignoredErrors>
    <ignoredError sqref="I3:I1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H24" sqref="H24"/>
    </sheetView>
  </sheetViews>
  <sheetFormatPr defaultRowHeight="15" x14ac:dyDescent="0.25"/>
  <cols>
    <col min="1" max="1" width="10.7109375" customWidth="1"/>
    <col min="2" max="2" width="13" customWidth="1"/>
    <col min="3" max="3" width="19.140625" customWidth="1"/>
    <col min="4" max="4" width="15.28515625" customWidth="1"/>
    <col min="5" max="5" width="19.28515625" customWidth="1"/>
    <col min="6" max="6" width="15.85546875" customWidth="1"/>
  </cols>
  <sheetData>
    <row r="1" spans="1:6" x14ac:dyDescent="0.25">
      <c r="A1" s="69" t="s">
        <v>35</v>
      </c>
      <c r="B1" s="69"/>
      <c r="C1" s="69"/>
      <c r="D1" s="69"/>
      <c r="E1" s="69"/>
    </row>
    <row r="2" spans="1:6" x14ac:dyDescent="0.25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</row>
    <row r="3" spans="1:6" x14ac:dyDescent="0.25">
      <c r="A3" s="1">
        <v>1</v>
      </c>
      <c r="B3" s="1" t="s">
        <v>41</v>
      </c>
      <c r="C3" s="6">
        <v>254</v>
      </c>
      <c r="D3" s="1">
        <v>0.3</v>
      </c>
      <c r="E3" s="1">
        <f>C3*D3</f>
        <v>76.2</v>
      </c>
    </row>
    <row r="4" spans="1:6" x14ac:dyDescent="0.25">
      <c r="A4" s="1"/>
      <c r="B4" s="1"/>
      <c r="C4" s="1"/>
      <c r="D4" s="1"/>
      <c r="E4" s="1"/>
    </row>
    <row r="5" spans="1:6" x14ac:dyDescent="0.25">
      <c r="A5" s="1"/>
      <c r="B5" s="1"/>
      <c r="C5" s="1" t="s">
        <v>42</v>
      </c>
      <c r="D5" s="1">
        <v>76.2</v>
      </c>
      <c r="E5" s="1">
        <v>500</v>
      </c>
      <c r="F5">
        <f>D5/10*500</f>
        <v>3810</v>
      </c>
    </row>
    <row r="6" spans="1:6" x14ac:dyDescent="0.25">
      <c r="A6" s="1"/>
      <c r="B6" s="1"/>
      <c r="C6" s="1"/>
      <c r="D6" s="1"/>
      <c r="E6" s="1"/>
    </row>
    <row r="7" spans="1:6" x14ac:dyDescent="0.25">
      <c r="A7" s="1"/>
      <c r="B7" s="1"/>
      <c r="C7" s="1"/>
      <c r="D7" s="1"/>
      <c r="E7" s="1"/>
    </row>
    <row r="8" spans="1:6" x14ac:dyDescent="0.25">
      <c r="A8" s="1"/>
      <c r="B8" s="1"/>
      <c r="C8" s="1"/>
      <c r="D8" s="1"/>
      <c r="E8" s="1"/>
    </row>
    <row r="9" spans="1:6" x14ac:dyDescent="0.25">
      <c r="A9" s="1"/>
      <c r="B9" s="1"/>
      <c r="C9" s="1"/>
      <c r="D9" s="1"/>
      <c r="E9" s="1"/>
    </row>
    <row r="10" spans="1:6" x14ac:dyDescent="0.25">
      <c r="A10" s="1"/>
      <c r="B10" s="1"/>
      <c r="C10" s="1"/>
      <c r="D10" s="1"/>
      <c r="E10" s="1"/>
    </row>
    <row r="11" spans="1:6" x14ac:dyDescent="0.25">
      <c r="A11" s="1"/>
      <c r="B11" s="1"/>
      <c r="C11" s="1"/>
      <c r="D11" s="1"/>
      <c r="E11" s="1"/>
    </row>
    <row r="12" spans="1:6" x14ac:dyDescent="0.25">
      <c r="A12" s="1"/>
      <c r="B12" s="1"/>
      <c r="C12" s="1"/>
      <c r="D12" s="1"/>
      <c r="E12" s="1"/>
    </row>
    <row r="13" spans="1:6" x14ac:dyDescent="0.25">
      <c r="A13" s="1"/>
      <c r="B13" s="1"/>
      <c r="C13" s="1"/>
      <c r="D13" s="1"/>
      <c r="E13" s="1"/>
    </row>
    <row r="14" spans="1:6" x14ac:dyDescent="0.25">
      <c r="A14" s="1"/>
      <c r="B14" s="1"/>
      <c r="C14" s="1"/>
      <c r="D14" s="1"/>
      <c r="E14" s="1"/>
    </row>
    <row r="15" spans="1:6" x14ac:dyDescent="0.25">
      <c r="A15" s="1"/>
      <c r="B15" s="1"/>
      <c r="C15" s="1"/>
      <c r="D15" s="1"/>
      <c r="E15" s="1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view="pageBreakPreview" topLeftCell="A10" zoomScaleNormal="115" zoomScaleSheetLayoutView="100" workbookViewId="0">
      <selection activeCell="C2" sqref="C2:E2"/>
    </sheetView>
  </sheetViews>
  <sheetFormatPr defaultRowHeight="15" x14ac:dyDescent="0.25"/>
  <cols>
    <col min="1" max="1" width="10.7109375" style="7" customWidth="1"/>
    <col min="2" max="2" width="22" style="7" bestFit="1" customWidth="1"/>
    <col min="3" max="3" width="8.140625" style="7" customWidth="1"/>
    <col min="4" max="4" width="12" style="7" customWidth="1"/>
    <col min="5" max="5" width="15.42578125" style="7" customWidth="1"/>
    <col min="6" max="6" width="16.140625" style="7" hidden="1" customWidth="1"/>
    <col min="7" max="7" width="18.42578125" style="7" customWidth="1"/>
    <col min="8" max="16384" width="9.140625" style="7"/>
  </cols>
  <sheetData>
    <row r="1" spans="1:7" ht="15.75" x14ac:dyDescent="0.25">
      <c r="A1" s="51" t="s">
        <v>69</v>
      </c>
      <c r="B1" s="52"/>
      <c r="C1" s="52"/>
      <c r="D1" s="52"/>
      <c r="E1" s="52"/>
      <c r="F1" s="52"/>
      <c r="G1" s="53"/>
    </row>
    <row r="2" spans="1:7" ht="38.25" customHeight="1" x14ac:dyDescent="0.25">
      <c r="A2" s="38" t="s">
        <v>18</v>
      </c>
      <c r="B2" s="37" t="s">
        <v>52</v>
      </c>
      <c r="C2" s="66" t="s">
        <v>64</v>
      </c>
      <c r="D2" s="66"/>
      <c r="E2" s="66"/>
      <c r="F2" s="10"/>
      <c r="G2" s="39" t="s">
        <v>45</v>
      </c>
    </row>
    <row r="3" spans="1:7" ht="16.5" thickBot="1" x14ac:dyDescent="0.3">
      <c r="A3" s="76"/>
      <c r="B3" s="77"/>
      <c r="C3" s="77"/>
      <c r="D3" s="77"/>
      <c r="E3" s="77"/>
      <c r="F3" s="77"/>
      <c r="G3" s="78"/>
    </row>
    <row r="4" spans="1:7" x14ac:dyDescent="0.25">
      <c r="A4" s="41">
        <v>1</v>
      </c>
      <c r="B4" s="91" t="s">
        <v>65</v>
      </c>
      <c r="C4" s="82">
        <v>1650</v>
      </c>
      <c r="D4" s="42">
        <v>650</v>
      </c>
      <c r="E4" s="42"/>
      <c r="F4" s="94" t="e">
        <f>(#REF!+#REF!)/2</f>
        <v>#REF!</v>
      </c>
      <c r="G4" s="96" t="s">
        <v>63</v>
      </c>
    </row>
    <row r="5" spans="1:7" x14ac:dyDescent="0.25">
      <c r="A5" s="26"/>
      <c r="B5" s="92"/>
      <c r="C5" s="83"/>
      <c r="D5" s="85"/>
      <c r="E5" s="79">
        <v>230</v>
      </c>
      <c r="F5" s="63"/>
      <c r="G5" s="62"/>
    </row>
    <row r="6" spans="1:7" x14ac:dyDescent="0.25">
      <c r="A6" s="26"/>
      <c r="B6" s="92"/>
      <c r="C6" s="83"/>
      <c r="D6" s="86"/>
      <c r="E6" s="80"/>
      <c r="F6" s="63"/>
      <c r="G6" s="62"/>
    </row>
    <row r="7" spans="1:7" x14ac:dyDescent="0.25">
      <c r="A7" s="26"/>
      <c r="B7" s="92"/>
      <c r="C7" s="83"/>
      <c r="D7" s="86"/>
      <c r="E7" s="79">
        <v>1420</v>
      </c>
      <c r="F7" s="63"/>
      <c r="G7" s="62"/>
    </row>
    <row r="8" spans="1:7" x14ac:dyDescent="0.25">
      <c r="A8" s="26"/>
      <c r="B8" s="92"/>
      <c r="C8" s="83"/>
      <c r="D8" s="86"/>
      <c r="E8" s="81"/>
      <c r="F8" s="63"/>
      <c r="G8" s="62"/>
    </row>
    <row r="9" spans="1:7" x14ac:dyDescent="0.25">
      <c r="A9" s="26"/>
      <c r="B9" s="92"/>
      <c r="C9" s="83"/>
      <c r="D9" s="87"/>
      <c r="E9" s="80"/>
      <c r="F9" s="63"/>
      <c r="G9" s="62"/>
    </row>
    <row r="10" spans="1:7" ht="15.75" thickBot="1" x14ac:dyDescent="0.3">
      <c r="A10" s="33"/>
      <c r="B10" s="93"/>
      <c r="C10" s="84"/>
      <c r="D10" s="43">
        <v>230</v>
      </c>
      <c r="E10" s="44"/>
      <c r="F10" s="95"/>
      <c r="G10" s="97"/>
    </row>
    <row r="11" spans="1:7" ht="15.75" thickBot="1" x14ac:dyDescent="0.3">
      <c r="A11" s="88"/>
      <c r="B11" s="89"/>
      <c r="C11" s="89"/>
      <c r="D11" s="89"/>
      <c r="E11" s="89"/>
      <c r="F11" s="89"/>
      <c r="G11" s="90"/>
    </row>
    <row r="12" spans="1:7" x14ac:dyDescent="0.25">
      <c r="A12" s="41">
        <v>2</v>
      </c>
      <c r="B12" s="91" t="s">
        <v>66</v>
      </c>
      <c r="C12" s="82">
        <v>1850</v>
      </c>
      <c r="D12" s="42">
        <v>650</v>
      </c>
      <c r="E12" s="42"/>
      <c r="F12" s="94" t="e">
        <f>(#REF!+#REF!)/2</f>
        <v>#REF!</v>
      </c>
      <c r="G12" s="96" t="s">
        <v>63</v>
      </c>
    </row>
    <row r="13" spans="1:7" x14ac:dyDescent="0.25">
      <c r="A13" s="26"/>
      <c r="B13" s="92"/>
      <c r="C13" s="83"/>
      <c r="D13" s="85"/>
      <c r="E13" s="79">
        <v>230</v>
      </c>
      <c r="F13" s="63"/>
      <c r="G13" s="62"/>
    </row>
    <row r="14" spans="1:7" x14ac:dyDescent="0.25">
      <c r="A14" s="26"/>
      <c r="B14" s="92"/>
      <c r="C14" s="83"/>
      <c r="D14" s="86"/>
      <c r="E14" s="80"/>
      <c r="F14" s="63"/>
      <c r="G14" s="62"/>
    </row>
    <row r="15" spans="1:7" x14ac:dyDescent="0.25">
      <c r="A15" s="26"/>
      <c r="B15" s="92"/>
      <c r="C15" s="83"/>
      <c r="D15" s="86"/>
      <c r="E15" s="79">
        <v>1620</v>
      </c>
      <c r="F15" s="63"/>
      <c r="G15" s="62"/>
    </row>
    <row r="16" spans="1:7" x14ac:dyDescent="0.25">
      <c r="A16" s="26"/>
      <c r="B16" s="92"/>
      <c r="C16" s="83"/>
      <c r="D16" s="86"/>
      <c r="E16" s="81"/>
      <c r="F16" s="63"/>
      <c r="G16" s="62"/>
    </row>
    <row r="17" spans="1:7" x14ac:dyDescent="0.25">
      <c r="A17" s="26"/>
      <c r="B17" s="92"/>
      <c r="C17" s="83"/>
      <c r="D17" s="87"/>
      <c r="E17" s="80"/>
      <c r="F17" s="63"/>
      <c r="G17" s="62"/>
    </row>
    <row r="18" spans="1:7" ht="15.75" thickBot="1" x14ac:dyDescent="0.3">
      <c r="A18" s="33"/>
      <c r="B18" s="93"/>
      <c r="C18" s="84"/>
      <c r="D18" s="45">
        <v>230</v>
      </c>
      <c r="E18" s="44"/>
      <c r="F18" s="95"/>
      <c r="G18" s="97"/>
    </row>
    <row r="19" spans="1:7" ht="15.75" thickBot="1" x14ac:dyDescent="0.3">
      <c r="A19" s="70"/>
      <c r="B19" s="71"/>
      <c r="C19" s="71"/>
      <c r="D19" s="71"/>
      <c r="E19" s="71"/>
      <c r="F19" s="71"/>
      <c r="G19" s="72"/>
    </row>
    <row r="20" spans="1:7" x14ac:dyDescent="0.25">
      <c r="A20" s="41">
        <v>3</v>
      </c>
      <c r="B20" s="91" t="s">
        <v>67</v>
      </c>
      <c r="C20" s="82">
        <v>1850</v>
      </c>
      <c r="D20" s="42">
        <v>650</v>
      </c>
      <c r="E20" s="42"/>
      <c r="F20" s="94" t="e">
        <f>(#REF!+#REF!)/6</f>
        <v>#REF!</v>
      </c>
      <c r="G20" s="96" t="s">
        <v>63</v>
      </c>
    </row>
    <row r="21" spans="1:7" x14ac:dyDescent="0.25">
      <c r="A21" s="40"/>
      <c r="B21" s="92"/>
      <c r="C21" s="83"/>
      <c r="D21" s="85"/>
      <c r="E21" s="79">
        <v>230</v>
      </c>
      <c r="F21" s="98"/>
      <c r="G21" s="99"/>
    </row>
    <row r="22" spans="1:7" x14ac:dyDescent="0.25">
      <c r="A22" s="40"/>
      <c r="B22" s="92"/>
      <c r="C22" s="83"/>
      <c r="D22" s="86"/>
      <c r="E22" s="80"/>
      <c r="F22" s="98"/>
      <c r="G22" s="99"/>
    </row>
    <row r="23" spans="1:7" x14ac:dyDescent="0.25">
      <c r="A23" s="40"/>
      <c r="B23" s="92"/>
      <c r="C23" s="83"/>
      <c r="D23" s="86"/>
      <c r="E23" s="79">
        <v>1620</v>
      </c>
      <c r="F23" s="98"/>
      <c r="G23" s="99"/>
    </row>
    <row r="24" spans="1:7" x14ac:dyDescent="0.25">
      <c r="A24" s="40"/>
      <c r="B24" s="92"/>
      <c r="C24" s="83"/>
      <c r="D24" s="86"/>
      <c r="E24" s="81"/>
      <c r="F24" s="98"/>
      <c r="G24" s="99"/>
    </row>
    <row r="25" spans="1:7" x14ac:dyDescent="0.25">
      <c r="A25" s="40"/>
      <c r="B25" s="92"/>
      <c r="C25" s="83"/>
      <c r="D25" s="87"/>
      <c r="E25" s="80"/>
      <c r="F25" s="98"/>
      <c r="G25" s="99"/>
    </row>
    <row r="26" spans="1:7" ht="15.75" thickBot="1" x14ac:dyDescent="0.3">
      <c r="A26" s="33"/>
      <c r="B26" s="93"/>
      <c r="C26" s="84"/>
      <c r="D26" s="45">
        <v>230</v>
      </c>
      <c r="E26" s="44"/>
      <c r="F26" s="95"/>
      <c r="G26" s="97"/>
    </row>
    <row r="27" spans="1:7" ht="15.75" thickBot="1" x14ac:dyDescent="0.3">
      <c r="A27" s="73"/>
      <c r="B27" s="74"/>
      <c r="C27" s="74"/>
      <c r="D27" s="74"/>
      <c r="E27" s="74"/>
      <c r="F27" s="74"/>
      <c r="G27" s="75"/>
    </row>
    <row r="28" spans="1:7" x14ac:dyDescent="0.25">
      <c r="A28" s="41">
        <v>4</v>
      </c>
      <c r="B28" s="91" t="s">
        <v>68</v>
      </c>
      <c r="C28" s="82">
        <v>1535</v>
      </c>
      <c r="D28" s="42">
        <v>650</v>
      </c>
      <c r="E28" s="42"/>
      <c r="F28" s="94" t="e">
        <f>(#REF!+#REF!)/2</f>
        <v>#REF!</v>
      </c>
      <c r="G28" s="96" t="s">
        <v>63</v>
      </c>
    </row>
    <row r="29" spans="1:7" x14ac:dyDescent="0.25">
      <c r="A29" s="26"/>
      <c r="B29" s="92"/>
      <c r="C29" s="83"/>
      <c r="D29" s="85"/>
      <c r="E29" s="79">
        <v>230</v>
      </c>
      <c r="F29" s="63"/>
      <c r="G29" s="62"/>
    </row>
    <row r="30" spans="1:7" x14ac:dyDescent="0.25">
      <c r="A30" s="26"/>
      <c r="B30" s="92"/>
      <c r="C30" s="83"/>
      <c r="D30" s="86"/>
      <c r="E30" s="80"/>
      <c r="F30" s="63"/>
      <c r="G30" s="62"/>
    </row>
    <row r="31" spans="1:7" x14ac:dyDescent="0.25">
      <c r="A31" s="26"/>
      <c r="B31" s="92"/>
      <c r="C31" s="83"/>
      <c r="D31" s="86"/>
      <c r="E31" s="79">
        <v>1305</v>
      </c>
      <c r="F31" s="63"/>
      <c r="G31" s="62"/>
    </row>
    <row r="32" spans="1:7" x14ac:dyDescent="0.25">
      <c r="A32" s="26"/>
      <c r="B32" s="92"/>
      <c r="C32" s="83"/>
      <c r="D32" s="86"/>
      <c r="E32" s="81"/>
      <c r="F32" s="63"/>
      <c r="G32" s="62"/>
    </row>
    <row r="33" spans="1:7" x14ac:dyDescent="0.25">
      <c r="A33" s="26"/>
      <c r="B33" s="92"/>
      <c r="C33" s="83"/>
      <c r="D33" s="87"/>
      <c r="E33" s="80"/>
      <c r="F33" s="63"/>
      <c r="G33" s="62"/>
    </row>
    <row r="34" spans="1:7" ht="15.75" thickBot="1" x14ac:dyDescent="0.3">
      <c r="A34" s="33"/>
      <c r="B34" s="93"/>
      <c r="C34" s="84"/>
      <c r="D34" s="45">
        <v>230</v>
      </c>
      <c r="E34" s="44"/>
      <c r="F34" s="95"/>
      <c r="G34" s="97"/>
    </row>
    <row r="35" spans="1:7" ht="15.75" thickBot="1" x14ac:dyDescent="0.3">
      <c r="A35" s="46"/>
      <c r="B35" s="47"/>
      <c r="C35" s="47"/>
      <c r="D35" s="47"/>
      <c r="E35" s="47"/>
      <c r="F35" s="47"/>
      <c r="G35" s="48"/>
    </row>
  </sheetData>
  <mergeCells count="34">
    <mergeCell ref="B4:B10"/>
    <mergeCell ref="F4:F10"/>
    <mergeCell ref="G4:G10"/>
    <mergeCell ref="D5:D9"/>
    <mergeCell ref="A1:G1"/>
    <mergeCell ref="C2:E2"/>
    <mergeCell ref="E21:E22"/>
    <mergeCell ref="E23:E25"/>
    <mergeCell ref="B12:B18"/>
    <mergeCell ref="F12:F18"/>
    <mergeCell ref="G12:G18"/>
    <mergeCell ref="B28:B34"/>
    <mergeCell ref="F28:F34"/>
    <mergeCell ref="G28:G34"/>
    <mergeCell ref="D29:D33"/>
    <mergeCell ref="E29:E30"/>
    <mergeCell ref="E31:E33"/>
    <mergeCell ref="C28:C34"/>
    <mergeCell ref="A19:G19"/>
    <mergeCell ref="A27:G27"/>
    <mergeCell ref="A3:G3"/>
    <mergeCell ref="E5:E6"/>
    <mergeCell ref="E7:E9"/>
    <mergeCell ref="C4:C10"/>
    <mergeCell ref="D13:D17"/>
    <mergeCell ref="E15:E17"/>
    <mergeCell ref="E13:E14"/>
    <mergeCell ref="C12:C18"/>
    <mergeCell ref="C20:C26"/>
    <mergeCell ref="A11:G11"/>
    <mergeCell ref="B20:B26"/>
    <mergeCell ref="F20:F26"/>
    <mergeCell ref="G20:G26"/>
    <mergeCell ref="D21:D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COLUMN FARMA</vt:lpstr>
      <vt:lpstr>CASTING SHEDULE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2025-06-18T07:57:36Z</dcterms:modified>
</cp:coreProperties>
</file>