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Sheet1!$A$2:$H$145</definedName>
  </definedNames>
  <calcPr calcId="145621"/>
</workbook>
</file>

<file path=xl/calcChain.xml><?xml version="1.0" encoding="utf-8"?>
<calcChain xmlns="http://schemas.openxmlformats.org/spreadsheetml/2006/main">
  <c r="H56" i="2" l="1"/>
  <c r="H55" i="2"/>
  <c r="I44" i="2" l="1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H149" i="1"/>
  <c r="H150" i="1"/>
  <c r="H144" i="1"/>
  <c r="H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2" i="1"/>
  <c r="I75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2" i="1"/>
  <c r="H75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I3" i="1"/>
  <c r="H4" i="2"/>
  <c r="H5" i="2"/>
  <c r="H6" i="2"/>
  <c r="H7" i="2"/>
  <c r="H8" i="2"/>
  <c r="H9" i="2"/>
  <c r="H10" i="2"/>
  <c r="H11" i="2"/>
  <c r="H12" i="2"/>
  <c r="H14" i="2"/>
  <c r="H15" i="2"/>
  <c r="H16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2" i="2"/>
  <c r="H43" i="2"/>
  <c r="H44" i="2"/>
  <c r="H3" i="2"/>
  <c r="E41" i="2"/>
  <c r="H41" i="2" s="1"/>
  <c r="E33" i="2"/>
  <c r="E17" i="2"/>
  <c r="H17" i="2" s="1"/>
  <c r="E13" i="2"/>
  <c r="H13" i="2" s="1"/>
  <c r="I46" i="2" l="1"/>
  <c r="H50" i="2" s="1"/>
  <c r="H46" i="2"/>
  <c r="H49" i="2" l="1"/>
  <c r="H53" i="2"/>
  <c r="G3" i="1" l="1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2" i="1"/>
  <c r="G75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D71" i="1" l="1"/>
  <c r="D76" i="1"/>
  <c r="D74" i="1"/>
  <c r="D73" i="1"/>
  <c r="I73" i="1" l="1"/>
  <c r="H73" i="1"/>
  <c r="H74" i="1"/>
  <c r="I74" i="1"/>
  <c r="I76" i="1"/>
  <c r="H76" i="1"/>
  <c r="I71" i="1"/>
  <c r="H71" i="1"/>
  <c r="G73" i="1"/>
  <c r="G71" i="1"/>
  <c r="G74" i="1"/>
  <c r="G76" i="1"/>
  <c r="D54" i="1" l="1"/>
  <c r="H54" i="1" l="1"/>
  <c r="H145" i="1" s="1"/>
  <c r="D145" i="1"/>
  <c r="I54" i="1"/>
  <c r="I145" i="1" s="1"/>
  <c r="H147" i="1" s="1"/>
  <c r="H148" i="1" s="1"/>
  <c r="G54" i="1"/>
  <c r="G145" i="1" s="1"/>
  <c r="H151" i="1" l="1"/>
</calcChain>
</file>

<file path=xl/sharedStrings.xml><?xml version="1.0" encoding="utf-8"?>
<sst xmlns="http://schemas.openxmlformats.org/spreadsheetml/2006/main" count="257" uniqueCount="142">
  <si>
    <t>SNO</t>
  </si>
  <si>
    <t>PLINTH BEAM</t>
  </si>
  <si>
    <t>GRID</t>
  </si>
  <si>
    <t>LENGTH</t>
  </si>
  <si>
    <t>WIDTH</t>
  </si>
  <si>
    <t>DEPTH</t>
  </si>
  <si>
    <t>PB1</t>
  </si>
  <si>
    <t>PB2</t>
  </si>
  <si>
    <t>PB5</t>
  </si>
  <si>
    <t>PB6</t>
  </si>
  <si>
    <t>PB7</t>
  </si>
  <si>
    <t>PB8</t>
  </si>
  <si>
    <t>PB9</t>
  </si>
  <si>
    <t>PB10</t>
  </si>
  <si>
    <t>PB11</t>
  </si>
  <si>
    <t>PB12</t>
  </si>
  <si>
    <t>PB14</t>
  </si>
  <si>
    <t>Q- 11-17</t>
  </si>
  <si>
    <t>F-1-5</t>
  </si>
  <si>
    <t>Q-1-5</t>
  </si>
  <si>
    <t>PB-15</t>
  </si>
  <si>
    <t>PB-16</t>
  </si>
  <si>
    <t>PB17</t>
  </si>
  <si>
    <t>PB18</t>
  </si>
  <si>
    <t>PB 19</t>
  </si>
  <si>
    <t>PB20</t>
  </si>
  <si>
    <t>PB21`</t>
  </si>
  <si>
    <t>P-1-5</t>
  </si>
  <si>
    <t>P-10-17</t>
  </si>
  <si>
    <t>PB22</t>
  </si>
  <si>
    <t>PB-22</t>
  </si>
  <si>
    <t>PB-23</t>
  </si>
  <si>
    <t>PB -24</t>
  </si>
  <si>
    <t>PB-25</t>
  </si>
  <si>
    <t>PB-26</t>
  </si>
  <si>
    <t>PB-27</t>
  </si>
  <si>
    <t>PB-28</t>
  </si>
  <si>
    <t>PB-29</t>
  </si>
  <si>
    <t>PB-30</t>
  </si>
  <si>
    <t>PB-31</t>
  </si>
  <si>
    <t>1-O-Q</t>
  </si>
  <si>
    <t>1-L-F</t>
  </si>
  <si>
    <t>PB-33</t>
  </si>
  <si>
    <t>PB-35</t>
  </si>
  <si>
    <t>PB-36</t>
  </si>
  <si>
    <t>PB-37</t>
  </si>
  <si>
    <t>PB-38</t>
  </si>
  <si>
    <t>PB-39</t>
  </si>
  <si>
    <t>PB-40</t>
  </si>
  <si>
    <t>PB-41</t>
  </si>
  <si>
    <t>PB-42</t>
  </si>
  <si>
    <t>PB-43</t>
  </si>
  <si>
    <t>PB-44</t>
  </si>
  <si>
    <t>PB-45</t>
  </si>
  <si>
    <t>PB-46</t>
  </si>
  <si>
    <t>PB-47</t>
  </si>
  <si>
    <t>PB-48</t>
  </si>
  <si>
    <t>PB-49</t>
  </si>
  <si>
    <t>PB-50</t>
  </si>
  <si>
    <t>PB-51</t>
  </si>
  <si>
    <t>PB-52</t>
  </si>
  <si>
    <t>PB-53</t>
  </si>
  <si>
    <t>PB-54</t>
  </si>
  <si>
    <t>PB-55</t>
  </si>
  <si>
    <t>PB-56</t>
  </si>
  <si>
    <t>PB-57</t>
  </si>
  <si>
    <t>PB-58</t>
  </si>
  <si>
    <t>P B-59</t>
  </si>
  <si>
    <t>PB-60</t>
  </si>
  <si>
    <t>PB-61</t>
  </si>
  <si>
    <t>PB3 SHAFT</t>
  </si>
  <si>
    <t>PB32 SHAFT</t>
  </si>
  <si>
    <t>F-1-2</t>
  </si>
  <si>
    <t>F-4-5</t>
  </si>
  <si>
    <t>L-3-4</t>
  </si>
  <si>
    <t>Q-1-2</t>
  </si>
  <si>
    <t>Q-4-5</t>
  </si>
  <si>
    <t>Q-10-12</t>
  </si>
  <si>
    <t>Q-16-17</t>
  </si>
  <si>
    <t>NL-17-18</t>
  </si>
  <si>
    <t>PB4 SHAFT</t>
  </si>
  <si>
    <t>DE-11-12</t>
  </si>
  <si>
    <t>BC-16-17</t>
  </si>
  <si>
    <t>RCC</t>
  </si>
  <si>
    <t>E-10-12</t>
  </si>
  <si>
    <t>17-O-Q</t>
  </si>
  <si>
    <t>19-C-D</t>
  </si>
  <si>
    <t>PB26</t>
  </si>
  <si>
    <t>PB-3 SHAFT</t>
  </si>
  <si>
    <t>19-L-K</t>
  </si>
  <si>
    <t>PB13</t>
  </si>
  <si>
    <t>J-1-5</t>
  </si>
  <si>
    <t>O-1-5</t>
  </si>
  <si>
    <t>L-1-5</t>
  </si>
  <si>
    <t>O-12-17</t>
  </si>
  <si>
    <t xml:space="preserve">PB-34 </t>
  </si>
  <si>
    <t>3 NO</t>
  </si>
  <si>
    <t>2 NOS</t>
  </si>
  <si>
    <t>3 NOS</t>
  </si>
  <si>
    <t>PB--33</t>
  </si>
  <si>
    <t>2NOS</t>
  </si>
  <si>
    <t>O-3-4</t>
  </si>
  <si>
    <t>O-12-15</t>
  </si>
  <si>
    <t>TOTAL</t>
  </si>
  <si>
    <t>PLY</t>
  </si>
  <si>
    <t>NOS</t>
  </si>
  <si>
    <t>KG</t>
  </si>
  <si>
    <t>SHUTTERING OIL</t>
  </si>
  <si>
    <t>FOAM</t>
  </si>
  <si>
    <t>LTR</t>
  </si>
  <si>
    <t>BDL</t>
  </si>
  <si>
    <t xml:space="preserve">SNO </t>
  </si>
  <si>
    <t>COLUMN &amp; SHARE WALL</t>
  </si>
  <si>
    <t>SIZE IN MM</t>
  </si>
  <si>
    <t>REMARKS</t>
  </si>
  <si>
    <t>HEIGHT</t>
  </si>
  <si>
    <t>C1, C2, C3, C8 (300X600)</t>
  </si>
  <si>
    <t>C4, C5 (300X750)</t>
  </si>
  <si>
    <t>C6 (300X715)</t>
  </si>
  <si>
    <t>C7 (300X800)</t>
  </si>
  <si>
    <t>SW 1 (L-SHAPE)</t>
  </si>
  <si>
    <t>SW 2 (L-SHAPE)</t>
  </si>
  <si>
    <t>SW 3 (230x1000)</t>
  </si>
  <si>
    <t>SW 4 (230x1150)</t>
  </si>
  <si>
    <t>SW 5 (230x1700)</t>
  </si>
  <si>
    <t>SW 6 (230x1185)</t>
  </si>
  <si>
    <t>SW 7 (230x1855)</t>
  </si>
  <si>
    <t>SW 8 (230x3600)</t>
  </si>
  <si>
    <t>SW 9 (L-SHAPE)</t>
  </si>
  <si>
    <t>SW 10 (230x3445)</t>
  </si>
  <si>
    <t>SW 11 (230x4065)</t>
  </si>
  <si>
    <t>SW 12 (L-SHAPE)</t>
  </si>
  <si>
    <t>SW 13 (200x3445)</t>
  </si>
  <si>
    <t>BATTEN 10'</t>
  </si>
  <si>
    <t>SIDE SHUTTERING</t>
  </si>
  <si>
    <t>NAILS 4"</t>
  </si>
  <si>
    <t>NAILS 2"</t>
  </si>
  <si>
    <t>QTY IN SQM</t>
  </si>
  <si>
    <t>QTY IN RMT</t>
  </si>
  <si>
    <t>BOTTOM SHUTTERING</t>
  </si>
  <si>
    <t>PIN PATTI 1000 MM</t>
  </si>
  <si>
    <t>PIN PATTI 1500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</si>
</sst>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3" fillId="2" borderId="15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Views>
    <sheetView tabSelected="1" topLeftCell="A82" zoomScaleNormal="100" workbookViewId="0">
      <selection activeCell="H147" sqref="H147"/>
    </sheetView>
  </sheetViews>
  <sheetFormatPr defaultRowHeight="15" x14ac:dyDescent="0.25"/>
  <cols>
    <col min="1" max="1" width="12.7109375" style="1" customWidth="1"/>
    <col min="2" max="2" width="20.28515625" style="1" customWidth="1"/>
    <col min="3" max="3" width="12.85546875" style="1" customWidth="1"/>
    <col min="4" max="4" width="12.42578125" style="1" customWidth="1"/>
    <col min="5" max="5" width="16.85546875" style="1" customWidth="1"/>
    <col min="6" max="6" width="15.140625" style="1" customWidth="1"/>
    <col min="7" max="7" width="24.42578125" style="1" customWidth="1"/>
    <col min="8" max="8" width="21" style="1" bestFit="1" customWidth="1"/>
    <col min="9" max="9" width="20.42578125" style="1" bestFit="1" customWidth="1"/>
    <col min="10" max="16384" width="9.140625" style="1"/>
  </cols>
  <sheetData>
    <row r="1" spans="1:9" x14ac:dyDescent="0.25">
      <c r="A1" s="34"/>
      <c r="B1" s="34"/>
      <c r="C1" s="34"/>
      <c r="D1" s="34"/>
      <c r="E1" s="34"/>
      <c r="F1" s="34"/>
    </row>
    <row r="2" spans="1:9" ht="24.9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83</v>
      </c>
      <c r="H2" s="6" t="s">
        <v>134</v>
      </c>
      <c r="I2" s="2" t="s">
        <v>139</v>
      </c>
    </row>
    <row r="3" spans="1:9" ht="24.95" customHeight="1" x14ac:dyDescent="0.25">
      <c r="A3" s="2">
        <v>1</v>
      </c>
      <c r="B3" s="2" t="s">
        <v>6</v>
      </c>
      <c r="C3" s="2"/>
      <c r="D3" s="2">
        <v>3025</v>
      </c>
      <c r="E3" s="2">
        <v>200</v>
      </c>
      <c r="F3" s="2">
        <v>500</v>
      </c>
      <c r="G3" s="3">
        <f>D3*E3*F3/1000000000</f>
        <v>0.30249999999999999</v>
      </c>
      <c r="H3" s="5">
        <f>(2*D3*F3/1000000)</f>
        <v>3.0249999999999999</v>
      </c>
      <c r="I3" s="5">
        <f>(D3*E3/1000000)</f>
        <v>0.60499999999999998</v>
      </c>
    </row>
    <row r="4" spans="1:9" ht="24.95" customHeight="1" x14ac:dyDescent="0.25">
      <c r="A4" s="2">
        <v>2</v>
      </c>
      <c r="B4" s="2" t="s">
        <v>6</v>
      </c>
      <c r="C4" s="2"/>
      <c r="D4" s="2">
        <v>2800</v>
      </c>
      <c r="E4" s="2">
        <v>200</v>
      </c>
      <c r="F4" s="2">
        <v>500</v>
      </c>
      <c r="G4" s="3">
        <f t="shared" ref="G4:G67" si="0">D4*E4*F4/1000000000</f>
        <v>0.28000000000000003</v>
      </c>
      <c r="H4" s="5">
        <f t="shared" ref="H4:H67" si="1">(2*D4*F4/1000000)</f>
        <v>2.8</v>
      </c>
      <c r="I4" s="5">
        <f t="shared" ref="I4:I67" si="2">(D4*E4/1000000)</f>
        <v>0.56000000000000005</v>
      </c>
    </row>
    <row r="5" spans="1:9" ht="24.95" customHeight="1" x14ac:dyDescent="0.25">
      <c r="A5" s="2">
        <v>3</v>
      </c>
      <c r="B5" s="2" t="s">
        <v>7</v>
      </c>
      <c r="C5" s="2"/>
      <c r="D5" s="2">
        <v>3300</v>
      </c>
      <c r="E5" s="2">
        <v>200</v>
      </c>
      <c r="F5" s="2">
        <v>500</v>
      </c>
      <c r="G5" s="3">
        <f t="shared" si="0"/>
        <v>0.33</v>
      </c>
      <c r="H5" s="5">
        <f t="shared" si="1"/>
        <v>3.3</v>
      </c>
      <c r="I5" s="5">
        <f t="shared" si="2"/>
        <v>0.66</v>
      </c>
    </row>
    <row r="6" spans="1:9" ht="24.95" customHeight="1" x14ac:dyDescent="0.25">
      <c r="A6" s="2">
        <v>4</v>
      </c>
      <c r="B6" s="2" t="s">
        <v>8</v>
      </c>
      <c r="C6" s="2"/>
      <c r="D6" s="2">
        <v>3100</v>
      </c>
      <c r="E6" s="2">
        <v>200</v>
      </c>
      <c r="F6" s="2">
        <v>500</v>
      </c>
      <c r="G6" s="3">
        <f t="shared" si="0"/>
        <v>0.31</v>
      </c>
      <c r="H6" s="5">
        <f t="shared" si="1"/>
        <v>3.1</v>
      </c>
      <c r="I6" s="5">
        <f t="shared" si="2"/>
        <v>0.62</v>
      </c>
    </row>
    <row r="7" spans="1:9" ht="24.95" customHeight="1" x14ac:dyDescent="0.25">
      <c r="A7" s="2">
        <v>5</v>
      </c>
      <c r="B7" s="2" t="s">
        <v>9</v>
      </c>
      <c r="C7" s="2"/>
      <c r="D7" s="2">
        <v>3150</v>
      </c>
      <c r="E7" s="2">
        <v>200</v>
      </c>
      <c r="F7" s="2">
        <v>500</v>
      </c>
      <c r="G7" s="3">
        <f t="shared" si="0"/>
        <v>0.315</v>
      </c>
      <c r="H7" s="5">
        <f t="shared" si="1"/>
        <v>3.15</v>
      </c>
      <c r="I7" s="5">
        <f t="shared" si="2"/>
        <v>0.63</v>
      </c>
    </row>
    <row r="8" spans="1:9" ht="24.95" customHeight="1" x14ac:dyDescent="0.25">
      <c r="A8" s="2">
        <v>6</v>
      </c>
      <c r="B8" s="2" t="s">
        <v>9</v>
      </c>
      <c r="C8" s="2"/>
      <c r="D8" s="2">
        <v>4690</v>
      </c>
      <c r="E8" s="2">
        <v>200</v>
      </c>
      <c r="F8" s="2">
        <v>500</v>
      </c>
      <c r="G8" s="3">
        <f t="shared" si="0"/>
        <v>0.46899999999999997</v>
      </c>
      <c r="H8" s="5">
        <f t="shared" si="1"/>
        <v>4.6900000000000004</v>
      </c>
      <c r="I8" s="5">
        <f t="shared" si="2"/>
        <v>0.93799999999999994</v>
      </c>
    </row>
    <row r="9" spans="1:9" ht="24.95" customHeight="1" x14ac:dyDescent="0.25">
      <c r="A9" s="2">
        <v>7</v>
      </c>
      <c r="B9" s="35" t="s">
        <v>10</v>
      </c>
      <c r="C9" s="2"/>
      <c r="D9" s="2">
        <v>2875</v>
      </c>
      <c r="E9" s="2">
        <v>200</v>
      </c>
      <c r="F9" s="2">
        <v>500</v>
      </c>
      <c r="G9" s="3">
        <f t="shared" si="0"/>
        <v>0.28749999999999998</v>
      </c>
      <c r="H9" s="5">
        <f t="shared" si="1"/>
        <v>2.875</v>
      </c>
      <c r="I9" s="5">
        <f t="shared" si="2"/>
        <v>0.57499999999999996</v>
      </c>
    </row>
    <row r="10" spans="1:9" ht="24.95" customHeight="1" x14ac:dyDescent="0.25">
      <c r="A10" s="2">
        <v>8</v>
      </c>
      <c r="B10" s="36"/>
      <c r="C10" s="2"/>
      <c r="D10" s="2">
        <v>2930</v>
      </c>
      <c r="E10" s="2">
        <v>200</v>
      </c>
      <c r="F10" s="2">
        <v>500</v>
      </c>
      <c r="G10" s="3">
        <f t="shared" si="0"/>
        <v>0.29299999999999998</v>
      </c>
      <c r="H10" s="5">
        <f t="shared" si="1"/>
        <v>2.93</v>
      </c>
      <c r="I10" s="5">
        <f t="shared" si="2"/>
        <v>0.58599999999999997</v>
      </c>
    </row>
    <row r="11" spans="1:9" ht="24.95" customHeight="1" x14ac:dyDescent="0.25">
      <c r="A11" s="2">
        <v>9</v>
      </c>
      <c r="B11" s="2" t="s">
        <v>11</v>
      </c>
      <c r="C11" s="2"/>
      <c r="D11" s="2">
        <v>3160</v>
      </c>
      <c r="E11" s="2">
        <v>200</v>
      </c>
      <c r="F11" s="2">
        <v>500</v>
      </c>
      <c r="G11" s="3">
        <f t="shared" si="0"/>
        <v>0.316</v>
      </c>
      <c r="H11" s="5">
        <f t="shared" si="1"/>
        <v>3.16</v>
      </c>
      <c r="I11" s="5">
        <f t="shared" si="2"/>
        <v>0.63200000000000001</v>
      </c>
    </row>
    <row r="12" spans="1:9" ht="24.95" customHeight="1" x14ac:dyDescent="0.25">
      <c r="A12" s="2">
        <v>10</v>
      </c>
      <c r="B12" s="2" t="s">
        <v>12</v>
      </c>
      <c r="C12" s="2"/>
      <c r="D12" s="2">
        <v>1600</v>
      </c>
      <c r="E12" s="2">
        <v>200</v>
      </c>
      <c r="F12" s="2">
        <v>500</v>
      </c>
      <c r="G12" s="3">
        <f t="shared" si="0"/>
        <v>0.16</v>
      </c>
      <c r="H12" s="5">
        <f t="shared" si="1"/>
        <v>1.6</v>
      </c>
      <c r="I12" s="5">
        <f t="shared" si="2"/>
        <v>0.32</v>
      </c>
    </row>
    <row r="13" spans="1:9" ht="24.95" customHeight="1" x14ac:dyDescent="0.25">
      <c r="A13" s="2">
        <v>11</v>
      </c>
      <c r="B13" s="2" t="s">
        <v>12</v>
      </c>
      <c r="C13" s="2"/>
      <c r="D13" s="2">
        <v>4105</v>
      </c>
      <c r="E13" s="2">
        <v>200</v>
      </c>
      <c r="F13" s="2">
        <v>500</v>
      </c>
      <c r="G13" s="3">
        <f t="shared" si="0"/>
        <v>0.41049999999999998</v>
      </c>
      <c r="H13" s="5">
        <f t="shared" si="1"/>
        <v>4.1050000000000004</v>
      </c>
      <c r="I13" s="5">
        <f t="shared" si="2"/>
        <v>0.82099999999999995</v>
      </c>
    </row>
    <row r="14" spans="1:9" ht="24.95" customHeight="1" x14ac:dyDescent="0.25">
      <c r="A14" s="2">
        <v>12</v>
      </c>
      <c r="B14" s="2" t="s">
        <v>13</v>
      </c>
      <c r="C14" s="2"/>
      <c r="D14" s="2">
        <v>4690</v>
      </c>
      <c r="E14" s="2">
        <v>200</v>
      </c>
      <c r="F14" s="2">
        <v>500</v>
      </c>
      <c r="G14" s="3">
        <f t="shared" si="0"/>
        <v>0.46899999999999997</v>
      </c>
      <c r="H14" s="5">
        <f t="shared" si="1"/>
        <v>4.6900000000000004</v>
      </c>
      <c r="I14" s="5">
        <f t="shared" si="2"/>
        <v>0.93799999999999994</v>
      </c>
    </row>
    <row r="15" spans="1:9" ht="24.95" customHeight="1" x14ac:dyDescent="0.25">
      <c r="A15" s="2">
        <v>13</v>
      </c>
      <c r="B15" s="2" t="s">
        <v>14</v>
      </c>
      <c r="C15" s="2"/>
      <c r="D15" s="2">
        <v>5760</v>
      </c>
      <c r="E15" s="2">
        <v>200</v>
      </c>
      <c r="F15" s="2">
        <v>500</v>
      </c>
      <c r="G15" s="3">
        <f t="shared" si="0"/>
        <v>0.57599999999999996</v>
      </c>
      <c r="H15" s="5">
        <f t="shared" si="1"/>
        <v>5.76</v>
      </c>
      <c r="I15" s="5">
        <f t="shared" si="2"/>
        <v>1.1519999999999999</v>
      </c>
    </row>
    <row r="16" spans="1:9" ht="24.95" customHeight="1" x14ac:dyDescent="0.25">
      <c r="A16" s="2">
        <v>14</v>
      </c>
      <c r="B16" s="2" t="s">
        <v>15</v>
      </c>
      <c r="C16" s="2"/>
      <c r="D16" s="2">
        <v>2220</v>
      </c>
      <c r="E16" s="2">
        <v>200</v>
      </c>
      <c r="F16" s="2">
        <v>500</v>
      </c>
      <c r="G16" s="3">
        <f t="shared" si="0"/>
        <v>0.222</v>
      </c>
      <c r="H16" s="5">
        <f t="shared" si="1"/>
        <v>2.2200000000000002</v>
      </c>
      <c r="I16" s="5">
        <f t="shared" si="2"/>
        <v>0.44400000000000001</v>
      </c>
    </row>
    <row r="17" spans="1:9" ht="24.95" customHeight="1" x14ac:dyDescent="0.25">
      <c r="A17" s="2">
        <v>15</v>
      </c>
      <c r="B17" s="2" t="s">
        <v>90</v>
      </c>
      <c r="C17" s="2"/>
      <c r="D17" s="2">
        <v>3100</v>
      </c>
      <c r="E17" s="2">
        <v>200</v>
      </c>
      <c r="F17" s="2">
        <v>500</v>
      </c>
      <c r="G17" s="3">
        <f t="shared" si="0"/>
        <v>0.31</v>
      </c>
      <c r="H17" s="5">
        <f t="shared" si="1"/>
        <v>3.1</v>
      </c>
      <c r="I17" s="5">
        <f t="shared" si="2"/>
        <v>0.62</v>
      </c>
    </row>
    <row r="18" spans="1:9" ht="24.95" customHeight="1" x14ac:dyDescent="0.25">
      <c r="A18" s="2">
        <v>16</v>
      </c>
      <c r="B18" s="2" t="s">
        <v>16</v>
      </c>
      <c r="C18" s="2" t="s">
        <v>17</v>
      </c>
      <c r="D18" s="2">
        <v>3225</v>
      </c>
      <c r="E18" s="2">
        <v>200</v>
      </c>
      <c r="F18" s="2">
        <v>500</v>
      </c>
      <c r="G18" s="3">
        <f t="shared" si="0"/>
        <v>0.32250000000000001</v>
      </c>
      <c r="H18" s="5">
        <f t="shared" si="1"/>
        <v>3.2250000000000001</v>
      </c>
      <c r="I18" s="5">
        <f t="shared" si="2"/>
        <v>0.64500000000000002</v>
      </c>
    </row>
    <row r="19" spans="1:9" ht="24.95" customHeight="1" x14ac:dyDescent="0.25">
      <c r="A19" s="2">
        <v>17</v>
      </c>
      <c r="B19" s="2" t="s">
        <v>16</v>
      </c>
      <c r="C19" s="2" t="s">
        <v>17</v>
      </c>
      <c r="D19" s="2">
        <v>4370</v>
      </c>
      <c r="E19" s="2">
        <v>200</v>
      </c>
      <c r="F19" s="2">
        <v>500</v>
      </c>
      <c r="G19" s="3">
        <f t="shared" si="0"/>
        <v>0.437</v>
      </c>
      <c r="H19" s="5">
        <f t="shared" si="1"/>
        <v>4.37</v>
      </c>
      <c r="I19" s="5">
        <f t="shared" si="2"/>
        <v>0.874</v>
      </c>
    </row>
    <row r="20" spans="1:9" ht="24.95" customHeight="1" x14ac:dyDescent="0.25">
      <c r="A20" s="2">
        <v>18</v>
      </c>
      <c r="B20" s="2" t="s">
        <v>16</v>
      </c>
      <c r="C20" s="2" t="s">
        <v>18</v>
      </c>
      <c r="D20" s="2">
        <v>3225</v>
      </c>
      <c r="E20" s="2">
        <v>100</v>
      </c>
      <c r="F20" s="2">
        <v>500</v>
      </c>
      <c r="G20" s="3">
        <f t="shared" si="0"/>
        <v>0.16125</v>
      </c>
      <c r="H20" s="5">
        <f t="shared" si="1"/>
        <v>3.2250000000000001</v>
      </c>
      <c r="I20" s="5">
        <f t="shared" si="2"/>
        <v>0.32250000000000001</v>
      </c>
    </row>
    <row r="21" spans="1:9" ht="24.95" customHeight="1" x14ac:dyDescent="0.25">
      <c r="A21" s="2">
        <v>19</v>
      </c>
      <c r="B21" s="2" t="s">
        <v>16</v>
      </c>
      <c r="C21" s="2" t="s">
        <v>18</v>
      </c>
      <c r="D21" s="2">
        <v>4370</v>
      </c>
      <c r="E21" s="2">
        <v>200</v>
      </c>
      <c r="F21" s="2">
        <v>500</v>
      </c>
      <c r="G21" s="3">
        <f t="shared" si="0"/>
        <v>0.437</v>
      </c>
      <c r="H21" s="5">
        <f t="shared" si="1"/>
        <v>4.37</v>
      </c>
      <c r="I21" s="5">
        <f t="shared" si="2"/>
        <v>0.874</v>
      </c>
    </row>
    <row r="22" spans="1:9" ht="24.95" customHeight="1" x14ac:dyDescent="0.25">
      <c r="A22" s="2">
        <v>20</v>
      </c>
      <c r="B22" s="2" t="s">
        <v>16</v>
      </c>
      <c r="C22" s="2" t="s">
        <v>19</v>
      </c>
      <c r="D22" s="2">
        <v>3225</v>
      </c>
      <c r="E22" s="2">
        <v>200</v>
      </c>
      <c r="F22" s="2">
        <v>500</v>
      </c>
      <c r="G22" s="3">
        <f t="shared" si="0"/>
        <v>0.32250000000000001</v>
      </c>
      <c r="H22" s="5">
        <f t="shared" si="1"/>
        <v>3.2250000000000001</v>
      </c>
      <c r="I22" s="5">
        <f t="shared" si="2"/>
        <v>0.64500000000000002</v>
      </c>
    </row>
    <row r="23" spans="1:9" ht="24.95" customHeight="1" x14ac:dyDescent="0.25">
      <c r="A23" s="2">
        <v>21</v>
      </c>
      <c r="B23" s="2" t="s">
        <v>16</v>
      </c>
      <c r="C23" s="2" t="s">
        <v>19</v>
      </c>
      <c r="D23" s="2">
        <v>4370</v>
      </c>
      <c r="E23" s="2">
        <v>200</v>
      </c>
      <c r="F23" s="2">
        <v>500</v>
      </c>
      <c r="G23" s="3">
        <f t="shared" si="0"/>
        <v>0.437</v>
      </c>
      <c r="H23" s="5">
        <f t="shared" si="1"/>
        <v>4.37</v>
      </c>
      <c r="I23" s="5">
        <f t="shared" si="2"/>
        <v>0.874</v>
      </c>
    </row>
    <row r="24" spans="1:9" ht="24.95" customHeight="1" x14ac:dyDescent="0.25">
      <c r="A24" s="2">
        <v>22</v>
      </c>
      <c r="B24" s="2" t="s">
        <v>20</v>
      </c>
      <c r="C24" s="2"/>
      <c r="D24" s="2">
        <v>3215</v>
      </c>
      <c r="E24" s="2">
        <v>200</v>
      </c>
      <c r="F24" s="2">
        <v>500</v>
      </c>
      <c r="G24" s="3">
        <f t="shared" si="0"/>
        <v>0.32150000000000001</v>
      </c>
      <c r="H24" s="5">
        <f t="shared" si="1"/>
        <v>3.2149999999999999</v>
      </c>
      <c r="I24" s="5">
        <f t="shared" si="2"/>
        <v>0.64300000000000002</v>
      </c>
    </row>
    <row r="25" spans="1:9" ht="24.95" customHeight="1" x14ac:dyDescent="0.25">
      <c r="A25" s="2">
        <v>23</v>
      </c>
      <c r="B25" s="2" t="s">
        <v>21</v>
      </c>
      <c r="C25" s="2"/>
      <c r="D25" s="2">
        <v>2760</v>
      </c>
      <c r="E25" s="2">
        <v>230</v>
      </c>
      <c r="F25" s="2">
        <v>500</v>
      </c>
      <c r="G25" s="3">
        <f t="shared" si="0"/>
        <v>0.31740000000000002</v>
      </c>
      <c r="H25" s="5">
        <f t="shared" si="1"/>
        <v>2.76</v>
      </c>
      <c r="I25" s="5">
        <f t="shared" si="2"/>
        <v>0.63480000000000003</v>
      </c>
    </row>
    <row r="26" spans="1:9" ht="24.95" customHeight="1" x14ac:dyDescent="0.25">
      <c r="A26" s="2">
        <v>24</v>
      </c>
      <c r="B26" s="2" t="s">
        <v>22</v>
      </c>
      <c r="C26" s="2"/>
      <c r="D26" s="2">
        <v>1500</v>
      </c>
      <c r="E26" s="2">
        <v>230</v>
      </c>
      <c r="F26" s="2">
        <v>500</v>
      </c>
      <c r="G26" s="3">
        <f t="shared" si="0"/>
        <v>0.17249999999999999</v>
      </c>
      <c r="H26" s="5">
        <f t="shared" si="1"/>
        <v>1.5</v>
      </c>
      <c r="I26" s="5">
        <f t="shared" si="2"/>
        <v>0.34499999999999997</v>
      </c>
    </row>
    <row r="27" spans="1:9" ht="24.95" customHeight="1" x14ac:dyDescent="0.25">
      <c r="A27" s="2">
        <v>25</v>
      </c>
      <c r="B27" s="2" t="s">
        <v>22</v>
      </c>
      <c r="C27" s="2"/>
      <c r="D27" s="2">
        <v>2220</v>
      </c>
      <c r="E27" s="2">
        <v>230</v>
      </c>
      <c r="F27" s="2">
        <v>500</v>
      </c>
      <c r="G27" s="3">
        <f t="shared" si="0"/>
        <v>0.25530000000000003</v>
      </c>
      <c r="H27" s="5">
        <f t="shared" si="1"/>
        <v>2.2200000000000002</v>
      </c>
      <c r="I27" s="5">
        <f t="shared" si="2"/>
        <v>0.51060000000000005</v>
      </c>
    </row>
    <row r="28" spans="1:9" ht="24.95" customHeight="1" x14ac:dyDescent="0.25">
      <c r="A28" s="2">
        <v>26</v>
      </c>
      <c r="B28" s="2" t="s">
        <v>22</v>
      </c>
      <c r="C28" s="2"/>
      <c r="D28" s="2">
        <v>5865</v>
      </c>
      <c r="E28" s="2">
        <v>230</v>
      </c>
      <c r="F28" s="2">
        <v>500</v>
      </c>
      <c r="G28" s="3">
        <f t="shared" si="0"/>
        <v>0.67447500000000005</v>
      </c>
      <c r="H28" s="5">
        <f t="shared" si="1"/>
        <v>5.8650000000000002</v>
      </c>
      <c r="I28" s="5">
        <f t="shared" si="2"/>
        <v>1.3489500000000001</v>
      </c>
    </row>
    <row r="29" spans="1:9" ht="24.95" customHeight="1" x14ac:dyDescent="0.25">
      <c r="A29" s="2">
        <v>27</v>
      </c>
      <c r="B29" s="2" t="s">
        <v>22</v>
      </c>
      <c r="C29" s="2"/>
      <c r="D29" s="2">
        <v>5760</v>
      </c>
      <c r="E29" s="2">
        <v>230</v>
      </c>
      <c r="F29" s="2">
        <v>500</v>
      </c>
      <c r="G29" s="3">
        <f t="shared" si="0"/>
        <v>0.66239999999999999</v>
      </c>
      <c r="H29" s="5">
        <f t="shared" si="1"/>
        <v>5.76</v>
      </c>
      <c r="I29" s="5">
        <f t="shared" si="2"/>
        <v>1.3248</v>
      </c>
    </row>
    <row r="30" spans="1:9" ht="24.95" customHeight="1" x14ac:dyDescent="0.25">
      <c r="A30" s="2">
        <v>28</v>
      </c>
      <c r="B30" s="2" t="s">
        <v>23</v>
      </c>
      <c r="C30" s="2"/>
      <c r="D30" s="2">
        <v>3300</v>
      </c>
      <c r="E30" s="2">
        <v>200</v>
      </c>
      <c r="F30" s="2">
        <v>500</v>
      </c>
      <c r="G30" s="3">
        <f t="shared" si="0"/>
        <v>0.33</v>
      </c>
      <c r="H30" s="5">
        <f t="shared" si="1"/>
        <v>3.3</v>
      </c>
      <c r="I30" s="5">
        <f t="shared" si="2"/>
        <v>0.66</v>
      </c>
    </row>
    <row r="31" spans="1:9" ht="24.95" customHeight="1" x14ac:dyDescent="0.25">
      <c r="A31" s="2">
        <v>29</v>
      </c>
      <c r="B31" s="2" t="s">
        <v>23</v>
      </c>
      <c r="C31" s="2"/>
      <c r="D31" s="2">
        <v>4690</v>
      </c>
      <c r="E31" s="2">
        <v>200</v>
      </c>
      <c r="F31" s="2">
        <v>500</v>
      </c>
      <c r="G31" s="3">
        <f t="shared" si="0"/>
        <v>0.46899999999999997</v>
      </c>
      <c r="H31" s="5">
        <f t="shared" si="1"/>
        <v>4.6900000000000004</v>
      </c>
      <c r="I31" s="5">
        <f t="shared" si="2"/>
        <v>0.93799999999999994</v>
      </c>
    </row>
    <row r="32" spans="1:9" ht="24.95" customHeight="1" x14ac:dyDescent="0.25">
      <c r="A32" s="2">
        <v>30</v>
      </c>
      <c r="B32" s="2" t="s">
        <v>24</v>
      </c>
      <c r="C32" s="2"/>
      <c r="D32" s="2">
        <v>5630</v>
      </c>
      <c r="E32" s="2">
        <v>200</v>
      </c>
      <c r="F32" s="2">
        <v>500</v>
      </c>
      <c r="G32" s="3">
        <f t="shared" si="0"/>
        <v>0.56299999999999994</v>
      </c>
      <c r="H32" s="5">
        <f t="shared" si="1"/>
        <v>5.63</v>
      </c>
      <c r="I32" s="5">
        <f t="shared" si="2"/>
        <v>1.1259999999999999</v>
      </c>
    </row>
    <row r="33" spans="1:9" ht="24.95" customHeight="1" x14ac:dyDescent="0.25">
      <c r="A33" s="2">
        <v>31</v>
      </c>
      <c r="B33" s="2" t="s">
        <v>25</v>
      </c>
      <c r="C33" s="2"/>
      <c r="D33" s="2">
        <v>2140</v>
      </c>
      <c r="E33" s="2">
        <v>200</v>
      </c>
      <c r="F33" s="2">
        <v>500</v>
      </c>
      <c r="G33" s="3">
        <f t="shared" si="0"/>
        <v>0.214</v>
      </c>
      <c r="H33" s="5">
        <f t="shared" si="1"/>
        <v>2.14</v>
      </c>
      <c r="I33" s="5">
        <f t="shared" si="2"/>
        <v>0.42799999999999999</v>
      </c>
    </row>
    <row r="34" spans="1:9" ht="24.95" customHeight="1" x14ac:dyDescent="0.25">
      <c r="A34" s="2">
        <v>32</v>
      </c>
      <c r="B34" s="2" t="s">
        <v>25</v>
      </c>
      <c r="C34" s="2"/>
      <c r="D34" s="2">
        <v>5630</v>
      </c>
      <c r="E34" s="2">
        <v>200</v>
      </c>
      <c r="F34" s="2">
        <v>500</v>
      </c>
      <c r="G34" s="3">
        <f t="shared" si="0"/>
        <v>0.56299999999999994</v>
      </c>
      <c r="H34" s="5">
        <f t="shared" si="1"/>
        <v>5.63</v>
      </c>
      <c r="I34" s="5">
        <f t="shared" si="2"/>
        <v>1.1259999999999999</v>
      </c>
    </row>
    <row r="35" spans="1:9" ht="24.95" customHeight="1" x14ac:dyDescent="0.25">
      <c r="A35" s="2">
        <v>33</v>
      </c>
      <c r="B35" s="2" t="s">
        <v>26</v>
      </c>
      <c r="C35" s="2" t="s">
        <v>27</v>
      </c>
      <c r="D35" s="4">
        <v>4730</v>
      </c>
      <c r="E35" s="2">
        <v>200</v>
      </c>
      <c r="F35" s="2">
        <v>500</v>
      </c>
      <c r="G35" s="3">
        <f t="shared" si="0"/>
        <v>0.47299999999999998</v>
      </c>
      <c r="H35" s="5">
        <f t="shared" si="1"/>
        <v>4.7300000000000004</v>
      </c>
      <c r="I35" s="5">
        <f t="shared" si="2"/>
        <v>0.94599999999999995</v>
      </c>
    </row>
    <row r="36" spans="1:9" ht="24.95" customHeight="1" x14ac:dyDescent="0.25">
      <c r="A36" s="2">
        <v>34</v>
      </c>
      <c r="B36" s="2" t="s">
        <v>26</v>
      </c>
      <c r="C36" s="2" t="s">
        <v>27</v>
      </c>
      <c r="D36" s="2">
        <v>3235</v>
      </c>
      <c r="E36" s="2">
        <v>200</v>
      </c>
      <c r="F36" s="2">
        <v>500</v>
      </c>
      <c r="G36" s="3">
        <f t="shared" si="0"/>
        <v>0.32350000000000001</v>
      </c>
      <c r="H36" s="5">
        <f t="shared" si="1"/>
        <v>3.2349999999999999</v>
      </c>
      <c r="I36" s="5">
        <f t="shared" si="2"/>
        <v>0.64700000000000002</v>
      </c>
    </row>
    <row r="37" spans="1:9" ht="24.95" customHeight="1" x14ac:dyDescent="0.25">
      <c r="A37" s="2">
        <v>35</v>
      </c>
      <c r="B37" s="2" t="s">
        <v>26</v>
      </c>
      <c r="C37" s="2" t="s">
        <v>91</v>
      </c>
      <c r="D37" s="2">
        <v>4730</v>
      </c>
      <c r="E37" s="2">
        <v>200</v>
      </c>
      <c r="F37" s="2">
        <v>500</v>
      </c>
      <c r="G37" s="3">
        <f t="shared" si="0"/>
        <v>0.47299999999999998</v>
      </c>
      <c r="H37" s="5">
        <f t="shared" si="1"/>
        <v>4.7300000000000004</v>
      </c>
      <c r="I37" s="5">
        <f t="shared" si="2"/>
        <v>0.94599999999999995</v>
      </c>
    </row>
    <row r="38" spans="1:9" ht="24.95" customHeight="1" x14ac:dyDescent="0.25">
      <c r="A38" s="2">
        <v>36</v>
      </c>
      <c r="B38" s="2" t="s">
        <v>26</v>
      </c>
      <c r="C38" s="2" t="s">
        <v>91</v>
      </c>
      <c r="D38" s="2">
        <v>3235</v>
      </c>
      <c r="E38" s="2">
        <v>200</v>
      </c>
      <c r="F38" s="2">
        <v>500</v>
      </c>
      <c r="G38" s="3">
        <f t="shared" si="0"/>
        <v>0.32350000000000001</v>
      </c>
      <c r="H38" s="5">
        <f t="shared" si="1"/>
        <v>3.2349999999999999</v>
      </c>
      <c r="I38" s="5">
        <f t="shared" si="2"/>
        <v>0.64700000000000002</v>
      </c>
    </row>
    <row r="39" spans="1:9" ht="24.95" customHeight="1" x14ac:dyDescent="0.25">
      <c r="A39" s="2">
        <v>37</v>
      </c>
      <c r="B39" s="2" t="s">
        <v>26</v>
      </c>
      <c r="C39" s="2" t="s">
        <v>28</v>
      </c>
      <c r="D39" s="2">
        <v>3235</v>
      </c>
      <c r="E39" s="2">
        <v>200</v>
      </c>
      <c r="F39" s="2">
        <v>500</v>
      </c>
      <c r="G39" s="3">
        <f t="shared" si="0"/>
        <v>0.32350000000000001</v>
      </c>
      <c r="H39" s="5">
        <f t="shared" si="1"/>
        <v>3.2349999999999999</v>
      </c>
      <c r="I39" s="5">
        <f t="shared" si="2"/>
        <v>0.64700000000000002</v>
      </c>
    </row>
    <row r="40" spans="1:9" ht="24.95" customHeight="1" x14ac:dyDescent="0.25">
      <c r="A40" s="2">
        <v>38</v>
      </c>
      <c r="B40" s="2" t="s">
        <v>26</v>
      </c>
      <c r="C40" s="2" t="s">
        <v>28</v>
      </c>
      <c r="D40" s="2">
        <v>4720</v>
      </c>
      <c r="E40" s="2">
        <v>200</v>
      </c>
      <c r="F40" s="2">
        <v>500</v>
      </c>
      <c r="G40" s="3">
        <f t="shared" si="0"/>
        <v>0.47199999999999998</v>
      </c>
      <c r="H40" s="5">
        <f t="shared" si="1"/>
        <v>4.72</v>
      </c>
      <c r="I40" s="5">
        <f t="shared" si="2"/>
        <v>0.94399999999999995</v>
      </c>
    </row>
    <row r="41" spans="1:9" ht="24.95" customHeight="1" x14ac:dyDescent="0.25">
      <c r="A41" s="2">
        <v>39</v>
      </c>
      <c r="B41" s="2" t="s">
        <v>29</v>
      </c>
      <c r="C41" s="2" t="s">
        <v>92</v>
      </c>
      <c r="D41" s="2">
        <v>3165</v>
      </c>
      <c r="E41" s="2">
        <v>200</v>
      </c>
      <c r="F41" s="2">
        <v>500</v>
      </c>
      <c r="G41" s="3">
        <f t="shared" si="0"/>
        <v>0.3165</v>
      </c>
      <c r="H41" s="5">
        <f t="shared" si="1"/>
        <v>3.165</v>
      </c>
      <c r="I41" s="5">
        <f t="shared" si="2"/>
        <v>0.63300000000000001</v>
      </c>
    </row>
    <row r="42" spans="1:9" ht="24.95" customHeight="1" x14ac:dyDescent="0.25">
      <c r="A42" s="2">
        <v>40</v>
      </c>
      <c r="B42" s="2" t="s">
        <v>29</v>
      </c>
      <c r="C42" s="2" t="s">
        <v>92</v>
      </c>
      <c r="D42" s="2">
        <v>2575</v>
      </c>
      <c r="E42" s="2">
        <v>200</v>
      </c>
      <c r="F42" s="2">
        <v>500</v>
      </c>
      <c r="G42" s="3">
        <f t="shared" si="0"/>
        <v>0.25750000000000001</v>
      </c>
      <c r="H42" s="5">
        <f t="shared" si="1"/>
        <v>2.5750000000000002</v>
      </c>
      <c r="I42" s="5">
        <f t="shared" si="2"/>
        <v>0.51500000000000001</v>
      </c>
    </row>
    <row r="43" spans="1:9" ht="24.95" customHeight="1" x14ac:dyDescent="0.25">
      <c r="A43" s="2">
        <v>41</v>
      </c>
      <c r="B43" s="2" t="s">
        <v>30</v>
      </c>
      <c r="C43" s="2" t="s">
        <v>93</v>
      </c>
      <c r="D43" s="2">
        <v>2580</v>
      </c>
      <c r="E43" s="2">
        <v>200</v>
      </c>
      <c r="F43" s="2">
        <v>500</v>
      </c>
      <c r="G43" s="3">
        <f t="shared" si="0"/>
        <v>0.25800000000000001</v>
      </c>
      <c r="H43" s="5">
        <f t="shared" si="1"/>
        <v>2.58</v>
      </c>
      <c r="I43" s="5">
        <f t="shared" si="2"/>
        <v>0.51600000000000001</v>
      </c>
    </row>
    <row r="44" spans="1:9" ht="24.95" customHeight="1" x14ac:dyDescent="0.25">
      <c r="A44" s="2">
        <v>42</v>
      </c>
      <c r="B44" s="2" t="s">
        <v>30</v>
      </c>
      <c r="C44" s="2" t="s">
        <v>93</v>
      </c>
      <c r="D44" s="2">
        <v>3165</v>
      </c>
      <c r="E44" s="2">
        <v>200</v>
      </c>
      <c r="F44" s="2">
        <v>500</v>
      </c>
      <c r="G44" s="3">
        <f t="shared" si="0"/>
        <v>0.3165</v>
      </c>
      <c r="H44" s="5">
        <f t="shared" si="1"/>
        <v>3.165</v>
      </c>
      <c r="I44" s="5">
        <f t="shared" si="2"/>
        <v>0.63300000000000001</v>
      </c>
    </row>
    <row r="45" spans="1:9" ht="24.95" customHeight="1" x14ac:dyDescent="0.25">
      <c r="A45" s="2">
        <v>43</v>
      </c>
      <c r="B45" s="2" t="s">
        <v>30</v>
      </c>
      <c r="C45" s="2" t="s">
        <v>94</v>
      </c>
      <c r="D45" s="2">
        <v>2580</v>
      </c>
      <c r="E45" s="2">
        <v>200</v>
      </c>
      <c r="F45" s="2">
        <v>500</v>
      </c>
      <c r="G45" s="3">
        <f t="shared" si="0"/>
        <v>0.25800000000000001</v>
      </c>
      <c r="H45" s="5">
        <f t="shared" si="1"/>
        <v>2.58</v>
      </c>
      <c r="I45" s="5">
        <f t="shared" si="2"/>
        <v>0.51600000000000001</v>
      </c>
    </row>
    <row r="46" spans="1:9" ht="24.95" customHeight="1" x14ac:dyDescent="0.25">
      <c r="A46" s="2">
        <v>44</v>
      </c>
      <c r="B46" s="2" t="s">
        <v>30</v>
      </c>
      <c r="C46" s="2" t="s">
        <v>94</v>
      </c>
      <c r="D46" s="2">
        <v>3165</v>
      </c>
      <c r="E46" s="2">
        <v>200</v>
      </c>
      <c r="F46" s="2">
        <v>500</v>
      </c>
      <c r="G46" s="3">
        <f t="shared" si="0"/>
        <v>0.3165</v>
      </c>
      <c r="H46" s="5">
        <f t="shared" si="1"/>
        <v>3.165</v>
      </c>
      <c r="I46" s="5">
        <f t="shared" si="2"/>
        <v>0.63300000000000001</v>
      </c>
    </row>
    <row r="47" spans="1:9" ht="24.95" customHeight="1" x14ac:dyDescent="0.25">
      <c r="A47" s="2">
        <v>45</v>
      </c>
      <c r="B47" s="2" t="s">
        <v>31</v>
      </c>
      <c r="C47" s="2"/>
      <c r="D47" s="2">
        <v>5125</v>
      </c>
      <c r="E47" s="2">
        <v>200</v>
      </c>
      <c r="F47" s="2">
        <v>500</v>
      </c>
      <c r="G47" s="3">
        <f t="shared" si="0"/>
        <v>0.51249999999999996</v>
      </c>
      <c r="H47" s="5">
        <f t="shared" si="1"/>
        <v>5.125</v>
      </c>
      <c r="I47" s="5">
        <f t="shared" si="2"/>
        <v>1.0249999999999999</v>
      </c>
    </row>
    <row r="48" spans="1:9" ht="24.95" customHeight="1" x14ac:dyDescent="0.25">
      <c r="A48" s="2">
        <v>46</v>
      </c>
      <c r="B48" s="2" t="s">
        <v>31</v>
      </c>
      <c r="C48" s="2"/>
      <c r="D48" s="2">
        <v>1400</v>
      </c>
      <c r="E48" s="2">
        <v>200</v>
      </c>
      <c r="F48" s="2">
        <v>500</v>
      </c>
      <c r="G48" s="3">
        <f t="shared" si="0"/>
        <v>0.14000000000000001</v>
      </c>
      <c r="H48" s="5">
        <f t="shared" si="1"/>
        <v>1.4</v>
      </c>
      <c r="I48" s="5">
        <f t="shared" si="2"/>
        <v>0.28000000000000003</v>
      </c>
    </row>
    <row r="49" spans="1:9" ht="24.95" customHeight="1" x14ac:dyDescent="0.25">
      <c r="A49" s="2">
        <v>47</v>
      </c>
      <c r="B49" s="2" t="s">
        <v>32</v>
      </c>
      <c r="C49" s="2"/>
      <c r="D49" s="2">
        <v>1400</v>
      </c>
      <c r="E49" s="2">
        <v>200</v>
      </c>
      <c r="F49" s="2">
        <v>500</v>
      </c>
      <c r="G49" s="3">
        <f t="shared" si="0"/>
        <v>0.14000000000000001</v>
      </c>
      <c r="H49" s="5">
        <f t="shared" si="1"/>
        <v>1.4</v>
      </c>
      <c r="I49" s="5">
        <f t="shared" si="2"/>
        <v>0.28000000000000003</v>
      </c>
    </row>
    <row r="50" spans="1:9" ht="24.95" customHeight="1" x14ac:dyDescent="0.25">
      <c r="A50" s="2">
        <v>48</v>
      </c>
      <c r="B50" s="2" t="s">
        <v>33</v>
      </c>
      <c r="C50" s="2"/>
      <c r="D50" s="2">
        <v>3950</v>
      </c>
      <c r="E50" s="2">
        <v>200</v>
      </c>
      <c r="F50" s="2">
        <v>500</v>
      </c>
      <c r="G50" s="3">
        <f t="shared" si="0"/>
        <v>0.39500000000000002</v>
      </c>
      <c r="H50" s="5">
        <f t="shared" si="1"/>
        <v>3.95</v>
      </c>
      <c r="I50" s="5">
        <f t="shared" si="2"/>
        <v>0.79</v>
      </c>
    </row>
    <row r="51" spans="1:9" ht="24.95" customHeight="1" x14ac:dyDescent="0.25">
      <c r="A51" s="2">
        <v>49</v>
      </c>
      <c r="B51" s="2" t="s">
        <v>33</v>
      </c>
      <c r="C51" s="2"/>
      <c r="D51" s="2">
        <v>2875</v>
      </c>
      <c r="E51" s="2">
        <v>200</v>
      </c>
      <c r="F51" s="2">
        <v>500</v>
      </c>
      <c r="G51" s="3">
        <f t="shared" si="0"/>
        <v>0.28749999999999998</v>
      </c>
      <c r="H51" s="5">
        <f t="shared" si="1"/>
        <v>2.875</v>
      </c>
      <c r="I51" s="5">
        <f t="shared" si="2"/>
        <v>0.57499999999999996</v>
      </c>
    </row>
    <row r="52" spans="1:9" ht="24.95" customHeight="1" x14ac:dyDescent="0.25">
      <c r="A52" s="2">
        <v>50</v>
      </c>
      <c r="B52" s="2" t="s">
        <v>33</v>
      </c>
      <c r="C52" s="2"/>
      <c r="D52" s="2">
        <v>2930</v>
      </c>
      <c r="E52" s="2">
        <v>200</v>
      </c>
      <c r="F52" s="2">
        <v>500</v>
      </c>
      <c r="G52" s="3">
        <f t="shared" si="0"/>
        <v>0.29299999999999998</v>
      </c>
      <c r="H52" s="5">
        <f t="shared" si="1"/>
        <v>2.93</v>
      </c>
      <c r="I52" s="5">
        <f t="shared" si="2"/>
        <v>0.58599999999999997</v>
      </c>
    </row>
    <row r="53" spans="1:9" ht="24.95" customHeight="1" x14ac:dyDescent="0.25">
      <c r="A53" s="2">
        <v>51</v>
      </c>
      <c r="B53" s="2" t="s">
        <v>34</v>
      </c>
      <c r="C53" s="2"/>
      <c r="D53" s="2">
        <v>4690</v>
      </c>
      <c r="E53" s="2">
        <v>230</v>
      </c>
      <c r="F53" s="2">
        <v>500</v>
      </c>
      <c r="G53" s="3">
        <f t="shared" si="0"/>
        <v>0.53935</v>
      </c>
      <c r="H53" s="5">
        <f t="shared" si="1"/>
        <v>4.6900000000000004</v>
      </c>
      <c r="I53" s="5">
        <f t="shared" si="2"/>
        <v>1.0787</v>
      </c>
    </row>
    <row r="54" spans="1:9" ht="24.95" customHeight="1" x14ac:dyDescent="0.25">
      <c r="A54" s="2">
        <v>52</v>
      </c>
      <c r="B54" s="2" t="s">
        <v>34</v>
      </c>
      <c r="C54" s="2"/>
      <c r="D54" s="2">
        <f>6300/2</f>
        <v>3150</v>
      </c>
      <c r="E54" s="2">
        <v>230</v>
      </c>
      <c r="F54" s="2">
        <v>500</v>
      </c>
      <c r="G54" s="3">
        <f t="shared" si="0"/>
        <v>0.36225000000000002</v>
      </c>
      <c r="H54" s="5">
        <f t="shared" si="1"/>
        <v>3.15</v>
      </c>
      <c r="I54" s="5">
        <f t="shared" si="2"/>
        <v>0.72450000000000003</v>
      </c>
    </row>
    <row r="55" spans="1:9" ht="24.95" customHeight="1" x14ac:dyDescent="0.25">
      <c r="A55" s="2">
        <v>53</v>
      </c>
      <c r="B55" s="2" t="s">
        <v>87</v>
      </c>
      <c r="C55" s="2"/>
      <c r="D55" s="2">
        <v>315</v>
      </c>
      <c r="E55" s="2">
        <v>230</v>
      </c>
      <c r="F55" s="2">
        <v>500</v>
      </c>
      <c r="G55" s="3">
        <f t="shared" si="0"/>
        <v>3.6225E-2</v>
      </c>
      <c r="H55" s="5">
        <f t="shared" si="1"/>
        <v>0.315</v>
      </c>
      <c r="I55" s="5">
        <f t="shared" si="2"/>
        <v>7.2450000000000001E-2</v>
      </c>
    </row>
    <row r="56" spans="1:9" ht="24.95" customHeight="1" x14ac:dyDescent="0.25">
      <c r="A56" s="2">
        <v>54</v>
      </c>
      <c r="B56" s="2" t="s">
        <v>35</v>
      </c>
      <c r="C56" s="2"/>
      <c r="D56" s="2">
        <v>3530</v>
      </c>
      <c r="E56" s="2">
        <v>230</v>
      </c>
      <c r="F56" s="2">
        <v>500</v>
      </c>
      <c r="G56" s="3">
        <f t="shared" si="0"/>
        <v>0.40594999999999998</v>
      </c>
      <c r="H56" s="5">
        <f t="shared" si="1"/>
        <v>3.53</v>
      </c>
      <c r="I56" s="5">
        <f t="shared" si="2"/>
        <v>0.81189999999999996</v>
      </c>
    </row>
    <row r="57" spans="1:9" ht="24.95" customHeight="1" x14ac:dyDescent="0.25">
      <c r="A57" s="2">
        <v>55</v>
      </c>
      <c r="B57" s="2" t="s">
        <v>36</v>
      </c>
      <c r="C57" s="2"/>
      <c r="D57" s="2">
        <v>3035</v>
      </c>
      <c r="E57" s="2">
        <v>200</v>
      </c>
      <c r="F57" s="2">
        <v>500</v>
      </c>
      <c r="G57" s="3">
        <f t="shared" si="0"/>
        <v>0.30349999999999999</v>
      </c>
      <c r="H57" s="5">
        <f t="shared" si="1"/>
        <v>3.0350000000000001</v>
      </c>
      <c r="I57" s="5">
        <f t="shared" si="2"/>
        <v>0.60699999999999998</v>
      </c>
    </row>
    <row r="58" spans="1:9" ht="24.95" customHeight="1" x14ac:dyDescent="0.25">
      <c r="A58" s="2">
        <v>56</v>
      </c>
      <c r="B58" s="2" t="s">
        <v>37</v>
      </c>
      <c r="C58" s="2"/>
      <c r="D58" s="2">
        <v>5100</v>
      </c>
      <c r="E58" s="2">
        <v>200</v>
      </c>
      <c r="F58" s="2">
        <v>500</v>
      </c>
      <c r="G58" s="3">
        <f t="shared" si="0"/>
        <v>0.51</v>
      </c>
      <c r="H58" s="5">
        <f t="shared" si="1"/>
        <v>5.0999999999999996</v>
      </c>
      <c r="I58" s="5">
        <f t="shared" si="2"/>
        <v>1.02</v>
      </c>
    </row>
    <row r="59" spans="1:9" ht="24.95" customHeight="1" x14ac:dyDescent="0.25">
      <c r="A59" s="2">
        <v>57</v>
      </c>
      <c r="B59" s="2" t="s">
        <v>37</v>
      </c>
      <c r="C59" s="2"/>
      <c r="D59" s="2">
        <v>5100</v>
      </c>
      <c r="E59" s="2">
        <v>200</v>
      </c>
      <c r="F59" s="2">
        <v>500</v>
      </c>
      <c r="G59" s="3">
        <f t="shared" si="0"/>
        <v>0.51</v>
      </c>
      <c r="H59" s="5">
        <f t="shared" si="1"/>
        <v>5.0999999999999996</v>
      </c>
      <c r="I59" s="5">
        <f t="shared" si="2"/>
        <v>1.02</v>
      </c>
    </row>
    <row r="60" spans="1:9" ht="24.95" customHeight="1" x14ac:dyDescent="0.25">
      <c r="A60" s="2">
        <v>58</v>
      </c>
      <c r="B60" s="2" t="s">
        <v>38</v>
      </c>
      <c r="C60" s="2"/>
      <c r="D60" s="2">
        <v>3190</v>
      </c>
      <c r="E60" s="2">
        <v>200</v>
      </c>
      <c r="F60" s="2">
        <v>500</v>
      </c>
      <c r="G60" s="3">
        <f t="shared" si="0"/>
        <v>0.31900000000000001</v>
      </c>
      <c r="H60" s="5">
        <f t="shared" si="1"/>
        <v>3.19</v>
      </c>
      <c r="I60" s="5">
        <f t="shared" si="2"/>
        <v>0.63800000000000001</v>
      </c>
    </row>
    <row r="61" spans="1:9" ht="24.95" customHeight="1" x14ac:dyDescent="0.25">
      <c r="A61" s="2">
        <v>59</v>
      </c>
      <c r="B61" s="2" t="s">
        <v>38</v>
      </c>
      <c r="C61" s="2"/>
      <c r="D61" s="2">
        <v>3190</v>
      </c>
      <c r="E61" s="2">
        <v>200</v>
      </c>
      <c r="F61" s="2">
        <v>500</v>
      </c>
      <c r="G61" s="3">
        <f t="shared" si="0"/>
        <v>0.31900000000000001</v>
      </c>
      <c r="H61" s="5">
        <f t="shared" si="1"/>
        <v>3.19</v>
      </c>
      <c r="I61" s="5">
        <f t="shared" si="2"/>
        <v>0.63800000000000001</v>
      </c>
    </row>
    <row r="62" spans="1:9" ht="24.95" customHeight="1" x14ac:dyDescent="0.25">
      <c r="A62" s="2">
        <v>60</v>
      </c>
      <c r="B62" s="2" t="s">
        <v>39</v>
      </c>
      <c r="C62" s="2" t="s">
        <v>40</v>
      </c>
      <c r="D62" s="2">
        <v>1810</v>
      </c>
      <c r="E62" s="2">
        <v>200</v>
      </c>
      <c r="F62" s="2">
        <v>500</v>
      </c>
      <c r="G62" s="3">
        <f t="shared" si="0"/>
        <v>0.18099999999999999</v>
      </c>
      <c r="H62" s="5">
        <f t="shared" si="1"/>
        <v>1.81</v>
      </c>
      <c r="I62" s="5">
        <f t="shared" si="2"/>
        <v>0.36199999999999999</v>
      </c>
    </row>
    <row r="63" spans="1:9" ht="24.95" customHeight="1" x14ac:dyDescent="0.25">
      <c r="A63" s="2">
        <v>61</v>
      </c>
      <c r="B63" s="2" t="s">
        <v>39</v>
      </c>
      <c r="C63" s="2" t="s">
        <v>40</v>
      </c>
      <c r="D63" s="2">
        <v>3550</v>
      </c>
      <c r="E63" s="2">
        <v>200</v>
      </c>
      <c r="F63" s="2">
        <v>500</v>
      </c>
      <c r="G63" s="3">
        <f t="shared" si="0"/>
        <v>0.35499999999999998</v>
      </c>
      <c r="H63" s="5">
        <f t="shared" si="1"/>
        <v>3.55</v>
      </c>
      <c r="I63" s="5">
        <f t="shared" si="2"/>
        <v>0.71</v>
      </c>
    </row>
    <row r="64" spans="1:9" ht="24.95" customHeight="1" x14ac:dyDescent="0.25">
      <c r="A64" s="2">
        <v>62</v>
      </c>
      <c r="B64" s="2" t="s">
        <v>39</v>
      </c>
      <c r="C64" s="2" t="s">
        <v>40</v>
      </c>
      <c r="D64" s="2">
        <v>415</v>
      </c>
      <c r="E64" s="2">
        <v>200</v>
      </c>
      <c r="F64" s="2">
        <v>500</v>
      </c>
      <c r="G64" s="3">
        <f t="shared" si="0"/>
        <v>4.1500000000000002E-2</v>
      </c>
      <c r="H64" s="5">
        <f t="shared" si="1"/>
        <v>0.41499999999999998</v>
      </c>
      <c r="I64" s="5">
        <f t="shared" si="2"/>
        <v>8.3000000000000004E-2</v>
      </c>
    </row>
    <row r="65" spans="1:9" ht="24.95" customHeight="1" x14ac:dyDescent="0.25">
      <c r="A65" s="2">
        <v>63</v>
      </c>
      <c r="B65" s="2" t="s">
        <v>39</v>
      </c>
      <c r="C65" s="2" t="s">
        <v>41</v>
      </c>
      <c r="D65" s="2">
        <v>3550</v>
      </c>
      <c r="E65" s="2">
        <v>200</v>
      </c>
      <c r="F65" s="2">
        <v>500</v>
      </c>
      <c r="G65" s="3">
        <f t="shared" si="0"/>
        <v>0.35499999999999998</v>
      </c>
      <c r="H65" s="5">
        <f t="shared" si="1"/>
        <v>3.55</v>
      </c>
      <c r="I65" s="5">
        <f t="shared" si="2"/>
        <v>0.71</v>
      </c>
    </row>
    <row r="66" spans="1:9" ht="24.95" customHeight="1" x14ac:dyDescent="0.25">
      <c r="A66" s="2">
        <v>64</v>
      </c>
      <c r="B66" s="2" t="s">
        <v>39</v>
      </c>
      <c r="C66" s="2" t="s">
        <v>41</v>
      </c>
      <c r="D66" s="2">
        <v>1810</v>
      </c>
      <c r="E66" s="2">
        <v>200</v>
      </c>
      <c r="F66" s="2">
        <v>500</v>
      </c>
      <c r="G66" s="3">
        <f t="shared" si="0"/>
        <v>0.18099999999999999</v>
      </c>
      <c r="H66" s="5">
        <f t="shared" si="1"/>
        <v>1.81</v>
      </c>
      <c r="I66" s="5">
        <f t="shared" si="2"/>
        <v>0.36199999999999999</v>
      </c>
    </row>
    <row r="67" spans="1:9" ht="24.95" customHeight="1" x14ac:dyDescent="0.25">
      <c r="A67" s="2">
        <v>65</v>
      </c>
      <c r="B67" s="2" t="s">
        <v>39</v>
      </c>
      <c r="C67" s="2" t="s">
        <v>41</v>
      </c>
      <c r="D67" s="2">
        <v>415</v>
      </c>
      <c r="E67" s="2">
        <v>200</v>
      </c>
      <c r="F67" s="2">
        <v>500</v>
      </c>
      <c r="G67" s="3">
        <f t="shared" si="0"/>
        <v>4.1500000000000002E-2</v>
      </c>
      <c r="H67" s="5">
        <f t="shared" si="1"/>
        <v>0.41499999999999998</v>
      </c>
      <c r="I67" s="5">
        <f t="shared" si="2"/>
        <v>8.3000000000000004E-2</v>
      </c>
    </row>
    <row r="68" spans="1:9" ht="24.95" customHeight="1" x14ac:dyDescent="0.25">
      <c r="A68" s="2">
        <v>66</v>
      </c>
      <c r="B68" s="2" t="s">
        <v>39</v>
      </c>
      <c r="C68" s="2" t="s">
        <v>85</v>
      </c>
      <c r="D68" s="2">
        <v>3550</v>
      </c>
      <c r="E68" s="2">
        <v>200</v>
      </c>
      <c r="F68" s="2">
        <v>500</v>
      </c>
      <c r="G68" s="3">
        <f t="shared" ref="G68:G131" si="3">D68*E68*F68/1000000000</f>
        <v>0.35499999999999998</v>
      </c>
      <c r="H68" s="5">
        <f t="shared" ref="H68:H131" si="4">(2*D68*F68/1000000)</f>
        <v>3.55</v>
      </c>
      <c r="I68" s="5">
        <f t="shared" ref="I68:I131" si="5">(D68*E68/1000000)</f>
        <v>0.71</v>
      </c>
    </row>
    <row r="69" spans="1:9" ht="24.95" customHeight="1" x14ac:dyDescent="0.25">
      <c r="A69" s="2">
        <v>67</v>
      </c>
      <c r="B69" s="2" t="s">
        <v>39</v>
      </c>
      <c r="C69" s="2" t="s">
        <v>85</v>
      </c>
      <c r="D69" s="2">
        <v>1810</v>
      </c>
      <c r="E69" s="2">
        <v>200</v>
      </c>
      <c r="F69" s="2">
        <v>500</v>
      </c>
      <c r="G69" s="3">
        <f t="shared" si="3"/>
        <v>0.18099999999999999</v>
      </c>
      <c r="H69" s="5">
        <f t="shared" si="4"/>
        <v>1.81</v>
      </c>
      <c r="I69" s="5">
        <f t="shared" si="5"/>
        <v>0.36199999999999999</v>
      </c>
    </row>
    <row r="70" spans="1:9" ht="24.95" customHeight="1" x14ac:dyDescent="0.25">
      <c r="A70" s="2">
        <v>68</v>
      </c>
      <c r="B70" s="2" t="s">
        <v>39</v>
      </c>
      <c r="C70" s="2" t="s">
        <v>85</v>
      </c>
      <c r="D70" s="2">
        <v>415</v>
      </c>
      <c r="E70" s="2">
        <v>200</v>
      </c>
      <c r="F70" s="2">
        <v>500</v>
      </c>
      <c r="G70" s="3">
        <f t="shared" si="3"/>
        <v>4.1500000000000002E-2</v>
      </c>
      <c r="H70" s="5">
        <f t="shared" si="4"/>
        <v>0.41499999999999998</v>
      </c>
      <c r="I70" s="5">
        <f t="shared" si="5"/>
        <v>8.3000000000000004E-2</v>
      </c>
    </row>
    <row r="71" spans="1:9" ht="24.95" customHeight="1" x14ac:dyDescent="0.25">
      <c r="A71" s="2">
        <v>69</v>
      </c>
      <c r="B71" s="2" t="s">
        <v>99</v>
      </c>
      <c r="C71" s="4" t="s">
        <v>100</v>
      </c>
      <c r="D71" s="2">
        <f>2*3450</f>
        <v>6900</v>
      </c>
      <c r="E71" s="2">
        <v>200</v>
      </c>
      <c r="F71" s="2">
        <v>500</v>
      </c>
      <c r="G71" s="3">
        <f t="shared" si="3"/>
        <v>0.69</v>
      </c>
      <c r="H71" s="5">
        <f t="shared" si="4"/>
        <v>6.9</v>
      </c>
      <c r="I71" s="5">
        <f t="shared" si="5"/>
        <v>1.38</v>
      </c>
    </row>
    <row r="72" spans="1:9" ht="24.95" customHeight="1" x14ac:dyDescent="0.25">
      <c r="A72" s="2">
        <v>70</v>
      </c>
      <c r="B72" s="2" t="s">
        <v>42</v>
      </c>
      <c r="C72" s="2"/>
      <c r="D72" s="2">
        <v>3520</v>
      </c>
      <c r="E72" s="2">
        <v>200</v>
      </c>
      <c r="F72" s="2">
        <v>500</v>
      </c>
      <c r="G72" s="3">
        <f t="shared" si="3"/>
        <v>0.35199999999999998</v>
      </c>
      <c r="H72" s="5">
        <f t="shared" si="4"/>
        <v>3.52</v>
      </c>
      <c r="I72" s="5">
        <f t="shared" si="5"/>
        <v>0.70399999999999996</v>
      </c>
    </row>
    <row r="73" spans="1:9" ht="24.95" customHeight="1" x14ac:dyDescent="0.25">
      <c r="A73" s="2">
        <v>71</v>
      </c>
      <c r="B73" s="2" t="s">
        <v>95</v>
      </c>
      <c r="C73" s="2" t="s">
        <v>96</v>
      </c>
      <c r="D73" s="2">
        <f>3*2910</f>
        <v>8730</v>
      </c>
      <c r="E73" s="2">
        <v>200</v>
      </c>
      <c r="F73" s="2">
        <v>500</v>
      </c>
      <c r="G73" s="3">
        <f t="shared" si="3"/>
        <v>0.873</v>
      </c>
      <c r="H73" s="5">
        <f t="shared" si="4"/>
        <v>8.73</v>
      </c>
      <c r="I73" s="5">
        <f t="shared" si="5"/>
        <v>1.746</v>
      </c>
    </row>
    <row r="74" spans="1:9" ht="24.95" customHeight="1" x14ac:dyDescent="0.25">
      <c r="A74" s="2">
        <v>72</v>
      </c>
      <c r="B74" s="2" t="s">
        <v>43</v>
      </c>
      <c r="C74" s="2" t="s">
        <v>97</v>
      </c>
      <c r="D74" s="2">
        <f>2*3000</f>
        <v>6000</v>
      </c>
      <c r="E74" s="2">
        <v>200</v>
      </c>
      <c r="F74" s="2">
        <v>500</v>
      </c>
      <c r="G74" s="3">
        <f t="shared" si="3"/>
        <v>0.6</v>
      </c>
      <c r="H74" s="5">
        <f t="shared" si="4"/>
        <v>6</v>
      </c>
      <c r="I74" s="5">
        <f t="shared" si="5"/>
        <v>1.2</v>
      </c>
    </row>
    <row r="75" spans="1:9" ht="24.95" customHeight="1" x14ac:dyDescent="0.25">
      <c r="A75" s="2">
        <v>73</v>
      </c>
      <c r="B75" s="2" t="s">
        <v>43</v>
      </c>
      <c r="C75" s="2"/>
      <c r="D75" s="2">
        <v>4130</v>
      </c>
      <c r="E75" s="2">
        <v>200</v>
      </c>
      <c r="F75" s="2">
        <v>500</v>
      </c>
      <c r="G75" s="3">
        <f t="shared" si="3"/>
        <v>0.41299999999999998</v>
      </c>
      <c r="H75" s="5">
        <f t="shared" si="4"/>
        <v>4.13</v>
      </c>
      <c r="I75" s="5">
        <f t="shared" si="5"/>
        <v>0.82599999999999996</v>
      </c>
    </row>
    <row r="76" spans="1:9" ht="24.95" customHeight="1" x14ac:dyDescent="0.25">
      <c r="A76" s="2">
        <v>74</v>
      </c>
      <c r="B76" s="2" t="s">
        <v>44</v>
      </c>
      <c r="C76" s="2" t="s">
        <v>98</v>
      </c>
      <c r="D76" s="2">
        <f>3*3310</f>
        <v>9930</v>
      </c>
      <c r="E76" s="2">
        <v>200</v>
      </c>
      <c r="F76" s="2">
        <v>500</v>
      </c>
      <c r="G76" s="3">
        <f t="shared" si="3"/>
        <v>0.99299999999999999</v>
      </c>
      <c r="H76" s="5">
        <f t="shared" si="4"/>
        <v>9.93</v>
      </c>
      <c r="I76" s="5">
        <f t="shared" si="5"/>
        <v>1.986</v>
      </c>
    </row>
    <row r="77" spans="1:9" ht="24.95" customHeight="1" x14ac:dyDescent="0.25">
      <c r="A77" s="2">
        <v>75</v>
      </c>
      <c r="B77" s="2"/>
      <c r="C77" s="2"/>
      <c r="D77" s="2"/>
      <c r="E77" s="2">
        <v>200</v>
      </c>
      <c r="F77" s="2">
        <v>500</v>
      </c>
      <c r="G77" s="3">
        <f t="shared" si="3"/>
        <v>0</v>
      </c>
      <c r="H77" s="5">
        <f t="shared" si="4"/>
        <v>0</v>
      </c>
      <c r="I77" s="5">
        <f t="shared" si="5"/>
        <v>0</v>
      </c>
    </row>
    <row r="78" spans="1:9" ht="24.95" customHeight="1" x14ac:dyDescent="0.25">
      <c r="A78" s="2">
        <v>76</v>
      </c>
      <c r="B78" s="2" t="s">
        <v>45</v>
      </c>
      <c r="C78" s="2"/>
      <c r="D78" s="2">
        <v>2195</v>
      </c>
      <c r="E78" s="2">
        <v>200</v>
      </c>
      <c r="F78" s="2">
        <v>500</v>
      </c>
      <c r="G78" s="3">
        <f t="shared" si="3"/>
        <v>0.2195</v>
      </c>
      <c r="H78" s="5">
        <f t="shared" si="4"/>
        <v>2.1949999999999998</v>
      </c>
      <c r="I78" s="5">
        <f t="shared" si="5"/>
        <v>0.439</v>
      </c>
    </row>
    <row r="79" spans="1:9" ht="24.95" customHeight="1" x14ac:dyDescent="0.25">
      <c r="A79" s="2">
        <v>77</v>
      </c>
      <c r="B79" s="2" t="s">
        <v>45</v>
      </c>
      <c r="C79" s="2"/>
      <c r="D79" s="2">
        <v>2295</v>
      </c>
      <c r="E79" s="2">
        <v>200</v>
      </c>
      <c r="F79" s="2">
        <v>500</v>
      </c>
      <c r="G79" s="3">
        <f t="shared" si="3"/>
        <v>0.22950000000000001</v>
      </c>
      <c r="H79" s="5">
        <f t="shared" si="4"/>
        <v>2.2949999999999999</v>
      </c>
      <c r="I79" s="5">
        <f t="shared" si="5"/>
        <v>0.45900000000000002</v>
      </c>
    </row>
    <row r="80" spans="1:9" ht="24.95" customHeight="1" x14ac:dyDescent="0.25">
      <c r="A80" s="2">
        <v>78</v>
      </c>
      <c r="B80" s="2" t="s">
        <v>46</v>
      </c>
      <c r="C80" s="2"/>
      <c r="D80" s="2">
        <v>5245</v>
      </c>
      <c r="E80" s="2">
        <v>200</v>
      </c>
      <c r="F80" s="2">
        <v>500</v>
      </c>
      <c r="G80" s="3">
        <f t="shared" si="3"/>
        <v>0.52449999999999997</v>
      </c>
      <c r="H80" s="5">
        <f t="shared" si="4"/>
        <v>5.2450000000000001</v>
      </c>
      <c r="I80" s="5">
        <f t="shared" si="5"/>
        <v>1.0489999999999999</v>
      </c>
    </row>
    <row r="81" spans="1:9" ht="24.95" customHeight="1" x14ac:dyDescent="0.25">
      <c r="A81" s="2">
        <v>79</v>
      </c>
      <c r="B81" s="2" t="s">
        <v>47</v>
      </c>
      <c r="C81" s="2"/>
      <c r="D81" s="2">
        <v>2230</v>
      </c>
      <c r="E81" s="2">
        <v>200</v>
      </c>
      <c r="F81" s="2">
        <v>500</v>
      </c>
      <c r="G81" s="3">
        <f t="shared" si="3"/>
        <v>0.223</v>
      </c>
      <c r="H81" s="5">
        <f t="shared" si="4"/>
        <v>2.23</v>
      </c>
      <c r="I81" s="5">
        <f t="shared" si="5"/>
        <v>0.44600000000000001</v>
      </c>
    </row>
    <row r="82" spans="1:9" ht="24.95" customHeight="1" x14ac:dyDescent="0.25">
      <c r="A82" s="2">
        <v>80</v>
      </c>
      <c r="B82" s="2" t="s">
        <v>48</v>
      </c>
      <c r="C82" s="2"/>
      <c r="D82" s="2">
        <v>1950</v>
      </c>
      <c r="E82" s="2">
        <v>200</v>
      </c>
      <c r="F82" s="2">
        <v>500</v>
      </c>
      <c r="G82" s="3">
        <f t="shared" si="3"/>
        <v>0.19500000000000001</v>
      </c>
      <c r="H82" s="5">
        <f t="shared" si="4"/>
        <v>1.95</v>
      </c>
      <c r="I82" s="5">
        <f t="shared" si="5"/>
        <v>0.39</v>
      </c>
    </row>
    <row r="83" spans="1:9" ht="24.95" customHeight="1" x14ac:dyDescent="0.25">
      <c r="A83" s="2">
        <v>81</v>
      </c>
      <c r="B83" s="2" t="s">
        <v>48</v>
      </c>
      <c r="C83" s="2"/>
      <c r="D83" s="2">
        <v>300</v>
      </c>
      <c r="E83" s="2">
        <v>200</v>
      </c>
      <c r="F83" s="2">
        <v>500</v>
      </c>
      <c r="G83" s="3">
        <f t="shared" si="3"/>
        <v>0.03</v>
      </c>
      <c r="H83" s="5">
        <f t="shared" si="4"/>
        <v>0.3</v>
      </c>
      <c r="I83" s="5">
        <f t="shared" si="5"/>
        <v>0.06</v>
      </c>
    </row>
    <row r="84" spans="1:9" ht="24.95" customHeight="1" x14ac:dyDescent="0.25">
      <c r="A84" s="2">
        <v>82</v>
      </c>
      <c r="B84" s="2" t="s">
        <v>49</v>
      </c>
      <c r="C84" s="2"/>
      <c r="D84" s="2">
        <v>5145</v>
      </c>
      <c r="E84" s="2">
        <v>200</v>
      </c>
      <c r="F84" s="2">
        <v>500</v>
      </c>
      <c r="G84" s="3">
        <f t="shared" si="3"/>
        <v>0.51449999999999996</v>
      </c>
      <c r="H84" s="5">
        <f t="shared" si="4"/>
        <v>5.1449999999999996</v>
      </c>
      <c r="I84" s="5">
        <f t="shared" si="5"/>
        <v>1.0289999999999999</v>
      </c>
    </row>
    <row r="85" spans="1:9" ht="24.95" customHeight="1" x14ac:dyDescent="0.25">
      <c r="A85" s="2">
        <v>83</v>
      </c>
      <c r="B85" s="2" t="s">
        <v>50</v>
      </c>
      <c r="C85" s="2"/>
      <c r="D85" s="2">
        <v>3200</v>
      </c>
      <c r="E85" s="2">
        <v>200</v>
      </c>
      <c r="F85" s="2">
        <v>500</v>
      </c>
      <c r="G85" s="3">
        <f t="shared" si="3"/>
        <v>0.32</v>
      </c>
      <c r="H85" s="5">
        <f t="shared" si="4"/>
        <v>3.2</v>
      </c>
      <c r="I85" s="5">
        <f t="shared" si="5"/>
        <v>0.64</v>
      </c>
    </row>
    <row r="86" spans="1:9" ht="24.95" customHeight="1" x14ac:dyDescent="0.25">
      <c r="A86" s="2">
        <v>84</v>
      </c>
      <c r="B86" s="2" t="s">
        <v>51</v>
      </c>
      <c r="C86" s="2"/>
      <c r="D86" s="2">
        <v>2950</v>
      </c>
      <c r="E86" s="2">
        <v>200</v>
      </c>
      <c r="F86" s="2">
        <v>500</v>
      </c>
      <c r="G86" s="3">
        <f t="shared" si="3"/>
        <v>0.29499999999999998</v>
      </c>
      <c r="H86" s="5">
        <f t="shared" si="4"/>
        <v>2.95</v>
      </c>
      <c r="I86" s="5">
        <f t="shared" si="5"/>
        <v>0.59</v>
      </c>
    </row>
    <row r="87" spans="1:9" ht="24.95" customHeight="1" x14ac:dyDescent="0.25">
      <c r="A87" s="2">
        <v>85</v>
      </c>
      <c r="B87" s="2" t="s">
        <v>52</v>
      </c>
      <c r="C87" s="2"/>
      <c r="D87" s="2">
        <v>3800</v>
      </c>
      <c r="E87" s="2">
        <v>200</v>
      </c>
      <c r="F87" s="2">
        <v>500</v>
      </c>
      <c r="G87" s="3">
        <f t="shared" si="3"/>
        <v>0.38</v>
      </c>
      <c r="H87" s="5">
        <f t="shared" si="4"/>
        <v>3.8</v>
      </c>
      <c r="I87" s="5">
        <f t="shared" si="5"/>
        <v>0.76</v>
      </c>
    </row>
    <row r="88" spans="1:9" ht="24.95" customHeight="1" x14ac:dyDescent="0.25">
      <c r="A88" s="2">
        <v>86</v>
      </c>
      <c r="B88" s="2" t="s">
        <v>53</v>
      </c>
      <c r="C88" s="2"/>
      <c r="D88" s="2">
        <v>4550</v>
      </c>
      <c r="E88" s="2">
        <v>200</v>
      </c>
      <c r="F88" s="2">
        <v>500</v>
      </c>
      <c r="G88" s="3">
        <f t="shared" si="3"/>
        <v>0.45500000000000002</v>
      </c>
      <c r="H88" s="5">
        <f t="shared" si="4"/>
        <v>4.55</v>
      </c>
      <c r="I88" s="5">
        <f t="shared" si="5"/>
        <v>0.91</v>
      </c>
    </row>
    <row r="89" spans="1:9" ht="24.95" customHeight="1" x14ac:dyDescent="0.25">
      <c r="A89" s="2">
        <v>87</v>
      </c>
      <c r="B89" s="2" t="s">
        <v>54</v>
      </c>
      <c r="C89" s="2"/>
      <c r="D89" s="2">
        <v>3050</v>
      </c>
      <c r="E89" s="2">
        <v>200</v>
      </c>
      <c r="F89" s="2">
        <v>500</v>
      </c>
      <c r="G89" s="3">
        <f t="shared" si="3"/>
        <v>0.30499999999999999</v>
      </c>
      <c r="H89" s="5">
        <f t="shared" si="4"/>
        <v>3.05</v>
      </c>
      <c r="I89" s="5">
        <f t="shared" si="5"/>
        <v>0.61</v>
      </c>
    </row>
    <row r="90" spans="1:9" ht="24.95" customHeight="1" x14ac:dyDescent="0.25">
      <c r="A90" s="2">
        <v>88</v>
      </c>
      <c r="B90" s="2" t="s">
        <v>55</v>
      </c>
      <c r="C90" s="2"/>
      <c r="D90" s="2">
        <v>3115</v>
      </c>
      <c r="E90" s="2">
        <v>200</v>
      </c>
      <c r="F90" s="2">
        <v>500</v>
      </c>
      <c r="G90" s="3">
        <f t="shared" si="3"/>
        <v>0.3115</v>
      </c>
      <c r="H90" s="5">
        <f t="shared" si="4"/>
        <v>3.1150000000000002</v>
      </c>
      <c r="I90" s="5">
        <f t="shared" si="5"/>
        <v>0.623</v>
      </c>
    </row>
    <row r="91" spans="1:9" ht="24.95" customHeight="1" x14ac:dyDescent="0.25">
      <c r="A91" s="2">
        <v>89</v>
      </c>
      <c r="B91" s="2" t="s">
        <v>56</v>
      </c>
      <c r="C91" s="2"/>
      <c r="D91" s="2">
        <v>1400</v>
      </c>
      <c r="E91" s="2">
        <v>200</v>
      </c>
      <c r="F91" s="2">
        <v>500</v>
      </c>
      <c r="G91" s="3">
        <f t="shared" si="3"/>
        <v>0.14000000000000001</v>
      </c>
      <c r="H91" s="5">
        <f t="shared" si="4"/>
        <v>1.4</v>
      </c>
      <c r="I91" s="5">
        <f t="shared" si="5"/>
        <v>0.28000000000000003</v>
      </c>
    </row>
    <row r="92" spans="1:9" ht="24.95" customHeight="1" x14ac:dyDescent="0.25">
      <c r="A92" s="2">
        <v>90</v>
      </c>
      <c r="B92" s="2" t="s">
        <v>57</v>
      </c>
      <c r="C92" s="2"/>
      <c r="D92" s="4">
        <v>350</v>
      </c>
      <c r="E92" s="2">
        <v>200</v>
      </c>
      <c r="F92" s="2">
        <v>500</v>
      </c>
      <c r="G92" s="3">
        <f t="shared" si="3"/>
        <v>3.5000000000000003E-2</v>
      </c>
      <c r="H92" s="5">
        <f t="shared" si="4"/>
        <v>0.35</v>
      </c>
      <c r="I92" s="5">
        <f t="shared" si="5"/>
        <v>7.0000000000000007E-2</v>
      </c>
    </row>
    <row r="93" spans="1:9" ht="24.95" customHeight="1" x14ac:dyDescent="0.25">
      <c r="A93" s="2">
        <v>91</v>
      </c>
      <c r="B93" s="2" t="s">
        <v>58</v>
      </c>
      <c r="C93" s="2"/>
      <c r="D93" s="2">
        <v>1820</v>
      </c>
      <c r="E93" s="2">
        <v>200</v>
      </c>
      <c r="F93" s="2">
        <v>500</v>
      </c>
      <c r="G93" s="3">
        <f t="shared" si="3"/>
        <v>0.182</v>
      </c>
      <c r="H93" s="5">
        <f t="shared" si="4"/>
        <v>1.82</v>
      </c>
      <c r="I93" s="5">
        <f t="shared" si="5"/>
        <v>0.36399999999999999</v>
      </c>
    </row>
    <row r="94" spans="1:9" ht="24.95" customHeight="1" x14ac:dyDescent="0.25">
      <c r="A94" s="2">
        <v>92</v>
      </c>
      <c r="B94" s="2" t="s">
        <v>58</v>
      </c>
      <c r="C94" s="2"/>
      <c r="D94" s="2">
        <v>350</v>
      </c>
      <c r="E94" s="2">
        <v>200</v>
      </c>
      <c r="F94" s="2">
        <v>500</v>
      </c>
      <c r="G94" s="3">
        <f t="shared" si="3"/>
        <v>3.5000000000000003E-2</v>
      </c>
      <c r="H94" s="5">
        <f t="shared" si="4"/>
        <v>0.35</v>
      </c>
      <c r="I94" s="5">
        <f t="shared" si="5"/>
        <v>7.0000000000000007E-2</v>
      </c>
    </row>
    <row r="95" spans="1:9" ht="24.95" customHeight="1" x14ac:dyDescent="0.25">
      <c r="A95" s="2">
        <v>93</v>
      </c>
      <c r="B95" s="2" t="s">
        <v>59</v>
      </c>
      <c r="C95" s="2"/>
      <c r="D95" s="2">
        <v>3200</v>
      </c>
      <c r="E95" s="2">
        <v>230</v>
      </c>
      <c r="F95" s="2">
        <v>500</v>
      </c>
      <c r="G95" s="3">
        <f t="shared" si="3"/>
        <v>0.36799999999999999</v>
      </c>
      <c r="H95" s="5">
        <f t="shared" si="4"/>
        <v>3.2</v>
      </c>
      <c r="I95" s="5">
        <f t="shared" si="5"/>
        <v>0.73599999999999999</v>
      </c>
    </row>
    <row r="96" spans="1:9" ht="24.95" customHeight="1" x14ac:dyDescent="0.25">
      <c r="A96" s="2">
        <v>94</v>
      </c>
      <c r="B96" s="2" t="s">
        <v>60</v>
      </c>
      <c r="C96" s="2"/>
      <c r="D96" s="2">
        <v>2540</v>
      </c>
      <c r="E96" s="2">
        <v>230</v>
      </c>
      <c r="F96" s="2">
        <v>500</v>
      </c>
      <c r="G96" s="3">
        <f t="shared" si="3"/>
        <v>0.29210000000000003</v>
      </c>
      <c r="H96" s="5">
        <f t="shared" si="4"/>
        <v>2.54</v>
      </c>
      <c r="I96" s="5">
        <f t="shared" si="5"/>
        <v>0.58420000000000005</v>
      </c>
    </row>
    <row r="97" spans="1:9" ht="24.95" customHeight="1" x14ac:dyDescent="0.25">
      <c r="A97" s="2">
        <v>95</v>
      </c>
      <c r="B97" s="2" t="s">
        <v>60</v>
      </c>
      <c r="C97" s="2"/>
      <c r="D97" s="2">
        <v>3430</v>
      </c>
      <c r="E97" s="2">
        <v>200</v>
      </c>
      <c r="F97" s="2">
        <v>500</v>
      </c>
      <c r="G97" s="3">
        <f t="shared" si="3"/>
        <v>0.34300000000000003</v>
      </c>
      <c r="H97" s="5">
        <f t="shared" si="4"/>
        <v>3.43</v>
      </c>
      <c r="I97" s="5">
        <f t="shared" si="5"/>
        <v>0.68600000000000005</v>
      </c>
    </row>
    <row r="98" spans="1:9" ht="24.95" customHeight="1" x14ac:dyDescent="0.25">
      <c r="A98" s="2">
        <v>96</v>
      </c>
      <c r="B98" s="2" t="s">
        <v>60</v>
      </c>
      <c r="C98" s="2"/>
      <c r="D98" s="2">
        <v>3140</v>
      </c>
      <c r="E98" s="2">
        <v>200</v>
      </c>
      <c r="F98" s="2">
        <v>500</v>
      </c>
      <c r="G98" s="3">
        <f t="shared" si="3"/>
        <v>0.314</v>
      </c>
      <c r="H98" s="5">
        <f t="shared" si="4"/>
        <v>3.14</v>
      </c>
      <c r="I98" s="5">
        <f t="shared" si="5"/>
        <v>0.628</v>
      </c>
    </row>
    <row r="99" spans="1:9" ht="24.95" customHeight="1" x14ac:dyDescent="0.25">
      <c r="A99" s="2">
        <v>97</v>
      </c>
      <c r="B99" s="2" t="s">
        <v>60</v>
      </c>
      <c r="C99" s="2"/>
      <c r="D99" s="2">
        <v>3430</v>
      </c>
      <c r="E99" s="2">
        <v>200</v>
      </c>
      <c r="F99" s="2">
        <v>500</v>
      </c>
      <c r="G99" s="3">
        <f t="shared" si="3"/>
        <v>0.34300000000000003</v>
      </c>
      <c r="H99" s="5">
        <f t="shared" si="4"/>
        <v>3.43</v>
      </c>
      <c r="I99" s="5">
        <f t="shared" si="5"/>
        <v>0.68600000000000005</v>
      </c>
    </row>
    <row r="100" spans="1:9" ht="24.95" customHeight="1" x14ac:dyDescent="0.25">
      <c r="A100" s="2">
        <v>98</v>
      </c>
      <c r="B100" s="2" t="s">
        <v>60</v>
      </c>
      <c r="C100" s="2"/>
      <c r="D100" s="2">
        <v>1990</v>
      </c>
      <c r="E100" s="2">
        <v>200</v>
      </c>
      <c r="F100" s="2">
        <v>500</v>
      </c>
      <c r="G100" s="3">
        <f t="shared" si="3"/>
        <v>0.19900000000000001</v>
      </c>
      <c r="H100" s="5">
        <f t="shared" si="4"/>
        <v>1.99</v>
      </c>
      <c r="I100" s="5">
        <f t="shared" si="5"/>
        <v>0.39800000000000002</v>
      </c>
    </row>
    <row r="101" spans="1:9" ht="24.95" customHeight="1" x14ac:dyDescent="0.25">
      <c r="A101" s="2">
        <v>99</v>
      </c>
      <c r="B101" s="2" t="s">
        <v>61</v>
      </c>
      <c r="C101" s="2"/>
      <c r="D101" s="2">
        <v>2225</v>
      </c>
      <c r="E101" s="2">
        <v>200</v>
      </c>
      <c r="F101" s="2">
        <v>500</v>
      </c>
      <c r="G101" s="3">
        <f t="shared" si="3"/>
        <v>0.2225</v>
      </c>
      <c r="H101" s="5">
        <f t="shared" si="4"/>
        <v>2.2250000000000001</v>
      </c>
      <c r="I101" s="5">
        <f t="shared" si="5"/>
        <v>0.44500000000000001</v>
      </c>
    </row>
    <row r="102" spans="1:9" ht="24.95" customHeight="1" x14ac:dyDescent="0.25">
      <c r="A102" s="2">
        <v>100</v>
      </c>
      <c r="B102" s="2" t="s">
        <v>62</v>
      </c>
      <c r="C102" s="2"/>
      <c r="D102" s="2">
        <v>3065</v>
      </c>
      <c r="E102" s="2">
        <v>200</v>
      </c>
      <c r="F102" s="2">
        <v>500</v>
      </c>
      <c r="G102" s="3">
        <f t="shared" si="3"/>
        <v>0.30649999999999999</v>
      </c>
      <c r="H102" s="5">
        <f t="shared" si="4"/>
        <v>3.0649999999999999</v>
      </c>
      <c r="I102" s="5">
        <f t="shared" si="5"/>
        <v>0.61299999999999999</v>
      </c>
    </row>
    <row r="103" spans="1:9" ht="24.95" customHeight="1" x14ac:dyDescent="0.25">
      <c r="A103" s="2">
        <v>101</v>
      </c>
      <c r="B103" s="2" t="s">
        <v>63</v>
      </c>
      <c r="C103" s="2"/>
      <c r="D103" s="2">
        <v>3060</v>
      </c>
      <c r="E103" s="2">
        <v>200</v>
      </c>
      <c r="F103" s="2">
        <v>500</v>
      </c>
      <c r="G103" s="3">
        <f t="shared" si="3"/>
        <v>0.30599999999999999</v>
      </c>
      <c r="H103" s="5">
        <f t="shared" si="4"/>
        <v>3.06</v>
      </c>
      <c r="I103" s="5">
        <f t="shared" si="5"/>
        <v>0.61199999999999999</v>
      </c>
    </row>
    <row r="104" spans="1:9" ht="24.95" customHeight="1" x14ac:dyDescent="0.25">
      <c r="A104" s="2">
        <v>102</v>
      </c>
      <c r="B104" s="2" t="s">
        <v>64</v>
      </c>
      <c r="C104" s="2"/>
      <c r="D104" s="2">
        <v>1600</v>
      </c>
      <c r="E104" s="2">
        <v>200</v>
      </c>
      <c r="F104" s="2">
        <v>500</v>
      </c>
      <c r="G104" s="3">
        <f t="shared" si="3"/>
        <v>0.16</v>
      </c>
      <c r="H104" s="5">
        <f t="shared" si="4"/>
        <v>1.6</v>
      </c>
      <c r="I104" s="5">
        <f t="shared" si="5"/>
        <v>0.32</v>
      </c>
    </row>
    <row r="105" spans="1:9" ht="24.95" customHeight="1" x14ac:dyDescent="0.25">
      <c r="A105" s="2">
        <v>103</v>
      </c>
      <c r="B105" s="2" t="s">
        <v>65</v>
      </c>
      <c r="C105" s="2"/>
      <c r="D105" s="2">
        <v>3050</v>
      </c>
      <c r="E105" s="2">
        <v>200</v>
      </c>
      <c r="F105" s="2">
        <v>500</v>
      </c>
      <c r="G105" s="3">
        <f t="shared" si="3"/>
        <v>0.30499999999999999</v>
      </c>
      <c r="H105" s="5">
        <f t="shared" si="4"/>
        <v>3.05</v>
      </c>
      <c r="I105" s="5">
        <f t="shared" si="5"/>
        <v>0.61</v>
      </c>
    </row>
    <row r="106" spans="1:9" ht="24.95" customHeight="1" x14ac:dyDescent="0.25">
      <c r="A106" s="2">
        <v>104</v>
      </c>
      <c r="B106" s="2" t="s">
        <v>66</v>
      </c>
      <c r="C106" s="2"/>
      <c r="D106" s="2">
        <v>1700</v>
      </c>
      <c r="E106" s="2">
        <v>200</v>
      </c>
      <c r="F106" s="2">
        <v>500</v>
      </c>
      <c r="G106" s="3">
        <f t="shared" si="3"/>
        <v>0.17</v>
      </c>
      <c r="H106" s="5">
        <f t="shared" si="4"/>
        <v>1.7</v>
      </c>
      <c r="I106" s="5">
        <f t="shared" si="5"/>
        <v>0.34</v>
      </c>
    </row>
    <row r="107" spans="1:9" ht="24.95" customHeight="1" x14ac:dyDescent="0.25">
      <c r="A107" s="2">
        <v>105</v>
      </c>
      <c r="B107" s="2" t="s">
        <v>66</v>
      </c>
      <c r="C107" s="2"/>
      <c r="D107" s="2">
        <v>1460</v>
      </c>
      <c r="E107" s="2">
        <v>200</v>
      </c>
      <c r="F107" s="2">
        <v>500</v>
      </c>
      <c r="G107" s="3">
        <f t="shared" si="3"/>
        <v>0.14599999999999999</v>
      </c>
      <c r="H107" s="5">
        <f t="shared" si="4"/>
        <v>1.46</v>
      </c>
      <c r="I107" s="5">
        <f t="shared" si="5"/>
        <v>0.29199999999999998</v>
      </c>
    </row>
    <row r="108" spans="1:9" ht="24.95" customHeight="1" x14ac:dyDescent="0.25">
      <c r="A108" s="2">
        <v>106</v>
      </c>
      <c r="B108" s="2" t="s">
        <v>66</v>
      </c>
      <c r="C108" s="2"/>
      <c r="D108" s="2">
        <v>3385</v>
      </c>
      <c r="E108" s="2">
        <v>200</v>
      </c>
      <c r="F108" s="2">
        <v>500</v>
      </c>
      <c r="G108" s="3">
        <f t="shared" si="3"/>
        <v>0.33850000000000002</v>
      </c>
      <c r="H108" s="5">
        <f t="shared" si="4"/>
        <v>3.3849999999999998</v>
      </c>
      <c r="I108" s="5">
        <f t="shared" si="5"/>
        <v>0.67700000000000005</v>
      </c>
    </row>
    <row r="109" spans="1:9" ht="24.95" customHeight="1" x14ac:dyDescent="0.25">
      <c r="A109" s="2">
        <v>107</v>
      </c>
      <c r="B109" s="2" t="s">
        <v>67</v>
      </c>
      <c r="C109" s="2"/>
      <c r="D109" s="2">
        <v>1700</v>
      </c>
      <c r="E109" s="2">
        <v>200</v>
      </c>
      <c r="F109" s="2">
        <v>500</v>
      </c>
      <c r="G109" s="3">
        <f t="shared" si="3"/>
        <v>0.17</v>
      </c>
      <c r="H109" s="5">
        <f t="shared" si="4"/>
        <v>1.7</v>
      </c>
      <c r="I109" s="5">
        <f t="shared" si="5"/>
        <v>0.34</v>
      </c>
    </row>
    <row r="110" spans="1:9" ht="24.95" customHeight="1" x14ac:dyDescent="0.25">
      <c r="A110" s="2">
        <v>108</v>
      </c>
      <c r="B110" s="2" t="s">
        <v>67</v>
      </c>
      <c r="C110" s="2"/>
      <c r="D110" s="2">
        <v>1385</v>
      </c>
      <c r="E110" s="2">
        <v>200</v>
      </c>
      <c r="F110" s="2">
        <v>500</v>
      </c>
      <c r="G110" s="3">
        <f t="shared" si="3"/>
        <v>0.13850000000000001</v>
      </c>
      <c r="H110" s="5">
        <f t="shared" si="4"/>
        <v>1.385</v>
      </c>
      <c r="I110" s="5">
        <f t="shared" si="5"/>
        <v>0.27700000000000002</v>
      </c>
    </row>
    <row r="111" spans="1:9" ht="24.95" customHeight="1" x14ac:dyDescent="0.25">
      <c r="A111" s="2">
        <v>109</v>
      </c>
      <c r="B111" s="2" t="s">
        <v>67</v>
      </c>
      <c r="C111" s="2"/>
      <c r="D111" s="2">
        <v>1385</v>
      </c>
      <c r="E111" s="2">
        <v>200</v>
      </c>
      <c r="F111" s="2">
        <v>500</v>
      </c>
      <c r="G111" s="3">
        <f t="shared" si="3"/>
        <v>0.13850000000000001</v>
      </c>
      <c r="H111" s="5">
        <f t="shared" si="4"/>
        <v>1.385</v>
      </c>
      <c r="I111" s="5">
        <f t="shared" si="5"/>
        <v>0.27700000000000002</v>
      </c>
    </row>
    <row r="112" spans="1:9" ht="24.95" customHeight="1" x14ac:dyDescent="0.25">
      <c r="A112" s="2">
        <v>110</v>
      </c>
      <c r="B112" s="2" t="s">
        <v>67</v>
      </c>
      <c r="C112" s="2"/>
      <c r="D112" s="2">
        <v>1700</v>
      </c>
      <c r="E112" s="2">
        <v>200</v>
      </c>
      <c r="F112" s="2">
        <v>500</v>
      </c>
      <c r="G112" s="3">
        <f t="shared" si="3"/>
        <v>0.17</v>
      </c>
      <c r="H112" s="5">
        <f t="shared" si="4"/>
        <v>1.7</v>
      </c>
      <c r="I112" s="5">
        <f t="shared" si="5"/>
        <v>0.34</v>
      </c>
    </row>
    <row r="113" spans="1:9" ht="24.95" customHeight="1" x14ac:dyDescent="0.25">
      <c r="A113" s="2">
        <v>111</v>
      </c>
      <c r="B113" s="2" t="s">
        <v>68</v>
      </c>
      <c r="C113" s="2"/>
      <c r="D113" s="2">
        <v>3050</v>
      </c>
      <c r="E113" s="2">
        <v>230</v>
      </c>
      <c r="F113" s="2">
        <v>500</v>
      </c>
      <c r="G113" s="3">
        <f t="shared" si="3"/>
        <v>0.35075000000000001</v>
      </c>
      <c r="H113" s="5">
        <f t="shared" si="4"/>
        <v>3.05</v>
      </c>
      <c r="I113" s="5">
        <f t="shared" si="5"/>
        <v>0.70150000000000001</v>
      </c>
    </row>
    <row r="114" spans="1:9" ht="24.95" customHeight="1" x14ac:dyDescent="0.25">
      <c r="A114" s="2">
        <v>112</v>
      </c>
      <c r="B114" s="2" t="s">
        <v>68</v>
      </c>
      <c r="C114" s="2"/>
      <c r="D114" s="2">
        <v>1700</v>
      </c>
      <c r="E114" s="2">
        <v>200</v>
      </c>
      <c r="F114" s="2">
        <v>500</v>
      </c>
      <c r="G114" s="3">
        <f t="shared" si="3"/>
        <v>0.17</v>
      </c>
      <c r="H114" s="5">
        <f t="shared" si="4"/>
        <v>1.7</v>
      </c>
      <c r="I114" s="5">
        <f t="shared" si="5"/>
        <v>0.34</v>
      </c>
    </row>
    <row r="115" spans="1:9" ht="24.95" customHeight="1" x14ac:dyDescent="0.25">
      <c r="A115" s="2">
        <v>113</v>
      </c>
      <c r="B115" s="2" t="s">
        <v>68</v>
      </c>
      <c r="C115" s="2"/>
      <c r="D115" s="2">
        <v>1700</v>
      </c>
      <c r="E115" s="2">
        <v>200</v>
      </c>
      <c r="F115" s="2">
        <v>500</v>
      </c>
      <c r="G115" s="3">
        <f t="shared" si="3"/>
        <v>0.17</v>
      </c>
      <c r="H115" s="5">
        <f t="shared" si="4"/>
        <v>1.7</v>
      </c>
      <c r="I115" s="5">
        <f t="shared" si="5"/>
        <v>0.34</v>
      </c>
    </row>
    <row r="116" spans="1:9" ht="24.95" customHeight="1" x14ac:dyDescent="0.25">
      <c r="A116" s="2">
        <v>114</v>
      </c>
      <c r="B116" s="2" t="s">
        <v>68</v>
      </c>
      <c r="C116" s="2"/>
      <c r="D116" s="2">
        <v>3050</v>
      </c>
      <c r="E116" s="2">
        <v>200</v>
      </c>
      <c r="F116" s="2">
        <v>500</v>
      </c>
      <c r="G116" s="3">
        <f t="shared" si="3"/>
        <v>0.30499999999999999</v>
      </c>
      <c r="H116" s="5">
        <f t="shared" si="4"/>
        <v>3.05</v>
      </c>
      <c r="I116" s="5">
        <f t="shared" si="5"/>
        <v>0.61</v>
      </c>
    </row>
    <row r="117" spans="1:9" ht="24.95" customHeight="1" x14ac:dyDescent="0.25">
      <c r="A117" s="2">
        <v>115</v>
      </c>
      <c r="B117" s="2" t="s">
        <v>69</v>
      </c>
      <c r="C117" s="2"/>
      <c r="D117" s="2">
        <v>3170</v>
      </c>
      <c r="E117" s="2">
        <v>200</v>
      </c>
      <c r="F117" s="2">
        <v>500</v>
      </c>
      <c r="G117" s="3">
        <f t="shared" si="3"/>
        <v>0.317</v>
      </c>
      <c r="H117" s="5">
        <f t="shared" si="4"/>
        <v>3.17</v>
      </c>
      <c r="I117" s="5">
        <f t="shared" si="5"/>
        <v>0.63400000000000001</v>
      </c>
    </row>
    <row r="118" spans="1:9" ht="24.95" customHeight="1" x14ac:dyDescent="0.25">
      <c r="A118" s="2">
        <v>116</v>
      </c>
      <c r="B118" s="2" t="s">
        <v>70</v>
      </c>
      <c r="C118" s="2" t="s">
        <v>72</v>
      </c>
      <c r="D118" s="2">
        <v>1870</v>
      </c>
      <c r="E118" s="2">
        <v>100</v>
      </c>
      <c r="F118" s="2">
        <v>500</v>
      </c>
      <c r="G118" s="3">
        <f t="shared" si="3"/>
        <v>9.35E-2</v>
      </c>
      <c r="H118" s="5">
        <f t="shared" si="4"/>
        <v>1.87</v>
      </c>
      <c r="I118" s="5">
        <f t="shared" si="5"/>
        <v>0.187</v>
      </c>
    </row>
    <row r="119" spans="1:9" ht="24.95" customHeight="1" x14ac:dyDescent="0.25">
      <c r="A119" s="2">
        <v>117</v>
      </c>
      <c r="B119" s="2" t="s">
        <v>71</v>
      </c>
      <c r="C119" s="2" t="s">
        <v>72</v>
      </c>
      <c r="D119" s="2">
        <v>415</v>
      </c>
      <c r="E119" s="2">
        <v>100</v>
      </c>
      <c r="F119" s="2">
        <v>500</v>
      </c>
      <c r="G119" s="3">
        <f t="shared" si="3"/>
        <v>2.0750000000000001E-2</v>
      </c>
      <c r="H119" s="5">
        <f t="shared" si="4"/>
        <v>0.41499999999999998</v>
      </c>
      <c r="I119" s="5">
        <f t="shared" si="5"/>
        <v>4.1500000000000002E-2</v>
      </c>
    </row>
    <row r="120" spans="1:9" ht="24.95" customHeight="1" x14ac:dyDescent="0.25">
      <c r="A120" s="2">
        <v>118</v>
      </c>
      <c r="B120" s="2" t="s">
        <v>70</v>
      </c>
      <c r="C120" s="2" t="s">
        <v>73</v>
      </c>
      <c r="D120" s="2">
        <v>1070</v>
      </c>
      <c r="E120" s="2">
        <v>100</v>
      </c>
      <c r="F120" s="2">
        <v>500</v>
      </c>
      <c r="G120" s="3">
        <f t="shared" si="3"/>
        <v>5.3499999999999999E-2</v>
      </c>
      <c r="H120" s="5">
        <f t="shared" si="4"/>
        <v>1.07</v>
      </c>
      <c r="I120" s="5">
        <f t="shared" si="5"/>
        <v>0.107</v>
      </c>
    </row>
    <row r="121" spans="1:9" ht="24.95" customHeight="1" x14ac:dyDescent="0.25">
      <c r="A121" s="2">
        <v>119</v>
      </c>
      <c r="B121" s="2" t="s">
        <v>71</v>
      </c>
      <c r="C121" s="2" t="s">
        <v>73</v>
      </c>
      <c r="D121" s="2">
        <v>415</v>
      </c>
      <c r="E121" s="2">
        <v>100</v>
      </c>
      <c r="F121" s="2">
        <v>500</v>
      </c>
      <c r="G121" s="3">
        <f t="shared" si="3"/>
        <v>2.0750000000000001E-2</v>
      </c>
      <c r="H121" s="5">
        <f t="shared" si="4"/>
        <v>0.41499999999999998</v>
      </c>
      <c r="I121" s="5">
        <f t="shared" si="5"/>
        <v>4.1500000000000002E-2</v>
      </c>
    </row>
    <row r="122" spans="1:9" ht="24.95" customHeight="1" x14ac:dyDescent="0.25">
      <c r="A122" s="2">
        <v>120</v>
      </c>
      <c r="B122" s="2" t="s">
        <v>70</v>
      </c>
      <c r="C122" s="2" t="s">
        <v>74</v>
      </c>
      <c r="D122" s="2">
        <v>1500</v>
      </c>
      <c r="E122" s="2">
        <v>100</v>
      </c>
      <c r="F122" s="2">
        <v>500</v>
      </c>
      <c r="G122" s="3">
        <f t="shared" si="3"/>
        <v>7.4999999999999997E-2</v>
      </c>
      <c r="H122" s="5">
        <f t="shared" si="4"/>
        <v>1.5</v>
      </c>
      <c r="I122" s="5">
        <f t="shared" si="5"/>
        <v>0.15</v>
      </c>
    </row>
    <row r="123" spans="1:9" ht="24.95" customHeight="1" x14ac:dyDescent="0.25">
      <c r="A123" s="2">
        <v>121</v>
      </c>
      <c r="B123" s="2" t="s">
        <v>71</v>
      </c>
      <c r="C123" s="2" t="s">
        <v>74</v>
      </c>
      <c r="D123" s="2">
        <v>315</v>
      </c>
      <c r="E123" s="2">
        <v>100</v>
      </c>
      <c r="F123" s="2">
        <v>500</v>
      </c>
      <c r="G123" s="3">
        <f t="shared" si="3"/>
        <v>1.575E-2</v>
      </c>
      <c r="H123" s="5">
        <f t="shared" si="4"/>
        <v>0.315</v>
      </c>
      <c r="I123" s="5">
        <f t="shared" si="5"/>
        <v>3.15E-2</v>
      </c>
    </row>
    <row r="124" spans="1:9" ht="24.95" customHeight="1" x14ac:dyDescent="0.25">
      <c r="A124" s="2">
        <v>122</v>
      </c>
      <c r="B124" s="2" t="s">
        <v>70</v>
      </c>
      <c r="C124" s="2" t="s">
        <v>75</v>
      </c>
      <c r="D124" s="2">
        <v>1855</v>
      </c>
      <c r="E124" s="2">
        <v>100</v>
      </c>
      <c r="F124" s="2">
        <v>500</v>
      </c>
      <c r="G124" s="3">
        <f t="shared" si="3"/>
        <v>9.2749999999999999E-2</v>
      </c>
      <c r="H124" s="5">
        <f t="shared" si="4"/>
        <v>1.855</v>
      </c>
      <c r="I124" s="5">
        <f t="shared" si="5"/>
        <v>0.1855</v>
      </c>
    </row>
    <row r="125" spans="1:9" ht="24.95" customHeight="1" x14ac:dyDescent="0.25">
      <c r="A125" s="2">
        <v>123</v>
      </c>
      <c r="B125" s="2" t="s">
        <v>71</v>
      </c>
      <c r="C125" s="2" t="s">
        <v>75</v>
      </c>
      <c r="D125" s="2">
        <v>415</v>
      </c>
      <c r="E125" s="2">
        <v>100</v>
      </c>
      <c r="F125" s="2">
        <v>500</v>
      </c>
      <c r="G125" s="3">
        <f t="shared" si="3"/>
        <v>2.0750000000000001E-2</v>
      </c>
      <c r="H125" s="5">
        <f t="shared" si="4"/>
        <v>0.41499999999999998</v>
      </c>
      <c r="I125" s="5">
        <f t="shared" si="5"/>
        <v>4.1500000000000002E-2</v>
      </c>
    </row>
    <row r="126" spans="1:9" ht="24.95" customHeight="1" x14ac:dyDescent="0.25">
      <c r="A126" s="2">
        <v>124</v>
      </c>
      <c r="B126" s="2" t="s">
        <v>70</v>
      </c>
      <c r="C126" s="2" t="s">
        <v>76</v>
      </c>
      <c r="D126" s="2">
        <v>1070</v>
      </c>
      <c r="E126" s="2">
        <v>100</v>
      </c>
      <c r="F126" s="2">
        <v>500</v>
      </c>
      <c r="G126" s="3">
        <f t="shared" si="3"/>
        <v>5.3499999999999999E-2</v>
      </c>
      <c r="H126" s="5">
        <f t="shared" si="4"/>
        <v>1.07</v>
      </c>
      <c r="I126" s="5">
        <f t="shared" si="5"/>
        <v>0.107</v>
      </c>
    </row>
    <row r="127" spans="1:9" ht="24.95" customHeight="1" x14ac:dyDescent="0.25">
      <c r="A127" s="2">
        <v>125</v>
      </c>
      <c r="B127" s="2" t="s">
        <v>71</v>
      </c>
      <c r="C127" s="2" t="s">
        <v>76</v>
      </c>
      <c r="D127" s="2">
        <v>415</v>
      </c>
      <c r="E127" s="2">
        <v>100</v>
      </c>
      <c r="F127" s="2">
        <v>500</v>
      </c>
      <c r="G127" s="3">
        <f t="shared" si="3"/>
        <v>2.0750000000000001E-2</v>
      </c>
      <c r="H127" s="5">
        <f t="shared" si="4"/>
        <v>0.41499999999999998</v>
      </c>
      <c r="I127" s="5">
        <f t="shared" si="5"/>
        <v>4.1500000000000002E-2</v>
      </c>
    </row>
    <row r="128" spans="1:9" ht="24.95" customHeight="1" x14ac:dyDescent="0.25">
      <c r="A128" s="2">
        <v>126</v>
      </c>
      <c r="B128" s="2" t="s">
        <v>70</v>
      </c>
      <c r="C128" s="2" t="s">
        <v>77</v>
      </c>
      <c r="D128" s="2">
        <v>1070</v>
      </c>
      <c r="E128" s="2">
        <v>100</v>
      </c>
      <c r="F128" s="2">
        <v>500</v>
      </c>
      <c r="G128" s="3">
        <f t="shared" si="3"/>
        <v>5.3499999999999999E-2</v>
      </c>
      <c r="H128" s="5">
        <f t="shared" si="4"/>
        <v>1.07</v>
      </c>
      <c r="I128" s="5">
        <f t="shared" si="5"/>
        <v>0.107</v>
      </c>
    </row>
    <row r="129" spans="1:9" ht="24.95" customHeight="1" x14ac:dyDescent="0.25">
      <c r="A129" s="2">
        <v>127</v>
      </c>
      <c r="B129" s="2" t="s">
        <v>71</v>
      </c>
      <c r="C129" s="2" t="s">
        <v>77</v>
      </c>
      <c r="D129" s="2">
        <v>415</v>
      </c>
      <c r="E129" s="2">
        <v>100</v>
      </c>
      <c r="F129" s="2">
        <v>500</v>
      </c>
      <c r="G129" s="3">
        <f t="shared" si="3"/>
        <v>2.0750000000000001E-2</v>
      </c>
      <c r="H129" s="5">
        <f t="shared" si="4"/>
        <v>0.41499999999999998</v>
      </c>
      <c r="I129" s="5">
        <f t="shared" si="5"/>
        <v>4.1500000000000002E-2</v>
      </c>
    </row>
    <row r="130" spans="1:9" ht="24.95" customHeight="1" x14ac:dyDescent="0.25">
      <c r="A130" s="2">
        <v>128</v>
      </c>
      <c r="B130" s="2" t="s">
        <v>70</v>
      </c>
      <c r="C130" s="2" t="s">
        <v>78</v>
      </c>
      <c r="D130" s="2">
        <v>1855</v>
      </c>
      <c r="E130" s="2">
        <v>100</v>
      </c>
      <c r="F130" s="2">
        <v>500</v>
      </c>
      <c r="G130" s="3">
        <f t="shared" si="3"/>
        <v>9.2749999999999999E-2</v>
      </c>
      <c r="H130" s="5">
        <f t="shared" si="4"/>
        <v>1.855</v>
      </c>
      <c r="I130" s="5">
        <f t="shared" si="5"/>
        <v>0.1855</v>
      </c>
    </row>
    <row r="131" spans="1:9" ht="24.95" customHeight="1" x14ac:dyDescent="0.25">
      <c r="A131" s="2">
        <v>129</v>
      </c>
      <c r="B131" s="2" t="s">
        <v>71</v>
      </c>
      <c r="C131" s="2" t="s">
        <v>78</v>
      </c>
      <c r="D131" s="2">
        <v>415</v>
      </c>
      <c r="E131" s="2">
        <v>100</v>
      </c>
      <c r="F131" s="2">
        <v>500</v>
      </c>
      <c r="G131" s="3">
        <f t="shared" si="3"/>
        <v>2.0750000000000001E-2</v>
      </c>
      <c r="H131" s="5">
        <f t="shared" si="4"/>
        <v>0.41499999999999998</v>
      </c>
      <c r="I131" s="5">
        <f t="shared" si="5"/>
        <v>4.1500000000000002E-2</v>
      </c>
    </row>
    <row r="132" spans="1:9" ht="24.95" customHeight="1" x14ac:dyDescent="0.25">
      <c r="A132" s="2">
        <v>130</v>
      </c>
      <c r="B132" s="2" t="s">
        <v>80</v>
      </c>
      <c r="C132" s="2" t="s">
        <v>79</v>
      </c>
      <c r="D132" s="2">
        <v>1395</v>
      </c>
      <c r="E132" s="2">
        <v>100</v>
      </c>
      <c r="F132" s="2">
        <v>500</v>
      </c>
      <c r="G132" s="3">
        <f t="shared" ref="G132:G144" si="6">D132*E132*F132/1000000000</f>
        <v>6.9750000000000006E-2</v>
      </c>
      <c r="H132" s="5">
        <f t="shared" ref="H132:H143" si="7">(2*D132*F132/1000000)</f>
        <v>1.395</v>
      </c>
      <c r="I132" s="5">
        <f t="shared" ref="I132:I144" si="8">(D132*E132/1000000)</f>
        <v>0.13950000000000001</v>
      </c>
    </row>
    <row r="133" spans="1:9" ht="24.95" customHeight="1" x14ac:dyDescent="0.25">
      <c r="A133" s="2">
        <v>131</v>
      </c>
      <c r="B133" s="2" t="s">
        <v>70</v>
      </c>
      <c r="C133" s="2" t="s">
        <v>79</v>
      </c>
      <c r="D133" s="2">
        <v>1395</v>
      </c>
      <c r="E133" s="2">
        <v>100</v>
      </c>
      <c r="F133" s="2">
        <v>500</v>
      </c>
      <c r="G133" s="3">
        <f t="shared" si="6"/>
        <v>6.9750000000000006E-2</v>
      </c>
      <c r="H133" s="5">
        <f t="shared" si="7"/>
        <v>1.395</v>
      </c>
      <c r="I133" s="5">
        <f t="shared" si="8"/>
        <v>0.13950000000000001</v>
      </c>
    </row>
    <row r="134" spans="1:9" ht="24.95" customHeight="1" x14ac:dyDescent="0.25">
      <c r="A134" s="2">
        <v>132</v>
      </c>
      <c r="B134" s="2" t="s">
        <v>70</v>
      </c>
      <c r="C134" s="2" t="s">
        <v>81</v>
      </c>
      <c r="D134" s="2">
        <v>1300</v>
      </c>
      <c r="E134" s="2">
        <v>100</v>
      </c>
      <c r="F134" s="2">
        <v>500</v>
      </c>
      <c r="G134" s="3">
        <f t="shared" si="6"/>
        <v>6.5000000000000002E-2</v>
      </c>
      <c r="H134" s="5">
        <f t="shared" si="7"/>
        <v>1.3</v>
      </c>
      <c r="I134" s="5">
        <f t="shared" si="8"/>
        <v>0.13</v>
      </c>
    </row>
    <row r="135" spans="1:9" ht="24.95" customHeight="1" x14ac:dyDescent="0.25">
      <c r="A135" s="2">
        <v>133</v>
      </c>
      <c r="B135" s="2" t="s">
        <v>71</v>
      </c>
      <c r="C135" s="2" t="s">
        <v>81</v>
      </c>
      <c r="D135" s="2">
        <v>400</v>
      </c>
      <c r="E135" s="2">
        <v>100</v>
      </c>
      <c r="F135" s="2">
        <v>500</v>
      </c>
      <c r="G135" s="3">
        <f t="shared" si="6"/>
        <v>0.02</v>
      </c>
      <c r="H135" s="5">
        <f t="shared" si="7"/>
        <v>0.4</v>
      </c>
      <c r="I135" s="5">
        <f t="shared" si="8"/>
        <v>0.04</v>
      </c>
    </row>
    <row r="136" spans="1:9" ht="24.95" customHeight="1" x14ac:dyDescent="0.25">
      <c r="A136" s="2">
        <v>134</v>
      </c>
      <c r="B136" s="2" t="s">
        <v>70</v>
      </c>
      <c r="C136" s="2" t="s">
        <v>82</v>
      </c>
      <c r="D136" s="2">
        <v>1395</v>
      </c>
      <c r="E136" s="2">
        <v>100</v>
      </c>
      <c r="F136" s="2">
        <v>500</v>
      </c>
      <c r="G136" s="3">
        <f t="shared" si="6"/>
        <v>6.9750000000000006E-2</v>
      </c>
      <c r="H136" s="5">
        <f t="shared" si="7"/>
        <v>1.395</v>
      </c>
      <c r="I136" s="5">
        <f t="shared" si="8"/>
        <v>0.13950000000000001</v>
      </c>
    </row>
    <row r="137" spans="1:9" ht="24.95" customHeight="1" x14ac:dyDescent="0.25">
      <c r="A137" s="2">
        <v>135</v>
      </c>
      <c r="B137" s="2" t="s">
        <v>80</v>
      </c>
      <c r="C137" s="2" t="s">
        <v>82</v>
      </c>
      <c r="D137" s="2">
        <v>1395</v>
      </c>
      <c r="E137" s="2">
        <v>100</v>
      </c>
      <c r="F137" s="2">
        <v>500</v>
      </c>
      <c r="G137" s="3">
        <f t="shared" si="6"/>
        <v>6.9750000000000006E-2</v>
      </c>
      <c r="H137" s="5">
        <f t="shared" si="7"/>
        <v>1.395</v>
      </c>
      <c r="I137" s="5">
        <f t="shared" si="8"/>
        <v>0.13950000000000001</v>
      </c>
    </row>
    <row r="138" spans="1:9" ht="24.95" customHeight="1" x14ac:dyDescent="0.25">
      <c r="A138" s="2">
        <v>136</v>
      </c>
      <c r="B138" s="2" t="s">
        <v>70</v>
      </c>
      <c r="C138" s="2" t="s">
        <v>84</v>
      </c>
      <c r="D138" s="2">
        <v>1300</v>
      </c>
      <c r="E138" s="2">
        <v>100</v>
      </c>
      <c r="F138" s="2">
        <v>500</v>
      </c>
      <c r="G138" s="3">
        <f t="shared" si="6"/>
        <v>6.5000000000000002E-2</v>
      </c>
      <c r="H138" s="5">
        <f t="shared" si="7"/>
        <v>1.3</v>
      </c>
      <c r="I138" s="5">
        <f t="shared" si="8"/>
        <v>0.13</v>
      </c>
    </row>
    <row r="139" spans="1:9" ht="24.95" customHeight="1" x14ac:dyDescent="0.25">
      <c r="A139" s="2">
        <v>137</v>
      </c>
      <c r="B139" s="2" t="s">
        <v>70</v>
      </c>
      <c r="C139" s="2" t="s">
        <v>86</v>
      </c>
      <c r="D139" s="2">
        <v>1620</v>
      </c>
      <c r="E139" s="2">
        <v>100</v>
      </c>
      <c r="F139" s="2">
        <v>500</v>
      </c>
      <c r="G139" s="3">
        <f t="shared" si="6"/>
        <v>8.1000000000000003E-2</v>
      </c>
      <c r="H139" s="5">
        <f t="shared" si="7"/>
        <v>1.62</v>
      </c>
      <c r="I139" s="5">
        <f t="shared" si="8"/>
        <v>0.16200000000000001</v>
      </c>
    </row>
    <row r="140" spans="1:9" ht="24.95" customHeight="1" x14ac:dyDescent="0.25">
      <c r="A140" s="2">
        <v>138</v>
      </c>
      <c r="B140" s="2" t="s">
        <v>88</v>
      </c>
      <c r="C140" s="2" t="s">
        <v>89</v>
      </c>
      <c r="D140" s="2">
        <v>1620</v>
      </c>
      <c r="E140" s="2">
        <v>100</v>
      </c>
      <c r="F140" s="2">
        <v>500</v>
      </c>
      <c r="G140" s="3">
        <f t="shared" si="6"/>
        <v>8.1000000000000003E-2</v>
      </c>
      <c r="H140" s="5">
        <f t="shared" si="7"/>
        <v>1.62</v>
      </c>
      <c r="I140" s="5">
        <f t="shared" si="8"/>
        <v>0.16200000000000001</v>
      </c>
    </row>
    <row r="141" spans="1:9" ht="24.95" customHeight="1" x14ac:dyDescent="0.25">
      <c r="A141" s="2">
        <v>139</v>
      </c>
      <c r="B141" s="2" t="s">
        <v>70</v>
      </c>
      <c r="C141" s="2" t="s">
        <v>101</v>
      </c>
      <c r="D141" s="2">
        <v>1500</v>
      </c>
      <c r="E141" s="2">
        <v>200</v>
      </c>
      <c r="F141" s="2">
        <v>500</v>
      </c>
      <c r="G141" s="3">
        <f t="shared" si="6"/>
        <v>0.15</v>
      </c>
      <c r="H141" s="5">
        <f t="shared" si="7"/>
        <v>1.5</v>
      </c>
      <c r="I141" s="5">
        <f t="shared" si="8"/>
        <v>0.3</v>
      </c>
    </row>
    <row r="142" spans="1:9" ht="24.95" customHeight="1" x14ac:dyDescent="0.25">
      <c r="A142" s="2">
        <v>140</v>
      </c>
      <c r="B142" s="2" t="s">
        <v>71</v>
      </c>
      <c r="C142" s="2" t="s">
        <v>101</v>
      </c>
      <c r="D142" s="2">
        <v>315</v>
      </c>
      <c r="E142" s="2">
        <v>100</v>
      </c>
      <c r="F142" s="2">
        <v>500</v>
      </c>
      <c r="G142" s="3">
        <f t="shared" si="6"/>
        <v>1.575E-2</v>
      </c>
      <c r="H142" s="5">
        <f t="shared" si="7"/>
        <v>0.315</v>
      </c>
      <c r="I142" s="5">
        <f t="shared" si="8"/>
        <v>3.15E-2</v>
      </c>
    </row>
    <row r="143" spans="1:9" ht="24.95" customHeight="1" x14ac:dyDescent="0.25">
      <c r="A143" s="2">
        <v>141</v>
      </c>
      <c r="B143" s="2" t="s">
        <v>70</v>
      </c>
      <c r="C143" s="2" t="s">
        <v>102</v>
      </c>
      <c r="D143" s="2">
        <v>1500</v>
      </c>
      <c r="E143" s="2">
        <v>100</v>
      </c>
      <c r="F143" s="2">
        <v>500</v>
      </c>
      <c r="G143" s="3">
        <f t="shared" si="6"/>
        <v>7.4999999999999997E-2</v>
      </c>
      <c r="H143" s="5">
        <f t="shared" si="7"/>
        <v>1.5</v>
      </c>
      <c r="I143" s="5">
        <f t="shared" si="8"/>
        <v>0.15</v>
      </c>
    </row>
    <row r="144" spans="1:9" ht="24.95" customHeight="1" x14ac:dyDescent="0.25">
      <c r="A144" s="2">
        <v>142</v>
      </c>
      <c r="B144" s="2" t="s">
        <v>71</v>
      </c>
      <c r="C144" s="2" t="s">
        <v>102</v>
      </c>
      <c r="D144" s="2">
        <v>315</v>
      </c>
      <c r="E144" s="2">
        <v>100</v>
      </c>
      <c r="F144" s="2">
        <v>500</v>
      </c>
      <c r="G144" s="3">
        <f t="shared" si="6"/>
        <v>1.575E-2</v>
      </c>
      <c r="H144" s="5">
        <f>(2*D144*F144/1000000)</f>
        <v>0.315</v>
      </c>
      <c r="I144" s="5">
        <f t="shared" si="8"/>
        <v>3.15E-2</v>
      </c>
    </row>
    <row r="145" spans="1:9" ht="24.95" customHeight="1" x14ac:dyDescent="0.25">
      <c r="A145" s="4"/>
      <c r="B145" s="24" t="s">
        <v>103</v>
      </c>
      <c r="C145" s="4"/>
      <c r="D145" s="25">
        <f>SUM(D3:D144)/1000</f>
        <v>391.23500000000001</v>
      </c>
      <c r="E145" s="24"/>
      <c r="F145" s="24"/>
      <c r="G145" s="26">
        <f>SUM(G3:G144)</f>
        <v>38.188700000000004</v>
      </c>
      <c r="H145" s="27">
        <f>SUM(H3:H144)/2</f>
        <v>195.61750000000006</v>
      </c>
      <c r="I145" s="27">
        <f>SUM(I3:I144)</f>
        <v>76.377400000000009</v>
      </c>
    </row>
    <row r="146" spans="1:9" ht="24.9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24.95" customHeight="1" x14ac:dyDescent="0.25">
      <c r="A147" s="2"/>
      <c r="B147" s="2"/>
      <c r="C147" s="2"/>
      <c r="D147" s="2"/>
      <c r="E147" s="2"/>
      <c r="F147" s="2"/>
      <c r="G147" s="16" t="s">
        <v>104</v>
      </c>
      <c r="H147" s="15">
        <f>((H145+I145)/2.88)</f>
        <v>94.442673611111147</v>
      </c>
      <c r="I147" s="25" t="s">
        <v>105</v>
      </c>
    </row>
    <row r="148" spans="1:9" ht="24.95" customHeight="1" x14ac:dyDescent="0.25">
      <c r="A148" s="2"/>
      <c r="B148" s="2"/>
      <c r="C148" s="2"/>
      <c r="D148" s="2"/>
      <c r="E148" s="2"/>
      <c r="F148" s="2"/>
      <c r="G148" s="25" t="s">
        <v>133</v>
      </c>
      <c r="H148" s="15">
        <f>H147*6</f>
        <v>566.65604166666685</v>
      </c>
      <c r="I148" s="25" t="s">
        <v>105</v>
      </c>
    </row>
    <row r="149" spans="1:9" ht="24.95" customHeight="1" x14ac:dyDescent="0.25">
      <c r="A149" s="2"/>
      <c r="B149" s="2"/>
      <c r="C149" s="2"/>
      <c r="D149" s="2"/>
      <c r="E149" s="2"/>
      <c r="F149" s="2"/>
      <c r="G149" s="25" t="s">
        <v>135</v>
      </c>
      <c r="H149" s="25">
        <f>500*10*0.01</f>
        <v>50</v>
      </c>
      <c r="I149" s="25" t="s">
        <v>106</v>
      </c>
    </row>
    <row r="150" spans="1:9" ht="24.95" customHeight="1" x14ac:dyDescent="0.25">
      <c r="A150" s="2"/>
      <c r="B150" s="2"/>
      <c r="C150" s="2"/>
      <c r="D150" s="2"/>
      <c r="E150" s="2"/>
      <c r="F150" s="2"/>
      <c r="G150" s="25" t="s">
        <v>136</v>
      </c>
      <c r="H150" s="25">
        <f>500*20*0.005</f>
        <v>50</v>
      </c>
      <c r="I150" s="25" t="s">
        <v>106</v>
      </c>
    </row>
    <row r="151" spans="1:9" ht="24.95" customHeight="1" x14ac:dyDescent="0.25">
      <c r="A151" s="2"/>
      <c r="B151" s="2"/>
      <c r="C151" s="2"/>
      <c r="D151" s="2"/>
      <c r="E151" s="2"/>
      <c r="F151" s="2"/>
      <c r="G151" s="25" t="s">
        <v>107</v>
      </c>
      <c r="H151" s="28">
        <f>(H145+I145)*0.1</f>
        <v>27.199490000000011</v>
      </c>
      <c r="I151" s="25" t="s">
        <v>109</v>
      </c>
    </row>
    <row r="152" spans="1:9" x14ac:dyDescent="0.25">
      <c r="A152" s="2"/>
      <c r="B152" s="2"/>
      <c r="C152" s="2"/>
      <c r="D152" s="2"/>
      <c r="E152" s="2"/>
      <c r="F152" s="2"/>
      <c r="G152" s="25" t="s">
        <v>108</v>
      </c>
      <c r="H152" s="25"/>
      <c r="I152" s="25" t="s">
        <v>110</v>
      </c>
    </row>
  </sheetData>
  <autoFilter ref="A2:H145"/>
  <mergeCells count="2">
    <mergeCell ref="A1:F1"/>
    <mergeCell ref="B9:B10"/>
  </mergeCells>
  <pageMargins left="0.7" right="0.7" top="0.75" bottom="0.75" header="0.3" footer="0.3"/>
  <pageSetup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opLeftCell="A40" workbookViewId="0">
      <selection activeCell="G57" sqref="G57"/>
    </sheetView>
  </sheetViews>
  <sheetFormatPr defaultRowHeight="15" x14ac:dyDescent="0.25"/>
  <cols>
    <col min="2" max="2" width="22" bestFit="1" customWidth="1"/>
    <col min="3" max="4" width="19.85546875" customWidth="1"/>
    <col min="7" max="7" width="17.140625" customWidth="1"/>
    <col min="9" max="9" width="9.5703125" bestFit="1" customWidth="1"/>
    <col min="11" max="11" width="17.140625" customWidth="1"/>
  </cols>
  <sheetData>
    <row r="1" spans="1:11" s="1" customFormat="1" ht="31.5" customHeight="1" x14ac:dyDescent="0.25">
      <c r="A1" s="37" t="s">
        <v>111</v>
      </c>
      <c r="B1" s="39" t="s">
        <v>112</v>
      </c>
      <c r="C1" s="42" t="s">
        <v>105</v>
      </c>
      <c r="D1" s="42" t="s">
        <v>105</v>
      </c>
      <c r="E1" s="41" t="s">
        <v>113</v>
      </c>
      <c r="F1" s="41"/>
      <c r="G1" s="41"/>
      <c r="H1" s="39" t="s">
        <v>137</v>
      </c>
      <c r="I1" s="39" t="s">
        <v>138</v>
      </c>
      <c r="J1" s="29"/>
      <c r="K1" s="44" t="s">
        <v>114</v>
      </c>
    </row>
    <row r="2" spans="1:11" s="1" customFormat="1" ht="21" customHeight="1" x14ac:dyDescent="0.25">
      <c r="A2" s="38"/>
      <c r="B2" s="40"/>
      <c r="C2" s="43"/>
      <c r="D2" s="43"/>
      <c r="E2" s="9" t="s">
        <v>3</v>
      </c>
      <c r="F2" s="9" t="s">
        <v>4</v>
      </c>
      <c r="G2" s="9" t="s">
        <v>115</v>
      </c>
      <c r="H2" s="40"/>
      <c r="I2" s="40"/>
      <c r="J2" s="30"/>
      <c r="K2" s="45"/>
    </row>
    <row r="3" spans="1:11" s="1" customFormat="1" ht="23.25" customHeight="1" x14ac:dyDescent="0.25">
      <c r="A3" s="10">
        <v>1</v>
      </c>
      <c r="B3" s="7" t="s">
        <v>116</v>
      </c>
      <c r="C3" s="7">
        <v>5</v>
      </c>
      <c r="D3" s="7">
        <v>2</v>
      </c>
      <c r="E3" s="11">
        <v>600</v>
      </c>
      <c r="F3" s="7"/>
      <c r="G3" s="11">
        <v>1800</v>
      </c>
      <c r="H3" s="8">
        <f>PRODUCT(C3:G3)/1000000</f>
        <v>10.8</v>
      </c>
      <c r="I3" s="31">
        <f>C3*D3*G3*3/1000</f>
        <v>54</v>
      </c>
      <c r="J3" s="31"/>
      <c r="K3" s="12"/>
    </row>
    <row r="4" spans="1:11" s="1" customFormat="1" ht="23.25" customHeight="1" x14ac:dyDescent="0.25">
      <c r="A4" s="10">
        <v>2</v>
      </c>
      <c r="B4" s="7"/>
      <c r="C4" s="7">
        <v>5</v>
      </c>
      <c r="D4" s="7">
        <v>2</v>
      </c>
      <c r="E4" s="11">
        <v>300</v>
      </c>
      <c r="F4" s="7"/>
      <c r="G4" s="11">
        <v>1800</v>
      </c>
      <c r="H4" s="8">
        <f t="shared" ref="H4:H44" si="0">PRODUCT(C4:G4)/1000000</f>
        <v>5.4</v>
      </c>
      <c r="I4" s="31">
        <f>C4*D4*G4*2/1000</f>
        <v>36</v>
      </c>
      <c r="J4" s="31"/>
      <c r="K4" s="12"/>
    </row>
    <row r="5" spans="1:11" s="1" customFormat="1" ht="23.25" customHeight="1" x14ac:dyDescent="0.25">
      <c r="A5" s="10">
        <v>3</v>
      </c>
      <c r="B5" s="7" t="s">
        <v>117</v>
      </c>
      <c r="C5" s="7">
        <v>3</v>
      </c>
      <c r="D5" s="7">
        <v>2</v>
      </c>
      <c r="E5" s="11">
        <v>750</v>
      </c>
      <c r="F5" s="7"/>
      <c r="G5" s="11">
        <v>1800</v>
      </c>
      <c r="H5" s="8">
        <f t="shared" si="0"/>
        <v>8.1</v>
      </c>
      <c r="I5" s="31">
        <f>C5*D5*G5*3/1000</f>
        <v>32.4</v>
      </c>
      <c r="J5" s="31"/>
      <c r="K5" s="12"/>
    </row>
    <row r="6" spans="1:11" s="1" customFormat="1" ht="23.25" customHeight="1" x14ac:dyDescent="0.25">
      <c r="A6" s="10">
        <v>4</v>
      </c>
      <c r="B6" s="7"/>
      <c r="C6" s="7">
        <v>3</v>
      </c>
      <c r="D6" s="7">
        <v>2</v>
      </c>
      <c r="E6" s="11">
        <v>300</v>
      </c>
      <c r="F6" s="7"/>
      <c r="G6" s="11">
        <v>1800</v>
      </c>
      <c r="H6" s="8">
        <f t="shared" si="0"/>
        <v>3.24</v>
      </c>
      <c r="I6" s="31">
        <f>C6*D6*G6*2/1000</f>
        <v>21.6</v>
      </c>
      <c r="J6" s="31"/>
      <c r="K6" s="12"/>
    </row>
    <row r="7" spans="1:11" s="1" customFormat="1" ht="23.25" customHeight="1" x14ac:dyDescent="0.25">
      <c r="A7" s="10">
        <v>5</v>
      </c>
      <c r="B7" s="7" t="s">
        <v>118</v>
      </c>
      <c r="C7" s="7">
        <v>1</v>
      </c>
      <c r="D7" s="7">
        <v>2</v>
      </c>
      <c r="E7" s="11">
        <v>715</v>
      </c>
      <c r="F7" s="7"/>
      <c r="G7" s="11">
        <v>1800</v>
      </c>
      <c r="H7" s="8">
        <f t="shared" si="0"/>
        <v>2.5739999999999998</v>
      </c>
      <c r="I7" s="31">
        <f>C7*D7*G7*3/1000</f>
        <v>10.8</v>
      </c>
      <c r="J7" s="31"/>
      <c r="K7" s="12"/>
    </row>
    <row r="8" spans="1:11" s="1" customFormat="1" ht="23.25" customHeight="1" x14ac:dyDescent="0.25">
      <c r="A8" s="10">
        <v>6</v>
      </c>
      <c r="B8" s="7"/>
      <c r="C8" s="7">
        <v>1</v>
      </c>
      <c r="D8" s="7">
        <v>2</v>
      </c>
      <c r="E8" s="11">
        <v>300</v>
      </c>
      <c r="F8" s="7"/>
      <c r="G8" s="11">
        <v>1800</v>
      </c>
      <c r="H8" s="8">
        <f t="shared" si="0"/>
        <v>1.08</v>
      </c>
      <c r="I8" s="31">
        <f>C8*D8*G8*2/1000</f>
        <v>7.2</v>
      </c>
      <c r="J8" s="31"/>
      <c r="K8" s="12"/>
    </row>
    <row r="9" spans="1:11" s="1" customFormat="1" ht="23.25" customHeight="1" x14ac:dyDescent="0.25">
      <c r="A9" s="10">
        <v>7</v>
      </c>
      <c r="B9" s="7" t="s">
        <v>119</v>
      </c>
      <c r="C9" s="7">
        <v>1</v>
      </c>
      <c r="D9" s="7">
        <v>2</v>
      </c>
      <c r="E9" s="11">
        <v>800</v>
      </c>
      <c r="F9" s="7"/>
      <c r="G9" s="11">
        <v>1800</v>
      </c>
      <c r="H9" s="8">
        <f t="shared" si="0"/>
        <v>2.88</v>
      </c>
      <c r="I9" s="31">
        <f>C9*D9*G9*3/1000</f>
        <v>10.8</v>
      </c>
      <c r="J9" s="31"/>
      <c r="K9" s="12"/>
    </row>
    <row r="10" spans="1:11" s="1" customFormat="1" ht="23.25" customHeight="1" x14ac:dyDescent="0.25">
      <c r="A10" s="10">
        <v>8</v>
      </c>
      <c r="B10" s="7"/>
      <c r="C10" s="7">
        <v>1</v>
      </c>
      <c r="D10" s="7">
        <v>2</v>
      </c>
      <c r="E10" s="11">
        <v>300</v>
      </c>
      <c r="F10" s="7"/>
      <c r="G10" s="11">
        <v>1800</v>
      </c>
      <c r="H10" s="8">
        <f t="shared" si="0"/>
        <v>1.08</v>
      </c>
      <c r="I10" s="31">
        <f>C10*D10*G10*2/1000</f>
        <v>7.2</v>
      </c>
      <c r="J10" s="31"/>
      <c r="K10" s="12"/>
    </row>
    <row r="11" spans="1:11" s="1" customFormat="1" ht="23.25" customHeight="1" x14ac:dyDescent="0.25">
      <c r="A11" s="10">
        <v>9</v>
      </c>
      <c r="B11" s="46" t="s">
        <v>120</v>
      </c>
      <c r="C11" s="7">
        <v>1</v>
      </c>
      <c r="D11" s="7">
        <v>1</v>
      </c>
      <c r="E11" s="13">
        <v>650</v>
      </c>
      <c r="F11" s="14"/>
      <c r="G11" s="11">
        <v>1800</v>
      </c>
      <c r="H11" s="8">
        <f t="shared" si="0"/>
        <v>1.17</v>
      </c>
      <c r="I11" s="31">
        <f>C11*D11*G11*3/1000</f>
        <v>5.4</v>
      </c>
      <c r="J11" s="31"/>
      <c r="K11" s="12"/>
    </row>
    <row r="12" spans="1:11" s="1" customFormat="1" ht="23.25" customHeight="1" x14ac:dyDescent="0.25">
      <c r="A12" s="10">
        <v>10</v>
      </c>
      <c r="B12" s="46"/>
      <c r="C12" s="7">
        <v>1</v>
      </c>
      <c r="D12" s="7">
        <v>2</v>
      </c>
      <c r="E12" s="13">
        <v>230</v>
      </c>
      <c r="F12" s="14"/>
      <c r="G12" s="11">
        <v>1800</v>
      </c>
      <c r="H12" s="8">
        <f t="shared" si="0"/>
        <v>0.82799999999999996</v>
      </c>
      <c r="I12" s="31">
        <f>C12*D12*G12*2/1000</f>
        <v>7.2</v>
      </c>
      <c r="J12" s="31"/>
      <c r="K12" s="12"/>
    </row>
    <row r="13" spans="1:11" s="1" customFormat="1" ht="23.25" customHeight="1" x14ac:dyDescent="0.25">
      <c r="A13" s="10">
        <v>11</v>
      </c>
      <c r="B13" s="46"/>
      <c r="C13" s="7">
        <v>1</v>
      </c>
      <c r="D13" s="7">
        <v>1</v>
      </c>
      <c r="E13" s="13">
        <f>1650-230</f>
        <v>1420</v>
      </c>
      <c r="F13" s="14"/>
      <c r="G13" s="11">
        <v>1800</v>
      </c>
      <c r="H13" s="8">
        <f t="shared" si="0"/>
        <v>2.556</v>
      </c>
      <c r="I13" s="31">
        <f>C13*D13*G13*5/1000</f>
        <v>9</v>
      </c>
      <c r="J13" s="31"/>
      <c r="K13" s="12"/>
    </row>
    <row r="14" spans="1:11" s="1" customFormat="1" ht="23.25" customHeight="1" x14ac:dyDescent="0.25">
      <c r="A14" s="10">
        <v>12</v>
      </c>
      <c r="B14" s="46"/>
      <c r="C14" s="7">
        <v>1</v>
      </c>
      <c r="D14" s="7">
        <v>1</v>
      </c>
      <c r="E14" s="13">
        <v>1650</v>
      </c>
      <c r="F14" s="14"/>
      <c r="G14" s="11">
        <v>1800</v>
      </c>
      <c r="H14" s="8">
        <f t="shared" si="0"/>
        <v>2.97</v>
      </c>
      <c r="I14" s="31">
        <f>C14*D14*G14*6/1000</f>
        <v>10.8</v>
      </c>
      <c r="J14" s="31"/>
      <c r="K14" s="12"/>
    </row>
    <row r="15" spans="1:11" s="1" customFormat="1" ht="23.25" customHeight="1" x14ac:dyDescent="0.25">
      <c r="A15" s="10">
        <v>13</v>
      </c>
      <c r="B15" s="46" t="s">
        <v>121</v>
      </c>
      <c r="C15" s="7">
        <v>1</v>
      </c>
      <c r="D15" s="7">
        <v>1</v>
      </c>
      <c r="E15" s="13">
        <v>650</v>
      </c>
      <c r="F15" s="14"/>
      <c r="G15" s="11">
        <v>1800</v>
      </c>
      <c r="H15" s="8">
        <f t="shared" si="0"/>
        <v>1.17</v>
      </c>
      <c r="I15" s="31">
        <f>C15*D15*G15*3/1000</f>
        <v>5.4</v>
      </c>
      <c r="J15" s="31"/>
      <c r="K15" s="12"/>
    </row>
    <row r="16" spans="1:11" s="1" customFormat="1" ht="23.25" customHeight="1" x14ac:dyDescent="0.25">
      <c r="A16" s="10">
        <v>14</v>
      </c>
      <c r="B16" s="46"/>
      <c r="C16" s="7">
        <v>1</v>
      </c>
      <c r="D16" s="7">
        <v>2</v>
      </c>
      <c r="E16" s="13">
        <v>230</v>
      </c>
      <c r="F16" s="14"/>
      <c r="G16" s="11">
        <v>1800</v>
      </c>
      <c r="H16" s="8">
        <f t="shared" si="0"/>
        <v>0.82799999999999996</v>
      </c>
      <c r="I16" s="31">
        <f>C16*D16*G16*2/1000</f>
        <v>7.2</v>
      </c>
      <c r="J16" s="31"/>
      <c r="K16" s="12"/>
    </row>
    <row r="17" spans="1:11" s="1" customFormat="1" ht="23.25" customHeight="1" x14ac:dyDescent="0.25">
      <c r="A17" s="10">
        <v>15</v>
      </c>
      <c r="B17" s="46"/>
      <c r="C17" s="7">
        <v>1</v>
      </c>
      <c r="D17" s="7">
        <v>1</v>
      </c>
      <c r="E17" s="13">
        <f>1850-230</f>
        <v>1620</v>
      </c>
      <c r="F17" s="14"/>
      <c r="G17" s="11">
        <v>1800</v>
      </c>
      <c r="H17" s="8">
        <f t="shared" si="0"/>
        <v>2.9159999999999999</v>
      </c>
      <c r="I17" s="31">
        <f>C17*D17*G17*6/1000</f>
        <v>10.8</v>
      </c>
      <c r="J17" s="31"/>
      <c r="K17" s="12"/>
    </row>
    <row r="18" spans="1:11" s="1" customFormat="1" ht="23.25" customHeight="1" x14ac:dyDescent="0.25">
      <c r="A18" s="10">
        <v>16</v>
      </c>
      <c r="B18" s="46"/>
      <c r="C18" s="7">
        <v>1</v>
      </c>
      <c r="D18" s="7">
        <v>1</v>
      </c>
      <c r="E18" s="13">
        <v>1850</v>
      </c>
      <c r="F18" s="14"/>
      <c r="G18" s="11">
        <v>1800</v>
      </c>
      <c r="H18" s="8">
        <f t="shared" si="0"/>
        <v>3.33</v>
      </c>
      <c r="I18" s="31">
        <f>C18*D18*G18*7/1000</f>
        <v>12.6</v>
      </c>
      <c r="J18" s="31"/>
      <c r="K18" s="12"/>
    </row>
    <row r="19" spans="1:11" s="1" customFormat="1" ht="23.25" customHeight="1" x14ac:dyDescent="0.25">
      <c r="A19" s="10">
        <v>17</v>
      </c>
      <c r="B19" s="14" t="s">
        <v>122</v>
      </c>
      <c r="C19" s="7">
        <v>1</v>
      </c>
      <c r="D19" s="7">
        <v>2</v>
      </c>
      <c r="E19" s="13">
        <v>1000</v>
      </c>
      <c r="F19" s="14"/>
      <c r="G19" s="11">
        <v>1800</v>
      </c>
      <c r="H19" s="8">
        <f t="shared" si="0"/>
        <v>3.6</v>
      </c>
      <c r="I19" s="31">
        <f>C19*D19*G19*4/1000</f>
        <v>14.4</v>
      </c>
      <c r="J19" s="31"/>
      <c r="K19" s="12"/>
    </row>
    <row r="20" spans="1:11" s="1" customFormat="1" ht="23.25" customHeight="1" x14ac:dyDescent="0.25">
      <c r="A20" s="10">
        <v>18</v>
      </c>
      <c r="B20" s="14"/>
      <c r="C20" s="7">
        <v>1</v>
      </c>
      <c r="D20" s="7">
        <v>2</v>
      </c>
      <c r="E20" s="13">
        <v>230</v>
      </c>
      <c r="F20" s="14"/>
      <c r="G20" s="11">
        <v>1800</v>
      </c>
      <c r="H20" s="8">
        <f t="shared" si="0"/>
        <v>0.82799999999999996</v>
      </c>
      <c r="I20" s="31">
        <f>C20*D20*G20*2/1000</f>
        <v>7.2</v>
      </c>
      <c r="J20" s="31"/>
      <c r="K20" s="12"/>
    </row>
    <row r="21" spans="1:11" s="1" customFormat="1" ht="23.25" customHeight="1" x14ac:dyDescent="0.25">
      <c r="A21" s="10">
        <v>19</v>
      </c>
      <c r="B21" s="14" t="s">
        <v>123</v>
      </c>
      <c r="C21" s="7">
        <v>1</v>
      </c>
      <c r="D21" s="7">
        <v>2</v>
      </c>
      <c r="E21" s="13">
        <v>1150</v>
      </c>
      <c r="F21" s="14"/>
      <c r="G21" s="11">
        <v>1800</v>
      </c>
      <c r="H21" s="8">
        <f t="shared" si="0"/>
        <v>4.1399999999999997</v>
      </c>
      <c r="I21" s="31">
        <f>C21*D21*G21*4/1000</f>
        <v>14.4</v>
      </c>
      <c r="J21" s="31"/>
      <c r="K21" s="12"/>
    </row>
    <row r="22" spans="1:11" s="1" customFormat="1" ht="23.25" customHeight="1" x14ac:dyDescent="0.25">
      <c r="A22" s="10">
        <v>20</v>
      </c>
      <c r="B22" s="14"/>
      <c r="C22" s="7">
        <v>1</v>
      </c>
      <c r="D22" s="7">
        <v>2</v>
      </c>
      <c r="E22" s="13">
        <v>230</v>
      </c>
      <c r="F22" s="14"/>
      <c r="G22" s="11">
        <v>1800</v>
      </c>
      <c r="H22" s="8">
        <f t="shared" si="0"/>
        <v>0.82799999999999996</v>
      </c>
      <c r="I22" s="31">
        <f>C22*D22*G22*2/1000</f>
        <v>7.2</v>
      </c>
      <c r="J22" s="31"/>
      <c r="K22" s="12"/>
    </row>
    <row r="23" spans="1:11" s="1" customFormat="1" ht="23.25" customHeight="1" x14ac:dyDescent="0.25">
      <c r="A23" s="10">
        <v>21</v>
      </c>
      <c r="B23" s="14" t="s">
        <v>124</v>
      </c>
      <c r="C23" s="7">
        <v>1</v>
      </c>
      <c r="D23" s="7">
        <v>2</v>
      </c>
      <c r="E23" s="13">
        <v>1700</v>
      </c>
      <c r="F23" s="14"/>
      <c r="G23" s="11">
        <v>1800</v>
      </c>
      <c r="H23" s="8">
        <f t="shared" si="0"/>
        <v>6.12</v>
      </c>
      <c r="I23" s="31">
        <f>C23*D23*G23*6/1000</f>
        <v>21.6</v>
      </c>
      <c r="J23" s="31"/>
      <c r="K23" s="12"/>
    </row>
    <row r="24" spans="1:11" s="1" customFormat="1" ht="23.25" customHeight="1" x14ac:dyDescent="0.25">
      <c r="A24" s="10">
        <v>22</v>
      </c>
      <c r="B24" s="14"/>
      <c r="C24" s="7">
        <v>1</v>
      </c>
      <c r="D24" s="7">
        <v>2</v>
      </c>
      <c r="E24" s="13">
        <v>230</v>
      </c>
      <c r="F24" s="14"/>
      <c r="G24" s="11">
        <v>1800</v>
      </c>
      <c r="H24" s="8">
        <f t="shared" si="0"/>
        <v>0.82799999999999996</v>
      </c>
      <c r="I24" s="31">
        <f>C24*D24*G24*2/1000</f>
        <v>7.2</v>
      </c>
      <c r="J24" s="31"/>
      <c r="K24" s="12"/>
    </row>
    <row r="25" spans="1:11" s="1" customFormat="1" ht="23.25" customHeight="1" x14ac:dyDescent="0.25">
      <c r="A25" s="10">
        <v>23</v>
      </c>
      <c r="B25" s="14" t="s">
        <v>125</v>
      </c>
      <c r="C25" s="7">
        <v>1</v>
      </c>
      <c r="D25" s="7">
        <v>2</v>
      </c>
      <c r="E25" s="13">
        <v>1185</v>
      </c>
      <c r="F25" s="14"/>
      <c r="G25" s="11">
        <v>1800</v>
      </c>
      <c r="H25" s="8">
        <f t="shared" si="0"/>
        <v>4.266</v>
      </c>
      <c r="I25" s="31">
        <f>C25*D25*G25*4/1000</f>
        <v>14.4</v>
      </c>
      <c r="J25" s="31"/>
      <c r="K25" s="12"/>
    </row>
    <row r="26" spans="1:11" s="1" customFormat="1" ht="23.25" customHeight="1" x14ac:dyDescent="0.25">
      <c r="A26" s="10">
        <v>24</v>
      </c>
      <c r="B26" s="14"/>
      <c r="C26" s="7">
        <v>1</v>
      </c>
      <c r="D26" s="7">
        <v>2</v>
      </c>
      <c r="E26" s="13">
        <v>230</v>
      </c>
      <c r="F26" s="14"/>
      <c r="G26" s="11">
        <v>1800</v>
      </c>
      <c r="H26" s="8">
        <f t="shared" si="0"/>
        <v>0.82799999999999996</v>
      </c>
      <c r="I26" s="31">
        <f>C26*D26*G26*2/1000</f>
        <v>7.2</v>
      </c>
      <c r="J26" s="31"/>
      <c r="K26" s="12"/>
    </row>
    <row r="27" spans="1:11" s="1" customFormat="1" ht="23.25" customHeight="1" x14ac:dyDescent="0.25">
      <c r="A27" s="10">
        <v>25</v>
      </c>
      <c r="B27" s="14" t="s">
        <v>126</v>
      </c>
      <c r="C27" s="7">
        <v>1</v>
      </c>
      <c r="D27" s="7">
        <v>2</v>
      </c>
      <c r="E27" s="13">
        <v>1855</v>
      </c>
      <c r="F27" s="14"/>
      <c r="G27" s="11">
        <v>1800</v>
      </c>
      <c r="H27" s="8">
        <f t="shared" si="0"/>
        <v>6.6779999999999999</v>
      </c>
      <c r="I27" s="31">
        <f>C27*D27*G27*7/1000</f>
        <v>25.2</v>
      </c>
      <c r="J27" s="31"/>
      <c r="K27" s="12"/>
    </row>
    <row r="28" spans="1:11" s="1" customFormat="1" ht="23.25" customHeight="1" x14ac:dyDescent="0.25">
      <c r="A28" s="10">
        <v>26</v>
      </c>
      <c r="B28" s="14"/>
      <c r="C28" s="7">
        <v>1</v>
      </c>
      <c r="D28" s="7">
        <v>2</v>
      </c>
      <c r="E28" s="13">
        <v>230</v>
      </c>
      <c r="F28" s="14"/>
      <c r="G28" s="11">
        <v>1800</v>
      </c>
      <c r="H28" s="8">
        <f t="shared" si="0"/>
        <v>0.82799999999999996</v>
      </c>
      <c r="I28" s="31">
        <f>C28*D28*G28*2/1000</f>
        <v>7.2</v>
      </c>
      <c r="J28" s="31"/>
      <c r="K28" s="12"/>
    </row>
    <row r="29" spans="1:11" s="1" customFormat="1" ht="23.25" customHeight="1" x14ac:dyDescent="0.25">
      <c r="A29" s="10">
        <v>27</v>
      </c>
      <c r="B29" s="14" t="s">
        <v>127</v>
      </c>
      <c r="C29" s="7">
        <v>1</v>
      </c>
      <c r="D29" s="7">
        <v>2</v>
      </c>
      <c r="E29" s="13">
        <v>3600</v>
      </c>
      <c r="F29" s="14"/>
      <c r="G29" s="11">
        <v>1800</v>
      </c>
      <c r="H29" s="8">
        <f t="shared" si="0"/>
        <v>12.96</v>
      </c>
      <c r="I29" s="31">
        <f>C29*D29*G29*13/1000</f>
        <v>46.8</v>
      </c>
      <c r="J29" s="31"/>
      <c r="K29" s="12"/>
    </row>
    <row r="30" spans="1:11" s="1" customFormat="1" ht="23.25" customHeight="1" x14ac:dyDescent="0.25">
      <c r="A30" s="10">
        <v>28</v>
      </c>
      <c r="B30" s="14"/>
      <c r="C30" s="7">
        <v>1</v>
      </c>
      <c r="D30" s="7">
        <v>2</v>
      </c>
      <c r="E30" s="13">
        <v>230</v>
      </c>
      <c r="F30" s="14"/>
      <c r="G30" s="11">
        <v>1800</v>
      </c>
      <c r="H30" s="8">
        <f t="shared" si="0"/>
        <v>0.82799999999999996</v>
      </c>
      <c r="I30" s="31">
        <f>C30*D30*G30*2/1000</f>
        <v>7.2</v>
      </c>
      <c r="J30" s="31"/>
      <c r="K30" s="12"/>
    </row>
    <row r="31" spans="1:11" s="1" customFormat="1" ht="23.25" customHeight="1" x14ac:dyDescent="0.25">
      <c r="A31" s="10">
        <v>29</v>
      </c>
      <c r="B31" s="46" t="s">
        <v>128</v>
      </c>
      <c r="C31" s="7">
        <v>1</v>
      </c>
      <c r="D31" s="7">
        <v>1</v>
      </c>
      <c r="E31" s="13">
        <v>650</v>
      </c>
      <c r="F31" s="14"/>
      <c r="G31" s="11">
        <v>1800</v>
      </c>
      <c r="H31" s="8">
        <f t="shared" si="0"/>
        <v>1.17</v>
      </c>
      <c r="I31" s="31">
        <f>C31*D31*G31*3/1000</f>
        <v>5.4</v>
      </c>
      <c r="J31" s="31"/>
      <c r="K31" s="12"/>
    </row>
    <row r="32" spans="1:11" s="1" customFormat="1" ht="23.25" customHeight="1" x14ac:dyDescent="0.25">
      <c r="A32" s="10">
        <v>30</v>
      </c>
      <c r="B32" s="46"/>
      <c r="C32" s="7">
        <v>1</v>
      </c>
      <c r="D32" s="7">
        <v>2</v>
      </c>
      <c r="E32" s="13">
        <v>230</v>
      </c>
      <c r="F32" s="14"/>
      <c r="G32" s="11">
        <v>1800</v>
      </c>
      <c r="H32" s="8">
        <f t="shared" si="0"/>
        <v>0.82799999999999996</v>
      </c>
      <c r="I32" s="31">
        <f>C32*D32*G32*2/1000</f>
        <v>7.2</v>
      </c>
      <c r="J32" s="31"/>
      <c r="K32" s="12"/>
    </row>
    <row r="33" spans="1:11" s="1" customFormat="1" ht="23.25" customHeight="1" x14ac:dyDescent="0.25">
      <c r="A33" s="10">
        <v>31</v>
      </c>
      <c r="B33" s="46"/>
      <c r="C33" s="7">
        <v>1</v>
      </c>
      <c r="D33" s="7">
        <v>1</v>
      </c>
      <c r="E33" s="13">
        <f>1850-230</f>
        <v>1620</v>
      </c>
      <c r="F33" s="14"/>
      <c r="G33" s="11">
        <v>1800</v>
      </c>
      <c r="H33" s="8">
        <f t="shared" si="0"/>
        <v>2.9159999999999999</v>
      </c>
      <c r="I33" s="31">
        <f>C33*D33*G33*6/1000</f>
        <v>10.8</v>
      </c>
      <c r="J33" s="31"/>
      <c r="K33" s="12"/>
    </row>
    <row r="34" spans="1:11" s="1" customFormat="1" ht="23.25" customHeight="1" x14ac:dyDescent="0.25">
      <c r="A34" s="10">
        <v>32</v>
      </c>
      <c r="B34" s="46"/>
      <c r="C34" s="7">
        <v>1</v>
      </c>
      <c r="D34" s="7">
        <v>1</v>
      </c>
      <c r="E34" s="13">
        <v>1850</v>
      </c>
      <c r="F34" s="14"/>
      <c r="G34" s="11">
        <v>1800</v>
      </c>
      <c r="H34" s="8">
        <f t="shared" si="0"/>
        <v>3.33</v>
      </c>
      <c r="I34" s="31">
        <f>C34*D34*G34*7/1000</f>
        <v>12.6</v>
      </c>
      <c r="J34" s="31"/>
      <c r="K34" s="12"/>
    </row>
    <row r="35" spans="1:11" s="1" customFormat="1" ht="23.25" customHeight="1" x14ac:dyDescent="0.25">
      <c r="A35" s="10">
        <v>33</v>
      </c>
      <c r="B35" s="14" t="s">
        <v>129</v>
      </c>
      <c r="C35" s="7">
        <v>1</v>
      </c>
      <c r="D35" s="7">
        <v>2</v>
      </c>
      <c r="E35" s="13">
        <v>3445</v>
      </c>
      <c r="F35" s="14"/>
      <c r="G35" s="11">
        <v>1800</v>
      </c>
      <c r="H35" s="8">
        <f t="shared" si="0"/>
        <v>12.401999999999999</v>
      </c>
      <c r="I35" s="31">
        <f>C35*D35*G35*12/1000</f>
        <v>43.2</v>
      </c>
      <c r="J35" s="31"/>
      <c r="K35" s="12"/>
    </row>
    <row r="36" spans="1:11" s="1" customFormat="1" ht="23.25" customHeight="1" x14ac:dyDescent="0.25">
      <c r="A36" s="10">
        <v>34</v>
      </c>
      <c r="B36" s="14"/>
      <c r="C36" s="7">
        <v>1</v>
      </c>
      <c r="D36" s="7">
        <v>2</v>
      </c>
      <c r="E36" s="13">
        <v>230</v>
      </c>
      <c r="F36" s="14"/>
      <c r="G36" s="11">
        <v>1800</v>
      </c>
      <c r="H36" s="8">
        <f t="shared" si="0"/>
        <v>0.82799999999999996</v>
      </c>
      <c r="I36" s="31">
        <f>C36*D36*G36*2/1000</f>
        <v>7.2</v>
      </c>
      <c r="J36" s="31"/>
      <c r="K36" s="12"/>
    </row>
    <row r="37" spans="1:11" s="1" customFormat="1" ht="23.25" customHeight="1" x14ac:dyDescent="0.25">
      <c r="A37" s="10">
        <v>35</v>
      </c>
      <c r="B37" s="14" t="s">
        <v>130</v>
      </c>
      <c r="C37" s="7">
        <v>1</v>
      </c>
      <c r="D37" s="7">
        <v>2</v>
      </c>
      <c r="E37" s="13">
        <v>4065</v>
      </c>
      <c r="F37" s="14"/>
      <c r="G37" s="11">
        <v>1800</v>
      </c>
      <c r="H37" s="8">
        <f t="shared" si="0"/>
        <v>14.634</v>
      </c>
      <c r="I37" s="31">
        <f>C37*D37*G37*14/1000</f>
        <v>50.4</v>
      </c>
      <c r="J37" s="31"/>
      <c r="K37" s="12"/>
    </row>
    <row r="38" spans="1:11" s="1" customFormat="1" ht="23.25" customHeight="1" x14ac:dyDescent="0.25">
      <c r="A38" s="10">
        <v>36</v>
      </c>
      <c r="B38" s="14"/>
      <c r="C38" s="7">
        <v>1</v>
      </c>
      <c r="D38" s="7">
        <v>2</v>
      </c>
      <c r="E38" s="13">
        <v>230</v>
      </c>
      <c r="F38" s="14"/>
      <c r="G38" s="11">
        <v>1800</v>
      </c>
      <c r="H38" s="8">
        <f t="shared" si="0"/>
        <v>0.82799999999999996</v>
      </c>
      <c r="I38" s="31">
        <f>C38*D38*G38*2/1000</f>
        <v>7.2</v>
      </c>
      <c r="J38" s="31"/>
      <c r="K38" s="12"/>
    </row>
    <row r="39" spans="1:11" s="1" customFormat="1" ht="23.25" customHeight="1" x14ac:dyDescent="0.25">
      <c r="A39" s="10">
        <v>37</v>
      </c>
      <c r="B39" s="46" t="s">
        <v>131</v>
      </c>
      <c r="C39" s="7">
        <v>1</v>
      </c>
      <c r="D39" s="7">
        <v>1</v>
      </c>
      <c r="E39" s="13">
        <v>650</v>
      </c>
      <c r="F39" s="14"/>
      <c r="G39" s="11">
        <v>1800</v>
      </c>
      <c r="H39" s="8">
        <f t="shared" si="0"/>
        <v>1.17</v>
      </c>
      <c r="I39" s="31">
        <f>C39*D39*G39*3/1000</f>
        <v>5.4</v>
      </c>
      <c r="J39" s="31"/>
      <c r="K39" s="12"/>
    </row>
    <row r="40" spans="1:11" s="1" customFormat="1" ht="23.25" customHeight="1" x14ac:dyDescent="0.25">
      <c r="A40" s="10">
        <v>38</v>
      </c>
      <c r="B40" s="46"/>
      <c r="C40" s="7">
        <v>1</v>
      </c>
      <c r="D40" s="7">
        <v>2</v>
      </c>
      <c r="E40" s="13">
        <v>230</v>
      </c>
      <c r="F40" s="14"/>
      <c r="G40" s="11">
        <v>1800</v>
      </c>
      <c r="H40" s="8">
        <f t="shared" si="0"/>
        <v>0.82799999999999996</v>
      </c>
      <c r="I40" s="31">
        <f>C40*D40*G40*2/1000</f>
        <v>7.2</v>
      </c>
      <c r="J40" s="31"/>
      <c r="K40" s="12"/>
    </row>
    <row r="41" spans="1:11" s="1" customFormat="1" ht="23.25" customHeight="1" x14ac:dyDescent="0.25">
      <c r="A41" s="10">
        <v>39</v>
      </c>
      <c r="B41" s="46"/>
      <c r="C41" s="7">
        <v>1</v>
      </c>
      <c r="D41" s="7">
        <v>1</v>
      </c>
      <c r="E41" s="13">
        <f>1535-230</f>
        <v>1305</v>
      </c>
      <c r="F41" s="14"/>
      <c r="G41" s="11">
        <v>1800</v>
      </c>
      <c r="H41" s="8">
        <f t="shared" si="0"/>
        <v>2.3490000000000002</v>
      </c>
      <c r="I41" s="31">
        <f>C41*D41*G41*5/1000</f>
        <v>9</v>
      </c>
      <c r="J41" s="31"/>
      <c r="K41" s="12"/>
    </row>
    <row r="42" spans="1:11" s="1" customFormat="1" ht="23.25" customHeight="1" x14ac:dyDescent="0.25">
      <c r="A42" s="10">
        <v>40</v>
      </c>
      <c r="B42" s="46"/>
      <c r="C42" s="7">
        <v>1</v>
      </c>
      <c r="D42" s="7">
        <v>1</v>
      </c>
      <c r="E42" s="13">
        <v>1535</v>
      </c>
      <c r="F42" s="14"/>
      <c r="G42" s="11">
        <v>1800</v>
      </c>
      <c r="H42" s="8">
        <f t="shared" si="0"/>
        <v>2.7629999999999999</v>
      </c>
      <c r="I42" s="31">
        <f>C42*D42*G42*6/1000</f>
        <v>10.8</v>
      </c>
      <c r="J42" s="31"/>
      <c r="K42" s="12"/>
    </row>
    <row r="43" spans="1:11" s="1" customFormat="1" ht="23.25" customHeight="1" x14ac:dyDescent="0.25">
      <c r="A43" s="10">
        <v>41</v>
      </c>
      <c r="B43" s="14" t="s">
        <v>132</v>
      </c>
      <c r="C43" s="7">
        <v>1</v>
      </c>
      <c r="D43" s="7">
        <v>2</v>
      </c>
      <c r="E43" s="13">
        <v>3445</v>
      </c>
      <c r="F43" s="14"/>
      <c r="G43" s="11">
        <v>1800</v>
      </c>
      <c r="H43" s="8">
        <f t="shared" si="0"/>
        <v>12.401999999999999</v>
      </c>
      <c r="I43" s="31">
        <f>C43*D43*G43*12/1000</f>
        <v>43.2</v>
      </c>
      <c r="J43" s="31"/>
      <c r="K43" s="12"/>
    </row>
    <row r="44" spans="1:11" s="1" customFormat="1" ht="23.25" customHeight="1" x14ac:dyDescent="0.25">
      <c r="A44" s="10">
        <v>42</v>
      </c>
      <c r="B44" s="14"/>
      <c r="C44" s="7">
        <v>1</v>
      </c>
      <c r="D44" s="7">
        <v>2</v>
      </c>
      <c r="E44" s="13">
        <v>230</v>
      </c>
      <c r="F44" s="14"/>
      <c r="G44" s="11">
        <v>1800</v>
      </c>
      <c r="H44" s="8">
        <f t="shared" si="0"/>
        <v>0.82799999999999996</v>
      </c>
      <c r="I44" s="31">
        <f>C44*D44*G44*2/1000</f>
        <v>7.2</v>
      </c>
      <c r="J44" s="31"/>
      <c r="K44" s="12"/>
    </row>
    <row r="45" spans="1:11" s="1" customFormat="1" ht="23.25" customHeight="1" x14ac:dyDescent="0.25">
      <c r="A45" s="10"/>
      <c r="B45" s="14"/>
      <c r="C45" s="7"/>
      <c r="D45" s="7"/>
      <c r="E45" s="14"/>
      <c r="F45" s="14"/>
      <c r="G45" s="13"/>
      <c r="H45" s="8"/>
      <c r="I45" s="31"/>
      <c r="J45" s="31"/>
      <c r="K45" s="12"/>
    </row>
    <row r="46" spans="1:11" s="1" customFormat="1" ht="23.25" customHeight="1" x14ac:dyDescent="0.25">
      <c r="A46" s="10"/>
      <c r="B46" s="7"/>
      <c r="C46" s="21"/>
      <c r="D46" s="21"/>
      <c r="E46" s="7"/>
      <c r="F46" s="7"/>
      <c r="G46" s="15" t="s">
        <v>103</v>
      </c>
      <c r="H46" s="22">
        <f>SUM(H3:H45)</f>
        <v>150.93</v>
      </c>
      <c r="I46" s="22">
        <f>SUM(I3:I45)</f>
        <v>655.20000000000005</v>
      </c>
      <c r="J46" s="32"/>
      <c r="K46" s="12"/>
    </row>
    <row r="47" spans="1:11" s="1" customFormat="1" ht="15.75" thickBot="1" x14ac:dyDescent="0.3">
      <c r="A47" s="17"/>
      <c r="B47" s="18"/>
      <c r="C47" s="18"/>
      <c r="D47" s="18"/>
      <c r="E47" s="18"/>
      <c r="F47" s="18"/>
      <c r="G47" s="19"/>
      <c r="H47" s="18"/>
      <c r="I47" s="33"/>
      <c r="J47" s="33"/>
      <c r="K47" s="20"/>
    </row>
    <row r="49" spans="7:10" x14ac:dyDescent="0.25">
      <c r="G49" t="s">
        <v>104</v>
      </c>
      <c r="H49" s="23">
        <f>H46/2.88</f>
        <v>52.406250000000007</v>
      </c>
      <c r="I49" s="23"/>
      <c r="J49" s="23"/>
    </row>
    <row r="50" spans="7:10" x14ac:dyDescent="0.25">
      <c r="G50" t="s">
        <v>133</v>
      </c>
      <c r="H50" s="23">
        <f>I46/3</f>
        <v>218.4</v>
      </c>
    </row>
    <row r="51" spans="7:10" x14ac:dyDescent="0.25">
      <c r="G51" t="s">
        <v>135</v>
      </c>
      <c r="H51">
        <v>50</v>
      </c>
    </row>
    <row r="52" spans="7:10" x14ac:dyDescent="0.25">
      <c r="G52" t="s">
        <v>136</v>
      </c>
      <c r="H52">
        <v>50</v>
      </c>
    </row>
    <row r="53" spans="7:10" x14ac:dyDescent="0.25">
      <c r="G53" t="s">
        <v>107</v>
      </c>
      <c r="H53" s="23">
        <f>H46*0.1</f>
        <v>15.093000000000002</v>
      </c>
    </row>
    <row r="54" spans="7:10" x14ac:dyDescent="0.25">
      <c r="G54" t="s">
        <v>108</v>
      </c>
    </row>
    <row r="55" spans="7:10" x14ac:dyDescent="0.25">
      <c r="G55" t="s">
        <v>140</v>
      </c>
      <c r="H55">
        <f>10*2*3</f>
        <v>60</v>
      </c>
    </row>
    <row r="56" spans="7:10" x14ac:dyDescent="0.25">
      <c r="G56" t="s">
        <v>141</v>
      </c>
      <c r="H56">
        <f>10*2*3</f>
        <v>60</v>
      </c>
    </row>
  </sheetData>
  <mergeCells count="12">
    <mergeCell ref="B39:B42"/>
    <mergeCell ref="B31:B34"/>
    <mergeCell ref="B15:B18"/>
    <mergeCell ref="B11:B14"/>
    <mergeCell ref="A1:A2"/>
    <mergeCell ref="B1:B2"/>
    <mergeCell ref="E1:G1"/>
    <mergeCell ref="C1:C2"/>
    <mergeCell ref="K1:K2"/>
    <mergeCell ref="H1:H2"/>
    <mergeCell ref="D1:D2"/>
    <mergeCell ref="I1:I2"/>
  </mergeCells>
  <pageMargins left="0.7" right="0.7" top="0.75" bottom="0.75" header="0.3" footer="0.3"/>
  <ignoredErrors>
    <ignoredError sqref="I4:I4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2025-05-28T18:20:56Z</dcterms:modified>
</cp:coreProperties>
</file>