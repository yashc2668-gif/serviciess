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FOUND TO G.F.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68" i="2" l="1"/>
  <c r="E263" i="2"/>
  <c r="E258" i="2"/>
  <c r="E253" i="2"/>
  <c r="E293" i="2"/>
  <c r="E545" i="2"/>
  <c r="E540" i="2"/>
  <c r="E535" i="2"/>
  <c r="E530" i="2"/>
  <c r="J530" i="2" s="1"/>
  <c r="N530" i="2" s="1"/>
  <c r="O530" i="2" s="1"/>
  <c r="Q530" i="2" s="1"/>
  <c r="E525" i="2"/>
  <c r="U551" i="2"/>
  <c r="T551" i="2"/>
  <c r="S551" i="2"/>
  <c r="R551" i="2"/>
  <c r="Q551" i="2"/>
  <c r="P551" i="2"/>
  <c r="U550" i="2"/>
  <c r="T550" i="2"/>
  <c r="S550" i="2"/>
  <c r="R550" i="2"/>
  <c r="P550" i="2"/>
  <c r="M550" i="2"/>
  <c r="D550" i="2"/>
  <c r="J550" i="2" s="1"/>
  <c r="N550" i="2" s="1"/>
  <c r="O550" i="2" s="1"/>
  <c r="Q550" i="2" s="1"/>
  <c r="U549" i="2"/>
  <c r="T549" i="2"/>
  <c r="S549" i="2"/>
  <c r="R549" i="2"/>
  <c r="Q549" i="2"/>
  <c r="P549" i="2"/>
  <c r="U548" i="2"/>
  <c r="T548" i="2"/>
  <c r="S548" i="2"/>
  <c r="R548" i="2"/>
  <c r="Q548" i="2"/>
  <c r="P548" i="2"/>
  <c r="U547" i="2"/>
  <c r="T547" i="2"/>
  <c r="S547" i="2"/>
  <c r="R547" i="2"/>
  <c r="Q547" i="2"/>
  <c r="P547" i="2"/>
  <c r="D547" i="2"/>
  <c r="U546" i="2"/>
  <c r="T546" i="2"/>
  <c r="S546" i="2"/>
  <c r="R546" i="2"/>
  <c r="Q546" i="2"/>
  <c r="P546" i="2"/>
  <c r="U545" i="2"/>
  <c r="T545" i="2"/>
  <c r="S545" i="2"/>
  <c r="R545" i="2"/>
  <c r="P545" i="2"/>
  <c r="N545" i="2"/>
  <c r="O545" i="2" s="1"/>
  <c r="Q545" i="2" s="1"/>
  <c r="J545" i="2"/>
  <c r="U544" i="2"/>
  <c r="T544" i="2"/>
  <c r="S544" i="2"/>
  <c r="R544" i="2"/>
  <c r="Q544" i="2"/>
  <c r="P544" i="2"/>
  <c r="U543" i="2"/>
  <c r="T543" i="2"/>
  <c r="S543" i="2"/>
  <c r="R543" i="2"/>
  <c r="Q543" i="2"/>
  <c r="P543" i="2"/>
  <c r="U542" i="2"/>
  <c r="T542" i="2"/>
  <c r="S542" i="2"/>
  <c r="R542" i="2"/>
  <c r="Q542" i="2"/>
  <c r="P542" i="2"/>
  <c r="D542" i="2"/>
  <c r="U541" i="2"/>
  <c r="T541" i="2"/>
  <c r="S541" i="2"/>
  <c r="R541" i="2"/>
  <c r="Q541" i="2"/>
  <c r="P541" i="2"/>
  <c r="U540" i="2"/>
  <c r="T540" i="2"/>
  <c r="S540" i="2"/>
  <c r="R540" i="2"/>
  <c r="P540" i="2"/>
  <c r="J540" i="2"/>
  <c r="N540" i="2" s="1"/>
  <c r="O540" i="2" s="1"/>
  <c r="Q540" i="2" s="1"/>
  <c r="U539" i="2"/>
  <c r="T539" i="2"/>
  <c r="S539" i="2"/>
  <c r="R539" i="2"/>
  <c r="Q539" i="2"/>
  <c r="P539" i="2"/>
  <c r="U538" i="2"/>
  <c r="T538" i="2"/>
  <c r="S538" i="2"/>
  <c r="R538" i="2"/>
  <c r="Q538" i="2"/>
  <c r="P538" i="2"/>
  <c r="U537" i="2"/>
  <c r="T537" i="2"/>
  <c r="S537" i="2"/>
  <c r="R537" i="2"/>
  <c r="Q537" i="2"/>
  <c r="P537" i="2"/>
  <c r="D537" i="2"/>
  <c r="J535" i="2" s="1"/>
  <c r="N535" i="2" s="1"/>
  <c r="O535" i="2" s="1"/>
  <c r="Q535" i="2" s="1"/>
  <c r="U536" i="2"/>
  <c r="T536" i="2"/>
  <c r="S536" i="2"/>
  <c r="R536" i="2"/>
  <c r="Q536" i="2"/>
  <c r="P536" i="2"/>
  <c r="U535" i="2"/>
  <c r="T535" i="2"/>
  <c r="S535" i="2"/>
  <c r="R535" i="2"/>
  <c r="P535" i="2"/>
  <c r="U534" i="2"/>
  <c r="T534" i="2"/>
  <c r="S534" i="2"/>
  <c r="R534" i="2"/>
  <c r="Q534" i="2"/>
  <c r="P534" i="2"/>
  <c r="U533" i="2"/>
  <c r="T533" i="2"/>
  <c r="S533" i="2"/>
  <c r="R533" i="2"/>
  <c r="Q533" i="2"/>
  <c r="P533" i="2"/>
  <c r="U532" i="2"/>
  <c r="T532" i="2"/>
  <c r="S532" i="2"/>
  <c r="R532" i="2"/>
  <c r="Q532" i="2"/>
  <c r="P532" i="2"/>
  <c r="D532" i="2"/>
  <c r="U531" i="2"/>
  <c r="T531" i="2"/>
  <c r="S531" i="2"/>
  <c r="R531" i="2"/>
  <c r="Q531" i="2"/>
  <c r="P531" i="2"/>
  <c r="U530" i="2"/>
  <c r="T530" i="2"/>
  <c r="S530" i="2"/>
  <c r="R530" i="2"/>
  <c r="P530" i="2"/>
  <c r="U529" i="2"/>
  <c r="T529" i="2"/>
  <c r="S529" i="2"/>
  <c r="R529" i="2"/>
  <c r="Q529" i="2"/>
  <c r="P529" i="2"/>
  <c r="U528" i="2"/>
  <c r="T528" i="2"/>
  <c r="S528" i="2"/>
  <c r="R528" i="2"/>
  <c r="Q528" i="2"/>
  <c r="P528" i="2"/>
  <c r="U527" i="2"/>
  <c r="T527" i="2"/>
  <c r="S527" i="2"/>
  <c r="R527" i="2"/>
  <c r="Q527" i="2"/>
  <c r="P527" i="2"/>
  <c r="D527" i="2"/>
  <c r="U526" i="2"/>
  <c r="T526" i="2"/>
  <c r="S526" i="2"/>
  <c r="R526" i="2"/>
  <c r="Q526" i="2"/>
  <c r="P526" i="2"/>
  <c r="U525" i="2"/>
  <c r="T525" i="2"/>
  <c r="S525" i="2"/>
  <c r="R525" i="2"/>
  <c r="P525" i="2"/>
  <c r="N525" i="2"/>
  <c r="O525" i="2" s="1"/>
  <c r="Q525" i="2" s="1"/>
  <c r="J525" i="2"/>
  <c r="U524" i="2"/>
  <c r="T524" i="2"/>
  <c r="S524" i="2"/>
  <c r="R524" i="2"/>
  <c r="Q524" i="2"/>
  <c r="P524" i="2"/>
  <c r="U523" i="2"/>
  <c r="T523" i="2"/>
  <c r="S523" i="2"/>
  <c r="R523" i="2"/>
  <c r="Q523" i="2"/>
  <c r="P523" i="2"/>
  <c r="U522" i="2"/>
  <c r="T522" i="2"/>
  <c r="S522" i="2"/>
  <c r="R522" i="2"/>
  <c r="Q522" i="2"/>
  <c r="P522" i="2"/>
  <c r="D522" i="2"/>
  <c r="U521" i="2"/>
  <c r="T521" i="2"/>
  <c r="S521" i="2"/>
  <c r="R521" i="2"/>
  <c r="Q521" i="2"/>
  <c r="P521" i="2"/>
  <c r="U520" i="2"/>
  <c r="T520" i="2"/>
  <c r="S520" i="2"/>
  <c r="R520" i="2"/>
  <c r="P520" i="2"/>
  <c r="J520" i="2"/>
  <c r="N520" i="2" s="1"/>
  <c r="O520" i="2" s="1"/>
  <c r="Q520" i="2" s="1"/>
  <c r="E520" i="2"/>
  <c r="U519" i="2"/>
  <c r="T519" i="2"/>
  <c r="S519" i="2"/>
  <c r="R519" i="2"/>
  <c r="Q519" i="2"/>
  <c r="P519" i="2"/>
  <c r="U518" i="2"/>
  <c r="T518" i="2"/>
  <c r="S518" i="2"/>
  <c r="R518" i="2"/>
  <c r="Q518" i="2"/>
  <c r="P518" i="2"/>
  <c r="U517" i="2"/>
  <c r="T517" i="2"/>
  <c r="S517" i="2"/>
  <c r="R517" i="2"/>
  <c r="Q517" i="2"/>
  <c r="P517" i="2"/>
  <c r="U516" i="2"/>
  <c r="T516" i="2"/>
  <c r="S516" i="2"/>
  <c r="R516" i="2"/>
  <c r="P516" i="2"/>
  <c r="M516" i="2"/>
  <c r="U515" i="2"/>
  <c r="T515" i="2"/>
  <c r="S515" i="2"/>
  <c r="Q515" i="2"/>
  <c r="P515" i="2"/>
  <c r="M515" i="2"/>
  <c r="U514" i="2"/>
  <c r="T514" i="2"/>
  <c r="R514" i="2"/>
  <c r="Q514" i="2"/>
  <c r="P514" i="2"/>
  <c r="M514" i="2"/>
  <c r="J514" i="2"/>
  <c r="N514" i="2" s="1"/>
  <c r="D514" i="2"/>
  <c r="J515" i="2" s="1"/>
  <c r="N515" i="2" s="1"/>
  <c r="U513" i="2"/>
  <c r="T513" i="2"/>
  <c r="S513" i="2"/>
  <c r="R513" i="2"/>
  <c r="Q513" i="2"/>
  <c r="P513" i="2"/>
  <c r="U512" i="2"/>
  <c r="T512" i="2"/>
  <c r="S512" i="2"/>
  <c r="R512" i="2"/>
  <c r="Q512" i="2"/>
  <c r="P512" i="2"/>
  <c r="E570" i="2"/>
  <c r="J570" i="2" s="1"/>
  <c r="N570" i="2" s="1"/>
  <c r="O570" i="2" s="1"/>
  <c r="Q570" i="2" s="1"/>
  <c r="E505" i="2"/>
  <c r="J505" i="2" s="1"/>
  <c r="N505" i="2" s="1"/>
  <c r="O505" i="2" s="1"/>
  <c r="Q505" i="2" s="1"/>
  <c r="E565" i="2"/>
  <c r="E560" i="2"/>
  <c r="U576" i="2"/>
  <c r="T576" i="2"/>
  <c r="S576" i="2"/>
  <c r="R576" i="2"/>
  <c r="Q576" i="2"/>
  <c r="P576" i="2"/>
  <c r="U575" i="2"/>
  <c r="T575" i="2"/>
  <c r="S575" i="2"/>
  <c r="R575" i="2"/>
  <c r="P575" i="2"/>
  <c r="M575" i="2"/>
  <c r="D575" i="2"/>
  <c r="J575" i="2" s="1"/>
  <c r="N575" i="2" s="1"/>
  <c r="O575" i="2" s="1"/>
  <c r="Q575" i="2" s="1"/>
  <c r="U574" i="2"/>
  <c r="T574" i="2"/>
  <c r="S574" i="2"/>
  <c r="R574" i="2"/>
  <c r="Q574" i="2"/>
  <c r="P574" i="2"/>
  <c r="U573" i="2"/>
  <c r="T573" i="2"/>
  <c r="S573" i="2"/>
  <c r="R573" i="2"/>
  <c r="Q573" i="2"/>
  <c r="P573" i="2"/>
  <c r="U572" i="2"/>
  <c r="T572" i="2"/>
  <c r="S572" i="2"/>
  <c r="R572" i="2"/>
  <c r="Q572" i="2"/>
  <c r="P572" i="2"/>
  <c r="D572" i="2"/>
  <c r="U571" i="2"/>
  <c r="T571" i="2"/>
  <c r="S571" i="2"/>
  <c r="R571" i="2"/>
  <c r="Q571" i="2"/>
  <c r="P571" i="2"/>
  <c r="U570" i="2"/>
  <c r="T570" i="2"/>
  <c r="S570" i="2"/>
  <c r="R570" i="2"/>
  <c r="P570" i="2"/>
  <c r="U569" i="2"/>
  <c r="T569" i="2"/>
  <c r="S569" i="2"/>
  <c r="R569" i="2"/>
  <c r="Q569" i="2"/>
  <c r="P569" i="2"/>
  <c r="U567" i="2"/>
  <c r="T567" i="2"/>
  <c r="S567" i="2"/>
  <c r="R567" i="2"/>
  <c r="Q567" i="2"/>
  <c r="P567" i="2"/>
  <c r="D567" i="2"/>
  <c r="U566" i="2"/>
  <c r="T566" i="2"/>
  <c r="S566" i="2"/>
  <c r="R566" i="2"/>
  <c r="Q566" i="2"/>
  <c r="P566" i="2"/>
  <c r="U565" i="2"/>
  <c r="T565" i="2"/>
  <c r="S565" i="2"/>
  <c r="R565" i="2"/>
  <c r="P565" i="2"/>
  <c r="U564" i="2"/>
  <c r="T564" i="2"/>
  <c r="S564" i="2"/>
  <c r="R564" i="2"/>
  <c r="Q564" i="2"/>
  <c r="P564" i="2"/>
  <c r="U562" i="2"/>
  <c r="T562" i="2"/>
  <c r="S562" i="2"/>
  <c r="R562" i="2"/>
  <c r="Q562" i="2"/>
  <c r="P562" i="2"/>
  <c r="D562" i="2"/>
  <c r="U561" i="2"/>
  <c r="T561" i="2"/>
  <c r="S561" i="2"/>
  <c r="R561" i="2"/>
  <c r="Q561" i="2"/>
  <c r="P561" i="2"/>
  <c r="U560" i="2"/>
  <c r="T560" i="2"/>
  <c r="S560" i="2"/>
  <c r="R560" i="2"/>
  <c r="P560" i="2"/>
  <c r="I560" i="2"/>
  <c r="U559" i="2"/>
  <c r="T559" i="2"/>
  <c r="S559" i="2"/>
  <c r="R559" i="2"/>
  <c r="Q559" i="2"/>
  <c r="P559" i="2"/>
  <c r="U557" i="2"/>
  <c r="T557" i="2"/>
  <c r="S557" i="2"/>
  <c r="P557" i="2"/>
  <c r="M557" i="2"/>
  <c r="J557" i="2"/>
  <c r="U556" i="2"/>
  <c r="T556" i="2"/>
  <c r="S556" i="2"/>
  <c r="Q556" i="2"/>
  <c r="P556" i="2"/>
  <c r="M556" i="2"/>
  <c r="J556" i="2"/>
  <c r="N556" i="2" s="1"/>
  <c r="O556" i="2" s="1"/>
  <c r="R556" i="2" s="1"/>
  <c r="U555" i="2"/>
  <c r="T555" i="2"/>
  <c r="Q555" i="2"/>
  <c r="P555" i="2"/>
  <c r="M555" i="2"/>
  <c r="U554" i="2"/>
  <c r="T554" i="2"/>
  <c r="R554" i="2"/>
  <c r="Q554" i="2"/>
  <c r="P554" i="2"/>
  <c r="M554" i="2"/>
  <c r="J554" i="2"/>
  <c r="D554" i="2"/>
  <c r="U553" i="2"/>
  <c r="T553" i="2"/>
  <c r="S553" i="2"/>
  <c r="R553" i="2"/>
  <c r="Q553" i="2"/>
  <c r="P553" i="2"/>
  <c r="U552" i="2"/>
  <c r="T552" i="2"/>
  <c r="S552" i="2"/>
  <c r="R552" i="2"/>
  <c r="Q552" i="2"/>
  <c r="P552" i="2"/>
  <c r="E500" i="2"/>
  <c r="E495" i="2"/>
  <c r="M492" i="2"/>
  <c r="P492" i="2"/>
  <c r="S492" i="2"/>
  <c r="T492" i="2"/>
  <c r="U492" i="2"/>
  <c r="U511" i="2"/>
  <c r="T511" i="2"/>
  <c r="S511" i="2"/>
  <c r="R511" i="2"/>
  <c r="Q511" i="2"/>
  <c r="P511" i="2"/>
  <c r="U510" i="2"/>
  <c r="T510" i="2"/>
  <c r="S510" i="2"/>
  <c r="R510" i="2"/>
  <c r="P510" i="2"/>
  <c r="M510" i="2"/>
  <c r="D510" i="2"/>
  <c r="J510" i="2" s="1"/>
  <c r="N510" i="2" s="1"/>
  <c r="O510" i="2" s="1"/>
  <c r="Q510" i="2" s="1"/>
  <c r="U509" i="2"/>
  <c r="T509" i="2"/>
  <c r="S509" i="2"/>
  <c r="R509" i="2"/>
  <c r="Q509" i="2"/>
  <c r="P509" i="2"/>
  <c r="U508" i="2"/>
  <c r="T508" i="2"/>
  <c r="S508" i="2"/>
  <c r="R508" i="2"/>
  <c r="Q508" i="2"/>
  <c r="P508" i="2"/>
  <c r="U507" i="2"/>
  <c r="T507" i="2"/>
  <c r="S507" i="2"/>
  <c r="R507" i="2"/>
  <c r="Q507" i="2"/>
  <c r="P507" i="2"/>
  <c r="D507" i="2"/>
  <c r="U506" i="2"/>
  <c r="T506" i="2"/>
  <c r="S506" i="2"/>
  <c r="R506" i="2"/>
  <c r="Q506" i="2"/>
  <c r="P506" i="2"/>
  <c r="U505" i="2"/>
  <c r="T505" i="2"/>
  <c r="S505" i="2"/>
  <c r="R505" i="2"/>
  <c r="P505" i="2"/>
  <c r="U504" i="2"/>
  <c r="T504" i="2"/>
  <c r="S504" i="2"/>
  <c r="R504" i="2"/>
  <c r="Q504" i="2"/>
  <c r="P504" i="2"/>
  <c r="U502" i="2"/>
  <c r="T502" i="2"/>
  <c r="S502" i="2"/>
  <c r="R502" i="2"/>
  <c r="Q502" i="2"/>
  <c r="P502" i="2"/>
  <c r="D502" i="2"/>
  <c r="U501" i="2"/>
  <c r="T501" i="2"/>
  <c r="S501" i="2"/>
  <c r="R501" i="2"/>
  <c r="Q501" i="2"/>
  <c r="P501" i="2"/>
  <c r="U500" i="2"/>
  <c r="T500" i="2"/>
  <c r="S500" i="2"/>
  <c r="R500" i="2"/>
  <c r="P500" i="2"/>
  <c r="U499" i="2"/>
  <c r="T499" i="2"/>
  <c r="S499" i="2"/>
  <c r="R499" i="2"/>
  <c r="Q499" i="2"/>
  <c r="P499" i="2"/>
  <c r="U497" i="2"/>
  <c r="T497" i="2"/>
  <c r="S497" i="2"/>
  <c r="R497" i="2"/>
  <c r="Q497" i="2"/>
  <c r="P497" i="2"/>
  <c r="D497" i="2"/>
  <c r="U496" i="2"/>
  <c r="T496" i="2"/>
  <c r="S496" i="2"/>
  <c r="R496" i="2"/>
  <c r="Q496" i="2"/>
  <c r="P496" i="2"/>
  <c r="U495" i="2"/>
  <c r="T495" i="2"/>
  <c r="S495" i="2"/>
  <c r="R495" i="2"/>
  <c r="P495" i="2"/>
  <c r="I495" i="2"/>
  <c r="U494" i="2"/>
  <c r="T494" i="2"/>
  <c r="S494" i="2"/>
  <c r="R494" i="2"/>
  <c r="Q494" i="2"/>
  <c r="P494" i="2"/>
  <c r="U491" i="2"/>
  <c r="T491" i="2"/>
  <c r="S491" i="2"/>
  <c r="Q491" i="2"/>
  <c r="P491" i="2"/>
  <c r="M491" i="2"/>
  <c r="U490" i="2"/>
  <c r="T490" i="2"/>
  <c r="S490" i="2"/>
  <c r="Q490" i="2"/>
  <c r="P490" i="2"/>
  <c r="M490" i="2"/>
  <c r="U489" i="2"/>
  <c r="T489" i="2"/>
  <c r="S489" i="2"/>
  <c r="Q489" i="2"/>
  <c r="P489" i="2"/>
  <c r="M489" i="2"/>
  <c r="U488" i="2"/>
  <c r="T488" i="2"/>
  <c r="R488" i="2"/>
  <c r="Q488" i="2"/>
  <c r="P488" i="2"/>
  <c r="M488" i="2"/>
  <c r="U487" i="2"/>
  <c r="T487" i="2"/>
  <c r="R487" i="2"/>
  <c r="Q487" i="2"/>
  <c r="P487" i="2"/>
  <c r="M487" i="2"/>
  <c r="D487" i="2"/>
  <c r="J488" i="2" s="1"/>
  <c r="U486" i="2"/>
  <c r="T486" i="2"/>
  <c r="S486" i="2"/>
  <c r="R486" i="2"/>
  <c r="Q486" i="2"/>
  <c r="P486" i="2"/>
  <c r="U485" i="2"/>
  <c r="T485" i="2"/>
  <c r="S485" i="2"/>
  <c r="R485" i="2"/>
  <c r="Q485" i="2"/>
  <c r="P485" i="2"/>
  <c r="U484" i="2"/>
  <c r="T484" i="2"/>
  <c r="S484" i="2"/>
  <c r="R484" i="2"/>
  <c r="Q484" i="2"/>
  <c r="P484" i="2"/>
  <c r="U483" i="2"/>
  <c r="T483" i="2"/>
  <c r="S483" i="2"/>
  <c r="R483" i="2"/>
  <c r="P483" i="2"/>
  <c r="M483" i="2"/>
  <c r="D483" i="2"/>
  <c r="J483" i="2" s="1"/>
  <c r="N483" i="2" s="1"/>
  <c r="O483" i="2" s="1"/>
  <c r="Q483" i="2" s="1"/>
  <c r="U482" i="2"/>
  <c r="T482" i="2"/>
  <c r="S482" i="2"/>
  <c r="R482" i="2"/>
  <c r="Q482" i="2"/>
  <c r="P482" i="2"/>
  <c r="U481" i="2"/>
  <c r="T481" i="2"/>
  <c r="S481" i="2"/>
  <c r="R481" i="2"/>
  <c r="Q481" i="2"/>
  <c r="P481" i="2"/>
  <c r="E478" i="2"/>
  <c r="D480" i="2"/>
  <c r="P480" i="2"/>
  <c r="Q480" i="2"/>
  <c r="R480" i="2"/>
  <c r="S480" i="2"/>
  <c r="T480" i="2"/>
  <c r="U480" i="2"/>
  <c r="U479" i="2"/>
  <c r="T479" i="2"/>
  <c r="S479" i="2"/>
  <c r="R479" i="2"/>
  <c r="Q479" i="2"/>
  <c r="P479" i="2"/>
  <c r="U478" i="2"/>
  <c r="T478" i="2"/>
  <c r="S478" i="2"/>
  <c r="R478" i="2"/>
  <c r="P478" i="2"/>
  <c r="U477" i="2"/>
  <c r="T477" i="2"/>
  <c r="S477" i="2"/>
  <c r="R477" i="2"/>
  <c r="Q477" i="2"/>
  <c r="P477" i="2"/>
  <c r="E473" i="2"/>
  <c r="U475" i="2"/>
  <c r="T475" i="2"/>
  <c r="S475" i="2"/>
  <c r="R475" i="2"/>
  <c r="Q475" i="2"/>
  <c r="P475" i="2"/>
  <c r="D475" i="2"/>
  <c r="U474" i="2"/>
  <c r="T474" i="2"/>
  <c r="S474" i="2"/>
  <c r="R474" i="2"/>
  <c r="Q474" i="2"/>
  <c r="P474" i="2"/>
  <c r="U473" i="2"/>
  <c r="T473" i="2"/>
  <c r="S473" i="2"/>
  <c r="R473" i="2"/>
  <c r="P473" i="2"/>
  <c r="U472" i="2"/>
  <c r="T472" i="2"/>
  <c r="S472" i="2"/>
  <c r="R472" i="2"/>
  <c r="Q472" i="2"/>
  <c r="P472" i="2"/>
  <c r="E468" i="2"/>
  <c r="I468" i="2"/>
  <c r="U577" i="2"/>
  <c r="T577" i="2"/>
  <c r="S577" i="2"/>
  <c r="R577" i="2"/>
  <c r="Q577" i="2"/>
  <c r="P577" i="2"/>
  <c r="U470" i="2"/>
  <c r="T470" i="2"/>
  <c r="S470" i="2"/>
  <c r="R470" i="2"/>
  <c r="Q470" i="2"/>
  <c r="P470" i="2"/>
  <c r="D470" i="2"/>
  <c r="U469" i="2"/>
  <c r="T469" i="2"/>
  <c r="S469" i="2"/>
  <c r="R469" i="2"/>
  <c r="Q469" i="2"/>
  <c r="P469" i="2"/>
  <c r="U468" i="2"/>
  <c r="T468" i="2"/>
  <c r="S468" i="2"/>
  <c r="R468" i="2"/>
  <c r="P468" i="2"/>
  <c r="U467" i="2"/>
  <c r="T467" i="2"/>
  <c r="S467" i="2"/>
  <c r="R467" i="2"/>
  <c r="Q467" i="2"/>
  <c r="P467" i="2"/>
  <c r="U465" i="2"/>
  <c r="T465" i="2"/>
  <c r="Q465" i="2"/>
  <c r="P465" i="2"/>
  <c r="M465" i="2"/>
  <c r="U464" i="2"/>
  <c r="T464" i="2"/>
  <c r="Q464" i="2"/>
  <c r="P464" i="2"/>
  <c r="M464" i="2"/>
  <c r="U463" i="2"/>
  <c r="T463" i="2"/>
  <c r="Q463" i="2"/>
  <c r="P463" i="2"/>
  <c r="M463" i="2"/>
  <c r="U462" i="2"/>
  <c r="T462" i="2"/>
  <c r="R462" i="2"/>
  <c r="Q462" i="2"/>
  <c r="P462" i="2"/>
  <c r="M462" i="2"/>
  <c r="U461" i="2"/>
  <c r="T461" i="2"/>
  <c r="R461" i="2"/>
  <c r="Q461" i="2"/>
  <c r="P461" i="2"/>
  <c r="M461" i="2"/>
  <c r="D461" i="2"/>
  <c r="J461" i="2" s="1"/>
  <c r="U460" i="2"/>
  <c r="T460" i="2"/>
  <c r="S460" i="2"/>
  <c r="R460" i="2"/>
  <c r="Q460" i="2"/>
  <c r="P460" i="2"/>
  <c r="U459" i="2"/>
  <c r="T459" i="2"/>
  <c r="S459" i="2"/>
  <c r="R459" i="2"/>
  <c r="Q459" i="2"/>
  <c r="P459" i="2"/>
  <c r="U578" i="2"/>
  <c r="T578" i="2"/>
  <c r="S578" i="2"/>
  <c r="R578" i="2"/>
  <c r="Q578" i="2"/>
  <c r="P578" i="2"/>
  <c r="U458" i="2"/>
  <c r="T458" i="2"/>
  <c r="S458" i="2"/>
  <c r="R458" i="2"/>
  <c r="Q458" i="2"/>
  <c r="P458" i="2"/>
  <c r="U457" i="2"/>
  <c r="T457" i="2"/>
  <c r="S457" i="2"/>
  <c r="R457" i="2"/>
  <c r="P457" i="2"/>
  <c r="M457" i="2"/>
  <c r="D457" i="2"/>
  <c r="J457" i="2" s="1"/>
  <c r="U456" i="2"/>
  <c r="T456" i="2"/>
  <c r="S456" i="2"/>
  <c r="R456" i="2"/>
  <c r="Q456" i="2"/>
  <c r="P456" i="2"/>
  <c r="U455" i="2"/>
  <c r="T455" i="2"/>
  <c r="S455" i="2"/>
  <c r="R455" i="2"/>
  <c r="Q455" i="2"/>
  <c r="P455" i="2"/>
  <c r="U454" i="2"/>
  <c r="T454" i="2"/>
  <c r="S454" i="2"/>
  <c r="R454" i="2"/>
  <c r="Q454" i="2"/>
  <c r="P454" i="2"/>
  <c r="D454" i="2"/>
  <c r="U453" i="2"/>
  <c r="T453" i="2"/>
  <c r="S453" i="2"/>
  <c r="R453" i="2"/>
  <c r="Q453" i="2"/>
  <c r="P453" i="2"/>
  <c r="U452" i="2"/>
  <c r="T452" i="2"/>
  <c r="S452" i="2"/>
  <c r="R452" i="2"/>
  <c r="P452" i="2"/>
  <c r="E452" i="2"/>
  <c r="J452" i="2" s="1"/>
  <c r="N452" i="2" s="1"/>
  <c r="O452" i="2" s="1"/>
  <c r="Q452" i="2" s="1"/>
  <c r="U451" i="2"/>
  <c r="T451" i="2"/>
  <c r="S451" i="2"/>
  <c r="R451" i="2"/>
  <c r="Q451" i="2"/>
  <c r="P451" i="2"/>
  <c r="U450" i="2"/>
  <c r="T450" i="2"/>
  <c r="S450" i="2"/>
  <c r="R450" i="2"/>
  <c r="Q450" i="2"/>
  <c r="P450" i="2"/>
  <c r="U449" i="2"/>
  <c r="T449" i="2"/>
  <c r="S449" i="2"/>
  <c r="R449" i="2"/>
  <c r="Q449" i="2"/>
  <c r="P449" i="2"/>
  <c r="D449" i="2"/>
  <c r="U448" i="2"/>
  <c r="T448" i="2"/>
  <c r="S448" i="2"/>
  <c r="R448" i="2"/>
  <c r="Q448" i="2"/>
  <c r="P448" i="2"/>
  <c r="U447" i="2"/>
  <c r="T447" i="2"/>
  <c r="S447" i="2"/>
  <c r="R447" i="2"/>
  <c r="P447" i="2"/>
  <c r="E447" i="2"/>
  <c r="J447" i="2" s="1"/>
  <c r="N447" i="2" s="1"/>
  <c r="O447" i="2" s="1"/>
  <c r="Q447" i="2" s="1"/>
  <c r="U446" i="2"/>
  <c r="T446" i="2"/>
  <c r="S446" i="2"/>
  <c r="R446" i="2"/>
  <c r="Q446" i="2"/>
  <c r="P446" i="2"/>
  <c r="U445" i="2"/>
  <c r="T445" i="2"/>
  <c r="S445" i="2"/>
  <c r="R445" i="2"/>
  <c r="Q445" i="2"/>
  <c r="P445" i="2"/>
  <c r="U444" i="2"/>
  <c r="T444" i="2"/>
  <c r="S444" i="2"/>
  <c r="R444" i="2"/>
  <c r="Q444" i="2"/>
  <c r="P444" i="2"/>
  <c r="D444" i="2"/>
  <c r="U443" i="2"/>
  <c r="T443" i="2"/>
  <c r="S443" i="2"/>
  <c r="R443" i="2"/>
  <c r="Q443" i="2"/>
  <c r="P443" i="2"/>
  <c r="U442" i="2"/>
  <c r="T442" i="2"/>
  <c r="S442" i="2"/>
  <c r="R442" i="2"/>
  <c r="P442" i="2"/>
  <c r="E442" i="2"/>
  <c r="U441" i="2"/>
  <c r="T441" i="2"/>
  <c r="S441" i="2"/>
  <c r="R441" i="2"/>
  <c r="Q441" i="2"/>
  <c r="P441" i="2"/>
  <c r="U440" i="2"/>
  <c r="T440" i="2"/>
  <c r="S440" i="2"/>
  <c r="R440" i="2"/>
  <c r="Q440" i="2"/>
  <c r="P440" i="2"/>
  <c r="U439" i="2"/>
  <c r="T439" i="2"/>
  <c r="S439" i="2"/>
  <c r="R439" i="2"/>
  <c r="Q439" i="2"/>
  <c r="P439" i="2"/>
  <c r="D439" i="2"/>
  <c r="U438" i="2"/>
  <c r="T438" i="2"/>
  <c r="S438" i="2"/>
  <c r="R438" i="2"/>
  <c r="Q438" i="2"/>
  <c r="P438" i="2"/>
  <c r="U437" i="2"/>
  <c r="T437" i="2"/>
  <c r="S437" i="2"/>
  <c r="R437" i="2"/>
  <c r="P437" i="2"/>
  <c r="E437" i="2"/>
  <c r="J437" i="2" s="1"/>
  <c r="N437" i="2" s="1"/>
  <c r="O437" i="2" s="1"/>
  <c r="Q437" i="2" s="1"/>
  <c r="U436" i="2"/>
  <c r="T436" i="2"/>
  <c r="S436" i="2"/>
  <c r="R436" i="2"/>
  <c r="Q436" i="2"/>
  <c r="P436" i="2"/>
  <c r="U435" i="2"/>
  <c r="T435" i="2"/>
  <c r="S435" i="2"/>
  <c r="R435" i="2"/>
  <c r="Q435" i="2"/>
  <c r="P435" i="2"/>
  <c r="U434" i="2"/>
  <c r="T434" i="2"/>
  <c r="S434" i="2"/>
  <c r="R434" i="2"/>
  <c r="Q434" i="2"/>
  <c r="P434" i="2"/>
  <c r="D434" i="2"/>
  <c r="U433" i="2"/>
  <c r="T433" i="2"/>
  <c r="S433" i="2"/>
  <c r="R433" i="2"/>
  <c r="Q433" i="2"/>
  <c r="P433" i="2"/>
  <c r="U432" i="2"/>
  <c r="T432" i="2"/>
  <c r="S432" i="2"/>
  <c r="R432" i="2"/>
  <c r="P432" i="2"/>
  <c r="E432" i="2"/>
  <c r="J432" i="2" s="1"/>
  <c r="N432" i="2" s="1"/>
  <c r="O432" i="2" s="1"/>
  <c r="Q432" i="2" s="1"/>
  <c r="U431" i="2"/>
  <c r="T431" i="2"/>
  <c r="S431" i="2"/>
  <c r="R431" i="2"/>
  <c r="Q431" i="2"/>
  <c r="P431" i="2"/>
  <c r="U430" i="2"/>
  <c r="T430" i="2"/>
  <c r="S430" i="2"/>
  <c r="R430" i="2"/>
  <c r="Q430" i="2"/>
  <c r="P430" i="2"/>
  <c r="U429" i="2"/>
  <c r="T429" i="2"/>
  <c r="S429" i="2"/>
  <c r="R429" i="2"/>
  <c r="Q429" i="2"/>
  <c r="P429" i="2"/>
  <c r="D429" i="2"/>
  <c r="U428" i="2"/>
  <c r="T428" i="2"/>
  <c r="S428" i="2"/>
  <c r="R428" i="2"/>
  <c r="Q428" i="2"/>
  <c r="P428" i="2"/>
  <c r="U427" i="2"/>
  <c r="T427" i="2"/>
  <c r="S427" i="2"/>
  <c r="R427" i="2"/>
  <c r="P427" i="2"/>
  <c r="E427" i="2"/>
  <c r="J427" i="2" s="1"/>
  <c r="N427" i="2" s="1"/>
  <c r="O427" i="2" s="1"/>
  <c r="Q427" i="2" s="1"/>
  <c r="U426" i="2"/>
  <c r="T426" i="2"/>
  <c r="S426" i="2"/>
  <c r="R426" i="2"/>
  <c r="Q426" i="2"/>
  <c r="P426" i="2"/>
  <c r="U425" i="2"/>
  <c r="T425" i="2"/>
  <c r="S425" i="2"/>
  <c r="R425" i="2"/>
  <c r="Q425" i="2"/>
  <c r="P425" i="2"/>
  <c r="U424" i="2"/>
  <c r="T424" i="2"/>
  <c r="S424" i="2"/>
  <c r="R424" i="2"/>
  <c r="Q424" i="2"/>
  <c r="P424" i="2"/>
  <c r="U423" i="2"/>
  <c r="T423" i="2"/>
  <c r="S423" i="2"/>
  <c r="P423" i="2"/>
  <c r="M423" i="2"/>
  <c r="U422" i="2"/>
  <c r="T422" i="2"/>
  <c r="Q422" i="2"/>
  <c r="P422" i="2"/>
  <c r="M422" i="2"/>
  <c r="U421" i="2"/>
  <c r="T421" i="2"/>
  <c r="R421" i="2"/>
  <c r="Q421" i="2"/>
  <c r="P421" i="2"/>
  <c r="M421" i="2"/>
  <c r="D421" i="2"/>
  <c r="J422" i="2" s="1"/>
  <c r="U420" i="2"/>
  <c r="T420" i="2"/>
  <c r="S420" i="2"/>
  <c r="R420" i="2"/>
  <c r="Q420" i="2"/>
  <c r="P420" i="2"/>
  <c r="U419" i="2"/>
  <c r="T419" i="2"/>
  <c r="S419" i="2"/>
  <c r="R419" i="2"/>
  <c r="Q419" i="2"/>
  <c r="P419" i="2"/>
  <c r="I416" i="2"/>
  <c r="E416" i="2"/>
  <c r="E411" i="2"/>
  <c r="M408" i="2"/>
  <c r="P408" i="2"/>
  <c r="Q408" i="2"/>
  <c r="T408" i="2"/>
  <c r="U408" i="2"/>
  <c r="M407" i="2"/>
  <c r="P407" i="2"/>
  <c r="Q407" i="2"/>
  <c r="T407" i="2"/>
  <c r="U407" i="2"/>
  <c r="U418" i="2"/>
  <c r="T418" i="2"/>
  <c r="S418" i="2"/>
  <c r="R418" i="2"/>
  <c r="Q418" i="2"/>
  <c r="P418" i="2"/>
  <c r="D418" i="2"/>
  <c r="U417" i="2"/>
  <c r="T417" i="2"/>
  <c r="S417" i="2"/>
  <c r="R417" i="2"/>
  <c r="Q417" i="2"/>
  <c r="P417" i="2"/>
  <c r="U416" i="2"/>
  <c r="T416" i="2"/>
  <c r="S416" i="2"/>
  <c r="R416" i="2"/>
  <c r="P416" i="2"/>
  <c r="U415" i="2"/>
  <c r="T415" i="2"/>
  <c r="S415" i="2"/>
  <c r="R415" i="2"/>
  <c r="Q415" i="2"/>
  <c r="P415" i="2"/>
  <c r="U414" i="2"/>
  <c r="T414" i="2"/>
  <c r="S414" i="2"/>
  <c r="R414" i="2"/>
  <c r="Q414" i="2"/>
  <c r="P414" i="2"/>
  <c r="U413" i="2"/>
  <c r="T413" i="2"/>
  <c r="S413" i="2"/>
  <c r="R413" i="2"/>
  <c r="Q413" i="2"/>
  <c r="P413" i="2"/>
  <c r="D413" i="2"/>
  <c r="U412" i="2"/>
  <c r="T412" i="2"/>
  <c r="S412" i="2"/>
  <c r="R412" i="2"/>
  <c r="Q412" i="2"/>
  <c r="P412" i="2"/>
  <c r="U411" i="2"/>
  <c r="T411" i="2"/>
  <c r="S411" i="2"/>
  <c r="R411" i="2"/>
  <c r="P411" i="2"/>
  <c r="U410" i="2"/>
  <c r="T410" i="2"/>
  <c r="S410" i="2"/>
  <c r="R410" i="2"/>
  <c r="Q410" i="2"/>
  <c r="P410" i="2"/>
  <c r="U406" i="2"/>
  <c r="T406" i="2"/>
  <c r="Q406" i="2"/>
  <c r="P406" i="2"/>
  <c r="M406" i="2"/>
  <c r="U405" i="2"/>
  <c r="T405" i="2"/>
  <c r="Q405" i="2"/>
  <c r="P405" i="2"/>
  <c r="M405" i="2"/>
  <c r="U404" i="2"/>
  <c r="T404" i="2"/>
  <c r="Q404" i="2"/>
  <c r="P404" i="2"/>
  <c r="M404" i="2"/>
  <c r="U403" i="2"/>
  <c r="T403" i="2"/>
  <c r="R403" i="2"/>
  <c r="Q403" i="2"/>
  <c r="P403" i="2"/>
  <c r="M403" i="2"/>
  <c r="U402" i="2"/>
  <c r="T402" i="2"/>
  <c r="R402" i="2"/>
  <c r="Q402" i="2"/>
  <c r="P402" i="2"/>
  <c r="M402" i="2"/>
  <c r="U401" i="2"/>
  <c r="T401" i="2"/>
  <c r="R401" i="2"/>
  <c r="Q401" i="2"/>
  <c r="P401" i="2"/>
  <c r="M401" i="2"/>
  <c r="D401" i="2"/>
  <c r="J405" i="2" s="1"/>
  <c r="U400" i="2"/>
  <c r="T400" i="2"/>
  <c r="S400" i="2"/>
  <c r="R400" i="2"/>
  <c r="Q400" i="2"/>
  <c r="P400" i="2"/>
  <c r="U399" i="2"/>
  <c r="T399" i="2"/>
  <c r="S399" i="2"/>
  <c r="R399" i="2"/>
  <c r="Q399" i="2"/>
  <c r="P399" i="2"/>
  <c r="I396" i="2"/>
  <c r="E396" i="2"/>
  <c r="E391" i="2"/>
  <c r="U398" i="2"/>
  <c r="T398" i="2"/>
  <c r="S398" i="2"/>
  <c r="R398" i="2"/>
  <c r="Q398" i="2"/>
  <c r="P398" i="2"/>
  <c r="D398" i="2"/>
  <c r="U397" i="2"/>
  <c r="T397" i="2"/>
  <c r="S397" i="2"/>
  <c r="R397" i="2"/>
  <c r="Q397" i="2"/>
  <c r="P397" i="2"/>
  <c r="U396" i="2"/>
  <c r="T396" i="2"/>
  <c r="S396" i="2"/>
  <c r="R396" i="2"/>
  <c r="P396" i="2"/>
  <c r="U395" i="2"/>
  <c r="T395" i="2"/>
  <c r="S395" i="2"/>
  <c r="R395" i="2"/>
  <c r="Q395" i="2"/>
  <c r="P395" i="2"/>
  <c r="U394" i="2"/>
  <c r="T394" i="2"/>
  <c r="S394" i="2"/>
  <c r="R394" i="2"/>
  <c r="Q394" i="2"/>
  <c r="P394" i="2"/>
  <c r="U393" i="2"/>
  <c r="T393" i="2"/>
  <c r="S393" i="2"/>
  <c r="R393" i="2"/>
  <c r="Q393" i="2"/>
  <c r="P393" i="2"/>
  <c r="D393" i="2"/>
  <c r="U392" i="2"/>
  <c r="T392" i="2"/>
  <c r="S392" i="2"/>
  <c r="R392" i="2"/>
  <c r="Q392" i="2"/>
  <c r="P392" i="2"/>
  <c r="U391" i="2"/>
  <c r="T391" i="2"/>
  <c r="S391" i="2"/>
  <c r="R391" i="2"/>
  <c r="P391" i="2"/>
  <c r="U390" i="2"/>
  <c r="T390" i="2"/>
  <c r="S390" i="2"/>
  <c r="R390" i="2"/>
  <c r="Q390" i="2"/>
  <c r="P390" i="2"/>
  <c r="U388" i="2"/>
  <c r="T388" i="2"/>
  <c r="Q388" i="2"/>
  <c r="P388" i="2"/>
  <c r="M388" i="2"/>
  <c r="U387" i="2"/>
  <c r="T387" i="2"/>
  <c r="Q387" i="2"/>
  <c r="P387" i="2"/>
  <c r="M387" i="2"/>
  <c r="U386" i="2"/>
  <c r="T386" i="2"/>
  <c r="Q386" i="2"/>
  <c r="P386" i="2"/>
  <c r="M386" i="2"/>
  <c r="U385" i="2"/>
  <c r="R385" i="2"/>
  <c r="Q385" i="2"/>
  <c r="P385" i="2"/>
  <c r="M385" i="2"/>
  <c r="U384" i="2"/>
  <c r="R384" i="2"/>
  <c r="Q384" i="2"/>
  <c r="P384" i="2"/>
  <c r="M384" i="2"/>
  <c r="U383" i="2"/>
  <c r="R383" i="2"/>
  <c r="Q383" i="2"/>
  <c r="P383" i="2"/>
  <c r="M383" i="2"/>
  <c r="D383" i="2"/>
  <c r="J387" i="2" s="1"/>
  <c r="U382" i="2"/>
  <c r="T382" i="2"/>
  <c r="S382" i="2"/>
  <c r="R382" i="2"/>
  <c r="Q382" i="2"/>
  <c r="P382" i="2"/>
  <c r="U381" i="2"/>
  <c r="T381" i="2"/>
  <c r="S381" i="2"/>
  <c r="R381" i="2"/>
  <c r="Q381" i="2"/>
  <c r="P381" i="2"/>
  <c r="E374" i="2"/>
  <c r="U376" i="2"/>
  <c r="T376" i="2"/>
  <c r="S376" i="2"/>
  <c r="R376" i="2"/>
  <c r="Q376" i="2"/>
  <c r="P376" i="2"/>
  <c r="D376" i="2"/>
  <c r="U375" i="2"/>
  <c r="T375" i="2"/>
  <c r="S375" i="2"/>
  <c r="R375" i="2"/>
  <c r="Q375" i="2"/>
  <c r="P375" i="2"/>
  <c r="U374" i="2"/>
  <c r="T374" i="2"/>
  <c r="S374" i="2"/>
  <c r="R374" i="2"/>
  <c r="P374" i="2"/>
  <c r="I374" i="2"/>
  <c r="U373" i="2"/>
  <c r="T373" i="2"/>
  <c r="S373" i="2"/>
  <c r="R373" i="2"/>
  <c r="Q373" i="2"/>
  <c r="P373" i="2"/>
  <c r="U372" i="2"/>
  <c r="T372" i="2"/>
  <c r="S372" i="2"/>
  <c r="R372" i="2"/>
  <c r="Q372" i="2"/>
  <c r="P372" i="2"/>
  <c r="I369" i="2"/>
  <c r="E369" i="2"/>
  <c r="E364" i="2"/>
  <c r="M361" i="2"/>
  <c r="P361" i="2"/>
  <c r="Q361" i="2"/>
  <c r="T361" i="2"/>
  <c r="U361" i="2"/>
  <c r="U380" i="2"/>
  <c r="T380" i="2"/>
  <c r="S380" i="2"/>
  <c r="R380" i="2"/>
  <c r="Q380" i="2"/>
  <c r="P380" i="2"/>
  <c r="U379" i="2"/>
  <c r="T379" i="2"/>
  <c r="S379" i="2"/>
  <c r="R379" i="2"/>
  <c r="P379" i="2"/>
  <c r="M379" i="2"/>
  <c r="D379" i="2"/>
  <c r="J379" i="2" s="1"/>
  <c r="U378" i="2"/>
  <c r="T378" i="2"/>
  <c r="S378" i="2"/>
  <c r="R378" i="2"/>
  <c r="Q378" i="2"/>
  <c r="P378" i="2"/>
  <c r="U377" i="2"/>
  <c r="T377" i="2"/>
  <c r="S377" i="2"/>
  <c r="R377" i="2"/>
  <c r="Q377" i="2"/>
  <c r="P377" i="2"/>
  <c r="U371" i="2"/>
  <c r="T371" i="2"/>
  <c r="S371" i="2"/>
  <c r="R371" i="2"/>
  <c r="Q371" i="2"/>
  <c r="P371" i="2"/>
  <c r="D371" i="2"/>
  <c r="U370" i="2"/>
  <c r="T370" i="2"/>
  <c r="S370" i="2"/>
  <c r="R370" i="2"/>
  <c r="Q370" i="2"/>
  <c r="P370" i="2"/>
  <c r="U369" i="2"/>
  <c r="T369" i="2"/>
  <c r="S369" i="2"/>
  <c r="R369" i="2"/>
  <c r="P369" i="2"/>
  <c r="U368" i="2"/>
  <c r="T368" i="2"/>
  <c r="S368" i="2"/>
  <c r="R368" i="2"/>
  <c r="Q368" i="2"/>
  <c r="P368" i="2"/>
  <c r="U367" i="2"/>
  <c r="T367" i="2"/>
  <c r="S367" i="2"/>
  <c r="R367" i="2"/>
  <c r="Q367" i="2"/>
  <c r="P367" i="2"/>
  <c r="U366" i="2"/>
  <c r="T366" i="2"/>
  <c r="S366" i="2"/>
  <c r="R366" i="2"/>
  <c r="Q366" i="2"/>
  <c r="P366" i="2"/>
  <c r="D366" i="2"/>
  <c r="U365" i="2"/>
  <c r="T365" i="2"/>
  <c r="S365" i="2"/>
  <c r="R365" i="2"/>
  <c r="Q365" i="2"/>
  <c r="P365" i="2"/>
  <c r="U364" i="2"/>
  <c r="T364" i="2"/>
  <c r="S364" i="2"/>
  <c r="R364" i="2"/>
  <c r="P364" i="2"/>
  <c r="U363" i="2"/>
  <c r="T363" i="2"/>
  <c r="S363" i="2"/>
  <c r="R363" i="2"/>
  <c r="Q363" i="2"/>
  <c r="P363" i="2"/>
  <c r="U360" i="2"/>
  <c r="T360" i="2"/>
  <c r="Q360" i="2"/>
  <c r="P360" i="2"/>
  <c r="M360" i="2"/>
  <c r="U359" i="2"/>
  <c r="T359" i="2"/>
  <c r="Q359" i="2"/>
  <c r="P359" i="2"/>
  <c r="M359" i="2"/>
  <c r="U358" i="2"/>
  <c r="T358" i="2"/>
  <c r="Q358" i="2"/>
  <c r="P358" i="2"/>
  <c r="M358" i="2"/>
  <c r="U357" i="2"/>
  <c r="S357" i="2"/>
  <c r="Q357" i="2"/>
  <c r="P357" i="2"/>
  <c r="M357" i="2"/>
  <c r="U356" i="2"/>
  <c r="S356" i="2"/>
  <c r="Q356" i="2"/>
  <c r="P356" i="2"/>
  <c r="M356" i="2"/>
  <c r="U355" i="2"/>
  <c r="R355" i="2"/>
  <c r="Q355" i="2"/>
  <c r="P355" i="2"/>
  <c r="M355" i="2"/>
  <c r="D355" i="2"/>
  <c r="J360" i="2" s="1"/>
  <c r="U354" i="2"/>
  <c r="T354" i="2"/>
  <c r="S354" i="2"/>
  <c r="R354" i="2"/>
  <c r="Q354" i="2"/>
  <c r="P354" i="2"/>
  <c r="U353" i="2"/>
  <c r="T353" i="2"/>
  <c r="S353" i="2"/>
  <c r="R353" i="2"/>
  <c r="Q353" i="2"/>
  <c r="P353" i="2"/>
  <c r="K515" i="2" l="1"/>
  <c r="O515" i="2"/>
  <c r="R515" i="2" s="1"/>
  <c r="K514" i="2"/>
  <c r="O514" i="2"/>
  <c r="S514" i="2" s="1"/>
  <c r="J516" i="2"/>
  <c r="N516" i="2" s="1"/>
  <c r="N557" i="2"/>
  <c r="O557" i="2" s="1"/>
  <c r="N461" i="2"/>
  <c r="K461" i="2" s="1"/>
  <c r="J473" i="2"/>
  <c r="N473" i="2" s="1"/>
  <c r="O473" i="2" s="1"/>
  <c r="Q473" i="2" s="1"/>
  <c r="J489" i="2"/>
  <c r="J492" i="2"/>
  <c r="J560" i="2"/>
  <c r="N560" i="2" s="1"/>
  <c r="O560" i="2" s="1"/>
  <c r="Q560" i="2" s="1"/>
  <c r="N554" i="2"/>
  <c r="K554" i="2" s="1"/>
  <c r="J565" i="2"/>
  <c r="N565" i="2" s="1"/>
  <c r="O565" i="2" s="1"/>
  <c r="Q565" i="2" s="1"/>
  <c r="J490" i="2"/>
  <c r="N492" i="2"/>
  <c r="K492" i="2" s="1"/>
  <c r="N489" i="2"/>
  <c r="K489" i="2" s="1"/>
  <c r="J555" i="2"/>
  <c r="N555" i="2" s="1"/>
  <c r="K556" i="2"/>
  <c r="N488" i="2"/>
  <c r="O488" i="2" s="1"/>
  <c r="S488" i="2" s="1"/>
  <c r="J500" i="2"/>
  <c r="N500" i="2" s="1"/>
  <c r="O500" i="2" s="1"/>
  <c r="Q500" i="2" s="1"/>
  <c r="J495" i="2"/>
  <c r="N495" i="2" s="1"/>
  <c r="O495" i="2" s="1"/>
  <c r="Q495" i="2" s="1"/>
  <c r="O492" i="2"/>
  <c r="N490" i="2"/>
  <c r="O490" i="2" s="1"/>
  <c r="R490" i="2" s="1"/>
  <c r="O489" i="2"/>
  <c r="R489" i="2" s="1"/>
  <c r="J487" i="2"/>
  <c r="N487" i="2" s="1"/>
  <c r="J491" i="2"/>
  <c r="N491" i="2" s="1"/>
  <c r="J465" i="2"/>
  <c r="J463" i="2"/>
  <c r="J478" i="2"/>
  <c r="N478" i="2" s="1"/>
  <c r="O478" i="2" s="1"/>
  <c r="Q478" i="2" s="1"/>
  <c r="J464" i="2"/>
  <c r="N464" i="2" s="1"/>
  <c r="K464" i="2" s="1"/>
  <c r="N457" i="2"/>
  <c r="O457" i="2" s="1"/>
  <c r="Q457" i="2" s="1"/>
  <c r="N422" i="2"/>
  <c r="O422" i="2" s="1"/>
  <c r="N463" i="2"/>
  <c r="O463" i="2" s="1"/>
  <c r="S463" i="2" s="1"/>
  <c r="N465" i="2"/>
  <c r="K465" i="2" s="1"/>
  <c r="J416" i="2"/>
  <c r="N416" i="2" s="1"/>
  <c r="O416" i="2" s="1"/>
  <c r="Q416" i="2" s="1"/>
  <c r="J442" i="2"/>
  <c r="N442" i="2" s="1"/>
  <c r="O442" i="2" s="1"/>
  <c r="Q442" i="2" s="1"/>
  <c r="J421" i="2"/>
  <c r="N421" i="2" s="1"/>
  <c r="O421" i="2" s="1"/>
  <c r="S421" i="2" s="1"/>
  <c r="J468" i="2"/>
  <c r="N468" i="2" s="1"/>
  <c r="O468" i="2" s="1"/>
  <c r="Q468" i="2" s="1"/>
  <c r="O461" i="2"/>
  <c r="S461" i="2" s="1"/>
  <c r="J462" i="2"/>
  <c r="N462" i="2" s="1"/>
  <c r="J423" i="2"/>
  <c r="N423" i="2" s="1"/>
  <c r="J403" i="2"/>
  <c r="N403" i="2" s="1"/>
  <c r="O403" i="2" s="1"/>
  <c r="S403" i="2" s="1"/>
  <c r="J411" i="2"/>
  <c r="N411" i="2" s="1"/>
  <c r="O411" i="2" s="1"/>
  <c r="Q411" i="2" s="1"/>
  <c r="N379" i="2"/>
  <c r="O379" i="2" s="1"/>
  <c r="Q379" i="2" s="1"/>
  <c r="J408" i="2"/>
  <c r="N408" i="2" s="1"/>
  <c r="J404" i="2"/>
  <c r="N404" i="2" s="1"/>
  <c r="K404" i="2" s="1"/>
  <c r="J407" i="2"/>
  <c r="N407" i="2" s="1"/>
  <c r="N405" i="2"/>
  <c r="K405" i="2" s="1"/>
  <c r="N360" i="2"/>
  <c r="O360" i="2" s="1"/>
  <c r="N387" i="2"/>
  <c r="O387" i="2" s="1"/>
  <c r="J402" i="2"/>
  <c r="N402" i="2" s="1"/>
  <c r="J406" i="2"/>
  <c r="N406" i="2" s="1"/>
  <c r="J401" i="2"/>
  <c r="N401" i="2" s="1"/>
  <c r="J369" i="2"/>
  <c r="N369" i="2" s="1"/>
  <c r="O369" i="2" s="1"/>
  <c r="Q369" i="2" s="1"/>
  <c r="J391" i="2"/>
  <c r="N391" i="2" s="1"/>
  <c r="O391" i="2" s="1"/>
  <c r="Q391" i="2" s="1"/>
  <c r="J355" i="2"/>
  <c r="N355" i="2" s="1"/>
  <c r="K355" i="2" s="1"/>
  <c r="J359" i="2"/>
  <c r="N359" i="2" s="1"/>
  <c r="O359" i="2" s="1"/>
  <c r="J364" i="2"/>
  <c r="N364" i="2" s="1"/>
  <c r="O364" i="2" s="1"/>
  <c r="Q364" i="2" s="1"/>
  <c r="J396" i="2"/>
  <c r="N396" i="2" s="1"/>
  <c r="O396" i="2" s="1"/>
  <c r="Q396" i="2" s="1"/>
  <c r="J383" i="2"/>
  <c r="N383" i="2" s="1"/>
  <c r="O383" i="2" s="1"/>
  <c r="J361" i="2"/>
  <c r="N361" i="2" s="1"/>
  <c r="K361" i="2" s="1"/>
  <c r="J374" i="2"/>
  <c r="N374" i="2" s="1"/>
  <c r="O374" i="2" s="1"/>
  <c r="Q374" i="2" s="1"/>
  <c r="J386" i="2"/>
  <c r="N386" i="2" s="1"/>
  <c r="K386" i="2" s="1"/>
  <c r="J384" i="2"/>
  <c r="N384" i="2" s="1"/>
  <c r="J388" i="2"/>
  <c r="N388" i="2" s="1"/>
  <c r="J385" i="2"/>
  <c r="N385" i="2" s="1"/>
  <c r="J358" i="2"/>
  <c r="N358" i="2" s="1"/>
  <c r="J357" i="2"/>
  <c r="N357" i="2" s="1"/>
  <c r="J356" i="2"/>
  <c r="N356" i="2" s="1"/>
  <c r="U352" i="2"/>
  <c r="T352" i="2"/>
  <c r="S352" i="2"/>
  <c r="R352" i="2"/>
  <c r="Q352" i="2"/>
  <c r="P352" i="2"/>
  <c r="U351" i="2"/>
  <c r="T351" i="2"/>
  <c r="S351" i="2"/>
  <c r="R351" i="2"/>
  <c r="P351" i="2"/>
  <c r="M351" i="2"/>
  <c r="D351" i="2"/>
  <c r="J351" i="2" s="1"/>
  <c r="U350" i="2"/>
  <c r="T350" i="2"/>
  <c r="S350" i="2"/>
  <c r="R350" i="2"/>
  <c r="Q350" i="2"/>
  <c r="P350" i="2"/>
  <c r="U349" i="2"/>
  <c r="T349" i="2"/>
  <c r="S349" i="2"/>
  <c r="R349" i="2"/>
  <c r="Q349" i="2"/>
  <c r="P349" i="2"/>
  <c r="E346" i="2"/>
  <c r="E341" i="2"/>
  <c r="M338" i="2"/>
  <c r="P338" i="2"/>
  <c r="Q338" i="2"/>
  <c r="S338" i="2"/>
  <c r="T338" i="2"/>
  <c r="U338" i="2"/>
  <c r="K557" i="2" l="1"/>
  <c r="K516" i="2"/>
  <c r="O516" i="2"/>
  <c r="Q516" i="2" s="1"/>
  <c r="R557" i="2"/>
  <c r="Q557" i="2"/>
  <c r="O554" i="2"/>
  <c r="S554" i="2" s="1"/>
  <c r="K488" i="2"/>
  <c r="K490" i="2"/>
  <c r="K555" i="2"/>
  <c r="O555" i="2"/>
  <c r="R492" i="2"/>
  <c r="Q492" i="2"/>
  <c r="K487" i="2"/>
  <c r="O487" i="2"/>
  <c r="S487" i="2" s="1"/>
  <c r="K422" i="2"/>
  <c r="K491" i="2"/>
  <c r="O491" i="2"/>
  <c r="R491" i="2" s="1"/>
  <c r="O465" i="2"/>
  <c r="K421" i="2"/>
  <c r="O464" i="2"/>
  <c r="R463" i="2"/>
  <c r="K463" i="2"/>
  <c r="S464" i="2"/>
  <c r="R464" i="2"/>
  <c r="S465" i="2"/>
  <c r="R465" i="2"/>
  <c r="K407" i="2"/>
  <c r="O407" i="2"/>
  <c r="K462" i="2"/>
  <c r="O462" i="2"/>
  <c r="S462" i="2" s="1"/>
  <c r="O404" i="2"/>
  <c r="S404" i="2" s="1"/>
  <c r="R422" i="2"/>
  <c r="S422" i="2"/>
  <c r="K423" i="2"/>
  <c r="O423" i="2"/>
  <c r="O355" i="2"/>
  <c r="T355" i="2" s="1"/>
  <c r="K403" i="2"/>
  <c r="K383" i="2"/>
  <c r="O405" i="2"/>
  <c r="S405" i="2" s="1"/>
  <c r="K408" i="2"/>
  <c r="O408" i="2"/>
  <c r="S408" i="2" s="1"/>
  <c r="K387" i="2"/>
  <c r="K360" i="2"/>
  <c r="R404" i="2"/>
  <c r="R408" i="2"/>
  <c r="R405" i="2"/>
  <c r="R407" i="2"/>
  <c r="S407" i="2"/>
  <c r="K406" i="2"/>
  <c r="O406" i="2"/>
  <c r="K402" i="2"/>
  <c r="O402" i="2"/>
  <c r="S402" i="2" s="1"/>
  <c r="K401" i="2"/>
  <c r="O401" i="2"/>
  <c r="S401" i="2" s="1"/>
  <c r="S387" i="2"/>
  <c r="R387" i="2"/>
  <c r="O386" i="2"/>
  <c r="T383" i="2"/>
  <c r="S383" i="2"/>
  <c r="N351" i="2"/>
  <c r="O351" i="2" s="1"/>
  <c r="Q351" i="2" s="1"/>
  <c r="K384" i="2"/>
  <c r="O384" i="2"/>
  <c r="O385" i="2"/>
  <c r="K385" i="2"/>
  <c r="K388" i="2"/>
  <c r="O388" i="2"/>
  <c r="K359" i="2"/>
  <c r="R360" i="2"/>
  <c r="S360" i="2"/>
  <c r="R359" i="2"/>
  <c r="S359" i="2"/>
  <c r="O361" i="2"/>
  <c r="S355" i="2"/>
  <c r="O356" i="2"/>
  <c r="K356" i="2"/>
  <c r="K358" i="2"/>
  <c r="O358" i="2"/>
  <c r="K357" i="2"/>
  <c r="O357" i="2"/>
  <c r="U348" i="2"/>
  <c r="T348" i="2"/>
  <c r="S348" i="2"/>
  <c r="R348" i="2"/>
  <c r="Q348" i="2"/>
  <c r="P348" i="2"/>
  <c r="D348" i="2"/>
  <c r="U347" i="2"/>
  <c r="T347" i="2"/>
  <c r="S347" i="2"/>
  <c r="R347" i="2"/>
  <c r="Q347" i="2"/>
  <c r="P347" i="2"/>
  <c r="U346" i="2"/>
  <c r="T346" i="2"/>
  <c r="S346" i="2"/>
  <c r="R346" i="2"/>
  <c r="P346" i="2"/>
  <c r="J346" i="2"/>
  <c r="N346" i="2" s="1"/>
  <c r="I346" i="2"/>
  <c r="U345" i="2"/>
  <c r="T345" i="2"/>
  <c r="S345" i="2"/>
  <c r="R345" i="2"/>
  <c r="Q345" i="2"/>
  <c r="P345" i="2"/>
  <c r="U344" i="2"/>
  <c r="T344" i="2"/>
  <c r="S344" i="2"/>
  <c r="R344" i="2"/>
  <c r="Q344" i="2"/>
  <c r="P344" i="2"/>
  <c r="U343" i="2"/>
  <c r="T343" i="2"/>
  <c r="S343" i="2"/>
  <c r="R343" i="2"/>
  <c r="Q343" i="2"/>
  <c r="P343" i="2"/>
  <c r="D343" i="2"/>
  <c r="U342" i="2"/>
  <c r="T342" i="2"/>
  <c r="S342" i="2"/>
  <c r="R342" i="2"/>
  <c r="Q342" i="2"/>
  <c r="P342" i="2"/>
  <c r="U341" i="2"/>
  <c r="T341" i="2"/>
  <c r="S341" i="2"/>
  <c r="R341" i="2"/>
  <c r="P341" i="2"/>
  <c r="J341" i="2"/>
  <c r="N341" i="2" s="1"/>
  <c r="O341" i="2" s="1"/>
  <c r="Q341" i="2" s="1"/>
  <c r="U340" i="2"/>
  <c r="T340" i="2"/>
  <c r="S340" i="2"/>
  <c r="R340" i="2"/>
  <c r="Q340" i="2"/>
  <c r="P340" i="2"/>
  <c r="U337" i="2"/>
  <c r="T337" i="2"/>
  <c r="S337" i="2"/>
  <c r="Q337" i="2"/>
  <c r="P337" i="2"/>
  <c r="M337" i="2"/>
  <c r="U336" i="2"/>
  <c r="T336" i="2"/>
  <c r="S336" i="2"/>
  <c r="Q336" i="2"/>
  <c r="P336" i="2"/>
  <c r="M336" i="2"/>
  <c r="U335" i="2"/>
  <c r="T335" i="2"/>
  <c r="S335" i="2"/>
  <c r="Q335" i="2"/>
  <c r="P335" i="2"/>
  <c r="M335" i="2"/>
  <c r="U334" i="2"/>
  <c r="T334" i="2"/>
  <c r="S334" i="2"/>
  <c r="Q334" i="2"/>
  <c r="P334" i="2"/>
  <c r="M334" i="2"/>
  <c r="U333" i="2"/>
  <c r="T333" i="2"/>
  <c r="R333" i="2"/>
  <c r="Q333" i="2"/>
  <c r="P333" i="2"/>
  <c r="M333" i="2"/>
  <c r="D333" i="2"/>
  <c r="J335" i="2" s="1"/>
  <c r="U332" i="2"/>
  <c r="T332" i="2"/>
  <c r="S332" i="2"/>
  <c r="R332" i="2"/>
  <c r="Q332" i="2"/>
  <c r="P332" i="2"/>
  <c r="U331" i="2"/>
  <c r="T331" i="2"/>
  <c r="S331" i="2"/>
  <c r="R331" i="2"/>
  <c r="Q331" i="2"/>
  <c r="P331" i="2"/>
  <c r="I328" i="2"/>
  <c r="D330" i="2"/>
  <c r="D300" i="2"/>
  <c r="D295" i="2"/>
  <c r="D265" i="2"/>
  <c r="D260" i="2"/>
  <c r="D255" i="2"/>
  <c r="D245" i="2"/>
  <c r="E328" i="2"/>
  <c r="E323" i="2"/>
  <c r="M321" i="2"/>
  <c r="M320" i="2"/>
  <c r="U330" i="2"/>
  <c r="T330" i="2"/>
  <c r="S330" i="2"/>
  <c r="R330" i="2"/>
  <c r="Q330" i="2"/>
  <c r="P330" i="2"/>
  <c r="U329" i="2"/>
  <c r="T329" i="2"/>
  <c r="S329" i="2"/>
  <c r="R329" i="2"/>
  <c r="Q329" i="2"/>
  <c r="P329" i="2"/>
  <c r="U328" i="2"/>
  <c r="T328" i="2"/>
  <c r="S328" i="2"/>
  <c r="R328" i="2"/>
  <c r="P328" i="2"/>
  <c r="U327" i="2"/>
  <c r="T327" i="2"/>
  <c r="S327" i="2"/>
  <c r="R327" i="2"/>
  <c r="Q327" i="2"/>
  <c r="P327" i="2"/>
  <c r="U326" i="2"/>
  <c r="T326" i="2"/>
  <c r="S326" i="2"/>
  <c r="R326" i="2"/>
  <c r="Q326" i="2"/>
  <c r="P326" i="2"/>
  <c r="U325" i="2"/>
  <c r="T325" i="2"/>
  <c r="S325" i="2"/>
  <c r="R325" i="2"/>
  <c r="Q325" i="2"/>
  <c r="P325" i="2"/>
  <c r="D325" i="2"/>
  <c r="U324" i="2"/>
  <c r="T324" i="2"/>
  <c r="S324" i="2"/>
  <c r="R324" i="2"/>
  <c r="Q324" i="2"/>
  <c r="P324" i="2"/>
  <c r="U323" i="2"/>
  <c r="T323" i="2"/>
  <c r="S323" i="2"/>
  <c r="R323" i="2"/>
  <c r="P323" i="2"/>
  <c r="U322" i="2"/>
  <c r="T322" i="2"/>
  <c r="S322" i="2"/>
  <c r="R322" i="2"/>
  <c r="Q322" i="2"/>
  <c r="P322" i="2"/>
  <c r="U321" i="2"/>
  <c r="T321" i="2"/>
  <c r="S321" i="2"/>
  <c r="P321" i="2"/>
  <c r="U320" i="2"/>
  <c r="T320" i="2"/>
  <c r="S320" i="2"/>
  <c r="P320" i="2"/>
  <c r="U319" i="2"/>
  <c r="T319" i="2"/>
  <c r="S319" i="2"/>
  <c r="P319" i="2"/>
  <c r="M319" i="2"/>
  <c r="U318" i="2"/>
  <c r="T318" i="2"/>
  <c r="S318" i="2"/>
  <c r="Q318" i="2"/>
  <c r="P318" i="2"/>
  <c r="M318" i="2"/>
  <c r="U317" i="2"/>
  <c r="T317" i="2"/>
  <c r="R317" i="2"/>
  <c r="Q317" i="2"/>
  <c r="P317" i="2"/>
  <c r="M317" i="2"/>
  <c r="D317" i="2"/>
  <c r="J319" i="2" s="1"/>
  <c r="U316" i="2"/>
  <c r="T316" i="2"/>
  <c r="S316" i="2"/>
  <c r="R316" i="2"/>
  <c r="Q316" i="2"/>
  <c r="P316" i="2"/>
  <c r="U315" i="2"/>
  <c r="T315" i="2"/>
  <c r="S315" i="2"/>
  <c r="R315" i="2"/>
  <c r="Q315" i="2"/>
  <c r="P315" i="2"/>
  <c r="S555" i="2" l="1"/>
  <c r="R555" i="2"/>
  <c r="Q423" i="2"/>
  <c r="R423" i="2"/>
  <c r="R406" i="2"/>
  <c r="S406" i="2"/>
  <c r="S388" i="2"/>
  <c r="R388" i="2"/>
  <c r="S386" i="2"/>
  <c r="R386" i="2"/>
  <c r="T385" i="2"/>
  <c r="S385" i="2"/>
  <c r="T384" i="2"/>
  <c r="S384" i="2"/>
  <c r="J328" i="2"/>
  <c r="N328" i="2" s="1"/>
  <c r="O328" i="2" s="1"/>
  <c r="Q328" i="2" s="1"/>
  <c r="R361" i="2"/>
  <c r="S361" i="2"/>
  <c r="R358" i="2"/>
  <c r="S358" i="2"/>
  <c r="R357" i="2"/>
  <c r="T357" i="2"/>
  <c r="R356" i="2"/>
  <c r="T356" i="2"/>
  <c r="J323" i="2"/>
  <c r="N323" i="2" s="1"/>
  <c r="O323" i="2" s="1"/>
  <c r="Q323" i="2" s="1"/>
  <c r="J337" i="2"/>
  <c r="N337" i="2" s="1"/>
  <c r="K337" i="2" s="1"/>
  <c r="J338" i="2"/>
  <c r="N338" i="2" s="1"/>
  <c r="J336" i="2"/>
  <c r="N336" i="2" s="1"/>
  <c r="K336" i="2" s="1"/>
  <c r="N335" i="2"/>
  <c r="K335" i="2" s="1"/>
  <c r="N319" i="2"/>
  <c r="K319" i="2" s="1"/>
  <c r="O346" i="2"/>
  <c r="Q346" i="2" s="1"/>
  <c r="J334" i="2"/>
  <c r="N334" i="2" s="1"/>
  <c r="J333" i="2"/>
  <c r="N333" i="2" s="1"/>
  <c r="J320" i="2"/>
  <c r="N320" i="2" s="1"/>
  <c r="O320" i="2" s="1"/>
  <c r="J321" i="2"/>
  <c r="N321" i="2" s="1"/>
  <c r="J318" i="2"/>
  <c r="N318" i="2" s="1"/>
  <c r="J317" i="2"/>
  <c r="N317" i="2" s="1"/>
  <c r="E308" i="2"/>
  <c r="E303" i="2"/>
  <c r="E298" i="2"/>
  <c r="J298" i="2" s="1"/>
  <c r="N298" i="2" s="1"/>
  <c r="O298" i="2" s="1"/>
  <c r="Q298" i="2" s="1"/>
  <c r="E288" i="2"/>
  <c r="U314" i="2"/>
  <c r="T314" i="2"/>
  <c r="S314" i="2"/>
  <c r="R314" i="2"/>
  <c r="Q314" i="2"/>
  <c r="P314" i="2"/>
  <c r="U313" i="2"/>
  <c r="T313" i="2"/>
  <c r="S313" i="2"/>
  <c r="R313" i="2"/>
  <c r="P313" i="2"/>
  <c r="M313" i="2"/>
  <c r="D313" i="2"/>
  <c r="J313" i="2" s="1"/>
  <c r="U312" i="2"/>
  <c r="T312" i="2"/>
  <c r="S312" i="2"/>
  <c r="R312" i="2"/>
  <c r="Q312" i="2"/>
  <c r="P312" i="2"/>
  <c r="U311" i="2"/>
  <c r="T311" i="2"/>
  <c r="S311" i="2"/>
  <c r="R311" i="2"/>
  <c r="Q311" i="2"/>
  <c r="P311" i="2"/>
  <c r="U310" i="2"/>
  <c r="T310" i="2"/>
  <c r="S310" i="2"/>
  <c r="R310" i="2"/>
  <c r="Q310" i="2"/>
  <c r="P310" i="2"/>
  <c r="D310" i="2"/>
  <c r="U309" i="2"/>
  <c r="T309" i="2"/>
  <c r="S309" i="2"/>
  <c r="R309" i="2"/>
  <c r="Q309" i="2"/>
  <c r="P309" i="2"/>
  <c r="U308" i="2"/>
  <c r="T308" i="2"/>
  <c r="S308" i="2"/>
  <c r="R308" i="2"/>
  <c r="P308" i="2"/>
  <c r="U307" i="2"/>
  <c r="T307" i="2"/>
  <c r="S307" i="2"/>
  <c r="R307" i="2"/>
  <c r="Q307" i="2"/>
  <c r="P307" i="2"/>
  <c r="U306" i="2"/>
  <c r="T306" i="2"/>
  <c r="S306" i="2"/>
  <c r="R306" i="2"/>
  <c r="Q306" i="2"/>
  <c r="P306" i="2"/>
  <c r="U305" i="2"/>
  <c r="T305" i="2"/>
  <c r="S305" i="2"/>
  <c r="R305" i="2"/>
  <c r="Q305" i="2"/>
  <c r="P305" i="2"/>
  <c r="D305" i="2"/>
  <c r="U304" i="2"/>
  <c r="T304" i="2"/>
  <c r="S304" i="2"/>
  <c r="R304" i="2"/>
  <c r="Q304" i="2"/>
  <c r="P304" i="2"/>
  <c r="U303" i="2"/>
  <c r="T303" i="2"/>
  <c r="S303" i="2"/>
  <c r="R303" i="2"/>
  <c r="P303" i="2"/>
  <c r="J303" i="2"/>
  <c r="N303" i="2" s="1"/>
  <c r="O303" i="2" s="1"/>
  <c r="Q303" i="2" s="1"/>
  <c r="U302" i="2"/>
  <c r="T302" i="2"/>
  <c r="S302" i="2"/>
  <c r="R302" i="2"/>
  <c r="Q302" i="2"/>
  <c r="P302" i="2"/>
  <c r="U301" i="2"/>
  <c r="T301" i="2"/>
  <c r="S301" i="2"/>
  <c r="R301" i="2"/>
  <c r="Q301" i="2"/>
  <c r="P301" i="2"/>
  <c r="U300" i="2"/>
  <c r="T300" i="2"/>
  <c r="S300" i="2"/>
  <c r="R300" i="2"/>
  <c r="Q300" i="2"/>
  <c r="P300" i="2"/>
  <c r="U299" i="2"/>
  <c r="T299" i="2"/>
  <c r="S299" i="2"/>
  <c r="R299" i="2"/>
  <c r="Q299" i="2"/>
  <c r="P299" i="2"/>
  <c r="U298" i="2"/>
  <c r="T298" i="2"/>
  <c r="S298" i="2"/>
  <c r="R298" i="2"/>
  <c r="P298" i="2"/>
  <c r="U297" i="2"/>
  <c r="T297" i="2"/>
  <c r="S297" i="2"/>
  <c r="R297" i="2"/>
  <c r="Q297" i="2"/>
  <c r="P297" i="2"/>
  <c r="U296" i="2"/>
  <c r="T296" i="2"/>
  <c r="S296" i="2"/>
  <c r="R296" i="2"/>
  <c r="Q296" i="2"/>
  <c r="P296" i="2"/>
  <c r="U295" i="2"/>
  <c r="T295" i="2"/>
  <c r="S295" i="2"/>
  <c r="R295" i="2"/>
  <c r="Q295" i="2"/>
  <c r="P295" i="2"/>
  <c r="U294" i="2"/>
  <c r="T294" i="2"/>
  <c r="S294" i="2"/>
  <c r="R294" i="2"/>
  <c r="Q294" i="2"/>
  <c r="P294" i="2"/>
  <c r="U293" i="2"/>
  <c r="T293" i="2"/>
  <c r="S293" i="2"/>
  <c r="R293" i="2"/>
  <c r="P293" i="2"/>
  <c r="U292" i="2"/>
  <c r="T292" i="2"/>
  <c r="S292" i="2"/>
  <c r="R292" i="2"/>
  <c r="Q292" i="2"/>
  <c r="P292" i="2"/>
  <c r="U291" i="2"/>
  <c r="T291" i="2"/>
  <c r="S291" i="2"/>
  <c r="R291" i="2"/>
  <c r="Q291" i="2"/>
  <c r="P291" i="2"/>
  <c r="U290" i="2"/>
  <c r="T290" i="2"/>
  <c r="S290" i="2"/>
  <c r="R290" i="2"/>
  <c r="Q290" i="2"/>
  <c r="P290" i="2"/>
  <c r="D290" i="2"/>
  <c r="U289" i="2"/>
  <c r="T289" i="2"/>
  <c r="S289" i="2"/>
  <c r="R289" i="2"/>
  <c r="Q289" i="2"/>
  <c r="P289" i="2"/>
  <c r="U288" i="2"/>
  <c r="T288" i="2"/>
  <c r="S288" i="2"/>
  <c r="R288" i="2"/>
  <c r="P288" i="2"/>
  <c r="J288" i="2"/>
  <c r="N288" i="2" s="1"/>
  <c r="O288" i="2" s="1"/>
  <c r="Q288" i="2" s="1"/>
  <c r="U287" i="2"/>
  <c r="T287" i="2"/>
  <c r="S287" i="2"/>
  <c r="R287" i="2"/>
  <c r="Q287" i="2"/>
  <c r="P287" i="2"/>
  <c r="U286" i="2"/>
  <c r="T286" i="2"/>
  <c r="S286" i="2"/>
  <c r="R286" i="2"/>
  <c r="Q286" i="2"/>
  <c r="P286" i="2"/>
  <c r="U285" i="2"/>
  <c r="T285" i="2"/>
  <c r="S285" i="2"/>
  <c r="R285" i="2"/>
  <c r="Q285" i="2"/>
  <c r="P285" i="2"/>
  <c r="D285" i="2"/>
  <c r="U284" i="2"/>
  <c r="T284" i="2"/>
  <c r="S284" i="2"/>
  <c r="R284" i="2"/>
  <c r="Q284" i="2"/>
  <c r="P284" i="2"/>
  <c r="U283" i="2"/>
  <c r="T283" i="2"/>
  <c r="S283" i="2"/>
  <c r="R283" i="2"/>
  <c r="P283" i="2"/>
  <c r="E283" i="2"/>
  <c r="J283" i="2" s="1"/>
  <c r="N283" i="2" s="1"/>
  <c r="O283" i="2" s="1"/>
  <c r="Q283" i="2" s="1"/>
  <c r="U282" i="2"/>
  <c r="T282" i="2"/>
  <c r="S282" i="2"/>
  <c r="R282" i="2"/>
  <c r="Q282" i="2"/>
  <c r="P282" i="2"/>
  <c r="U281" i="2"/>
  <c r="T281" i="2"/>
  <c r="S281" i="2"/>
  <c r="R281" i="2"/>
  <c r="Q281" i="2"/>
  <c r="P281" i="2"/>
  <c r="U280" i="2"/>
  <c r="T280" i="2"/>
  <c r="S280" i="2"/>
  <c r="R280" i="2"/>
  <c r="Q280" i="2"/>
  <c r="P280" i="2"/>
  <c r="U279" i="2"/>
  <c r="T279" i="2"/>
  <c r="S279" i="2"/>
  <c r="R279" i="2"/>
  <c r="P279" i="2"/>
  <c r="M279" i="2"/>
  <c r="U278" i="2"/>
  <c r="T278" i="2"/>
  <c r="S278" i="2"/>
  <c r="Q278" i="2"/>
  <c r="P278" i="2"/>
  <c r="M278" i="2"/>
  <c r="U277" i="2"/>
  <c r="T277" i="2"/>
  <c r="R277" i="2"/>
  <c r="Q277" i="2"/>
  <c r="P277" i="2"/>
  <c r="M277" i="2"/>
  <c r="D277" i="2"/>
  <c r="J278" i="2" s="1"/>
  <c r="U276" i="2"/>
  <c r="T276" i="2"/>
  <c r="S276" i="2"/>
  <c r="R276" i="2"/>
  <c r="Q276" i="2"/>
  <c r="P276" i="2"/>
  <c r="U275" i="2"/>
  <c r="T275" i="2"/>
  <c r="S275" i="2"/>
  <c r="R275" i="2"/>
  <c r="Q275" i="2"/>
  <c r="P275" i="2"/>
  <c r="U274" i="2"/>
  <c r="T274" i="2"/>
  <c r="S274" i="2"/>
  <c r="R274" i="2"/>
  <c r="Q274" i="2"/>
  <c r="P274" i="2"/>
  <c r="U273" i="2"/>
  <c r="T273" i="2"/>
  <c r="S273" i="2"/>
  <c r="R273" i="2"/>
  <c r="P273" i="2"/>
  <c r="M273" i="2"/>
  <c r="D273" i="2"/>
  <c r="J273" i="2" s="1"/>
  <c r="U272" i="2"/>
  <c r="T272" i="2"/>
  <c r="S272" i="2"/>
  <c r="R272" i="2"/>
  <c r="Q272" i="2"/>
  <c r="P272" i="2"/>
  <c r="U271" i="2"/>
  <c r="T271" i="2"/>
  <c r="S271" i="2"/>
  <c r="R271" i="2"/>
  <c r="Q271" i="2"/>
  <c r="P271" i="2"/>
  <c r="U270" i="2"/>
  <c r="T270" i="2"/>
  <c r="S270" i="2"/>
  <c r="R270" i="2"/>
  <c r="Q270" i="2"/>
  <c r="P270" i="2"/>
  <c r="D270" i="2"/>
  <c r="U269" i="2"/>
  <c r="T269" i="2"/>
  <c r="S269" i="2"/>
  <c r="R269" i="2"/>
  <c r="Q269" i="2"/>
  <c r="P269" i="2"/>
  <c r="U268" i="2"/>
  <c r="T268" i="2"/>
  <c r="S268" i="2"/>
  <c r="R268" i="2"/>
  <c r="P268" i="2"/>
  <c r="U267" i="2"/>
  <c r="T267" i="2"/>
  <c r="S267" i="2"/>
  <c r="R267" i="2"/>
  <c r="Q267" i="2"/>
  <c r="P267" i="2"/>
  <c r="U266" i="2"/>
  <c r="T266" i="2"/>
  <c r="S266" i="2"/>
  <c r="R266" i="2"/>
  <c r="Q266" i="2"/>
  <c r="P266" i="2"/>
  <c r="U265" i="2"/>
  <c r="T265" i="2"/>
  <c r="S265" i="2"/>
  <c r="R265" i="2"/>
  <c r="Q265" i="2"/>
  <c r="P265" i="2"/>
  <c r="U264" i="2"/>
  <c r="T264" i="2"/>
  <c r="S264" i="2"/>
  <c r="R264" i="2"/>
  <c r="Q264" i="2"/>
  <c r="P264" i="2"/>
  <c r="U263" i="2"/>
  <c r="T263" i="2"/>
  <c r="S263" i="2"/>
  <c r="R263" i="2"/>
  <c r="P263" i="2"/>
  <c r="U262" i="2"/>
  <c r="T262" i="2"/>
  <c r="S262" i="2"/>
  <c r="R262" i="2"/>
  <c r="Q262" i="2"/>
  <c r="P262" i="2"/>
  <c r="U261" i="2"/>
  <c r="T261" i="2"/>
  <c r="S261" i="2"/>
  <c r="R261" i="2"/>
  <c r="Q261" i="2"/>
  <c r="P261" i="2"/>
  <c r="U579" i="2"/>
  <c r="T579" i="2"/>
  <c r="S579" i="2"/>
  <c r="R579" i="2"/>
  <c r="Q579" i="2"/>
  <c r="P579" i="2"/>
  <c r="U260" i="2"/>
  <c r="T260" i="2"/>
  <c r="S260" i="2"/>
  <c r="R260" i="2"/>
  <c r="Q260" i="2"/>
  <c r="P260" i="2"/>
  <c r="U259" i="2"/>
  <c r="T259" i="2"/>
  <c r="S259" i="2"/>
  <c r="R259" i="2"/>
  <c r="Q259" i="2"/>
  <c r="P259" i="2"/>
  <c r="U258" i="2"/>
  <c r="T258" i="2"/>
  <c r="S258" i="2"/>
  <c r="R258" i="2"/>
  <c r="P258" i="2"/>
  <c r="U257" i="2"/>
  <c r="T257" i="2"/>
  <c r="S257" i="2"/>
  <c r="R257" i="2"/>
  <c r="Q257" i="2"/>
  <c r="P257" i="2"/>
  <c r="U256" i="2"/>
  <c r="T256" i="2"/>
  <c r="S256" i="2"/>
  <c r="R256" i="2"/>
  <c r="Q256" i="2"/>
  <c r="P256" i="2"/>
  <c r="E248" i="2"/>
  <c r="E243" i="2"/>
  <c r="U250" i="2"/>
  <c r="T250" i="2"/>
  <c r="S250" i="2"/>
  <c r="R250" i="2"/>
  <c r="Q250" i="2"/>
  <c r="P250" i="2"/>
  <c r="D250" i="2"/>
  <c r="U249" i="2"/>
  <c r="T249" i="2"/>
  <c r="S249" i="2"/>
  <c r="R249" i="2"/>
  <c r="Q249" i="2"/>
  <c r="P249" i="2"/>
  <c r="U248" i="2"/>
  <c r="T248" i="2"/>
  <c r="S248" i="2"/>
  <c r="R248" i="2"/>
  <c r="P248" i="2"/>
  <c r="J248" i="2"/>
  <c r="N248" i="2" s="1"/>
  <c r="O248" i="2" s="1"/>
  <c r="Q248" i="2" s="1"/>
  <c r="U247" i="2"/>
  <c r="T247" i="2"/>
  <c r="S247" i="2"/>
  <c r="R247" i="2"/>
  <c r="Q247" i="2"/>
  <c r="P247" i="2"/>
  <c r="U246" i="2"/>
  <c r="T246" i="2"/>
  <c r="S246" i="2"/>
  <c r="R246" i="2"/>
  <c r="Q246" i="2"/>
  <c r="P246" i="2"/>
  <c r="J243" i="2"/>
  <c r="M89" i="2"/>
  <c r="M121" i="2"/>
  <c r="M152" i="2"/>
  <c r="M183" i="2"/>
  <c r="M239" i="2"/>
  <c r="M238" i="2"/>
  <c r="M237" i="2"/>
  <c r="M214" i="2"/>
  <c r="M213" i="2"/>
  <c r="M212" i="2"/>
  <c r="M211" i="2"/>
  <c r="M182" i="2"/>
  <c r="M181" i="2"/>
  <c r="M180" i="2"/>
  <c r="M179" i="2"/>
  <c r="M151" i="2"/>
  <c r="M150" i="2"/>
  <c r="M149" i="2"/>
  <c r="M148" i="2"/>
  <c r="M120" i="2"/>
  <c r="M119" i="2"/>
  <c r="M118" i="2"/>
  <c r="M117" i="2"/>
  <c r="M88" i="2"/>
  <c r="M87" i="2"/>
  <c r="M86" i="2"/>
  <c r="M85" i="2"/>
  <c r="M62" i="2"/>
  <c r="M61" i="2"/>
  <c r="M60" i="2"/>
  <c r="M59" i="2"/>
  <c r="M36" i="2"/>
  <c r="M35" i="2"/>
  <c r="M34" i="2"/>
  <c r="M33" i="2"/>
  <c r="D237" i="2"/>
  <c r="D211" i="2"/>
  <c r="D179" i="2"/>
  <c r="D148" i="2"/>
  <c r="D117" i="2"/>
  <c r="D85" i="2"/>
  <c r="D59" i="2"/>
  <c r="D33" i="2"/>
  <c r="D7" i="2"/>
  <c r="M8" i="2"/>
  <c r="M9" i="2"/>
  <c r="M10" i="2"/>
  <c r="M7" i="2"/>
  <c r="O336" i="2" l="1"/>
  <c r="R336" i="2" s="1"/>
  <c r="O319" i="2"/>
  <c r="R319" i="2" s="1"/>
  <c r="O335" i="2"/>
  <c r="R335" i="2" s="1"/>
  <c r="K338" i="2"/>
  <c r="O338" i="2"/>
  <c r="R338" i="2" s="1"/>
  <c r="N313" i="2"/>
  <c r="O313" i="2" s="1"/>
  <c r="Q313" i="2" s="1"/>
  <c r="O337" i="2"/>
  <c r="R337" i="2" s="1"/>
  <c r="N278" i="2"/>
  <c r="O278" i="2" s="1"/>
  <c r="R278" i="2" s="1"/>
  <c r="K334" i="2"/>
  <c r="O334" i="2"/>
  <c r="R334" i="2" s="1"/>
  <c r="K333" i="2"/>
  <c r="O333" i="2"/>
  <c r="S333" i="2" s="1"/>
  <c r="J277" i="2"/>
  <c r="N277" i="2" s="1"/>
  <c r="O277" i="2" s="1"/>
  <c r="S277" i="2" s="1"/>
  <c r="J308" i="2"/>
  <c r="N308" i="2" s="1"/>
  <c r="O308" i="2" s="1"/>
  <c r="Q308" i="2" s="1"/>
  <c r="J268" i="2"/>
  <c r="N268" i="2" s="1"/>
  <c r="O268" i="2" s="1"/>
  <c r="Q268" i="2" s="1"/>
  <c r="O321" i="2"/>
  <c r="R321" i="2" s="1"/>
  <c r="K321" i="2"/>
  <c r="J263" i="2"/>
  <c r="N263" i="2" s="1"/>
  <c r="O263" i="2" s="1"/>
  <c r="Q263" i="2" s="1"/>
  <c r="N273" i="2"/>
  <c r="O273" i="2" s="1"/>
  <c r="Q273" i="2" s="1"/>
  <c r="J293" i="2"/>
  <c r="N293" i="2" s="1"/>
  <c r="O293" i="2" s="1"/>
  <c r="Q293" i="2" s="1"/>
  <c r="K320" i="2"/>
  <c r="Q320" i="2"/>
  <c r="R320" i="2"/>
  <c r="Q319" i="2"/>
  <c r="Q321" i="2"/>
  <c r="K317" i="2"/>
  <c r="O317" i="2"/>
  <c r="S317" i="2" s="1"/>
  <c r="K318" i="2"/>
  <c r="O318" i="2"/>
  <c r="R318" i="2" s="1"/>
  <c r="K278" i="2"/>
  <c r="J279" i="2"/>
  <c r="N279" i="2" s="1"/>
  <c r="J258" i="2"/>
  <c r="N258" i="2" s="1"/>
  <c r="O258" i="2" s="1"/>
  <c r="Q258" i="2" s="1"/>
  <c r="U582" i="2"/>
  <c r="T582" i="2"/>
  <c r="S582" i="2"/>
  <c r="R582" i="2"/>
  <c r="Q582" i="2"/>
  <c r="P582" i="2"/>
  <c r="U581" i="2"/>
  <c r="T581" i="2"/>
  <c r="S581" i="2"/>
  <c r="R581" i="2"/>
  <c r="Q581" i="2"/>
  <c r="P581" i="2"/>
  <c r="U580" i="2"/>
  <c r="T580" i="2"/>
  <c r="S580" i="2"/>
  <c r="R580" i="2"/>
  <c r="Q580" i="2"/>
  <c r="P580" i="2"/>
  <c r="U255" i="2"/>
  <c r="T255" i="2"/>
  <c r="S255" i="2"/>
  <c r="R255" i="2"/>
  <c r="Q255" i="2"/>
  <c r="P255" i="2"/>
  <c r="U254" i="2"/>
  <c r="T254" i="2"/>
  <c r="S254" i="2"/>
  <c r="R254" i="2"/>
  <c r="Q254" i="2"/>
  <c r="P254" i="2"/>
  <c r="U253" i="2"/>
  <c r="T253" i="2"/>
  <c r="S253" i="2"/>
  <c r="R253" i="2"/>
  <c r="P253" i="2"/>
  <c r="J253" i="2"/>
  <c r="N253" i="2" s="1"/>
  <c r="U252" i="2"/>
  <c r="T252" i="2"/>
  <c r="S252" i="2"/>
  <c r="R252" i="2"/>
  <c r="Q252" i="2"/>
  <c r="P252" i="2"/>
  <c r="U251" i="2"/>
  <c r="T251" i="2"/>
  <c r="S251" i="2"/>
  <c r="R251" i="2"/>
  <c r="Q251" i="2"/>
  <c r="P251" i="2"/>
  <c r="U245" i="2"/>
  <c r="T245" i="2"/>
  <c r="S245" i="2"/>
  <c r="R245" i="2"/>
  <c r="Q245" i="2"/>
  <c r="P245" i="2"/>
  <c r="U244" i="2"/>
  <c r="T244" i="2"/>
  <c r="S244" i="2"/>
  <c r="R244" i="2"/>
  <c r="Q244" i="2"/>
  <c r="P244" i="2"/>
  <c r="U243" i="2"/>
  <c r="T243" i="2"/>
  <c r="S243" i="2"/>
  <c r="R243" i="2"/>
  <c r="P243" i="2"/>
  <c r="N243" i="2"/>
  <c r="O243" i="2" s="1"/>
  <c r="Q243" i="2" s="1"/>
  <c r="U242" i="2"/>
  <c r="T242" i="2"/>
  <c r="S242" i="2"/>
  <c r="R242" i="2"/>
  <c r="Q242" i="2"/>
  <c r="P242" i="2"/>
  <c r="U241" i="2"/>
  <c r="T241" i="2"/>
  <c r="S241" i="2"/>
  <c r="R241" i="2"/>
  <c r="Q241" i="2"/>
  <c r="P241" i="2"/>
  <c r="U240" i="2"/>
  <c r="T240" i="2"/>
  <c r="S240" i="2"/>
  <c r="R240" i="2"/>
  <c r="Q240" i="2"/>
  <c r="P240" i="2"/>
  <c r="U239" i="2"/>
  <c r="T239" i="2"/>
  <c r="S239" i="2"/>
  <c r="R239" i="2"/>
  <c r="P239" i="2"/>
  <c r="U238" i="2"/>
  <c r="T238" i="2"/>
  <c r="S238" i="2"/>
  <c r="Q238" i="2"/>
  <c r="P238" i="2"/>
  <c r="U237" i="2"/>
  <c r="T237" i="2"/>
  <c r="R237" i="2"/>
  <c r="Q237" i="2"/>
  <c r="P237" i="2"/>
  <c r="U236" i="2"/>
  <c r="T236" i="2"/>
  <c r="S236" i="2"/>
  <c r="R236" i="2"/>
  <c r="Q236" i="2"/>
  <c r="P236" i="2"/>
  <c r="U235" i="2"/>
  <c r="T235" i="2"/>
  <c r="S235" i="2"/>
  <c r="R235" i="2"/>
  <c r="Q235" i="2"/>
  <c r="P235" i="2"/>
  <c r="U234" i="2"/>
  <c r="T234" i="2"/>
  <c r="S234" i="2"/>
  <c r="R234" i="2"/>
  <c r="Q234" i="2"/>
  <c r="P234" i="2"/>
  <c r="D234" i="2"/>
  <c r="J231" i="2" s="1"/>
  <c r="U233" i="2"/>
  <c r="T233" i="2"/>
  <c r="S233" i="2"/>
  <c r="R233" i="2"/>
  <c r="Q233" i="2"/>
  <c r="P233" i="2"/>
  <c r="U232" i="2"/>
  <c r="T232" i="2"/>
  <c r="S232" i="2"/>
  <c r="R232" i="2"/>
  <c r="Q232" i="2"/>
  <c r="P232" i="2"/>
  <c r="U231" i="2"/>
  <c r="T231" i="2"/>
  <c r="S231" i="2"/>
  <c r="R231" i="2"/>
  <c r="P231" i="2"/>
  <c r="M231" i="2"/>
  <c r="U230" i="2"/>
  <c r="T230" i="2"/>
  <c r="S230" i="2"/>
  <c r="R230" i="2"/>
  <c r="Q230" i="2"/>
  <c r="P230" i="2"/>
  <c r="U229" i="2"/>
  <c r="T229" i="2"/>
  <c r="S229" i="2"/>
  <c r="R229" i="2"/>
  <c r="Q229" i="2"/>
  <c r="P229" i="2"/>
  <c r="D229" i="2"/>
  <c r="J226" i="2" s="1"/>
  <c r="U228" i="2"/>
  <c r="T228" i="2"/>
  <c r="S228" i="2"/>
  <c r="R228" i="2"/>
  <c r="Q228" i="2"/>
  <c r="P228" i="2"/>
  <c r="U227" i="2"/>
  <c r="T227" i="2"/>
  <c r="S227" i="2"/>
  <c r="R227" i="2"/>
  <c r="Q227" i="2"/>
  <c r="P227" i="2"/>
  <c r="U226" i="2"/>
  <c r="T226" i="2"/>
  <c r="S226" i="2"/>
  <c r="R226" i="2"/>
  <c r="P226" i="2"/>
  <c r="M226" i="2"/>
  <c r="U225" i="2"/>
  <c r="T225" i="2"/>
  <c r="S225" i="2"/>
  <c r="R225" i="2"/>
  <c r="Q225" i="2"/>
  <c r="P225" i="2"/>
  <c r="U224" i="2"/>
  <c r="T224" i="2"/>
  <c r="S224" i="2"/>
  <c r="R224" i="2"/>
  <c r="Q224" i="2"/>
  <c r="P224" i="2"/>
  <c r="D224" i="2"/>
  <c r="U223" i="2"/>
  <c r="T223" i="2"/>
  <c r="S223" i="2"/>
  <c r="R223" i="2"/>
  <c r="Q223" i="2"/>
  <c r="P223" i="2"/>
  <c r="U222" i="2"/>
  <c r="T222" i="2"/>
  <c r="S222" i="2"/>
  <c r="R222" i="2"/>
  <c r="P222" i="2"/>
  <c r="E222" i="2"/>
  <c r="J222" i="2" s="1"/>
  <c r="N222" i="2" s="1"/>
  <c r="O222" i="2" s="1"/>
  <c r="Q222" i="2" s="1"/>
  <c r="U221" i="2"/>
  <c r="T221" i="2"/>
  <c r="S221" i="2"/>
  <c r="R221" i="2"/>
  <c r="Q221" i="2"/>
  <c r="P221" i="2"/>
  <c r="U220" i="2"/>
  <c r="T220" i="2"/>
  <c r="S220" i="2"/>
  <c r="R220" i="2"/>
  <c r="Q220" i="2"/>
  <c r="P220" i="2"/>
  <c r="U219" i="2"/>
  <c r="T219" i="2"/>
  <c r="S219" i="2"/>
  <c r="R219" i="2"/>
  <c r="Q219" i="2"/>
  <c r="P219" i="2"/>
  <c r="D219" i="2"/>
  <c r="U218" i="2"/>
  <c r="T218" i="2"/>
  <c r="S218" i="2"/>
  <c r="R218" i="2"/>
  <c r="Q218" i="2"/>
  <c r="P218" i="2"/>
  <c r="U217" i="2"/>
  <c r="T217" i="2"/>
  <c r="S217" i="2"/>
  <c r="R217" i="2"/>
  <c r="P217" i="2"/>
  <c r="E217" i="2"/>
  <c r="J217" i="2" s="1"/>
  <c r="N217" i="2" s="1"/>
  <c r="U216" i="2"/>
  <c r="T216" i="2"/>
  <c r="S216" i="2"/>
  <c r="R216" i="2"/>
  <c r="Q216" i="2"/>
  <c r="P216" i="2"/>
  <c r="U215" i="2"/>
  <c r="T215" i="2"/>
  <c r="S215" i="2"/>
  <c r="R215" i="2"/>
  <c r="Q215" i="2"/>
  <c r="P215" i="2"/>
  <c r="U214" i="2"/>
  <c r="S214" i="2"/>
  <c r="R214" i="2"/>
  <c r="Q214" i="2"/>
  <c r="P214" i="2"/>
  <c r="J214" i="2"/>
  <c r="N214" i="2" s="1"/>
  <c r="U213" i="2"/>
  <c r="S213" i="2"/>
  <c r="R213" i="2"/>
  <c r="Q213" i="2"/>
  <c r="P213" i="2"/>
  <c r="J213" i="2"/>
  <c r="N213" i="2" s="1"/>
  <c r="U212" i="2"/>
  <c r="S212" i="2"/>
  <c r="R212" i="2"/>
  <c r="Q212" i="2"/>
  <c r="P212" i="2"/>
  <c r="J212" i="2"/>
  <c r="N212" i="2" s="1"/>
  <c r="U211" i="2"/>
  <c r="S211" i="2"/>
  <c r="R211" i="2"/>
  <c r="Q211" i="2"/>
  <c r="P211" i="2"/>
  <c r="J211" i="2"/>
  <c r="N211" i="2" s="1"/>
  <c r="U210" i="2"/>
  <c r="T210" i="2"/>
  <c r="S210" i="2"/>
  <c r="R210" i="2"/>
  <c r="Q210" i="2"/>
  <c r="P210" i="2"/>
  <c r="U209" i="2"/>
  <c r="T209" i="2"/>
  <c r="S209" i="2"/>
  <c r="R209" i="2"/>
  <c r="Q209" i="2"/>
  <c r="P209" i="2"/>
  <c r="U208" i="2"/>
  <c r="T208" i="2"/>
  <c r="S208" i="2"/>
  <c r="R208" i="2"/>
  <c r="Q208" i="2"/>
  <c r="P208" i="2"/>
  <c r="D208" i="2"/>
  <c r="J205" i="2" s="1"/>
  <c r="N205" i="2" s="1"/>
  <c r="U207" i="2"/>
  <c r="T207" i="2"/>
  <c r="S207" i="2"/>
  <c r="R207" i="2"/>
  <c r="Q207" i="2"/>
  <c r="P207" i="2"/>
  <c r="U206" i="2"/>
  <c r="T206" i="2"/>
  <c r="S206" i="2"/>
  <c r="R206" i="2"/>
  <c r="Q206" i="2"/>
  <c r="P206" i="2"/>
  <c r="U205" i="2"/>
  <c r="T205" i="2"/>
  <c r="S205" i="2"/>
  <c r="R205" i="2"/>
  <c r="P205" i="2"/>
  <c r="M205" i="2"/>
  <c r="U204" i="2"/>
  <c r="T204" i="2"/>
  <c r="S204" i="2"/>
  <c r="R204" i="2"/>
  <c r="Q204" i="2"/>
  <c r="P204" i="2"/>
  <c r="U203" i="2"/>
  <c r="T203" i="2"/>
  <c r="S203" i="2"/>
  <c r="R203" i="2"/>
  <c r="Q203" i="2"/>
  <c r="P203" i="2"/>
  <c r="D203" i="2"/>
  <c r="J200" i="2" s="1"/>
  <c r="U202" i="2"/>
  <c r="T202" i="2"/>
  <c r="S202" i="2"/>
  <c r="R202" i="2"/>
  <c r="Q202" i="2"/>
  <c r="P202" i="2"/>
  <c r="U201" i="2"/>
  <c r="T201" i="2"/>
  <c r="S201" i="2"/>
  <c r="R201" i="2"/>
  <c r="Q201" i="2"/>
  <c r="P201" i="2"/>
  <c r="U200" i="2"/>
  <c r="T200" i="2"/>
  <c r="S200" i="2"/>
  <c r="R200" i="2"/>
  <c r="P200" i="2"/>
  <c r="M200" i="2"/>
  <c r="U199" i="2"/>
  <c r="T199" i="2"/>
  <c r="S199" i="2"/>
  <c r="R199" i="2"/>
  <c r="Q199" i="2"/>
  <c r="P199" i="2"/>
  <c r="U198" i="2"/>
  <c r="T198" i="2"/>
  <c r="S198" i="2"/>
  <c r="R198" i="2"/>
  <c r="Q198" i="2"/>
  <c r="P198" i="2"/>
  <c r="D198" i="2"/>
  <c r="U197" i="2"/>
  <c r="T197" i="2"/>
  <c r="S197" i="2"/>
  <c r="R197" i="2"/>
  <c r="Q197" i="2"/>
  <c r="P197" i="2"/>
  <c r="U196" i="2"/>
  <c r="T196" i="2"/>
  <c r="S196" i="2"/>
  <c r="R196" i="2"/>
  <c r="P196" i="2"/>
  <c r="E196" i="2"/>
  <c r="U195" i="2"/>
  <c r="T195" i="2"/>
  <c r="S195" i="2"/>
  <c r="R195" i="2"/>
  <c r="Q195" i="2"/>
  <c r="P195" i="2"/>
  <c r="U194" i="2"/>
  <c r="T194" i="2"/>
  <c r="S194" i="2"/>
  <c r="R194" i="2"/>
  <c r="Q194" i="2"/>
  <c r="P194" i="2"/>
  <c r="U193" i="2"/>
  <c r="T193" i="2"/>
  <c r="S193" i="2"/>
  <c r="R193" i="2"/>
  <c r="Q193" i="2"/>
  <c r="P193" i="2"/>
  <c r="D193" i="2"/>
  <c r="U192" i="2"/>
  <c r="T192" i="2"/>
  <c r="S192" i="2"/>
  <c r="R192" i="2"/>
  <c r="Q192" i="2"/>
  <c r="P192" i="2"/>
  <c r="U191" i="2"/>
  <c r="T191" i="2"/>
  <c r="S191" i="2"/>
  <c r="R191" i="2"/>
  <c r="P191" i="2"/>
  <c r="E191" i="2"/>
  <c r="U190" i="2"/>
  <c r="T190" i="2"/>
  <c r="S190" i="2"/>
  <c r="R190" i="2"/>
  <c r="Q190" i="2"/>
  <c r="P190" i="2"/>
  <c r="U189" i="2"/>
  <c r="T189" i="2"/>
  <c r="S189" i="2"/>
  <c r="R189" i="2"/>
  <c r="Q189" i="2"/>
  <c r="P189" i="2"/>
  <c r="U188" i="2"/>
  <c r="T188" i="2"/>
  <c r="S188" i="2"/>
  <c r="R188" i="2"/>
  <c r="Q188" i="2"/>
  <c r="P188" i="2"/>
  <c r="D188" i="2"/>
  <c r="U187" i="2"/>
  <c r="T187" i="2"/>
  <c r="S187" i="2"/>
  <c r="R187" i="2"/>
  <c r="Q187" i="2"/>
  <c r="P187" i="2"/>
  <c r="U186" i="2"/>
  <c r="T186" i="2"/>
  <c r="S186" i="2"/>
  <c r="R186" i="2"/>
  <c r="P186" i="2"/>
  <c r="E186" i="2"/>
  <c r="U185" i="2"/>
  <c r="T185" i="2"/>
  <c r="S185" i="2"/>
  <c r="R185" i="2"/>
  <c r="Q185" i="2"/>
  <c r="P185" i="2"/>
  <c r="U184" i="2"/>
  <c r="T184" i="2"/>
  <c r="S184" i="2"/>
  <c r="R184" i="2"/>
  <c r="Q184" i="2"/>
  <c r="P184" i="2"/>
  <c r="U183" i="2"/>
  <c r="T183" i="2"/>
  <c r="S183" i="2"/>
  <c r="Q183" i="2"/>
  <c r="P183" i="2"/>
  <c r="U182" i="2"/>
  <c r="T182" i="2"/>
  <c r="S182" i="2"/>
  <c r="Q182" i="2"/>
  <c r="P182" i="2"/>
  <c r="U181" i="2"/>
  <c r="T181" i="2"/>
  <c r="S181" i="2"/>
  <c r="Q181" i="2"/>
  <c r="P181" i="2"/>
  <c r="U180" i="2"/>
  <c r="T180" i="2"/>
  <c r="S180" i="2"/>
  <c r="Q180" i="2"/>
  <c r="P180" i="2"/>
  <c r="U179" i="2"/>
  <c r="T179" i="2"/>
  <c r="R179" i="2"/>
  <c r="Q179" i="2"/>
  <c r="P179" i="2"/>
  <c r="U178" i="2"/>
  <c r="T178" i="2"/>
  <c r="S178" i="2"/>
  <c r="R178" i="2"/>
  <c r="Q178" i="2"/>
  <c r="P178" i="2"/>
  <c r="U177" i="2"/>
  <c r="T177" i="2"/>
  <c r="S177" i="2"/>
  <c r="R177" i="2"/>
  <c r="Q177" i="2"/>
  <c r="P177" i="2"/>
  <c r="U176" i="2"/>
  <c r="T176" i="2"/>
  <c r="S176" i="2"/>
  <c r="R176" i="2"/>
  <c r="Q176" i="2"/>
  <c r="P176" i="2"/>
  <c r="U175" i="2"/>
  <c r="T175" i="2"/>
  <c r="S175" i="2"/>
  <c r="R175" i="2"/>
  <c r="P175" i="2"/>
  <c r="M175" i="2"/>
  <c r="D175" i="2"/>
  <c r="J175" i="2" s="1"/>
  <c r="U174" i="2"/>
  <c r="T174" i="2"/>
  <c r="S174" i="2"/>
  <c r="R174" i="2"/>
  <c r="Q174" i="2"/>
  <c r="P174" i="2"/>
  <c r="U173" i="2"/>
  <c r="T173" i="2"/>
  <c r="S173" i="2"/>
  <c r="R173" i="2"/>
  <c r="Q173" i="2"/>
  <c r="P173" i="2"/>
  <c r="U172" i="2"/>
  <c r="T172" i="2"/>
  <c r="S172" i="2"/>
  <c r="R172" i="2"/>
  <c r="Q172" i="2"/>
  <c r="P172" i="2"/>
  <c r="D172" i="2"/>
  <c r="J169" i="2" s="1"/>
  <c r="U171" i="2"/>
  <c r="T171" i="2"/>
  <c r="S171" i="2"/>
  <c r="R171" i="2"/>
  <c r="Q171" i="2"/>
  <c r="P171" i="2"/>
  <c r="U170" i="2"/>
  <c r="T170" i="2"/>
  <c r="S170" i="2"/>
  <c r="R170" i="2"/>
  <c r="Q170" i="2"/>
  <c r="P170" i="2"/>
  <c r="U169" i="2"/>
  <c r="T169" i="2"/>
  <c r="S169" i="2"/>
  <c r="R169" i="2"/>
  <c r="P169" i="2"/>
  <c r="M169" i="2"/>
  <c r="U168" i="2"/>
  <c r="T168" i="2"/>
  <c r="S168" i="2"/>
  <c r="R168" i="2"/>
  <c r="Q168" i="2"/>
  <c r="P168" i="2"/>
  <c r="U167" i="2"/>
  <c r="T167" i="2"/>
  <c r="S167" i="2"/>
  <c r="R167" i="2"/>
  <c r="Q167" i="2"/>
  <c r="P167" i="2"/>
  <c r="D167" i="2"/>
  <c r="J164" i="2" s="1"/>
  <c r="U166" i="2"/>
  <c r="T166" i="2"/>
  <c r="S166" i="2"/>
  <c r="R166" i="2"/>
  <c r="Q166" i="2"/>
  <c r="P166" i="2"/>
  <c r="U165" i="2"/>
  <c r="T165" i="2"/>
  <c r="S165" i="2"/>
  <c r="R165" i="2"/>
  <c r="Q165" i="2"/>
  <c r="P165" i="2"/>
  <c r="U164" i="2"/>
  <c r="T164" i="2"/>
  <c r="S164" i="2"/>
  <c r="R164" i="2"/>
  <c r="P164" i="2"/>
  <c r="M164" i="2"/>
  <c r="U163" i="2"/>
  <c r="T163" i="2"/>
  <c r="S163" i="2"/>
  <c r="R163" i="2"/>
  <c r="Q163" i="2"/>
  <c r="P163" i="2"/>
  <c r="U162" i="2"/>
  <c r="T162" i="2"/>
  <c r="S162" i="2"/>
  <c r="R162" i="2"/>
  <c r="Q162" i="2"/>
  <c r="P162" i="2"/>
  <c r="D162" i="2"/>
  <c r="U161" i="2"/>
  <c r="T161" i="2"/>
  <c r="S161" i="2"/>
  <c r="R161" i="2"/>
  <c r="Q161" i="2"/>
  <c r="P161" i="2"/>
  <c r="U160" i="2"/>
  <c r="T160" i="2"/>
  <c r="S160" i="2"/>
  <c r="R160" i="2"/>
  <c r="P160" i="2"/>
  <c r="E160" i="2"/>
  <c r="J160" i="2" s="1"/>
  <c r="N160" i="2" s="1"/>
  <c r="U159" i="2"/>
  <c r="T159" i="2"/>
  <c r="S159" i="2"/>
  <c r="R159" i="2"/>
  <c r="Q159" i="2"/>
  <c r="P159" i="2"/>
  <c r="U158" i="2"/>
  <c r="T158" i="2"/>
  <c r="S158" i="2"/>
  <c r="R158" i="2"/>
  <c r="Q158" i="2"/>
  <c r="P158" i="2"/>
  <c r="U157" i="2"/>
  <c r="T157" i="2"/>
  <c r="S157" i="2"/>
  <c r="R157" i="2"/>
  <c r="Q157" i="2"/>
  <c r="P157" i="2"/>
  <c r="D157" i="2"/>
  <c r="U156" i="2"/>
  <c r="T156" i="2"/>
  <c r="S156" i="2"/>
  <c r="R156" i="2"/>
  <c r="Q156" i="2"/>
  <c r="P156" i="2"/>
  <c r="U155" i="2"/>
  <c r="T155" i="2"/>
  <c r="S155" i="2"/>
  <c r="R155" i="2"/>
  <c r="P155" i="2"/>
  <c r="E155" i="2"/>
  <c r="J155" i="2" s="1"/>
  <c r="N155" i="2" s="1"/>
  <c r="U154" i="2"/>
  <c r="T154" i="2"/>
  <c r="S154" i="2"/>
  <c r="R154" i="2"/>
  <c r="Q154" i="2"/>
  <c r="P154" i="2"/>
  <c r="U153" i="2"/>
  <c r="T153" i="2"/>
  <c r="S153" i="2"/>
  <c r="R153" i="2"/>
  <c r="Q153" i="2"/>
  <c r="P153" i="2"/>
  <c r="U152" i="2"/>
  <c r="T152" i="2"/>
  <c r="S152" i="2"/>
  <c r="Q152" i="2"/>
  <c r="P152" i="2"/>
  <c r="J152" i="2"/>
  <c r="N152" i="2" s="1"/>
  <c r="U151" i="2"/>
  <c r="T151" i="2"/>
  <c r="S151" i="2"/>
  <c r="Q151" i="2"/>
  <c r="P151" i="2"/>
  <c r="J151" i="2"/>
  <c r="N151" i="2" s="1"/>
  <c r="U150" i="2"/>
  <c r="T150" i="2"/>
  <c r="S150" i="2"/>
  <c r="Q150" i="2"/>
  <c r="P150" i="2"/>
  <c r="J150" i="2"/>
  <c r="N150" i="2" s="1"/>
  <c r="U149" i="2"/>
  <c r="T149" i="2"/>
  <c r="S149" i="2"/>
  <c r="Q149" i="2"/>
  <c r="P149" i="2"/>
  <c r="J149" i="2"/>
  <c r="N149" i="2" s="1"/>
  <c r="U148" i="2"/>
  <c r="T148" i="2"/>
  <c r="R148" i="2"/>
  <c r="Q148" i="2"/>
  <c r="P148" i="2"/>
  <c r="J148" i="2"/>
  <c r="N148" i="2" s="1"/>
  <c r="U147" i="2"/>
  <c r="T147" i="2"/>
  <c r="S147" i="2"/>
  <c r="R147" i="2"/>
  <c r="Q147" i="2"/>
  <c r="P147" i="2"/>
  <c r="U146" i="2"/>
  <c r="T146" i="2"/>
  <c r="S146" i="2"/>
  <c r="R146" i="2"/>
  <c r="Q146" i="2"/>
  <c r="P146" i="2"/>
  <c r="U145" i="2"/>
  <c r="T145" i="2"/>
  <c r="S145" i="2"/>
  <c r="R145" i="2"/>
  <c r="Q145" i="2"/>
  <c r="P145" i="2"/>
  <c r="U144" i="2"/>
  <c r="T144" i="2"/>
  <c r="S144" i="2"/>
  <c r="R144" i="2"/>
  <c r="P144" i="2"/>
  <c r="M144" i="2"/>
  <c r="D144" i="2"/>
  <c r="J144" i="2" s="1"/>
  <c r="U143" i="2"/>
  <c r="T143" i="2"/>
  <c r="S143" i="2"/>
  <c r="R143" i="2"/>
  <c r="Q143" i="2"/>
  <c r="P143" i="2"/>
  <c r="U142" i="2"/>
  <c r="T142" i="2"/>
  <c r="S142" i="2"/>
  <c r="R142" i="2"/>
  <c r="Q142" i="2"/>
  <c r="P142" i="2"/>
  <c r="U141" i="2"/>
  <c r="T141" i="2"/>
  <c r="S141" i="2"/>
  <c r="R141" i="2"/>
  <c r="Q141" i="2"/>
  <c r="P141" i="2"/>
  <c r="D141" i="2"/>
  <c r="J138" i="2" s="1"/>
  <c r="N138" i="2" s="1"/>
  <c r="U140" i="2"/>
  <c r="T140" i="2"/>
  <c r="S140" i="2"/>
  <c r="R140" i="2"/>
  <c r="Q140" i="2"/>
  <c r="P140" i="2"/>
  <c r="U139" i="2"/>
  <c r="T139" i="2"/>
  <c r="S139" i="2"/>
  <c r="R139" i="2"/>
  <c r="Q139" i="2"/>
  <c r="P139" i="2"/>
  <c r="U138" i="2"/>
  <c r="T138" i="2"/>
  <c r="S138" i="2"/>
  <c r="R138" i="2"/>
  <c r="P138" i="2"/>
  <c r="M138" i="2"/>
  <c r="U137" i="2"/>
  <c r="T137" i="2"/>
  <c r="S137" i="2"/>
  <c r="R137" i="2"/>
  <c r="Q137" i="2"/>
  <c r="P137" i="2"/>
  <c r="U136" i="2"/>
  <c r="T136" i="2"/>
  <c r="S136" i="2"/>
  <c r="R136" i="2"/>
  <c r="Q136" i="2"/>
  <c r="P136" i="2"/>
  <c r="D136" i="2"/>
  <c r="J133" i="2" s="1"/>
  <c r="U135" i="2"/>
  <c r="T135" i="2"/>
  <c r="S135" i="2"/>
  <c r="R135" i="2"/>
  <c r="Q135" i="2"/>
  <c r="P135" i="2"/>
  <c r="U134" i="2"/>
  <c r="T134" i="2"/>
  <c r="S134" i="2"/>
  <c r="R134" i="2"/>
  <c r="Q134" i="2"/>
  <c r="P134" i="2"/>
  <c r="U133" i="2"/>
  <c r="T133" i="2"/>
  <c r="S133" i="2"/>
  <c r="R133" i="2"/>
  <c r="P133" i="2"/>
  <c r="M133" i="2"/>
  <c r="U132" i="2"/>
  <c r="T132" i="2"/>
  <c r="S132" i="2"/>
  <c r="R132" i="2"/>
  <c r="Q132" i="2"/>
  <c r="P132" i="2"/>
  <c r="U131" i="2"/>
  <c r="T131" i="2"/>
  <c r="S131" i="2"/>
  <c r="R131" i="2"/>
  <c r="Q131" i="2"/>
  <c r="P131" i="2"/>
  <c r="D131" i="2"/>
  <c r="U130" i="2"/>
  <c r="T130" i="2"/>
  <c r="S130" i="2"/>
  <c r="R130" i="2"/>
  <c r="Q130" i="2"/>
  <c r="P130" i="2"/>
  <c r="U129" i="2"/>
  <c r="T129" i="2"/>
  <c r="S129" i="2"/>
  <c r="R129" i="2"/>
  <c r="P129" i="2"/>
  <c r="E129" i="2"/>
  <c r="U128" i="2"/>
  <c r="T128" i="2"/>
  <c r="S128" i="2"/>
  <c r="R128" i="2"/>
  <c r="Q128" i="2"/>
  <c r="P128" i="2"/>
  <c r="U127" i="2"/>
  <c r="T127" i="2"/>
  <c r="S127" i="2"/>
  <c r="R127" i="2"/>
  <c r="Q127" i="2"/>
  <c r="P127" i="2"/>
  <c r="U126" i="2"/>
  <c r="T126" i="2"/>
  <c r="S126" i="2"/>
  <c r="R126" i="2"/>
  <c r="Q126" i="2"/>
  <c r="P126" i="2"/>
  <c r="D126" i="2"/>
  <c r="U125" i="2"/>
  <c r="T125" i="2"/>
  <c r="S125" i="2"/>
  <c r="R125" i="2"/>
  <c r="Q125" i="2"/>
  <c r="P125" i="2"/>
  <c r="U124" i="2"/>
  <c r="T124" i="2"/>
  <c r="S124" i="2"/>
  <c r="R124" i="2"/>
  <c r="P124" i="2"/>
  <c r="E124" i="2"/>
  <c r="U123" i="2"/>
  <c r="T123" i="2"/>
  <c r="S123" i="2"/>
  <c r="R123" i="2"/>
  <c r="Q123" i="2"/>
  <c r="P123" i="2"/>
  <c r="U122" i="2"/>
  <c r="T122" i="2"/>
  <c r="S122" i="2"/>
  <c r="R122" i="2"/>
  <c r="Q122" i="2"/>
  <c r="P122" i="2"/>
  <c r="U121" i="2"/>
  <c r="T121" i="2"/>
  <c r="R121" i="2"/>
  <c r="Q121" i="2"/>
  <c r="P121" i="2"/>
  <c r="U120" i="2"/>
  <c r="T120" i="2"/>
  <c r="R120" i="2"/>
  <c r="Q120" i="2"/>
  <c r="P120" i="2"/>
  <c r="U119" i="2"/>
  <c r="T119" i="2"/>
  <c r="R119" i="2"/>
  <c r="Q119" i="2"/>
  <c r="P119" i="2"/>
  <c r="U118" i="2"/>
  <c r="T118" i="2"/>
  <c r="R118" i="2"/>
  <c r="Q118" i="2"/>
  <c r="P118" i="2"/>
  <c r="U117" i="2"/>
  <c r="S117" i="2"/>
  <c r="R117" i="2"/>
  <c r="Q117" i="2"/>
  <c r="P117" i="2"/>
  <c r="U116" i="2"/>
  <c r="T116" i="2"/>
  <c r="S116" i="2"/>
  <c r="R116" i="2"/>
  <c r="Q116" i="2"/>
  <c r="P116" i="2"/>
  <c r="U115" i="2"/>
  <c r="T115" i="2"/>
  <c r="S115" i="2"/>
  <c r="R115" i="2"/>
  <c r="Q115" i="2"/>
  <c r="P115" i="2"/>
  <c r="U114" i="2"/>
  <c r="T114" i="2"/>
  <c r="S114" i="2"/>
  <c r="R114" i="2"/>
  <c r="Q114" i="2"/>
  <c r="P114" i="2"/>
  <c r="U113" i="2"/>
  <c r="T113" i="2"/>
  <c r="S113" i="2"/>
  <c r="R113" i="2"/>
  <c r="Q113" i="2"/>
  <c r="P113" i="2"/>
  <c r="U112" i="2"/>
  <c r="T112" i="2"/>
  <c r="S112" i="2"/>
  <c r="R112" i="2"/>
  <c r="P112" i="2"/>
  <c r="M112" i="2"/>
  <c r="D112" i="2"/>
  <c r="J112" i="2" s="1"/>
  <c r="U111" i="2"/>
  <c r="T111" i="2"/>
  <c r="S111" i="2"/>
  <c r="R111" i="2"/>
  <c r="Q111" i="2"/>
  <c r="P111" i="2"/>
  <c r="U110" i="2"/>
  <c r="T110" i="2"/>
  <c r="S110" i="2"/>
  <c r="R110" i="2"/>
  <c r="Q110" i="2"/>
  <c r="P110" i="2"/>
  <c r="U109" i="2"/>
  <c r="T109" i="2"/>
  <c r="S109" i="2"/>
  <c r="R109" i="2"/>
  <c r="Q109" i="2"/>
  <c r="P109" i="2"/>
  <c r="D109" i="2"/>
  <c r="J106" i="2" s="1"/>
  <c r="U108" i="2"/>
  <c r="T108" i="2"/>
  <c r="S108" i="2"/>
  <c r="R108" i="2"/>
  <c r="Q108" i="2"/>
  <c r="P108" i="2"/>
  <c r="U107" i="2"/>
  <c r="T107" i="2"/>
  <c r="S107" i="2"/>
  <c r="R107" i="2"/>
  <c r="Q107" i="2"/>
  <c r="P107" i="2"/>
  <c r="U106" i="2"/>
  <c r="T106" i="2"/>
  <c r="S106" i="2"/>
  <c r="R106" i="2"/>
  <c r="P106" i="2"/>
  <c r="M106" i="2"/>
  <c r="U105" i="2"/>
  <c r="T105" i="2"/>
  <c r="S105" i="2"/>
  <c r="R105" i="2"/>
  <c r="Q105" i="2"/>
  <c r="P105" i="2"/>
  <c r="U104" i="2"/>
  <c r="T104" i="2"/>
  <c r="S104" i="2"/>
  <c r="R104" i="2"/>
  <c r="Q104" i="2"/>
  <c r="P104" i="2"/>
  <c r="D104" i="2"/>
  <c r="J101" i="2" s="1"/>
  <c r="U103" i="2"/>
  <c r="T103" i="2"/>
  <c r="S103" i="2"/>
  <c r="R103" i="2"/>
  <c r="Q103" i="2"/>
  <c r="P103" i="2"/>
  <c r="U102" i="2"/>
  <c r="T102" i="2"/>
  <c r="S102" i="2"/>
  <c r="R102" i="2"/>
  <c r="Q102" i="2"/>
  <c r="P102" i="2"/>
  <c r="U101" i="2"/>
  <c r="T101" i="2"/>
  <c r="S101" i="2"/>
  <c r="R101" i="2"/>
  <c r="P101" i="2"/>
  <c r="M101" i="2"/>
  <c r="U100" i="2"/>
  <c r="T100" i="2"/>
  <c r="S100" i="2"/>
  <c r="R100" i="2"/>
  <c r="Q100" i="2"/>
  <c r="P100" i="2"/>
  <c r="U99" i="2"/>
  <c r="T99" i="2"/>
  <c r="S99" i="2"/>
  <c r="R99" i="2"/>
  <c r="Q99" i="2"/>
  <c r="P99" i="2"/>
  <c r="D99" i="2"/>
  <c r="U98" i="2"/>
  <c r="T98" i="2"/>
  <c r="S98" i="2"/>
  <c r="R98" i="2"/>
  <c r="Q98" i="2"/>
  <c r="P98" i="2"/>
  <c r="U97" i="2"/>
  <c r="T97" i="2"/>
  <c r="S97" i="2"/>
  <c r="R97" i="2"/>
  <c r="P97" i="2"/>
  <c r="E97" i="2"/>
  <c r="J97" i="2" s="1"/>
  <c r="N97" i="2" s="1"/>
  <c r="U96" i="2"/>
  <c r="T96" i="2"/>
  <c r="S96" i="2"/>
  <c r="R96" i="2"/>
  <c r="Q96" i="2"/>
  <c r="P96" i="2"/>
  <c r="U95" i="2"/>
  <c r="T95" i="2"/>
  <c r="S95" i="2"/>
  <c r="R95" i="2"/>
  <c r="Q95" i="2"/>
  <c r="P95" i="2"/>
  <c r="U94" i="2"/>
  <c r="T94" i="2"/>
  <c r="S94" i="2"/>
  <c r="R94" i="2"/>
  <c r="Q94" i="2"/>
  <c r="P94" i="2"/>
  <c r="D94" i="2"/>
  <c r="U93" i="2"/>
  <c r="T93" i="2"/>
  <c r="S93" i="2"/>
  <c r="R93" i="2"/>
  <c r="Q93" i="2"/>
  <c r="P93" i="2"/>
  <c r="U92" i="2"/>
  <c r="T92" i="2"/>
  <c r="S92" i="2"/>
  <c r="R92" i="2"/>
  <c r="P92" i="2"/>
  <c r="E92" i="2"/>
  <c r="J92" i="2" s="1"/>
  <c r="N92" i="2" s="1"/>
  <c r="U91" i="2"/>
  <c r="T91" i="2"/>
  <c r="S91" i="2"/>
  <c r="R91" i="2"/>
  <c r="Q91" i="2"/>
  <c r="P91" i="2"/>
  <c r="U90" i="2"/>
  <c r="T90" i="2"/>
  <c r="S90" i="2"/>
  <c r="R90" i="2"/>
  <c r="Q90" i="2"/>
  <c r="P90" i="2"/>
  <c r="U89" i="2"/>
  <c r="S89" i="2"/>
  <c r="R89" i="2"/>
  <c r="Q89" i="2"/>
  <c r="P89" i="2"/>
  <c r="J89" i="2"/>
  <c r="N89" i="2" s="1"/>
  <c r="U88" i="2"/>
  <c r="S88" i="2"/>
  <c r="R88" i="2"/>
  <c r="Q88" i="2"/>
  <c r="P88" i="2"/>
  <c r="J88" i="2"/>
  <c r="N88" i="2" s="1"/>
  <c r="U87" i="2"/>
  <c r="S87" i="2"/>
  <c r="R87" i="2"/>
  <c r="Q87" i="2"/>
  <c r="P87" i="2"/>
  <c r="J87" i="2"/>
  <c r="N87" i="2" s="1"/>
  <c r="U86" i="2"/>
  <c r="S86" i="2"/>
  <c r="R86" i="2"/>
  <c r="Q86" i="2"/>
  <c r="P86" i="2"/>
  <c r="J86" i="2"/>
  <c r="N86" i="2" s="1"/>
  <c r="U85" i="2"/>
  <c r="S85" i="2"/>
  <c r="R85" i="2"/>
  <c r="Q85" i="2"/>
  <c r="P85" i="2"/>
  <c r="J85" i="2"/>
  <c r="N85" i="2" s="1"/>
  <c r="U84" i="2"/>
  <c r="T84" i="2"/>
  <c r="S84" i="2"/>
  <c r="R84" i="2"/>
  <c r="Q84" i="2"/>
  <c r="P84" i="2"/>
  <c r="U83" i="2"/>
  <c r="T83" i="2"/>
  <c r="S83" i="2"/>
  <c r="R83" i="2"/>
  <c r="Q83" i="2"/>
  <c r="P83" i="2"/>
  <c r="U82" i="2"/>
  <c r="T82" i="2"/>
  <c r="S82" i="2"/>
  <c r="R82" i="2"/>
  <c r="Q82" i="2"/>
  <c r="P82" i="2"/>
  <c r="D82" i="2"/>
  <c r="J79" i="2" s="1"/>
  <c r="U81" i="2"/>
  <c r="T81" i="2"/>
  <c r="S81" i="2"/>
  <c r="R81" i="2"/>
  <c r="Q81" i="2"/>
  <c r="P81" i="2"/>
  <c r="U80" i="2"/>
  <c r="T80" i="2"/>
  <c r="S80" i="2"/>
  <c r="R80" i="2"/>
  <c r="Q80" i="2"/>
  <c r="P80" i="2"/>
  <c r="U79" i="2"/>
  <c r="T79" i="2"/>
  <c r="S79" i="2"/>
  <c r="R79" i="2"/>
  <c r="P79" i="2"/>
  <c r="M79" i="2"/>
  <c r="U78" i="2"/>
  <c r="T78" i="2"/>
  <c r="S78" i="2"/>
  <c r="R78" i="2"/>
  <c r="Q78" i="2"/>
  <c r="P78" i="2"/>
  <c r="U77" i="2"/>
  <c r="T77" i="2"/>
  <c r="S77" i="2"/>
  <c r="R77" i="2"/>
  <c r="Q77" i="2"/>
  <c r="P77" i="2"/>
  <c r="D77" i="2"/>
  <c r="J74" i="2" s="1"/>
  <c r="U76" i="2"/>
  <c r="T76" i="2"/>
  <c r="S76" i="2"/>
  <c r="R76" i="2"/>
  <c r="Q76" i="2"/>
  <c r="P76" i="2"/>
  <c r="U75" i="2"/>
  <c r="T75" i="2"/>
  <c r="S75" i="2"/>
  <c r="R75" i="2"/>
  <c r="Q75" i="2"/>
  <c r="P75" i="2"/>
  <c r="U74" i="2"/>
  <c r="T74" i="2"/>
  <c r="S74" i="2"/>
  <c r="R74" i="2"/>
  <c r="P74" i="2"/>
  <c r="M74" i="2"/>
  <c r="U73" i="2"/>
  <c r="T73" i="2"/>
  <c r="S73" i="2"/>
  <c r="R73" i="2"/>
  <c r="Q73" i="2"/>
  <c r="P73" i="2"/>
  <c r="U72" i="2"/>
  <c r="T72" i="2"/>
  <c r="S72" i="2"/>
  <c r="R72" i="2"/>
  <c r="Q72" i="2"/>
  <c r="P72" i="2"/>
  <c r="D72" i="2"/>
  <c r="U71" i="2"/>
  <c r="T71" i="2"/>
  <c r="S71" i="2"/>
  <c r="R71" i="2"/>
  <c r="Q71" i="2"/>
  <c r="P71" i="2"/>
  <c r="U70" i="2"/>
  <c r="T70" i="2"/>
  <c r="S70" i="2"/>
  <c r="R70" i="2"/>
  <c r="P70" i="2"/>
  <c r="E70" i="2"/>
  <c r="U69" i="2"/>
  <c r="T69" i="2"/>
  <c r="S69" i="2"/>
  <c r="R69" i="2"/>
  <c r="Q69" i="2"/>
  <c r="P69" i="2"/>
  <c r="U68" i="2"/>
  <c r="T68" i="2"/>
  <c r="S68" i="2"/>
  <c r="R68" i="2"/>
  <c r="Q68" i="2"/>
  <c r="P68" i="2"/>
  <c r="U67" i="2"/>
  <c r="T67" i="2"/>
  <c r="S67" i="2"/>
  <c r="R67" i="2"/>
  <c r="Q67" i="2"/>
  <c r="P67" i="2"/>
  <c r="D67" i="2"/>
  <c r="U66" i="2"/>
  <c r="T66" i="2"/>
  <c r="S66" i="2"/>
  <c r="R66" i="2"/>
  <c r="Q66" i="2"/>
  <c r="P66" i="2"/>
  <c r="U65" i="2"/>
  <c r="T65" i="2"/>
  <c r="S65" i="2"/>
  <c r="R65" i="2"/>
  <c r="P65" i="2"/>
  <c r="E65" i="2"/>
  <c r="U64" i="2"/>
  <c r="T64" i="2"/>
  <c r="S64" i="2"/>
  <c r="R64" i="2"/>
  <c r="Q64" i="2"/>
  <c r="P64" i="2"/>
  <c r="U63" i="2"/>
  <c r="T63" i="2"/>
  <c r="S63" i="2"/>
  <c r="R63" i="2"/>
  <c r="Q63" i="2"/>
  <c r="P63" i="2"/>
  <c r="U62" i="2"/>
  <c r="S62" i="2"/>
  <c r="R62" i="2"/>
  <c r="Q62" i="2"/>
  <c r="P62" i="2"/>
  <c r="T61" i="2"/>
  <c r="S61" i="2"/>
  <c r="R61" i="2"/>
  <c r="Q61" i="2"/>
  <c r="P61" i="2"/>
  <c r="T60" i="2"/>
  <c r="S60" i="2"/>
  <c r="R60" i="2"/>
  <c r="Q60" i="2"/>
  <c r="P60" i="2"/>
  <c r="T59" i="2"/>
  <c r="S59" i="2"/>
  <c r="R59" i="2"/>
  <c r="Q59" i="2"/>
  <c r="P59" i="2"/>
  <c r="U58" i="2"/>
  <c r="T58" i="2"/>
  <c r="S58" i="2"/>
  <c r="R58" i="2"/>
  <c r="Q58" i="2"/>
  <c r="P58" i="2"/>
  <c r="U57" i="2"/>
  <c r="T57" i="2"/>
  <c r="S57" i="2"/>
  <c r="R57" i="2"/>
  <c r="Q57" i="2"/>
  <c r="P57" i="2"/>
  <c r="U56" i="2"/>
  <c r="T56" i="2"/>
  <c r="S56" i="2"/>
  <c r="R56" i="2"/>
  <c r="Q56" i="2"/>
  <c r="P56" i="2"/>
  <c r="D56" i="2"/>
  <c r="J53" i="2" s="1"/>
  <c r="U55" i="2"/>
  <c r="T55" i="2"/>
  <c r="S55" i="2"/>
  <c r="R55" i="2"/>
  <c r="Q55" i="2"/>
  <c r="P55" i="2"/>
  <c r="U54" i="2"/>
  <c r="T54" i="2"/>
  <c r="S54" i="2"/>
  <c r="R54" i="2"/>
  <c r="Q54" i="2"/>
  <c r="P54" i="2"/>
  <c r="U53" i="2"/>
  <c r="T53" i="2"/>
  <c r="S53" i="2"/>
  <c r="R53" i="2"/>
  <c r="P53" i="2"/>
  <c r="M53" i="2"/>
  <c r="U52" i="2"/>
  <c r="T52" i="2"/>
  <c r="S52" i="2"/>
  <c r="R52" i="2"/>
  <c r="Q52" i="2"/>
  <c r="P52" i="2"/>
  <c r="U51" i="2"/>
  <c r="T51" i="2"/>
  <c r="S51" i="2"/>
  <c r="R51" i="2"/>
  <c r="Q51" i="2"/>
  <c r="P51" i="2"/>
  <c r="D51" i="2"/>
  <c r="J48" i="2" s="1"/>
  <c r="U50" i="2"/>
  <c r="T50" i="2"/>
  <c r="S50" i="2"/>
  <c r="R50" i="2"/>
  <c r="Q50" i="2"/>
  <c r="P50" i="2"/>
  <c r="U49" i="2"/>
  <c r="T49" i="2"/>
  <c r="S49" i="2"/>
  <c r="R49" i="2"/>
  <c r="Q49" i="2"/>
  <c r="P49" i="2"/>
  <c r="U48" i="2"/>
  <c r="T48" i="2"/>
  <c r="S48" i="2"/>
  <c r="R48" i="2"/>
  <c r="P48" i="2"/>
  <c r="M48" i="2"/>
  <c r="U47" i="2"/>
  <c r="T47" i="2"/>
  <c r="S47" i="2"/>
  <c r="R47" i="2"/>
  <c r="Q47" i="2"/>
  <c r="P47" i="2"/>
  <c r="U46" i="2"/>
  <c r="T46" i="2"/>
  <c r="S46" i="2"/>
  <c r="R46" i="2"/>
  <c r="Q46" i="2"/>
  <c r="P46" i="2"/>
  <c r="D46" i="2"/>
  <c r="U45" i="2"/>
  <c r="T45" i="2"/>
  <c r="S45" i="2"/>
  <c r="R45" i="2"/>
  <c r="Q45" i="2"/>
  <c r="P45" i="2"/>
  <c r="U44" i="2"/>
  <c r="T44" i="2"/>
  <c r="S44" i="2"/>
  <c r="R44" i="2"/>
  <c r="P44" i="2"/>
  <c r="E44" i="2"/>
  <c r="J44" i="2" s="1"/>
  <c r="N44" i="2" s="1"/>
  <c r="U43" i="2"/>
  <c r="T43" i="2"/>
  <c r="S43" i="2"/>
  <c r="R43" i="2"/>
  <c r="Q43" i="2"/>
  <c r="P43" i="2"/>
  <c r="U42" i="2"/>
  <c r="T42" i="2"/>
  <c r="S42" i="2"/>
  <c r="R42" i="2"/>
  <c r="Q42" i="2"/>
  <c r="P42" i="2"/>
  <c r="U41" i="2"/>
  <c r="T41" i="2"/>
  <c r="S41" i="2"/>
  <c r="R41" i="2"/>
  <c r="Q41" i="2"/>
  <c r="P41" i="2"/>
  <c r="D41" i="2"/>
  <c r="U40" i="2"/>
  <c r="T40" i="2"/>
  <c r="S40" i="2"/>
  <c r="R40" i="2"/>
  <c r="Q40" i="2"/>
  <c r="P40" i="2"/>
  <c r="U39" i="2"/>
  <c r="T39" i="2"/>
  <c r="S39" i="2"/>
  <c r="R39" i="2"/>
  <c r="P39" i="2"/>
  <c r="E39" i="2"/>
  <c r="J39" i="2" s="1"/>
  <c r="N39" i="2" s="1"/>
  <c r="U38" i="2"/>
  <c r="T38" i="2"/>
  <c r="S38" i="2"/>
  <c r="R38" i="2"/>
  <c r="Q38" i="2"/>
  <c r="P38" i="2"/>
  <c r="U37" i="2"/>
  <c r="T37" i="2"/>
  <c r="S37" i="2"/>
  <c r="R37" i="2"/>
  <c r="Q37" i="2"/>
  <c r="P37" i="2"/>
  <c r="U36" i="2"/>
  <c r="T36" i="2"/>
  <c r="R36" i="2"/>
  <c r="Q36" i="2"/>
  <c r="P36" i="2"/>
  <c r="J36" i="2"/>
  <c r="N36" i="2" s="1"/>
  <c r="U35" i="2"/>
  <c r="T35" i="2"/>
  <c r="R35" i="2"/>
  <c r="Q35" i="2"/>
  <c r="P35" i="2"/>
  <c r="J35" i="2"/>
  <c r="N35" i="2" s="1"/>
  <c r="U34" i="2"/>
  <c r="S34" i="2"/>
  <c r="R34" i="2"/>
  <c r="Q34" i="2"/>
  <c r="P34" i="2"/>
  <c r="J34" i="2"/>
  <c r="N34" i="2" s="1"/>
  <c r="U33" i="2"/>
  <c r="S33" i="2"/>
  <c r="R33" i="2"/>
  <c r="Q33" i="2"/>
  <c r="P33" i="2"/>
  <c r="J33" i="2"/>
  <c r="N33" i="2" s="1"/>
  <c r="U32" i="2"/>
  <c r="T32" i="2"/>
  <c r="S32" i="2"/>
  <c r="R32" i="2"/>
  <c r="Q32" i="2"/>
  <c r="P32" i="2"/>
  <c r="U31" i="2"/>
  <c r="T31" i="2"/>
  <c r="S31" i="2"/>
  <c r="R31" i="2"/>
  <c r="Q31" i="2"/>
  <c r="P31" i="2"/>
  <c r="U30" i="2"/>
  <c r="T30" i="2"/>
  <c r="S30" i="2"/>
  <c r="R30" i="2"/>
  <c r="Q30" i="2"/>
  <c r="P30" i="2"/>
  <c r="D30" i="2"/>
  <c r="J27" i="2" s="1"/>
  <c r="U29" i="2"/>
  <c r="T29" i="2"/>
  <c r="S29" i="2"/>
  <c r="R29" i="2"/>
  <c r="Q29" i="2"/>
  <c r="P29" i="2"/>
  <c r="U28" i="2"/>
  <c r="T28" i="2"/>
  <c r="S28" i="2"/>
  <c r="R28" i="2"/>
  <c r="Q28" i="2"/>
  <c r="P28" i="2"/>
  <c r="U27" i="2"/>
  <c r="T27" i="2"/>
  <c r="S27" i="2"/>
  <c r="R27" i="2"/>
  <c r="P27" i="2"/>
  <c r="M27" i="2"/>
  <c r="U26" i="2"/>
  <c r="T26" i="2"/>
  <c r="S26" i="2"/>
  <c r="R26" i="2"/>
  <c r="Q26" i="2"/>
  <c r="P26" i="2"/>
  <c r="U25" i="2"/>
  <c r="T25" i="2"/>
  <c r="S25" i="2"/>
  <c r="R25" i="2"/>
  <c r="Q25" i="2"/>
  <c r="P25" i="2"/>
  <c r="D25" i="2"/>
  <c r="J22" i="2" s="1"/>
  <c r="U24" i="2"/>
  <c r="T24" i="2"/>
  <c r="S24" i="2"/>
  <c r="R24" i="2"/>
  <c r="Q24" i="2"/>
  <c r="P24" i="2"/>
  <c r="U23" i="2"/>
  <c r="T23" i="2"/>
  <c r="S23" i="2"/>
  <c r="R23" i="2"/>
  <c r="Q23" i="2"/>
  <c r="P23" i="2"/>
  <c r="U22" i="2"/>
  <c r="T22" i="2"/>
  <c r="S22" i="2"/>
  <c r="R22" i="2"/>
  <c r="P22" i="2"/>
  <c r="M22" i="2"/>
  <c r="U21" i="2"/>
  <c r="T21" i="2"/>
  <c r="S21" i="2"/>
  <c r="R21" i="2"/>
  <c r="Q21" i="2"/>
  <c r="P21" i="2"/>
  <c r="U20" i="2"/>
  <c r="T20" i="2"/>
  <c r="S20" i="2"/>
  <c r="R20" i="2"/>
  <c r="Q20" i="2"/>
  <c r="P20" i="2"/>
  <c r="D20" i="2"/>
  <c r="U19" i="2"/>
  <c r="T19" i="2"/>
  <c r="S19" i="2"/>
  <c r="R19" i="2"/>
  <c r="Q19" i="2"/>
  <c r="P19" i="2"/>
  <c r="U18" i="2"/>
  <c r="T18" i="2"/>
  <c r="S18" i="2"/>
  <c r="R18" i="2"/>
  <c r="P18" i="2"/>
  <c r="E18" i="2"/>
  <c r="U17" i="2"/>
  <c r="T17" i="2"/>
  <c r="S17" i="2"/>
  <c r="R17" i="2"/>
  <c r="Q17" i="2"/>
  <c r="P17" i="2"/>
  <c r="U16" i="2"/>
  <c r="T16" i="2"/>
  <c r="S16" i="2"/>
  <c r="R16" i="2"/>
  <c r="Q16" i="2"/>
  <c r="P16" i="2"/>
  <c r="U15" i="2"/>
  <c r="T15" i="2"/>
  <c r="S15" i="2"/>
  <c r="R15" i="2"/>
  <c r="Q15" i="2"/>
  <c r="P15" i="2"/>
  <c r="D15" i="2"/>
  <c r="U14" i="2"/>
  <c r="T14" i="2"/>
  <c r="S14" i="2"/>
  <c r="R14" i="2"/>
  <c r="Q14" i="2"/>
  <c r="P14" i="2"/>
  <c r="U13" i="2"/>
  <c r="T13" i="2"/>
  <c r="S13" i="2"/>
  <c r="R13" i="2"/>
  <c r="P13" i="2"/>
  <c r="E13" i="2"/>
  <c r="J13" i="2" s="1"/>
  <c r="N13" i="2" s="1"/>
  <c r="U12" i="2"/>
  <c r="T12" i="2"/>
  <c r="S12" i="2"/>
  <c r="R12" i="2"/>
  <c r="Q12" i="2"/>
  <c r="P12" i="2"/>
  <c r="U11" i="2"/>
  <c r="T11" i="2"/>
  <c r="S11" i="2"/>
  <c r="R11" i="2"/>
  <c r="Q11" i="2"/>
  <c r="P11" i="2"/>
  <c r="U10" i="2"/>
  <c r="T10" i="2"/>
  <c r="S10" i="2"/>
  <c r="Q10" i="2"/>
  <c r="P10" i="2"/>
  <c r="J10" i="2"/>
  <c r="N10" i="2" s="1"/>
  <c r="U9" i="2"/>
  <c r="T9" i="2"/>
  <c r="R9" i="2"/>
  <c r="Q9" i="2"/>
  <c r="P9" i="2"/>
  <c r="J9" i="2"/>
  <c r="N9" i="2" s="1"/>
  <c r="U8" i="2"/>
  <c r="T8" i="2"/>
  <c r="S8" i="2"/>
  <c r="Q8" i="2"/>
  <c r="P8" i="2"/>
  <c r="J8" i="2"/>
  <c r="N8" i="2" s="1"/>
  <c r="U7" i="2"/>
  <c r="T7" i="2"/>
  <c r="R7" i="2"/>
  <c r="Q7" i="2"/>
  <c r="P7" i="2"/>
  <c r="J7" i="2"/>
  <c r="N7" i="2" s="1"/>
  <c r="U6" i="2"/>
  <c r="T6" i="2"/>
  <c r="S6" i="2"/>
  <c r="R6" i="2"/>
  <c r="Q6" i="2"/>
  <c r="P6" i="2"/>
  <c r="U5" i="2"/>
  <c r="T5" i="2"/>
  <c r="S5" i="2"/>
  <c r="R5" i="2"/>
  <c r="Q5" i="2"/>
  <c r="P5" i="2"/>
  <c r="N200" i="2" l="1"/>
  <c r="O200" i="2" s="1"/>
  <c r="Q200" i="2" s="1"/>
  <c r="N226" i="2"/>
  <c r="O226" i="2" s="1"/>
  <c r="Q226" i="2" s="1"/>
  <c r="K277" i="2"/>
  <c r="N74" i="2"/>
  <c r="N27" i="2"/>
  <c r="O27" i="2" s="1"/>
  <c r="Q27" i="2" s="1"/>
  <c r="N79" i="2"/>
  <c r="O79" i="2" s="1"/>
  <c r="Q79" i="2" s="1"/>
  <c r="N112" i="2"/>
  <c r="O112" i="2" s="1"/>
  <c r="Q112" i="2" s="1"/>
  <c r="K279" i="2"/>
  <c r="O279" i="2"/>
  <c r="Q279" i="2" s="1"/>
  <c r="N22" i="2"/>
  <c r="O22" i="2" s="1"/>
  <c r="Q22" i="2" s="1"/>
  <c r="N53" i="2"/>
  <c r="O53" i="2" s="1"/>
  <c r="Q53" i="2" s="1"/>
  <c r="N106" i="2"/>
  <c r="O106" i="2" s="1"/>
  <c r="Q106" i="2" s="1"/>
  <c r="N164" i="2"/>
  <c r="O164" i="2" s="1"/>
  <c r="Q164" i="2" s="1"/>
  <c r="J18" i="2"/>
  <c r="N18" i="2" s="1"/>
  <c r="O18" i="2" s="1"/>
  <c r="Q18" i="2" s="1"/>
  <c r="N101" i="2"/>
  <c r="O101" i="2" s="1"/>
  <c r="Q101" i="2" s="1"/>
  <c r="N133" i="2"/>
  <c r="O133" i="2" s="1"/>
  <c r="Q133" i="2" s="1"/>
  <c r="N175" i="2"/>
  <c r="O175" i="2" s="1"/>
  <c r="Q175" i="2" s="1"/>
  <c r="J65" i="2"/>
  <c r="N65" i="2" s="1"/>
  <c r="O65" i="2" s="1"/>
  <c r="Q65" i="2" s="1"/>
  <c r="J70" i="2"/>
  <c r="N70" i="2" s="1"/>
  <c r="O70" i="2" s="1"/>
  <c r="Q70" i="2" s="1"/>
  <c r="J196" i="2"/>
  <c r="N196" i="2" s="1"/>
  <c r="O196" i="2" s="1"/>
  <c r="Q196" i="2" s="1"/>
  <c r="J124" i="2"/>
  <c r="N124" i="2" s="1"/>
  <c r="O124" i="2" s="1"/>
  <c r="Q124" i="2" s="1"/>
  <c r="J129" i="2"/>
  <c r="N129" i="2" s="1"/>
  <c r="O129" i="2" s="1"/>
  <c r="Q129" i="2" s="1"/>
  <c r="J186" i="2"/>
  <c r="N186" i="2" s="1"/>
  <c r="O186" i="2" s="1"/>
  <c r="Q186" i="2" s="1"/>
  <c r="J191" i="2"/>
  <c r="N191" i="2" s="1"/>
  <c r="O191" i="2" s="1"/>
  <c r="Q191" i="2" s="1"/>
  <c r="O89" i="2"/>
  <c r="T89" i="2" s="1"/>
  <c r="K89" i="2"/>
  <c r="O152" i="2"/>
  <c r="R152" i="2" s="1"/>
  <c r="K152" i="2"/>
  <c r="O212" i="2"/>
  <c r="T212" i="2" s="1"/>
  <c r="K212" i="2"/>
  <c r="O214" i="2"/>
  <c r="T214" i="2" s="1"/>
  <c r="K214" i="2"/>
  <c r="O211" i="2"/>
  <c r="T211" i="2" s="1"/>
  <c r="K211" i="2"/>
  <c r="O213" i="2"/>
  <c r="T213" i="2" s="1"/>
  <c r="K213" i="2"/>
  <c r="O149" i="2"/>
  <c r="R149" i="2" s="1"/>
  <c r="K149" i="2"/>
  <c r="O151" i="2"/>
  <c r="R151" i="2" s="1"/>
  <c r="K151" i="2"/>
  <c r="O148" i="2"/>
  <c r="S148" i="2" s="1"/>
  <c r="K148" i="2"/>
  <c r="O150" i="2"/>
  <c r="R150" i="2" s="1"/>
  <c r="K150" i="2"/>
  <c r="O86" i="2"/>
  <c r="T86" i="2" s="1"/>
  <c r="K86" i="2"/>
  <c r="O88" i="2"/>
  <c r="T88" i="2" s="1"/>
  <c r="K88" i="2"/>
  <c r="O85" i="2"/>
  <c r="T85" i="2" s="1"/>
  <c r="K85" i="2"/>
  <c r="O87" i="2"/>
  <c r="T87" i="2" s="1"/>
  <c r="K87" i="2"/>
  <c r="O34" i="2"/>
  <c r="T34" i="2" s="1"/>
  <c r="K34" i="2"/>
  <c r="O33" i="2"/>
  <c r="T33" i="2" s="1"/>
  <c r="K33" i="2"/>
  <c r="O36" i="2"/>
  <c r="S36" i="2" s="1"/>
  <c r="K36" i="2"/>
  <c r="O35" i="2"/>
  <c r="S35" i="2" s="1"/>
  <c r="K35" i="2"/>
  <c r="O8" i="2"/>
  <c r="R8" i="2" s="1"/>
  <c r="K8" i="2"/>
  <c r="O10" i="2"/>
  <c r="R10" i="2" s="1"/>
  <c r="K10" i="2"/>
  <c r="O7" i="2"/>
  <c r="S7" i="2" s="1"/>
  <c r="K7" i="2"/>
  <c r="O9" i="2"/>
  <c r="S9" i="2" s="1"/>
  <c r="K9" i="2"/>
  <c r="O44" i="2"/>
  <c r="Q44" i="2" s="1"/>
  <c r="O13" i="2"/>
  <c r="Q13" i="2" s="1"/>
  <c r="N48" i="2"/>
  <c r="O48" i="2" s="1"/>
  <c r="Q48" i="2" s="1"/>
  <c r="O138" i="2"/>
  <c r="Q138" i="2" s="1"/>
  <c r="J121" i="2"/>
  <c r="N121" i="2" s="1"/>
  <c r="J119" i="2"/>
  <c r="N119" i="2" s="1"/>
  <c r="J117" i="2"/>
  <c r="N117" i="2" s="1"/>
  <c r="J120" i="2"/>
  <c r="N120" i="2" s="1"/>
  <c r="J118" i="2"/>
  <c r="N118" i="2" s="1"/>
  <c r="N169" i="2"/>
  <c r="O169" i="2" s="1"/>
  <c r="Q169" i="2" s="1"/>
  <c r="N231" i="2"/>
  <c r="O231" i="2" s="1"/>
  <c r="Q231" i="2" s="1"/>
  <c r="J238" i="2"/>
  <c r="N238" i="2" s="1"/>
  <c r="O253" i="2"/>
  <c r="Q253" i="2" s="1"/>
  <c r="J239" i="2"/>
  <c r="N239" i="2" s="1"/>
  <c r="J237" i="2"/>
  <c r="N237" i="2" s="1"/>
  <c r="P583" i="2"/>
  <c r="P585" i="2" s="1"/>
  <c r="N144" i="2"/>
  <c r="J61" i="2"/>
  <c r="N61" i="2" s="1"/>
  <c r="J59" i="2"/>
  <c r="N59" i="2" s="1"/>
  <c r="O74" i="2"/>
  <c r="Q74" i="2" s="1"/>
  <c r="J62" i="2"/>
  <c r="N62" i="2" s="1"/>
  <c r="J60" i="2"/>
  <c r="N60" i="2" s="1"/>
  <c r="J182" i="2"/>
  <c r="N182" i="2" s="1"/>
  <c r="J180" i="2"/>
  <c r="N180" i="2" s="1"/>
  <c r="O205" i="2"/>
  <c r="Q205" i="2" s="1"/>
  <c r="J183" i="2"/>
  <c r="N183" i="2" s="1"/>
  <c r="J181" i="2"/>
  <c r="N181" i="2" s="1"/>
  <c r="J179" i="2"/>
  <c r="N179" i="2" s="1"/>
  <c r="O217" i="2"/>
  <c r="Q217" i="2" s="1"/>
  <c r="O39" i="2"/>
  <c r="Q39" i="2" s="1"/>
  <c r="O92" i="2"/>
  <c r="Q92" i="2" s="1"/>
  <c r="O97" i="2"/>
  <c r="Q97" i="2" s="1"/>
  <c r="O155" i="2"/>
  <c r="Q155" i="2" s="1"/>
  <c r="O160" i="2"/>
  <c r="Q160" i="2" s="1"/>
  <c r="D237" i="1"/>
  <c r="D211" i="1"/>
  <c r="D179" i="1"/>
  <c r="D148" i="1"/>
  <c r="D117" i="1"/>
  <c r="D85" i="1"/>
  <c r="D59" i="1"/>
  <c r="D33" i="1"/>
  <c r="D7" i="1"/>
  <c r="I13" i="1" s="1"/>
  <c r="O121" i="2" l="1"/>
  <c r="S121" i="2" s="1"/>
  <c r="K121" i="2"/>
  <c r="O183" i="2"/>
  <c r="R183" i="2" s="1"/>
  <c r="K183" i="2"/>
  <c r="O239" i="2"/>
  <c r="Q239" i="2" s="1"/>
  <c r="K239" i="2"/>
  <c r="O238" i="2"/>
  <c r="R238" i="2" s="1"/>
  <c r="K238" i="2"/>
  <c r="O237" i="2"/>
  <c r="S237" i="2" s="1"/>
  <c r="K237" i="2"/>
  <c r="O182" i="2"/>
  <c r="R182" i="2" s="1"/>
  <c r="K182" i="2"/>
  <c r="O179" i="2"/>
  <c r="S179" i="2" s="1"/>
  <c r="K179" i="2"/>
  <c r="O181" i="2"/>
  <c r="R181" i="2" s="1"/>
  <c r="K181" i="2"/>
  <c r="O180" i="2"/>
  <c r="R180" i="2" s="1"/>
  <c r="K180" i="2"/>
  <c r="O120" i="2"/>
  <c r="S120" i="2" s="1"/>
  <c r="K120" i="2"/>
  <c r="O117" i="2"/>
  <c r="T117" i="2" s="1"/>
  <c r="K117" i="2"/>
  <c r="O119" i="2"/>
  <c r="S119" i="2" s="1"/>
  <c r="K119" i="2"/>
  <c r="O118" i="2"/>
  <c r="S118" i="2" s="1"/>
  <c r="K118" i="2"/>
  <c r="O60" i="2"/>
  <c r="U60" i="2" s="1"/>
  <c r="K60" i="2"/>
  <c r="O59" i="2"/>
  <c r="U59" i="2" s="1"/>
  <c r="K59" i="2"/>
  <c r="O62" i="2"/>
  <c r="T62" i="2" s="1"/>
  <c r="K62" i="2"/>
  <c r="O61" i="2"/>
  <c r="U61" i="2" s="1"/>
  <c r="K61" i="2"/>
  <c r="O144" i="2"/>
  <c r="Q144" i="2" s="1"/>
  <c r="E243" i="1"/>
  <c r="U260" i="1"/>
  <c r="T260" i="1"/>
  <c r="S260" i="1"/>
  <c r="R260" i="1"/>
  <c r="Q260" i="1"/>
  <c r="P260" i="1"/>
  <c r="D260" i="1"/>
  <c r="U259" i="1"/>
  <c r="T259" i="1"/>
  <c r="S259" i="1"/>
  <c r="R259" i="1"/>
  <c r="Q259" i="1"/>
  <c r="P259" i="1"/>
  <c r="U258" i="1"/>
  <c r="T258" i="1"/>
  <c r="S258" i="1"/>
  <c r="R258" i="1"/>
  <c r="Q258" i="1"/>
  <c r="P258" i="1"/>
  <c r="U257" i="1"/>
  <c r="T257" i="1"/>
  <c r="S257" i="1"/>
  <c r="R257" i="1"/>
  <c r="P257" i="1"/>
  <c r="M257" i="1"/>
  <c r="J257" i="1"/>
  <c r="N257" i="1" s="1"/>
  <c r="U256" i="1"/>
  <c r="T256" i="1"/>
  <c r="S256" i="1"/>
  <c r="R256" i="1"/>
  <c r="Q256" i="1"/>
  <c r="P256" i="1"/>
  <c r="U255" i="1"/>
  <c r="T255" i="1"/>
  <c r="S255" i="1"/>
  <c r="R255" i="1"/>
  <c r="Q255" i="1"/>
  <c r="P255" i="1"/>
  <c r="D255" i="1"/>
  <c r="U254" i="1"/>
  <c r="T254" i="1"/>
  <c r="S254" i="1"/>
  <c r="R254" i="1"/>
  <c r="Q254" i="1"/>
  <c r="P254" i="1"/>
  <c r="U253" i="1"/>
  <c r="T253" i="1"/>
  <c r="S253" i="1"/>
  <c r="R253" i="1"/>
  <c r="Q253" i="1"/>
  <c r="P253" i="1"/>
  <c r="U252" i="1"/>
  <c r="T252" i="1"/>
  <c r="S252" i="1"/>
  <c r="R252" i="1"/>
  <c r="P252" i="1"/>
  <c r="M252" i="1"/>
  <c r="J252" i="1"/>
  <c r="N252" i="1" s="1"/>
  <c r="U251" i="1"/>
  <c r="T251" i="1"/>
  <c r="S251" i="1"/>
  <c r="R251" i="1"/>
  <c r="Q251" i="1"/>
  <c r="P251" i="1"/>
  <c r="U250" i="1"/>
  <c r="T250" i="1"/>
  <c r="S250" i="1"/>
  <c r="R250" i="1"/>
  <c r="Q250" i="1"/>
  <c r="P250" i="1"/>
  <c r="D250" i="1"/>
  <c r="U249" i="1"/>
  <c r="T249" i="1"/>
  <c r="S249" i="1"/>
  <c r="R249" i="1"/>
  <c r="Q249" i="1"/>
  <c r="P249" i="1"/>
  <c r="U248" i="1"/>
  <c r="T248" i="1"/>
  <c r="S248" i="1"/>
  <c r="R248" i="1"/>
  <c r="P248" i="1"/>
  <c r="E248" i="1"/>
  <c r="U247" i="1"/>
  <c r="T247" i="1"/>
  <c r="S247" i="1"/>
  <c r="R247" i="1"/>
  <c r="Q247" i="1"/>
  <c r="P247" i="1"/>
  <c r="U246" i="1"/>
  <c r="T246" i="1"/>
  <c r="S246" i="1"/>
  <c r="R246" i="1"/>
  <c r="Q246" i="1"/>
  <c r="P246" i="1"/>
  <c r="U245" i="1"/>
  <c r="T245" i="1"/>
  <c r="S245" i="1"/>
  <c r="R245" i="1"/>
  <c r="Q245" i="1"/>
  <c r="P245" i="1"/>
  <c r="D245" i="1"/>
  <c r="U244" i="1"/>
  <c r="T244" i="1"/>
  <c r="S244" i="1"/>
  <c r="R244" i="1"/>
  <c r="Q244" i="1"/>
  <c r="P244" i="1"/>
  <c r="U243" i="1"/>
  <c r="T243" i="1"/>
  <c r="S243" i="1"/>
  <c r="R243" i="1"/>
  <c r="P243" i="1"/>
  <c r="U242" i="1"/>
  <c r="T242" i="1"/>
  <c r="S242" i="1"/>
  <c r="R242" i="1"/>
  <c r="Q242" i="1"/>
  <c r="P242" i="1"/>
  <c r="U241" i="1"/>
  <c r="T241" i="1"/>
  <c r="S241" i="1"/>
  <c r="R241" i="1"/>
  <c r="Q241" i="1"/>
  <c r="P241" i="1"/>
  <c r="U240" i="1"/>
  <c r="S240" i="1"/>
  <c r="R240" i="1"/>
  <c r="Q240" i="1"/>
  <c r="P240" i="1"/>
  <c r="U239" i="1"/>
  <c r="S239" i="1"/>
  <c r="R239" i="1"/>
  <c r="P239" i="1"/>
  <c r="M239" i="1"/>
  <c r="U238" i="1"/>
  <c r="S238" i="1"/>
  <c r="Q238" i="1"/>
  <c r="P238" i="1"/>
  <c r="M238" i="1"/>
  <c r="U237" i="1"/>
  <c r="R237" i="1"/>
  <c r="Q237" i="1"/>
  <c r="P237" i="1"/>
  <c r="M237" i="1"/>
  <c r="I257" i="1"/>
  <c r="O257" i="1" s="1"/>
  <c r="Q257" i="1" s="1"/>
  <c r="U236" i="1"/>
  <c r="T236" i="1"/>
  <c r="S236" i="1"/>
  <c r="R236" i="1"/>
  <c r="Q236" i="1"/>
  <c r="P236" i="1"/>
  <c r="U235" i="1"/>
  <c r="T235" i="1"/>
  <c r="S235" i="1"/>
  <c r="R235" i="1"/>
  <c r="Q235" i="1"/>
  <c r="P235" i="1"/>
  <c r="T583" i="2" l="1"/>
  <c r="T585" i="2" s="1"/>
  <c r="Q583" i="2"/>
  <c r="Q585" i="2" s="1"/>
  <c r="U583" i="2"/>
  <c r="U585" i="2" s="1"/>
  <c r="R583" i="2"/>
  <c r="R585" i="2" s="1"/>
  <c r="S583" i="2"/>
  <c r="S585" i="2" s="1"/>
  <c r="J248" i="1"/>
  <c r="N248" i="1" s="1"/>
  <c r="J243" i="1"/>
  <c r="N243" i="1" s="1"/>
  <c r="J237" i="1"/>
  <c r="N237" i="1" s="1"/>
  <c r="O237" i="1" s="1"/>
  <c r="J239" i="1"/>
  <c r="N239" i="1" s="1"/>
  <c r="O239" i="1" s="1"/>
  <c r="I248" i="1"/>
  <c r="O248" i="1" s="1"/>
  <c r="Q248" i="1" s="1"/>
  <c r="I243" i="1"/>
  <c r="J238" i="1"/>
  <c r="N238" i="1" s="1"/>
  <c r="O238" i="1" s="1"/>
  <c r="T240" i="1"/>
  <c r="I252" i="1"/>
  <c r="O252" i="1" s="1"/>
  <c r="Q252" i="1" s="1"/>
  <c r="V585" i="2" l="1"/>
  <c r="O243" i="1"/>
  <c r="Q243" i="1" s="1"/>
  <c r="T239" i="1"/>
  <c r="Q239" i="1"/>
  <c r="T238" i="1"/>
  <c r="R238" i="1"/>
  <c r="T237" i="1"/>
  <c r="S237" i="1"/>
  <c r="U234" i="1"/>
  <c r="T234" i="1"/>
  <c r="S234" i="1"/>
  <c r="R234" i="1"/>
  <c r="Q234" i="1"/>
  <c r="P234" i="1"/>
  <c r="D234" i="1"/>
  <c r="J231" i="1" s="1"/>
  <c r="U233" i="1"/>
  <c r="T233" i="1"/>
  <c r="S233" i="1"/>
  <c r="R233" i="1"/>
  <c r="Q233" i="1"/>
  <c r="P233" i="1"/>
  <c r="U232" i="1"/>
  <c r="T232" i="1"/>
  <c r="S232" i="1"/>
  <c r="R232" i="1"/>
  <c r="Q232" i="1"/>
  <c r="P232" i="1"/>
  <c r="U231" i="1"/>
  <c r="T231" i="1"/>
  <c r="S231" i="1"/>
  <c r="R231" i="1"/>
  <c r="P231" i="1"/>
  <c r="M231" i="1"/>
  <c r="I231" i="1"/>
  <c r="U230" i="1"/>
  <c r="T230" i="1"/>
  <c r="S230" i="1"/>
  <c r="R230" i="1"/>
  <c r="Q230" i="1"/>
  <c r="P230" i="1"/>
  <c r="U229" i="1"/>
  <c r="T229" i="1"/>
  <c r="S229" i="1"/>
  <c r="R229" i="1"/>
  <c r="Q229" i="1"/>
  <c r="P229" i="1"/>
  <c r="D229" i="1"/>
  <c r="J226" i="1" s="1"/>
  <c r="U228" i="1"/>
  <c r="T228" i="1"/>
  <c r="S228" i="1"/>
  <c r="R228" i="1"/>
  <c r="Q228" i="1"/>
  <c r="P228" i="1"/>
  <c r="U227" i="1"/>
  <c r="T227" i="1"/>
  <c r="S227" i="1"/>
  <c r="R227" i="1"/>
  <c r="Q227" i="1"/>
  <c r="P227" i="1"/>
  <c r="U226" i="1"/>
  <c r="T226" i="1"/>
  <c r="S226" i="1"/>
  <c r="R226" i="1"/>
  <c r="P226" i="1"/>
  <c r="M226" i="1"/>
  <c r="I226" i="1"/>
  <c r="U225" i="1"/>
  <c r="T225" i="1"/>
  <c r="S225" i="1"/>
  <c r="R225" i="1"/>
  <c r="Q225" i="1"/>
  <c r="P225" i="1"/>
  <c r="U224" i="1"/>
  <c r="T224" i="1"/>
  <c r="S224" i="1"/>
  <c r="R224" i="1"/>
  <c r="Q224" i="1"/>
  <c r="P224" i="1"/>
  <c r="D224" i="1"/>
  <c r="U223" i="1"/>
  <c r="T223" i="1"/>
  <c r="S223" i="1"/>
  <c r="R223" i="1"/>
  <c r="Q223" i="1"/>
  <c r="P223" i="1"/>
  <c r="U222" i="1"/>
  <c r="T222" i="1"/>
  <c r="S222" i="1"/>
  <c r="R222" i="1"/>
  <c r="P222" i="1"/>
  <c r="J222" i="1"/>
  <c r="N222" i="1" s="1"/>
  <c r="I222" i="1"/>
  <c r="E222" i="1"/>
  <c r="U221" i="1"/>
  <c r="T221" i="1"/>
  <c r="S221" i="1"/>
  <c r="R221" i="1"/>
  <c r="Q221" i="1"/>
  <c r="P221" i="1"/>
  <c r="U220" i="1"/>
  <c r="T220" i="1"/>
  <c r="S220" i="1"/>
  <c r="R220" i="1"/>
  <c r="Q220" i="1"/>
  <c r="P220" i="1"/>
  <c r="U219" i="1"/>
  <c r="T219" i="1"/>
  <c r="S219" i="1"/>
  <c r="R219" i="1"/>
  <c r="Q219" i="1"/>
  <c r="P219" i="1"/>
  <c r="D219" i="1"/>
  <c r="U218" i="1"/>
  <c r="T218" i="1"/>
  <c r="S218" i="1"/>
  <c r="R218" i="1"/>
  <c r="Q218" i="1"/>
  <c r="P218" i="1"/>
  <c r="U217" i="1"/>
  <c r="T217" i="1"/>
  <c r="S217" i="1"/>
  <c r="R217" i="1"/>
  <c r="P217" i="1"/>
  <c r="I217" i="1"/>
  <c r="E217" i="1"/>
  <c r="J217" i="1" s="1"/>
  <c r="N217" i="1" s="1"/>
  <c r="U216" i="1"/>
  <c r="T216" i="1"/>
  <c r="S216" i="1"/>
  <c r="R216" i="1"/>
  <c r="Q216" i="1"/>
  <c r="P216" i="1"/>
  <c r="U215" i="1"/>
  <c r="T215" i="1"/>
  <c r="S215" i="1"/>
  <c r="R215" i="1"/>
  <c r="Q215" i="1"/>
  <c r="P215" i="1"/>
  <c r="U261" i="1"/>
  <c r="T261" i="1"/>
  <c r="S261" i="1"/>
  <c r="R261" i="1"/>
  <c r="Q261" i="1"/>
  <c r="P261" i="1"/>
  <c r="U214" i="1"/>
  <c r="S214" i="1"/>
  <c r="Q214" i="1"/>
  <c r="P214" i="1"/>
  <c r="M214" i="1"/>
  <c r="U213" i="1"/>
  <c r="S213" i="1"/>
  <c r="Q213" i="1"/>
  <c r="P213" i="1"/>
  <c r="M213" i="1"/>
  <c r="U212" i="1"/>
  <c r="S212" i="1"/>
  <c r="Q212" i="1"/>
  <c r="P212" i="1"/>
  <c r="M212" i="1"/>
  <c r="U211" i="1"/>
  <c r="R211" i="1"/>
  <c r="Q211" i="1"/>
  <c r="P211" i="1"/>
  <c r="M211" i="1"/>
  <c r="U210" i="1"/>
  <c r="T210" i="1"/>
  <c r="S210" i="1"/>
  <c r="R210" i="1"/>
  <c r="Q210" i="1"/>
  <c r="P210" i="1"/>
  <c r="U209" i="1"/>
  <c r="T209" i="1"/>
  <c r="S209" i="1"/>
  <c r="R209" i="1"/>
  <c r="Q209" i="1"/>
  <c r="P209" i="1"/>
  <c r="E196" i="1"/>
  <c r="E191" i="1"/>
  <c r="U198" i="1"/>
  <c r="T198" i="1"/>
  <c r="S198" i="1"/>
  <c r="R198" i="1"/>
  <c r="Q198" i="1"/>
  <c r="P198" i="1"/>
  <c r="D198" i="1"/>
  <c r="U197" i="1"/>
  <c r="T197" i="1"/>
  <c r="S197" i="1"/>
  <c r="R197" i="1"/>
  <c r="Q197" i="1"/>
  <c r="P197" i="1"/>
  <c r="U196" i="1"/>
  <c r="T196" i="1"/>
  <c r="S196" i="1"/>
  <c r="R196" i="1"/>
  <c r="P196" i="1"/>
  <c r="J196" i="1"/>
  <c r="N196" i="1" s="1"/>
  <c r="I196" i="1"/>
  <c r="U195" i="1"/>
  <c r="T195" i="1"/>
  <c r="S195" i="1"/>
  <c r="R195" i="1"/>
  <c r="Q195" i="1"/>
  <c r="P195" i="1"/>
  <c r="U194" i="1"/>
  <c r="T194" i="1"/>
  <c r="S194" i="1"/>
  <c r="R194" i="1"/>
  <c r="Q194" i="1"/>
  <c r="P194" i="1"/>
  <c r="E186" i="1"/>
  <c r="U263" i="1"/>
  <c r="T263" i="1"/>
  <c r="S263" i="1"/>
  <c r="R263" i="1"/>
  <c r="Q263" i="1"/>
  <c r="P263" i="1"/>
  <c r="U262" i="1"/>
  <c r="T262" i="1"/>
  <c r="S262" i="1"/>
  <c r="R262" i="1"/>
  <c r="Q262" i="1"/>
  <c r="P262" i="1"/>
  <c r="U208" i="1"/>
  <c r="T208" i="1"/>
  <c r="S208" i="1"/>
  <c r="R208" i="1"/>
  <c r="Q208" i="1"/>
  <c r="P208" i="1"/>
  <c r="D208" i="1"/>
  <c r="J205" i="1" s="1"/>
  <c r="U207" i="1"/>
  <c r="T207" i="1"/>
  <c r="S207" i="1"/>
  <c r="R207" i="1"/>
  <c r="Q207" i="1"/>
  <c r="P207" i="1"/>
  <c r="U206" i="1"/>
  <c r="T206" i="1"/>
  <c r="S206" i="1"/>
  <c r="R206" i="1"/>
  <c r="Q206" i="1"/>
  <c r="P206" i="1"/>
  <c r="U205" i="1"/>
  <c r="T205" i="1"/>
  <c r="S205" i="1"/>
  <c r="R205" i="1"/>
  <c r="P205" i="1"/>
  <c r="M205" i="1"/>
  <c r="U204" i="1"/>
  <c r="T204" i="1"/>
  <c r="S204" i="1"/>
  <c r="R204" i="1"/>
  <c r="Q204" i="1"/>
  <c r="P204" i="1"/>
  <c r="U203" i="1"/>
  <c r="T203" i="1"/>
  <c r="S203" i="1"/>
  <c r="R203" i="1"/>
  <c r="Q203" i="1"/>
  <c r="P203" i="1"/>
  <c r="D203" i="1"/>
  <c r="J200" i="1" s="1"/>
  <c r="U202" i="1"/>
  <c r="T202" i="1"/>
  <c r="S202" i="1"/>
  <c r="R202" i="1"/>
  <c r="Q202" i="1"/>
  <c r="P202" i="1"/>
  <c r="U201" i="1"/>
  <c r="T201" i="1"/>
  <c r="S201" i="1"/>
  <c r="R201" i="1"/>
  <c r="Q201" i="1"/>
  <c r="P201" i="1"/>
  <c r="U200" i="1"/>
  <c r="T200" i="1"/>
  <c r="S200" i="1"/>
  <c r="R200" i="1"/>
  <c r="P200" i="1"/>
  <c r="M200" i="1"/>
  <c r="U199" i="1"/>
  <c r="T199" i="1"/>
  <c r="S199" i="1"/>
  <c r="R199" i="1"/>
  <c r="Q199" i="1"/>
  <c r="P199" i="1"/>
  <c r="U193" i="1"/>
  <c r="T193" i="1"/>
  <c r="S193" i="1"/>
  <c r="R193" i="1"/>
  <c r="Q193" i="1"/>
  <c r="P193" i="1"/>
  <c r="D193" i="1"/>
  <c r="U192" i="1"/>
  <c r="T192" i="1"/>
  <c r="S192" i="1"/>
  <c r="R192" i="1"/>
  <c r="Q192" i="1"/>
  <c r="P192" i="1"/>
  <c r="U191" i="1"/>
  <c r="T191" i="1"/>
  <c r="S191" i="1"/>
  <c r="R191" i="1"/>
  <c r="P191" i="1"/>
  <c r="U190" i="1"/>
  <c r="T190" i="1"/>
  <c r="S190" i="1"/>
  <c r="R190" i="1"/>
  <c r="Q190" i="1"/>
  <c r="P190" i="1"/>
  <c r="U189" i="1"/>
  <c r="T189" i="1"/>
  <c r="S189" i="1"/>
  <c r="R189" i="1"/>
  <c r="Q189" i="1"/>
  <c r="P189" i="1"/>
  <c r="U188" i="1"/>
  <c r="T188" i="1"/>
  <c r="S188" i="1"/>
  <c r="R188" i="1"/>
  <c r="Q188" i="1"/>
  <c r="P188" i="1"/>
  <c r="D188" i="1"/>
  <c r="U187" i="1"/>
  <c r="T187" i="1"/>
  <c r="S187" i="1"/>
  <c r="R187" i="1"/>
  <c r="Q187" i="1"/>
  <c r="P187" i="1"/>
  <c r="U186" i="1"/>
  <c r="T186" i="1"/>
  <c r="S186" i="1"/>
  <c r="R186" i="1"/>
  <c r="P186" i="1"/>
  <c r="U185" i="1"/>
  <c r="T185" i="1"/>
  <c r="S185" i="1"/>
  <c r="R185" i="1"/>
  <c r="Q185" i="1"/>
  <c r="P185" i="1"/>
  <c r="U184" i="1"/>
  <c r="T184" i="1"/>
  <c r="S184" i="1"/>
  <c r="R184" i="1"/>
  <c r="Q184" i="1"/>
  <c r="P184" i="1"/>
  <c r="U183" i="1"/>
  <c r="T183" i="1"/>
  <c r="S183" i="1"/>
  <c r="Q183" i="1"/>
  <c r="P183" i="1"/>
  <c r="M183" i="1"/>
  <c r="U182" i="1"/>
  <c r="T182" i="1"/>
  <c r="S182" i="1"/>
  <c r="Q182" i="1"/>
  <c r="P182" i="1"/>
  <c r="M182" i="1"/>
  <c r="U181" i="1"/>
  <c r="T181" i="1"/>
  <c r="S181" i="1"/>
  <c r="Q181" i="1"/>
  <c r="P181" i="1"/>
  <c r="M181" i="1"/>
  <c r="U180" i="1"/>
  <c r="T180" i="1"/>
  <c r="S180" i="1"/>
  <c r="Q180" i="1"/>
  <c r="P180" i="1"/>
  <c r="M180" i="1"/>
  <c r="U179" i="1"/>
  <c r="T179" i="1"/>
  <c r="R179" i="1"/>
  <c r="Q179" i="1"/>
  <c r="P179" i="1"/>
  <c r="M179" i="1"/>
  <c r="I205" i="1"/>
  <c r="U178" i="1"/>
  <c r="T178" i="1"/>
  <c r="S178" i="1"/>
  <c r="R178" i="1"/>
  <c r="Q178" i="1"/>
  <c r="P178" i="1"/>
  <c r="E160" i="1"/>
  <c r="E155" i="1"/>
  <c r="U177" i="1"/>
  <c r="T177" i="1"/>
  <c r="S177" i="1"/>
  <c r="R177" i="1"/>
  <c r="Q177" i="1"/>
  <c r="P177" i="1"/>
  <c r="U176" i="1"/>
  <c r="T176" i="1"/>
  <c r="S176" i="1"/>
  <c r="R176" i="1"/>
  <c r="Q176" i="1"/>
  <c r="P176" i="1"/>
  <c r="U175" i="1"/>
  <c r="T175" i="1"/>
  <c r="S175" i="1"/>
  <c r="R175" i="1"/>
  <c r="P175" i="1"/>
  <c r="M175" i="1"/>
  <c r="D175" i="1"/>
  <c r="J175" i="1" s="1"/>
  <c r="N175" i="1" s="1"/>
  <c r="U174" i="1"/>
  <c r="T174" i="1"/>
  <c r="S174" i="1"/>
  <c r="R174" i="1"/>
  <c r="Q174" i="1"/>
  <c r="P174" i="1"/>
  <c r="U173" i="1"/>
  <c r="T173" i="1"/>
  <c r="S173" i="1"/>
  <c r="R173" i="1"/>
  <c r="Q173" i="1"/>
  <c r="P173" i="1"/>
  <c r="U172" i="1"/>
  <c r="T172" i="1"/>
  <c r="S172" i="1"/>
  <c r="R172" i="1"/>
  <c r="Q172" i="1"/>
  <c r="P172" i="1"/>
  <c r="D172" i="1"/>
  <c r="J169" i="1" s="1"/>
  <c r="U171" i="1"/>
  <c r="T171" i="1"/>
  <c r="S171" i="1"/>
  <c r="R171" i="1"/>
  <c r="Q171" i="1"/>
  <c r="P171" i="1"/>
  <c r="U170" i="1"/>
  <c r="T170" i="1"/>
  <c r="S170" i="1"/>
  <c r="R170" i="1"/>
  <c r="Q170" i="1"/>
  <c r="P170" i="1"/>
  <c r="U169" i="1"/>
  <c r="T169" i="1"/>
  <c r="S169" i="1"/>
  <c r="R169" i="1"/>
  <c r="P169" i="1"/>
  <c r="M169" i="1"/>
  <c r="U168" i="1"/>
  <c r="T168" i="1"/>
  <c r="S168" i="1"/>
  <c r="R168" i="1"/>
  <c r="Q168" i="1"/>
  <c r="P168" i="1"/>
  <c r="U167" i="1"/>
  <c r="T167" i="1"/>
  <c r="S167" i="1"/>
  <c r="R167" i="1"/>
  <c r="Q167" i="1"/>
  <c r="P167" i="1"/>
  <c r="D167" i="1"/>
  <c r="J164" i="1" s="1"/>
  <c r="U166" i="1"/>
  <c r="T166" i="1"/>
  <c r="S166" i="1"/>
  <c r="R166" i="1"/>
  <c r="Q166" i="1"/>
  <c r="P166" i="1"/>
  <c r="U165" i="1"/>
  <c r="T165" i="1"/>
  <c r="S165" i="1"/>
  <c r="R165" i="1"/>
  <c r="Q165" i="1"/>
  <c r="P165" i="1"/>
  <c r="U164" i="1"/>
  <c r="T164" i="1"/>
  <c r="S164" i="1"/>
  <c r="R164" i="1"/>
  <c r="P164" i="1"/>
  <c r="M164" i="1"/>
  <c r="U163" i="1"/>
  <c r="T163" i="1"/>
  <c r="S163" i="1"/>
  <c r="R163" i="1"/>
  <c r="Q163" i="1"/>
  <c r="P163" i="1"/>
  <c r="U162" i="1"/>
  <c r="T162" i="1"/>
  <c r="S162" i="1"/>
  <c r="R162" i="1"/>
  <c r="Q162" i="1"/>
  <c r="P162" i="1"/>
  <c r="D162" i="1"/>
  <c r="U161" i="1"/>
  <c r="T161" i="1"/>
  <c r="S161" i="1"/>
  <c r="R161" i="1"/>
  <c r="Q161" i="1"/>
  <c r="P161" i="1"/>
  <c r="U160" i="1"/>
  <c r="T160" i="1"/>
  <c r="S160" i="1"/>
  <c r="R160" i="1"/>
  <c r="P160" i="1"/>
  <c r="U159" i="1"/>
  <c r="T159" i="1"/>
  <c r="S159" i="1"/>
  <c r="R159" i="1"/>
  <c r="Q159" i="1"/>
  <c r="P159" i="1"/>
  <c r="U158" i="1"/>
  <c r="T158" i="1"/>
  <c r="S158" i="1"/>
  <c r="R158" i="1"/>
  <c r="Q158" i="1"/>
  <c r="P158" i="1"/>
  <c r="U157" i="1"/>
  <c r="T157" i="1"/>
  <c r="S157" i="1"/>
  <c r="R157" i="1"/>
  <c r="Q157" i="1"/>
  <c r="P157" i="1"/>
  <c r="D157" i="1"/>
  <c r="U156" i="1"/>
  <c r="T156" i="1"/>
  <c r="S156" i="1"/>
  <c r="R156" i="1"/>
  <c r="Q156" i="1"/>
  <c r="P156" i="1"/>
  <c r="U155" i="1"/>
  <c r="T155" i="1"/>
  <c r="S155" i="1"/>
  <c r="R155" i="1"/>
  <c r="P155" i="1"/>
  <c r="U154" i="1"/>
  <c r="T154" i="1"/>
  <c r="S154" i="1"/>
  <c r="R154" i="1"/>
  <c r="Q154" i="1"/>
  <c r="P154" i="1"/>
  <c r="U153" i="1"/>
  <c r="T153" i="1"/>
  <c r="S153" i="1"/>
  <c r="R153" i="1"/>
  <c r="Q153" i="1"/>
  <c r="P153" i="1"/>
  <c r="U152" i="1"/>
  <c r="T152" i="1"/>
  <c r="Q152" i="1"/>
  <c r="P152" i="1"/>
  <c r="M152" i="1"/>
  <c r="U151" i="1"/>
  <c r="T151" i="1"/>
  <c r="Q151" i="1"/>
  <c r="P151" i="1"/>
  <c r="M151" i="1"/>
  <c r="U150" i="1"/>
  <c r="T150" i="1"/>
  <c r="Q150" i="1"/>
  <c r="P150" i="1"/>
  <c r="M150" i="1"/>
  <c r="U149" i="1"/>
  <c r="T149" i="1"/>
  <c r="Q149" i="1"/>
  <c r="P149" i="1"/>
  <c r="M149" i="1"/>
  <c r="U148" i="1"/>
  <c r="R148" i="1"/>
  <c r="Q148" i="1"/>
  <c r="P148" i="1"/>
  <c r="M148" i="1"/>
  <c r="I169" i="1"/>
  <c r="U147" i="1"/>
  <c r="T147" i="1"/>
  <c r="S147" i="1"/>
  <c r="R147" i="1"/>
  <c r="Q147" i="1"/>
  <c r="P147" i="1"/>
  <c r="M117" i="1"/>
  <c r="U146" i="1"/>
  <c r="T146" i="1"/>
  <c r="S146" i="1"/>
  <c r="R146" i="1"/>
  <c r="Q146" i="1"/>
  <c r="P146" i="1"/>
  <c r="U145" i="1"/>
  <c r="T145" i="1"/>
  <c r="S145" i="1"/>
  <c r="R145" i="1"/>
  <c r="Q145" i="1"/>
  <c r="P145" i="1"/>
  <c r="U144" i="1"/>
  <c r="T144" i="1"/>
  <c r="S144" i="1"/>
  <c r="R144" i="1"/>
  <c r="P144" i="1"/>
  <c r="M144" i="1"/>
  <c r="D144" i="1"/>
  <c r="J144" i="1" s="1"/>
  <c r="U143" i="1"/>
  <c r="T143" i="1"/>
  <c r="S143" i="1"/>
  <c r="R143" i="1"/>
  <c r="Q143" i="1"/>
  <c r="P143" i="1"/>
  <c r="U142" i="1"/>
  <c r="T142" i="1"/>
  <c r="S142" i="1"/>
  <c r="R142" i="1"/>
  <c r="Q142" i="1"/>
  <c r="P142" i="1"/>
  <c r="U141" i="1"/>
  <c r="T141" i="1"/>
  <c r="S141" i="1"/>
  <c r="R141" i="1"/>
  <c r="Q141" i="1"/>
  <c r="P141" i="1"/>
  <c r="D141" i="1"/>
  <c r="J138" i="1" s="1"/>
  <c r="U140" i="1"/>
  <c r="T140" i="1"/>
  <c r="S140" i="1"/>
  <c r="R140" i="1"/>
  <c r="Q140" i="1"/>
  <c r="P140" i="1"/>
  <c r="U139" i="1"/>
  <c r="T139" i="1"/>
  <c r="S139" i="1"/>
  <c r="R139" i="1"/>
  <c r="Q139" i="1"/>
  <c r="P139" i="1"/>
  <c r="U138" i="1"/>
  <c r="T138" i="1"/>
  <c r="S138" i="1"/>
  <c r="R138" i="1"/>
  <c r="P138" i="1"/>
  <c r="M138" i="1"/>
  <c r="U137" i="1"/>
  <c r="T137" i="1"/>
  <c r="S137" i="1"/>
  <c r="R137" i="1"/>
  <c r="Q137" i="1"/>
  <c r="P137" i="1"/>
  <c r="U136" i="1"/>
  <c r="T136" i="1"/>
  <c r="S136" i="1"/>
  <c r="R136" i="1"/>
  <c r="Q136" i="1"/>
  <c r="P136" i="1"/>
  <c r="D136" i="1"/>
  <c r="J133" i="1" s="1"/>
  <c r="U135" i="1"/>
  <c r="T135" i="1"/>
  <c r="S135" i="1"/>
  <c r="R135" i="1"/>
  <c r="Q135" i="1"/>
  <c r="P135" i="1"/>
  <c r="U134" i="1"/>
  <c r="T134" i="1"/>
  <c r="S134" i="1"/>
  <c r="R134" i="1"/>
  <c r="Q134" i="1"/>
  <c r="P134" i="1"/>
  <c r="U133" i="1"/>
  <c r="T133" i="1"/>
  <c r="S133" i="1"/>
  <c r="R133" i="1"/>
  <c r="P133" i="1"/>
  <c r="M133" i="1"/>
  <c r="U132" i="1"/>
  <c r="T132" i="1"/>
  <c r="S132" i="1"/>
  <c r="R132" i="1"/>
  <c r="Q132" i="1"/>
  <c r="P132" i="1"/>
  <c r="U131" i="1"/>
  <c r="T131" i="1"/>
  <c r="S131" i="1"/>
  <c r="R131" i="1"/>
  <c r="Q131" i="1"/>
  <c r="P131" i="1"/>
  <c r="D131" i="1"/>
  <c r="U130" i="1"/>
  <c r="T130" i="1"/>
  <c r="S130" i="1"/>
  <c r="R130" i="1"/>
  <c r="Q130" i="1"/>
  <c r="P130" i="1"/>
  <c r="U129" i="1"/>
  <c r="T129" i="1"/>
  <c r="S129" i="1"/>
  <c r="R129" i="1"/>
  <c r="P129" i="1"/>
  <c r="E129" i="1"/>
  <c r="J129" i="1" s="1"/>
  <c r="N129" i="1" s="1"/>
  <c r="U128" i="1"/>
  <c r="T128" i="1"/>
  <c r="S128" i="1"/>
  <c r="R128" i="1"/>
  <c r="Q128" i="1"/>
  <c r="P128" i="1"/>
  <c r="U127" i="1"/>
  <c r="T127" i="1"/>
  <c r="S127" i="1"/>
  <c r="R127" i="1"/>
  <c r="Q127" i="1"/>
  <c r="P127" i="1"/>
  <c r="U126" i="1"/>
  <c r="T126" i="1"/>
  <c r="S126" i="1"/>
  <c r="R126" i="1"/>
  <c r="Q126" i="1"/>
  <c r="P126" i="1"/>
  <c r="D126" i="1"/>
  <c r="U125" i="1"/>
  <c r="T125" i="1"/>
  <c r="S125" i="1"/>
  <c r="R125" i="1"/>
  <c r="Q125" i="1"/>
  <c r="P125" i="1"/>
  <c r="U124" i="1"/>
  <c r="T124" i="1"/>
  <c r="S124" i="1"/>
  <c r="R124" i="1"/>
  <c r="P124" i="1"/>
  <c r="E124" i="1"/>
  <c r="J124" i="1" s="1"/>
  <c r="N124" i="1" s="1"/>
  <c r="U123" i="1"/>
  <c r="T123" i="1"/>
  <c r="S123" i="1"/>
  <c r="R123" i="1"/>
  <c r="Q123" i="1"/>
  <c r="P123" i="1"/>
  <c r="U122" i="1"/>
  <c r="T122" i="1"/>
  <c r="S122" i="1"/>
  <c r="R122" i="1"/>
  <c r="Q122" i="1"/>
  <c r="P122" i="1"/>
  <c r="U121" i="1"/>
  <c r="R121" i="1"/>
  <c r="Q121" i="1"/>
  <c r="P121" i="1"/>
  <c r="M121" i="1"/>
  <c r="U120" i="1"/>
  <c r="R120" i="1"/>
  <c r="Q120" i="1"/>
  <c r="P120" i="1"/>
  <c r="M120" i="1"/>
  <c r="U119" i="1"/>
  <c r="R119" i="1"/>
  <c r="Q119" i="1"/>
  <c r="P119" i="1"/>
  <c r="M119" i="1"/>
  <c r="U118" i="1"/>
  <c r="R118" i="1"/>
  <c r="Q118" i="1"/>
  <c r="P118" i="1"/>
  <c r="M118" i="1"/>
  <c r="U117" i="1"/>
  <c r="S117" i="1"/>
  <c r="R117" i="1"/>
  <c r="Q117" i="1"/>
  <c r="P117" i="1"/>
  <c r="I138" i="1"/>
  <c r="U116" i="1"/>
  <c r="T116" i="1"/>
  <c r="S116" i="1"/>
  <c r="R116" i="1"/>
  <c r="Q116" i="1"/>
  <c r="P116" i="1"/>
  <c r="U115" i="1"/>
  <c r="T115" i="1"/>
  <c r="S115" i="1"/>
  <c r="R115" i="1"/>
  <c r="Q115" i="1"/>
  <c r="P115" i="1"/>
  <c r="M101" i="1"/>
  <c r="M112" i="1"/>
  <c r="P114" i="1"/>
  <c r="Q114" i="1"/>
  <c r="R114" i="1"/>
  <c r="S114" i="1"/>
  <c r="T114" i="1"/>
  <c r="U114" i="1"/>
  <c r="P264" i="1"/>
  <c r="Q264" i="1"/>
  <c r="R264" i="1"/>
  <c r="S264" i="1"/>
  <c r="T264" i="1"/>
  <c r="U264" i="1"/>
  <c r="P265" i="1"/>
  <c r="Q265" i="1"/>
  <c r="R265" i="1"/>
  <c r="S265" i="1"/>
  <c r="T265" i="1"/>
  <c r="U265" i="1"/>
  <c r="P266" i="1"/>
  <c r="Q266" i="1"/>
  <c r="R266" i="1"/>
  <c r="S266" i="1"/>
  <c r="T266" i="1"/>
  <c r="U266" i="1"/>
  <c r="P267" i="1"/>
  <c r="Q267" i="1"/>
  <c r="R267" i="1"/>
  <c r="S267" i="1"/>
  <c r="T267" i="1"/>
  <c r="U267" i="1"/>
  <c r="P268" i="1"/>
  <c r="Q268" i="1"/>
  <c r="R268" i="1"/>
  <c r="S268" i="1"/>
  <c r="T268" i="1"/>
  <c r="U268" i="1"/>
  <c r="P269" i="1"/>
  <c r="Q269" i="1"/>
  <c r="R269" i="1"/>
  <c r="S269" i="1"/>
  <c r="T269" i="1"/>
  <c r="U269" i="1"/>
  <c r="P106" i="1"/>
  <c r="R106" i="1"/>
  <c r="S106" i="1"/>
  <c r="T106" i="1"/>
  <c r="U106" i="1"/>
  <c r="P107" i="1"/>
  <c r="Q107" i="1"/>
  <c r="R107" i="1"/>
  <c r="S107" i="1"/>
  <c r="T107" i="1"/>
  <c r="U107" i="1"/>
  <c r="P108" i="1"/>
  <c r="Q108" i="1"/>
  <c r="R108" i="1"/>
  <c r="S108" i="1"/>
  <c r="T108" i="1"/>
  <c r="U108" i="1"/>
  <c r="P109" i="1"/>
  <c r="Q109" i="1"/>
  <c r="R109" i="1"/>
  <c r="S109" i="1"/>
  <c r="T109" i="1"/>
  <c r="U109" i="1"/>
  <c r="P110" i="1"/>
  <c r="Q110" i="1"/>
  <c r="R110" i="1"/>
  <c r="S110" i="1"/>
  <c r="T110" i="1"/>
  <c r="U110" i="1"/>
  <c r="P111" i="1"/>
  <c r="Q111" i="1"/>
  <c r="R111" i="1"/>
  <c r="S111" i="1"/>
  <c r="T111" i="1"/>
  <c r="U111" i="1"/>
  <c r="P112" i="1"/>
  <c r="R112" i="1"/>
  <c r="S112" i="1"/>
  <c r="T112" i="1"/>
  <c r="U112" i="1"/>
  <c r="P113" i="1"/>
  <c r="Q113" i="1"/>
  <c r="R113" i="1"/>
  <c r="S113" i="1"/>
  <c r="T113" i="1"/>
  <c r="U113" i="1"/>
  <c r="D112" i="1"/>
  <c r="J112" i="1" s="1"/>
  <c r="E97" i="1"/>
  <c r="M89" i="1"/>
  <c r="P89" i="1"/>
  <c r="Q89" i="1"/>
  <c r="S89" i="1"/>
  <c r="U89" i="1"/>
  <c r="E92" i="1"/>
  <c r="D109" i="1"/>
  <c r="J106" i="1" s="1"/>
  <c r="M106" i="1"/>
  <c r="U105" i="1"/>
  <c r="T105" i="1"/>
  <c r="S105" i="1"/>
  <c r="R105" i="1"/>
  <c r="Q105" i="1"/>
  <c r="P105" i="1"/>
  <c r="U104" i="1"/>
  <c r="T104" i="1"/>
  <c r="S104" i="1"/>
  <c r="R104" i="1"/>
  <c r="Q104" i="1"/>
  <c r="P104" i="1"/>
  <c r="D104" i="1"/>
  <c r="J101" i="1" s="1"/>
  <c r="N101" i="1" s="1"/>
  <c r="U103" i="1"/>
  <c r="T103" i="1"/>
  <c r="S103" i="1"/>
  <c r="R103" i="1"/>
  <c r="Q103" i="1"/>
  <c r="P103" i="1"/>
  <c r="U102" i="1"/>
  <c r="T102" i="1"/>
  <c r="S102" i="1"/>
  <c r="R102" i="1"/>
  <c r="Q102" i="1"/>
  <c r="P102" i="1"/>
  <c r="U101" i="1"/>
  <c r="T101" i="1"/>
  <c r="S101" i="1"/>
  <c r="R101" i="1"/>
  <c r="P101" i="1"/>
  <c r="U100" i="1"/>
  <c r="T100" i="1"/>
  <c r="S100" i="1"/>
  <c r="R100" i="1"/>
  <c r="Q100" i="1"/>
  <c r="P100" i="1"/>
  <c r="U99" i="1"/>
  <c r="T99" i="1"/>
  <c r="S99" i="1"/>
  <c r="R99" i="1"/>
  <c r="Q99" i="1"/>
  <c r="P99" i="1"/>
  <c r="D99" i="1"/>
  <c r="U98" i="1"/>
  <c r="T98" i="1"/>
  <c r="S98" i="1"/>
  <c r="R98" i="1"/>
  <c r="Q98" i="1"/>
  <c r="P98" i="1"/>
  <c r="U97" i="1"/>
  <c r="T97" i="1"/>
  <c r="S97" i="1"/>
  <c r="R97" i="1"/>
  <c r="P97" i="1"/>
  <c r="U96" i="1"/>
  <c r="T96" i="1"/>
  <c r="S96" i="1"/>
  <c r="R96" i="1"/>
  <c r="Q96" i="1"/>
  <c r="P96" i="1"/>
  <c r="U95" i="1"/>
  <c r="T95" i="1"/>
  <c r="S95" i="1"/>
  <c r="R95" i="1"/>
  <c r="Q95" i="1"/>
  <c r="P95" i="1"/>
  <c r="U94" i="1"/>
  <c r="T94" i="1"/>
  <c r="S94" i="1"/>
  <c r="R94" i="1"/>
  <c r="Q94" i="1"/>
  <c r="P94" i="1"/>
  <c r="D94" i="1"/>
  <c r="U93" i="1"/>
  <c r="T93" i="1"/>
  <c r="S93" i="1"/>
  <c r="R93" i="1"/>
  <c r="Q93" i="1"/>
  <c r="P93" i="1"/>
  <c r="U92" i="1"/>
  <c r="T92" i="1"/>
  <c r="S92" i="1"/>
  <c r="R92" i="1"/>
  <c r="P92" i="1"/>
  <c r="U91" i="1"/>
  <c r="T91" i="1"/>
  <c r="S91" i="1"/>
  <c r="R91" i="1"/>
  <c r="Q91" i="1"/>
  <c r="P91" i="1"/>
  <c r="U90" i="1"/>
  <c r="T90" i="1"/>
  <c r="S90" i="1"/>
  <c r="R90" i="1"/>
  <c r="Q90" i="1"/>
  <c r="P90" i="1"/>
  <c r="U88" i="1"/>
  <c r="S88" i="1"/>
  <c r="Q88" i="1"/>
  <c r="P88" i="1"/>
  <c r="M88" i="1"/>
  <c r="U87" i="1"/>
  <c r="R87" i="1"/>
  <c r="Q87" i="1"/>
  <c r="P87" i="1"/>
  <c r="M87" i="1"/>
  <c r="U86" i="1"/>
  <c r="S86" i="1"/>
  <c r="Q86" i="1"/>
  <c r="P86" i="1"/>
  <c r="M86" i="1"/>
  <c r="U85" i="1"/>
  <c r="R85" i="1"/>
  <c r="Q85" i="1"/>
  <c r="P85" i="1"/>
  <c r="M85" i="1"/>
  <c r="I106" i="1"/>
  <c r="U84" i="1"/>
  <c r="T84" i="1"/>
  <c r="S84" i="1"/>
  <c r="R84" i="1"/>
  <c r="Q84" i="1"/>
  <c r="P84" i="1"/>
  <c r="U83" i="1"/>
  <c r="T83" i="1"/>
  <c r="S83" i="1"/>
  <c r="R83" i="1"/>
  <c r="Q83" i="1"/>
  <c r="P83" i="1"/>
  <c r="U82" i="1"/>
  <c r="T82" i="1"/>
  <c r="S82" i="1"/>
  <c r="R82" i="1"/>
  <c r="Q82" i="1"/>
  <c r="P82" i="1"/>
  <c r="D82" i="1"/>
  <c r="J79" i="1" s="1"/>
  <c r="U81" i="1"/>
  <c r="T81" i="1"/>
  <c r="S81" i="1"/>
  <c r="R81" i="1"/>
  <c r="Q81" i="1"/>
  <c r="P81" i="1"/>
  <c r="U80" i="1"/>
  <c r="T80" i="1"/>
  <c r="S80" i="1"/>
  <c r="R80" i="1"/>
  <c r="Q80" i="1"/>
  <c r="P80" i="1"/>
  <c r="U79" i="1"/>
  <c r="T79" i="1"/>
  <c r="S79" i="1"/>
  <c r="R79" i="1"/>
  <c r="P79" i="1"/>
  <c r="M79" i="1"/>
  <c r="U78" i="1"/>
  <c r="T78" i="1"/>
  <c r="S78" i="1"/>
  <c r="R78" i="1"/>
  <c r="Q78" i="1"/>
  <c r="P78" i="1"/>
  <c r="U77" i="1"/>
  <c r="T77" i="1"/>
  <c r="S77" i="1"/>
  <c r="R77" i="1"/>
  <c r="Q77" i="1"/>
  <c r="P77" i="1"/>
  <c r="D77" i="1"/>
  <c r="J74" i="1" s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R74" i="1"/>
  <c r="P74" i="1"/>
  <c r="M74" i="1"/>
  <c r="U73" i="1"/>
  <c r="T73" i="1"/>
  <c r="S73" i="1"/>
  <c r="R73" i="1"/>
  <c r="Q73" i="1"/>
  <c r="P73" i="1"/>
  <c r="U72" i="1"/>
  <c r="T72" i="1"/>
  <c r="S72" i="1"/>
  <c r="R72" i="1"/>
  <c r="Q72" i="1"/>
  <c r="P72" i="1"/>
  <c r="D72" i="1"/>
  <c r="U71" i="1"/>
  <c r="T71" i="1"/>
  <c r="S71" i="1"/>
  <c r="R71" i="1"/>
  <c r="Q71" i="1"/>
  <c r="P71" i="1"/>
  <c r="U70" i="1"/>
  <c r="T70" i="1"/>
  <c r="S70" i="1"/>
  <c r="R70" i="1"/>
  <c r="P70" i="1"/>
  <c r="E70" i="1"/>
  <c r="U69" i="1"/>
  <c r="T69" i="1"/>
  <c r="S69" i="1"/>
  <c r="R69" i="1"/>
  <c r="Q69" i="1"/>
  <c r="P69" i="1"/>
  <c r="U68" i="1"/>
  <c r="T68" i="1"/>
  <c r="S68" i="1"/>
  <c r="R68" i="1"/>
  <c r="Q68" i="1"/>
  <c r="P68" i="1"/>
  <c r="U67" i="1"/>
  <c r="T67" i="1"/>
  <c r="S67" i="1"/>
  <c r="R67" i="1"/>
  <c r="Q67" i="1"/>
  <c r="P67" i="1"/>
  <c r="D67" i="1"/>
  <c r="U66" i="1"/>
  <c r="T66" i="1"/>
  <c r="S66" i="1"/>
  <c r="R66" i="1"/>
  <c r="Q66" i="1"/>
  <c r="P66" i="1"/>
  <c r="U65" i="1"/>
  <c r="T65" i="1"/>
  <c r="S65" i="1"/>
  <c r="R65" i="1"/>
  <c r="P65" i="1"/>
  <c r="E65" i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S62" i="1"/>
  <c r="Q62" i="1"/>
  <c r="P62" i="1"/>
  <c r="M62" i="1"/>
  <c r="T61" i="1"/>
  <c r="R61" i="1"/>
  <c r="Q61" i="1"/>
  <c r="P61" i="1"/>
  <c r="M61" i="1"/>
  <c r="T60" i="1"/>
  <c r="S60" i="1"/>
  <c r="Q60" i="1"/>
  <c r="P60" i="1"/>
  <c r="M60" i="1"/>
  <c r="T59" i="1"/>
  <c r="R59" i="1"/>
  <c r="Q59" i="1"/>
  <c r="P59" i="1"/>
  <c r="M59" i="1"/>
  <c r="I79" i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D56" i="1"/>
  <c r="J53" i="1" s="1"/>
  <c r="U55" i="1"/>
  <c r="T55" i="1"/>
  <c r="S55" i="1"/>
  <c r="R55" i="1"/>
  <c r="Q55" i="1"/>
  <c r="P55" i="1"/>
  <c r="U54" i="1"/>
  <c r="T54" i="1"/>
  <c r="S54" i="1"/>
  <c r="R54" i="1"/>
  <c r="Q54" i="1"/>
  <c r="P54" i="1"/>
  <c r="U53" i="1"/>
  <c r="T53" i="1"/>
  <c r="S53" i="1"/>
  <c r="R53" i="1"/>
  <c r="P53" i="1"/>
  <c r="M53" i="1"/>
  <c r="U52" i="1"/>
  <c r="T52" i="1"/>
  <c r="S52" i="1"/>
  <c r="R52" i="1"/>
  <c r="Q52" i="1"/>
  <c r="P52" i="1"/>
  <c r="U51" i="1"/>
  <c r="T51" i="1"/>
  <c r="S51" i="1"/>
  <c r="R51" i="1"/>
  <c r="Q51" i="1"/>
  <c r="P51" i="1"/>
  <c r="D51" i="1"/>
  <c r="J48" i="1" s="1"/>
  <c r="U50" i="1"/>
  <c r="T50" i="1"/>
  <c r="S50" i="1"/>
  <c r="R50" i="1"/>
  <c r="Q50" i="1"/>
  <c r="P50" i="1"/>
  <c r="U49" i="1"/>
  <c r="T49" i="1"/>
  <c r="S49" i="1"/>
  <c r="R49" i="1"/>
  <c r="Q49" i="1"/>
  <c r="P49" i="1"/>
  <c r="U48" i="1"/>
  <c r="T48" i="1"/>
  <c r="S48" i="1"/>
  <c r="R48" i="1"/>
  <c r="P48" i="1"/>
  <c r="M48" i="1"/>
  <c r="U47" i="1"/>
  <c r="T47" i="1"/>
  <c r="S47" i="1"/>
  <c r="R47" i="1"/>
  <c r="Q47" i="1"/>
  <c r="P47" i="1"/>
  <c r="U46" i="1"/>
  <c r="T46" i="1"/>
  <c r="S46" i="1"/>
  <c r="R46" i="1"/>
  <c r="Q46" i="1"/>
  <c r="P46" i="1"/>
  <c r="D46" i="1"/>
  <c r="U45" i="1"/>
  <c r="T45" i="1"/>
  <c r="S45" i="1"/>
  <c r="R45" i="1"/>
  <c r="Q45" i="1"/>
  <c r="P45" i="1"/>
  <c r="U44" i="1"/>
  <c r="T44" i="1"/>
  <c r="S44" i="1"/>
  <c r="R44" i="1"/>
  <c r="P44" i="1"/>
  <c r="E44" i="1"/>
  <c r="U43" i="1"/>
  <c r="T43" i="1"/>
  <c r="S43" i="1"/>
  <c r="R43" i="1"/>
  <c r="Q43" i="1"/>
  <c r="P43" i="1"/>
  <c r="U42" i="1"/>
  <c r="T42" i="1"/>
  <c r="S42" i="1"/>
  <c r="R42" i="1"/>
  <c r="Q42" i="1"/>
  <c r="P42" i="1"/>
  <c r="U41" i="1"/>
  <c r="T41" i="1"/>
  <c r="S41" i="1"/>
  <c r="R41" i="1"/>
  <c r="Q41" i="1"/>
  <c r="P41" i="1"/>
  <c r="D41" i="1"/>
  <c r="U40" i="1"/>
  <c r="T40" i="1"/>
  <c r="S40" i="1"/>
  <c r="R40" i="1"/>
  <c r="Q40" i="1"/>
  <c r="P40" i="1"/>
  <c r="U39" i="1"/>
  <c r="T39" i="1"/>
  <c r="S39" i="1"/>
  <c r="R39" i="1"/>
  <c r="P39" i="1"/>
  <c r="E39" i="1"/>
  <c r="U38" i="1"/>
  <c r="T38" i="1"/>
  <c r="S38" i="1"/>
  <c r="R38" i="1"/>
  <c r="Q38" i="1"/>
  <c r="P38" i="1"/>
  <c r="U37" i="1"/>
  <c r="T37" i="1"/>
  <c r="S37" i="1"/>
  <c r="R37" i="1"/>
  <c r="Q37" i="1"/>
  <c r="P37" i="1"/>
  <c r="U36" i="1"/>
  <c r="T36" i="1"/>
  <c r="Q36" i="1"/>
  <c r="P36" i="1"/>
  <c r="M36" i="1"/>
  <c r="U35" i="1"/>
  <c r="T35" i="1"/>
  <c r="R35" i="1"/>
  <c r="Q35" i="1"/>
  <c r="P35" i="1"/>
  <c r="M35" i="1"/>
  <c r="U34" i="1"/>
  <c r="S34" i="1"/>
  <c r="Q34" i="1"/>
  <c r="P34" i="1"/>
  <c r="M34" i="1"/>
  <c r="U33" i="1"/>
  <c r="R33" i="1"/>
  <c r="Q33" i="1"/>
  <c r="P33" i="1"/>
  <c r="M33" i="1"/>
  <c r="I44" i="1"/>
  <c r="U32" i="1"/>
  <c r="T32" i="1"/>
  <c r="S32" i="1"/>
  <c r="R32" i="1"/>
  <c r="Q32" i="1"/>
  <c r="P32" i="1"/>
  <c r="M27" i="1"/>
  <c r="M22" i="1"/>
  <c r="J27" i="1"/>
  <c r="D30" i="1"/>
  <c r="D25" i="1"/>
  <c r="J22" i="1" s="1"/>
  <c r="D20" i="1"/>
  <c r="E18" i="1"/>
  <c r="D15" i="1"/>
  <c r="J13" i="1" s="1"/>
  <c r="E13" i="1"/>
  <c r="U30" i="1"/>
  <c r="T30" i="1"/>
  <c r="S30" i="1"/>
  <c r="R30" i="1"/>
  <c r="Q30" i="1"/>
  <c r="P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P27" i="1"/>
  <c r="U26" i="1"/>
  <c r="T26" i="1"/>
  <c r="S26" i="1"/>
  <c r="R26" i="1"/>
  <c r="Q26" i="1"/>
  <c r="P26" i="1"/>
  <c r="U20" i="1"/>
  <c r="T20" i="1"/>
  <c r="S20" i="1"/>
  <c r="R20" i="1"/>
  <c r="Q20" i="1"/>
  <c r="P20" i="1"/>
  <c r="U19" i="1"/>
  <c r="T19" i="1"/>
  <c r="S19" i="1"/>
  <c r="R19" i="1"/>
  <c r="Q19" i="1"/>
  <c r="P19" i="1"/>
  <c r="U18" i="1"/>
  <c r="T18" i="1"/>
  <c r="S18" i="1"/>
  <c r="R18" i="1"/>
  <c r="U17" i="1"/>
  <c r="T17" i="1"/>
  <c r="S17" i="1"/>
  <c r="R17" i="1"/>
  <c r="Q17" i="1"/>
  <c r="P17" i="1"/>
  <c r="U16" i="1"/>
  <c r="T16" i="1"/>
  <c r="S16" i="1"/>
  <c r="R16" i="1"/>
  <c r="Q16" i="1"/>
  <c r="P16" i="1"/>
  <c r="M7" i="1"/>
  <c r="M10" i="1"/>
  <c r="M9" i="1"/>
  <c r="M8" i="1"/>
  <c r="J7" i="1"/>
  <c r="N7" i="1" s="1"/>
  <c r="O7" i="1" s="1"/>
  <c r="O217" i="1" l="1"/>
  <c r="Q217" i="1" s="1"/>
  <c r="J18" i="1"/>
  <c r="N48" i="1"/>
  <c r="N226" i="1"/>
  <c r="O226" i="1" s="1"/>
  <c r="Q226" i="1" s="1"/>
  <c r="N231" i="1"/>
  <c r="N13" i="1"/>
  <c r="O231" i="1"/>
  <c r="Q231" i="1" s="1"/>
  <c r="O222" i="1"/>
  <c r="Q222" i="1" s="1"/>
  <c r="N164" i="1"/>
  <c r="N112" i="1"/>
  <c r="N144" i="1"/>
  <c r="N18" i="1"/>
  <c r="J86" i="1"/>
  <c r="N86" i="1" s="1"/>
  <c r="O86" i="1" s="1"/>
  <c r="R86" i="1" s="1"/>
  <c r="I200" i="1"/>
  <c r="J179" i="1"/>
  <c r="N179" i="1" s="1"/>
  <c r="O179" i="1" s="1"/>
  <c r="S179" i="1" s="1"/>
  <c r="N205" i="1"/>
  <c r="J191" i="1"/>
  <c r="N191" i="1" s="1"/>
  <c r="N22" i="1"/>
  <c r="N27" i="1"/>
  <c r="J155" i="1"/>
  <c r="N155" i="1" s="1"/>
  <c r="N169" i="1"/>
  <c r="J181" i="1"/>
  <c r="N181" i="1" s="1"/>
  <c r="O181" i="1" s="1"/>
  <c r="R181" i="1" s="1"/>
  <c r="N200" i="1"/>
  <c r="J212" i="1"/>
  <c r="N212" i="1" s="1"/>
  <c r="O212" i="1" s="1"/>
  <c r="J214" i="1"/>
  <c r="N214" i="1" s="1"/>
  <c r="O214" i="1" s="1"/>
  <c r="J211" i="1"/>
  <c r="N211" i="1" s="1"/>
  <c r="O211" i="1" s="1"/>
  <c r="J213" i="1"/>
  <c r="N213" i="1" s="1"/>
  <c r="O213" i="1" s="1"/>
  <c r="O196" i="1"/>
  <c r="Q196" i="1" s="1"/>
  <c r="J70" i="1"/>
  <c r="N70" i="1" s="1"/>
  <c r="J97" i="1"/>
  <c r="N97" i="1" s="1"/>
  <c r="J183" i="1"/>
  <c r="N183" i="1" s="1"/>
  <c r="O183" i="1" s="1"/>
  <c r="R183" i="1" s="1"/>
  <c r="I22" i="1"/>
  <c r="N53" i="1"/>
  <c r="J65" i="1"/>
  <c r="N65" i="1" s="1"/>
  <c r="J186" i="1"/>
  <c r="N186" i="1" s="1"/>
  <c r="O205" i="1"/>
  <c r="Q205" i="1" s="1"/>
  <c r="J180" i="1"/>
  <c r="N180" i="1" s="1"/>
  <c r="O180" i="1" s="1"/>
  <c r="R180" i="1" s="1"/>
  <c r="J182" i="1"/>
  <c r="N182" i="1" s="1"/>
  <c r="O182" i="1" s="1"/>
  <c r="R182" i="1" s="1"/>
  <c r="I186" i="1"/>
  <c r="I191" i="1"/>
  <c r="J8" i="1"/>
  <c r="N8" i="1" s="1"/>
  <c r="O8" i="1" s="1"/>
  <c r="R8" i="1" s="1"/>
  <c r="J9" i="1"/>
  <c r="N9" i="1" s="1"/>
  <c r="O9" i="1" s="1"/>
  <c r="S9" i="1" s="1"/>
  <c r="O13" i="1"/>
  <c r="J39" i="1"/>
  <c r="N39" i="1" s="1"/>
  <c r="N79" i="1"/>
  <c r="O79" i="1" s="1"/>
  <c r="Q79" i="1" s="1"/>
  <c r="J85" i="1"/>
  <c r="N85" i="1" s="1"/>
  <c r="O85" i="1" s="1"/>
  <c r="S85" i="1" s="1"/>
  <c r="I92" i="1"/>
  <c r="I18" i="1"/>
  <c r="O18" i="1" s="1"/>
  <c r="N74" i="1"/>
  <c r="J87" i="1"/>
  <c r="N87" i="1" s="1"/>
  <c r="O87" i="1" s="1"/>
  <c r="S87" i="1" s="1"/>
  <c r="I112" i="1"/>
  <c r="J121" i="1"/>
  <c r="N133" i="1"/>
  <c r="N138" i="1"/>
  <c r="O138" i="1" s="1"/>
  <c r="Q138" i="1" s="1"/>
  <c r="J160" i="1"/>
  <c r="N160" i="1" s="1"/>
  <c r="J61" i="1"/>
  <c r="N61" i="1" s="1"/>
  <c r="O61" i="1" s="1"/>
  <c r="S61" i="1" s="1"/>
  <c r="I65" i="1"/>
  <c r="O65" i="1" s="1"/>
  <c r="Q65" i="1" s="1"/>
  <c r="I70" i="1"/>
  <c r="O70" i="1" s="1"/>
  <c r="Q70" i="1" s="1"/>
  <c r="J119" i="1"/>
  <c r="N119" i="1" s="1"/>
  <c r="O119" i="1" s="1"/>
  <c r="O169" i="1"/>
  <c r="Q169" i="1" s="1"/>
  <c r="I27" i="1"/>
  <c r="J44" i="1"/>
  <c r="N44" i="1" s="1"/>
  <c r="O44" i="1" s="1"/>
  <c r="Q44" i="1" s="1"/>
  <c r="J59" i="1"/>
  <c r="N59" i="1" s="1"/>
  <c r="O59" i="1" s="1"/>
  <c r="I97" i="1"/>
  <c r="O97" i="1" s="1"/>
  <c r="Q97" i="1" s="1"/>
  <c r="N106" i="1"/>
  <c r="O106" i="1" s="1"/>
  <c r="Q106" i="1" s="1"/>
  <c r="J89" i="1"/>
  <c r="N89" i="1" s="1"/>
  <c r="O89" i="1" s="1"/>
  <c r="R89" i="1" s="1"/>
  <c r="J117" i="1"/>
  <c r="N117" i="1" s="1"/>
  <c r="O117" i="1" s="1"/>
  <c r="T117" i="1" s="1"/>
  <c r="I124" i="1"/>
  <c r="O124" i="1" s="1"/>
  <c r="Q124" i="1" s="1"/>
  <c r="J149" i="1"/>
  <c r="N149" i="1" s="1"/>
  <c r="O149" i="1" s="1"/>
  <c r="J151" i="1"/>
  <c r="N151" i="1" s="1"/>
  <c r="O151" i="1" s="1"/>
  <c r="I155" i="1"/>
  <c r="O155" i="1" s="1"/>
  <c r="Q155" i="1" s="1"/>
  <c r="I160" i="1"/>
  <c r="I175" i="1"/>
  <c r="O175" i="1" s="1"/>
  <c r="Q175" i="1" s="1"/>
  <c r="J148" i="1"/>
  <c r="N148" i="1" s="1"/>
  <c r="O148" i="1" s="1"/>
  <c r="J150" i="1"/>
  <c r="N150" i="1" s="1"/>
  <c r="O150" i="1" s="1"/>
  <c r="J152" i="1"/>
  <c r="N152" i="1" s="1"/>
  <c r="O152" i="1" s="1"/>
  <c r="I164" i="1"/>
  <c r="O164" i="1" s="1"/>
  <c r="Q164" i="1" s="1"/>
  <c r="N121" i="1"/>
  <c r="O121" i="1" s="1"/>
  <c r="J118" i="1"/>
  <c r="N118" i="1" s="1"/>
  <c r="O118" i="1" s="1"/>
  <c r="J120" i="1"/>
  <c r="N120" i="1" s="1"/>
  <c r="O120" i="1" s="1"/>
  <c r="I129" i="1"/>
  <c r="O129" i="1" s="1"/>
  <c r="Q129" i="1" s="1"/>
  <c r="I144" i="1"/>
  <c r="I133" i="1"/>
  <c r="J92" i="1"/>
  <c r="N92" i="1" s="1"/>
  <c r="J88" i="1"/>
  <c r="N88" i="1" s="1"/>
  <c r="O88" i="1" s="1"/>
  <c r="I101" i="1"/>
  <c r="J60" i="1"/>
  <c r="N60" i="1" s="1"/>
  <c r="O60" i="1" s="1"/>
  <c r="J62" i="1"/>
  <c r="N62" i="1" s="1"/>
  <c r="O62" i="1" s="1"/>
  <c r="I74" i="1"/>
  <c r="J33" i="1"/>
  <c r="N33" i="1" s="1"/>
  <c r="O33" i="1" s="1"/>
  <c r="J34" i="1"/>
  <c r="N34" i="1" s="1"/>
  <c r="O34" i="1" s="1"/>
  <c r="J36" i="1"/>
  <c r="N36" i="1" s="1"/>
  <c r="O36" i="1" s="1"/>
  <c r="I48" i="1"/>
  <c r="O48" i="1" s="1"/>
  <c r="Q48" i="1" s="1"/>
  <c r="I53" i="1"/>
  <c r="O53" i="1" s="1"/>
  <c r="Q53" i="1" s="1"/>
  <c r="J35" i="1"/>
  <c r="N35" i="1" s="1"/>
  <c r="O35" i="1" s="1"/>
  <c r="S35" i="1" s="1"/>
  <c r="I39" i="1"/>
  <c r="P18" i="1"/>
  <c r="J10" i="1"/>
  <c r="N10" i="1" s="1"/>
  <c r="O10" i="1" s="1"/>
  <c r="S10" i="1" s="1"/>
  <c r="S7" i="1"/>
  <c r="P5" i="1"/>
  <c r="Q5" i="1"/>
  <c r="R5" i="1"/>
  <c r="S5" i="1"/>
  <c r="T5" i="1"/>
  <c r="U5" i="1"/>
  <c r="P31" i="1"/>
  <c r="Q31" i="1"/>
  <c r="R31" i="1"/>
  <c r="S31" i="1"/>
  <c r="T31" i="1"/>
  <c r="U31" i="1"/>
  <c r="P23" i="1"/>
  <c r="Q23" i="1"/>
  <c r="R23" i="1"/>
  <c r="S23" i="1"/>
  <c r="T23" i="1"/>
  <c r="U23" i="1"/>
  <c r="P24" i="1"/>
  <c r="Q24" i="1"/>
  <c r="R24" i="1"/>
  <c r="S24" i="1"/>
  <c r="T24" i="1"/>
  <c r="U24" i="1"/>
  <c r="P25" i="1"/>
  <c r="Q25" i="1"/>
  <c r="R25" i="1"/>
  <c r="S25" i="1"/>
  <c r="T25" i="1"/>
  <c r="U25" i="1"/>
  <c r="P11" i="1"/>
  <c r="Q11" i="1"/>
  <c r="R11" i="1"/>
  <c r="S11" i="1"/>
  <c r="T11" i="1"/>
  <c r="U11" i="1"/>
  <c r="P12" i="1"/>
  <c r="Q12" i="1"/>
  <c r="R12" i="1"/>
  <c r="S12" i="1"/>
  <c r="T12" i="1"/>
  <c r="U12" i="1"/>
  <c r="R13" i="1"/>
  <c r="S13" i="1"/>
  <c r="T13" i="1"/>
  <c r="U13" i="1"/>
  <c r="P14" i="1"/>
  <c r="Q14" i="1"/>
  <c r="R14" i="1"/>
  <c r="S14" i="1"/>
  <c r="T14" i="1"/>
  <c r="U14" i="1"/>
  <c r="P15" i="1"/>
  <c r="Q15" i="1"/>
  <c r="R15" i="1"/>
  <c r="S15" i="1"/>
  <c r="T15" i="1"/>
  <c r="U15" i="1"/>
  <c r="P21" i="1"/>
  <c r="Q21" i="1"/>
  <c r="R21" i="1"/>
  <c r="S21" i="1"/>
  <c r="T21" i="1"/>
  <c r="U21" i="1"/>
  <c r="R22" i="1"/>
  <c r="S22" i="1"/>
  <c r="T22" i="1"/>
  <c r="U22" i="1"/>
  <c r="P7" i="1"/>
  <c r="Q7" i="1"/>
  <c r="R7" i="1"/>
  <c r="T7" i="1"/>
  <c r="U7" i="1"/>
  <c r="P8" i="1"/>
  <c r="Q8" i="1"/>
  <c r="T8" i="1"/>
  <c r="U8" i="1"/>
  <c r="P9" i="1"/>
  <c r="Q9" i="1"/>
  <c r="R9" i="1"/>
  <c r="T9" i="1"/>
  <c r="U9" i="1"/>
  <c r="P10" i="1"/>
  <c r="Q10" i="1"/>
  <c r="T10" i="1"/>
  <c r="U10" i="1"/>
  <c r="U6" i="1"/>
  <c r="T6" i="1"/>
  <c r="S6" i="1"/>
  <c r="R6" i="1"/>
  <c r="Q6" i="1"/>
  <c r="P6" i="1"/>
  <c r="O200" i="1" l="1"/>
  <c r="Q200" i="1" s="1"/>
  <c r="T87" i="1"/>
  <c r="T86" i="1"/>
  <c r="O112" i="1"/>
  <c r="Q112" i="1" s="1"/>
  <c r="O186" i="1"/>
  <c r="Q186" i="1" s="1"/>
  <c r="O22" i="1"/>
  <c r="T85" i="1"/>
  <c r="O144" i="1"/>
  <c r="Q144" i="1" s="1"/>
  <c r="O191" i="1"/>
  <c r="Q191" i="1" s="1"/>
  <c r="R213" i="1"/>
  <c r="T213" i="1"/>
  <c r="R214" i="1"/>
  <c r="T214" i="1"/>
  <c r="R212" i="1"/>
  <c r="T212" i="1"/>
  <c r="S211" i="1"/>
  <c r="T211" i="1"/>
  <c r="O27" i="1"/>
  <c r="Q27" i="1" s="1"/>
  <c r="O92" i="1"/>
  <c r="Q92" i="1" s="1"/>
  <c r="O160" i="1"/>
  <c r="Q160" i="1" s="1"/>
  <c r="T89" i="1"/>
  <c r="O74" i="1"/>
  <c r="Q74" i="1" s="1"/>
  <c r="O101" i="1"/>
  <c r="Q101" i="1" s="1"/>
  <c r="U61" i="1"/>
  <c r="O39" i="1"/>
  <c r="Q39" i="1" s="1"/>
  <c r="O133" i="1"/>
  <c r="Q133" i="1" s="1"/>
  <c r="S151" i="1"/>
  <c r="R151" i="1"/>
  <c r="S152" i="1"/>
  <c r="R152" i="1"/>
  <c r="S150" i="1"/>
  <c r="R150" i="1"/>
  <c r="S149" i="1"/>
  <c r="R149" i="1"/>
  <c r="T148" i="1"/>
  <c r="S148" i="1"/>
  <c r="T121" i="1"/>
  <c r="S121" i="1"/>
  <c r="T120" i="1"/>
  <c r="S120" i="1"/>
  <c r="T119" i="1"/>
  <c r="S119" i="1"/>
  <c r="T118" i="1"/>
  <c r="S118" i="1"/>
  <c r="R62" i="1"/>
  <c r="T62" i="1"/>
  <c r="R60" i="1"/>
  <c r="U60" i="1"/>
  <c r="S59" i="1"/>
  <c r="U59" i="1"/>
  <c r="R36" i="1"/>
  <c r="S36" i="1"/>
  <c r="R34" i="1"/>
  <c r="T34" i="1"/>
  <c r="S33" i="1"/>
  <c r="T33" i="1"/>
  <c r="R88" i="1"/>
  <c r="T88" i="1"/>
  <c r="Q18" i="1"/>
  <c r="P13" i="1" l="1"/>
  <c r="Q13" i="1"/>
  <c r="S8" i="1"/>
  <c r="R10" i="1" l="1"/>
  <c r="U270" i="1" l="1"/>
  <c r="U272" i="1" s="1"/>
  <c r="R270" i="1"/>
  <c r="R272" i="1" s="1"/>
  <c r="S270" i="1"/>
  <c r="S272" i="1" s="1"/>
  <c r="T270" i="1"/>
  <c r="T272" i="1" s="1"/>
  <c r="P22" i="1" l="1"/>
  <c r="Q22" i="1"/>
  <c r="Q270" i="1" l="1"/>
  <c r="Q272" i="1" s="1"/>
  <c r="P270" i="1"/>
  <c r="P272" i="1" s="1"/>
  <c r="V272" i="1" l="1"/>
</calcChain>
</file>

<file path=xl/sharedStrings.xml><?xml version="1.0" encoding="utf-8"?>
<sst xmlns="http://schemas.openxmlformats.org/spreadsheetml/2006/main" count="344" uniqueCount="63">
  <si>
    <t>S.No.</t>
  </si>
  <si>
    <t>Description</t>
  </si>
  <si>
    <t>Shape of Bar in mm</t>
  </si>
  <si>
    <t>Spacing c/c</t>
  </si>
  <si>
    <t>Actual Length</t>
  </si>
  <si>
    <t>Lap</t>
  </si>
  <si>
    <t>No. Of Bend</t>
  </si>
  <si>
    <t>Deduction</t>
  </si>
  <si>
    <t>Cut Length</t>
  </si>
  <si>
    <t>Total Length</t>
  </si>
  <si>
    <t>TMT BAR Fe-500D or EQR</t>
  </si>
  <si>
    <t>Remarks</t>
  </si>
  <si>
    <t>8mm</t>
  </si>
  <si>
    <t>10mm</t>
  </si>
  <si>
    <t>12mm</t>
  </si>
  <si>
    <t>16mm</t>
  </si>
  <si>
    <t>20mm</t>
  </si>
  <si>
    <t>25mm</t>
  </si>
  <si>
    <t>VERTICAL BARS A</t>
  </si>
  <si>
    <t>VERTICAL BARS D</t>
  </si>
  <si>
    <t>Stirupps a</t>
  </si>
  <si>
    <t>Stirupps b</t>
  </si>
  <si>
    <t>Stirupps c</t>
  </si>
  <si>
    <t>TOTAL LENGTH IN METRE</t>
  </si>
  <si>
    <t>UNIT WEIGHT (IN KG)</t>
  </si>
  <si>
    <t>TOTAL WEIGHT (IN KG)</t>
  </si>
  <si>
    <t>VERTICAL BARS C</t>
  </si>
  <si>
    <t>TOTAL</t>
  </si>
  <si>
    <t>Dia of Bar</t>
  </si>
  <si>
    <t>Nos of Columns</t>
  </si>
  <si>
    <t>Nos of Bar</t>
  </si>
  <si>
    <t>Column C1  (300x600)</t>
  </si>
  <si>
    <t>VERTICAL BARS B</t>
  </si>
  <si>
    <t>Column C2  (300x600)</t>
  </si>
  <si>
    <t>Column C3  (300x600)</t>
  </si>
  <si>
    <t>VERTICAL BARS E</t>
  </si>
  <si>
    <t>Stirupps d</t>
  </si>
  <si>
    <t>Stirupps e</t>
  </si>
  <si>
    <t>Column C4  (300x750)</t>
  </si>
  <si>
    <t>Column C5  (300x750)</t>
  </si>
  <si>
    <t>Column C6  (300x715)</t>
  </si>
  <si>
    <t>Column C7  (300x800)</t>
  </si>
  <si>
    <t>Column C8  (300x600)</t>
  </si>
  <si>
    <t>TOWER-E COLUMN BBS (FROM FOUNDATION TO GROUND FLOOR LVL)</t>
  </si>
  <si>
    <t>SW1  (300x600)</t>
  </si>
  <si>
    <t>SW1  (230x650/1650)</t>
  </si>
  <si>
    <t>Stirupps f</t>
  </si>
  <si>
    <t>Stirupps g</t>
  </si>
  <si>
    <t>SW2  (230x650/1850)</t>
  </si>
  <si>
    <t>SW3  (230x1000)</t>
  </si>
  <si>
    <t>SW4  (230x1150)</t>
  </si>
  <si>
    <t>VERTICAL BARS F</t>
  </si>
  <si>
    <t>SW5  (230x1700)</t>
  </si>
  <si>
    <t>VERTICAL BARS G</t>
  </si>
  <si>
    <t>SW6  (230x1185)</t>
  </si>
  <si>
    <t>SW7  (230x1855)</t>
  </si>
  <si>
    <t>VERTICAL BARS H</t>
  </si>
  <si>
    <t>SW9  (230x650/1850)</t>
  </si>
  <si>
    <t>SW10  (230x3445)</t>
  </si>
  <si>
    <t>SW11  (230x4065)</t>
  </si>
  <si>
    <t>SW13  (230x3445)</t>
  </si>
  <si>
    <t>SW2  (230x650/1535)</t>
  </si>
  <si>
    <t>TOWER-E COLUMN FOUNDATION BBS (BELOW PLINTH BEAM)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</si>
</sst>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0" fillId="0" borderId="6" xfId="0" applyBorder="1" applyAlignment="1">
      <alignment horizontal="center"/>
    </xf>
    <xf numFmtId="0" fontId="0" fillId="0" borderId="6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left"/>
    </xf>
    <xf numFmtId="1" fontId="0" fillId="0" borderId="7" xfId="0" applyNumberFormat="1" applyFont="1" applyBorder="1" applyAlignment="1">
      <alignment horizontal="center"/>
    </xf>
    <xf numFmtId="1" fontId="0" fillId="0" borderId="8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7" xfId="0" applyFont="1" applyBorder="1" applyAlignment="1">
      <alignment horizontal="right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left"/>
    </xf>
    <xf numFmtId="164" fontId="0" fillId="0" borderId="8" xfId="0" applyNumberFormat="1" applyFont="1" applyBorder="1" applyAlignment="1">
      <alignment horizontal="left"/>
    </xf>
    <xf numFmtId="164" fontId="0" fillId="0" borderId="8" xfId="0" applyNumberFormat="1" applyFont="1" applyBorder="1" applyAlignment="1">
      <alignment horizontal="center"/>
    </xf>
    <xf numFmtId="164" fontId="0" fillId="0" borderId="6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 wrapText="1"/>
    </xf>
    <xf numFmtId="164" fontId="0" fillId="0" borderId="7" xfId="0" applyNumberFormat="1" applyFont="1" applyBorder="1" applyAlignment="1">
      <alignment horizontal="right"/>
    </xf>
    <xf numFmtId="0" fontId="0" fillId="2" borderId="4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385081</xdr:colOff>
      <xdr:row>4</xdr:row>
      <xdr:rowOff>297027</xdr:rowOff>
    </xdr:from>
    <xdr:to>
      <xdr:col>3</xdr:col>
      <xdr:colOff>392907</xdr:colOff>
      <xdr:row>8</xdr:row>
      <xdr:rowOff>154781</xdr:rowOff>
    </xdr:to>
    <xdr:cxnSp macro="">
      <xdr:nvCxnSpPr>
        <xdr:cNvPr id="2" name="Straight Connector 1"/>
        <xdr:cNvCxnSpPr/>
      </xdr:nvCxnSpPr>
      <xdr:spPr>
        <a:xfrm>
          <a:off x="2968737" y="1118558"/>
          <a:ext cx="7826" cy="750723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8</xdr:row>
      <xdr:rowOff>142875</xdr:rowOff>
    </xdr:from>
    <xdr:to>
      <xdr:col>4</xdr:col>
      <xdr:colOff>11908</xdr:colOff>
      <xdr:row>8</xdr:row>
      <xdr:rowOff>154782</xdr:rowOff>
    </xdr:to>
    <xdr:cxnSp macro="">
      <xdr:nvCxnSpPr>
        <xdr:cNvPr id="102" name="Straight Connector 101"/>
        <xdr:cNvCxnSpPr/>
      </xdr:nvCxnSpPr>
      <xdr:spPr>
        <a:xfrm flipH="1" flipV="1">
          <a:off x="2952751" y="1857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103" name="Straight Arrow Connector 102"/>
        <xdr:cNvCxnSpPr/>
      </xdr:nvCxnSpPr>
      <xdr:spPr>
        <a:xfrm flipH="1" flipV="1">
          <a:off x="2707351" y="1126678"/>
          <a:ext cx="7274" cy="21872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7</xdr:row>
      <xdr:rowOff>11907</xdr:rowOff>
    </xdr:from>
    <xdr:to>
      <xdr:col>3</xdr:col>
      <xdr:colOff>130969</xdr:colOff>
      <xdr:row>8</xdr:row>
      <xdr:rowOff>154782</xdr:rowOff>
    </xdr:to>
    <xdr:cxnSp macro="">
      <xdr:nvCxnSpPr>
        <xdr:cNvPr id="104" name="Straight Arrow Connector 103"/>
        <xdr:cNvCxnSpPr/>
      </xdr:nvCxnSpPr>
      <xdr:spPr>
        <a:xfrm>
          <a:off x="2714625" y="1535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11</xdr:row>
      <xdr:rowOff>89297</xdr:rowOff>
    </xdr:from>
    <xdr:to>
      <xdr:col>3</xdr:col>
      <xdr:colOff>178594</xdr:colOff>
      <xdr:row>12</xdr:row>
      <xdr:rowOff>59531</xdr:rowOff>
    </xdr:to>
    <xdr:cxnSp macro="">
      <xdr:nvCxnSpPr>
        <xdr:cNvPr id="179" name="Straight Connector 178"/>
        <xdr:cNvCxnSpPr/>
      </xdr:nvCxnSpPr>
      <xdr:spPr>
        <a:xfrm>
          <a:off x="3387328" y="332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11</xdr:row>
      <xdr:rowOff>35719</xdr:rowOff>
    </xdr:from>
    <xdr:to>
      <xdr:col>3</xdr:col>
      <xdr:colOff>285750</xdr:colOff>
      <xdr:row>11</xdr:row>
      <xdr:rowOff>154781</xdr:rowOff>
    </xdr:to>
    <xdr:cxnSp macro="">
      <xdr:nvCxnSpPr>
        <xdr:cNvPr id="180" name="Straight Connector 179"/>
        <xdr:cNvCxnSpPr/>
      </xdr:nvCxnSpPr>
      <xdr:spPr>
        <a:xfrm>
          <a:off x="3423047" y="327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20</xdr:row>
      <xdr:rowOff>124558</xdr:rowOff>
    </xdr:from>
    <xdr:to>
      <xdr:col>3</xdr:col>
      <xdr:colOff>381000</xdr:colOff>
      <xdr:row>23</xdr:row>
      <xdr:rowOff>124558</xdr:rowOff>
    </xdr:to>
    <xdr:cxnSp macro="">
      <xdr:nvCxnSpPr>
        <xdr:cNvPr id="181" name="Straight Connector 180"/>
        <xdr:cNvCxnSpPr/>
      </xdr:nvCxnSpPr>
      <xdr:spPr>
        <a:xfrm flipH="1">
          <a:off x="2515426" y="4315558"/>
          <a:ext cx="451978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</xdr:row>
      <xdr:rowOff>139212</xdr:rowOff>
    </xdr:from>
    <xdr:to>
      <xdr:col>4</xdr:col>
      <xdr:colOff>116773</xdr:colOff>
      <xdr:row>23</xdr:row>
      <xdr:rowOff>117231</xdr:rowOff>
    </xdr:to>
    <xdr:cxnSp macro="">
      <xdr:nvCxnSpPr>
        <xdr:cNvPr id="182" name="Straight Connector 181"/>
        <xdr:cNvCxnSpPr/>
      </xdr:nvCxnSpPr>
      <xdr:spPr>
        <a:xfrm>
          <a:off x="2967404" y="4330212"/>
          <a:ext cx="453811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23</xdr:row>
      <xdr:rowOff>118956</xdr:rowOff>
    </xdr:from>
    <xdr:to>
      <xdr:col>4</xdr:col>
      <xdr:colOff>134902</xdr:colOff>
      <xdr:row>23</xdr:row>
      <xdr:rowOff>118956</xdr:rowOff>
    </xdr:to>
    <xdr:cxnSp macro="">
      <xdr:nvCxnSpPr>
        <xdr:cNvPr id="183" name="Straight Connector 182"/>
        <xdr:cNvCxnSpPr/>
      </xdr:nvCxnSpPr>
      <xdr:spPr>
        <a:xfrm>
          <a:off x="2508395" y="4881456"/>
          <a:ext cx="930949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21</xdr:row>
      <xdr:rowOff>36635</xdr:rowOff>
    </xdr:from>
    <xdr:to>
      <xdr:col>3</xdr:col>
      <xdr:colOff>300404</xdr:colOff>
      <xdr:row>22</xdr:row>
      <xdr:rowOff>45337</xdr:rowOff>
    </xdr:to>
    <xdr:cxnSp macro="">
      <xdr:nvCxnSpPr>
        <xdr:cNvPr id="184" name="Straight Connector 183"/>
        <xdr:cNvCxnSpPr/>
      </xdr:nvCxnSpPr>
      <xdr:spPr>
        <a:xfrm flipH="1">
          <a:off x="2881313" y="4418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21</xdr:row>
      <xdr:rowOff>25749</xdr:rowOff>
    </xdr:from>
    <xdr:to>
      <xdr:col>3</xdr:col>
      <xdr:colOff>472128</xdr:colOff>
      <xdr:row>22</xdr:row>
      <xdr:rowOff>36635</xdr:rowOff>
    </xdr:to>
    <xdr:cxnSp macro="">
      <xdr:nvCxnSpPr>
        <xdr:cNvPr id="185" name="Straight Connector 184"/>
        <xdr:cNvCxnSpPr/>
      </xdr:nvCxnSpPr>
      <xdr:spPr>
        <a:xfrm>
          <a:off x="3040673" y="4407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11</xdr:row>
      <xdr:rowOff>44824</xdr:rowOff>
    </xdr:from>
    <xdr:to>
      <xdr:col>3</xdr:col>
      <xdr:colOff>67235</xdr:colOff>
      <xdr:row>13</xdr:row>
      <xdr:rowOff>156883</xdr:rowOff>
    </xdr:to>
    <xdr:cxnSp macro="">
      <xdr:nvCxnSpPr>
        <xdr:cNvPr id="186" name="Straight Connector 185"/>
        <xdr:cNvCxnSpPr/>
      </xdr:nvCxnSpPr>
      <xdr:spPr>
        <a:xfrm>
          <a:off x="3384176" y="328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13</xdr:row>
      <xdr:rowOff>166690</xdr:rowOff>
    </xdr:from>
    <xdr:to>
      <xdr:col>4</xdr:col>
      <xdr:colOff>29308</xdr:colOff>
      <xdr:row>13</xdr:row>
      <xdr:rowOff>168519</xdr:rowOff>
    </xdr:to>
    <xdr:cxnSp macro="">
      <xdr:nvCxnSpPr>
        <xdr:cNvPr id="190" name="Straight Connector 189"/>
        <xdr:cNvCxnSpPr/>
      </xdr:nvCxnSpPr>
      <xdr:spPr>
        <a:xfrm>
          <a:off x="2645935" y="3595690"/>
          <a:ext cx="687815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41673</xdr:rowOff>
    </xdr:from>
    <xdr:to>
      <xdr:col>4</xdr:col>
      <xdr:colOff>12211</xdr:colOff>
      <xdr:row>14</xdr:row>
      <xdr:rowOff>0</xdr:rowOff>
    </xdr:to>
    <xdr:cxnSp macro="">
      <xdr:nvCxnSpPr>
        <xdr:cNvPr id="194" name="Straight Connector 193"/>
        <xdr:cNvCxnSpPr/>
      </xdr:nvCxnSpPr>
      <xdr:spPr>
        <a:xfrm flipH="1" flipV="1">
          <a:off x="3309327" y="3155615"/>
          <a:ext cx="12211" cy="54448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11</xdr:row>
      <xdr:rowOff>32918</xdr:rowOff>
    </xdr:from>
    <xdr:to>
      <xdr:col>4</xdr:col>
      <xdr:colOff>17861</xdr:colOff>
      <xdr:row>11</xdr:row>
      <xdr:rowOff>35719</xdr:rowOff>
    </xdr:to>
    <xdr:cxnSp macro="">
      <xdr:nvCxnSpPr>
        <xdr:cNvPr id="198" name="Straight Connector 197"/>
        <xdr:cNvCxnSpPr/>
      </xdr:nvCxnSpPr>
      <xdr:spPr>
        <a:xfrm flipH="1">
          <a:off x="3387328" y="3271418"/>
          <a:ext cx="565549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</xdr:row>
      <xdr:rowOff>89297</xdr:rowOff>
    </xdr:from>
    <xdr:to>
      <xdr:col>3</xdr:col>
      <xdr:colOff>178594</xdr:colOff>
      <xdr:row>17</xdr:row>
      <xdr:rowOff>59531</xdr:rowOff>
    </xdr:to>
    <xdr:cxnSp macro="">
      <xdr:nvCxnSpPr>
        <xdr:cNvPr id="354" name="Straight Connector 353"/>
        <xdr:cNvCxnSpPr/>
      </xdr:nvCxnSpPr>
      <xdr:spPr>
        <a:xfrm>
          <a:off x="2643187" y="237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16</xdr:row>
      <xdr:rowOff>35719</xdr:rowOff>
    </xdr:from>
    <xdr:to>
      <xdr:col>3</xdr:col>
      <xdr:colOff>285750</xdr:colOff>
      <xdr:row>16</xdr:row>
      <xdr:rowOff>154781</xdr:rowOff>
    </xdr:to>
    <xdr:cxnSp macro="">
      <xdr:nvCxnSpPr>
        <xdr:cNvPr id="355" name="Straight Connector 354"/>
        <xdr:cNvCxnSpPr/>
      </xdr:nvCxnSpPr>
      <xdr:spPr>
        <a:xfrm>
          <a:off x="2678906" y="232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16</xdr:row>
      <xdr:rowOff>44824</xdr:rowOff>
    </xdr:from>
    <xdr:to>
      <xdr:col>3</xdr:col>
      <xdr:colOff>67235</xdr:colOff>
      <xdr:row>18</xdr:row>
      <xdr:rowOff>156883</xdr:rowOff>
    </xdr:to>
    <xdr:cxnSp macro="">
      <xdr:nvCxnSpPr>
        <xdr:cNvPr id="356" name="Straight Connector 355"/>
        <xdr:cNvCxnSpPr/>
      </xdr:nvCxnSpPr>
      <xdr:spPr>
        <a:xfrm>
          <a:off x="2650891" y="233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</xdr:row>
      <xdr:rowOff>166690</xdr:rowOff>
    </xdr:from>
    <xdr:to>
      <xdr:col>4</xdr:col>
      <xdr:colOff>29308</xdr:colOff>
      <xdr:row>18</xdr:row>
      <xdr:rowOff>168519</xdr:rowOff>
    </xdr:to>
    <xdr:cxnSp macro="">
      <xdr:nvCxnSpPr>
        <xdr:cNvPr id="357" name="Straight Connector 356"/>
        <xdr:cNvCxnSpPr/>
      </xdr:nvCxnSpPr>
      <xdr:spPr>
        <a:xfrm>
          <a:off x="2643187" y="2833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41673</xdr:rowOff>
    </xdr:from>
    <xdr:to>
      <xdr:col>4</xdr:col>
      <xdr:colOff>12211</xdr:colOff>
      <xdr:row>19</xdr:row>
      <xdr:rowOff>0</xdr:rowOff>
    </xdr:to>
    <xdr:cxnSp macro="">
      <xdr:nvCxnSpPr>
        <xdr:cNvPr id="358" name="Straight Connector 357"/>
        <xdr:cNvCxnSpPr/>
      </xdr:nvCxnSpPr>
      <xdr:spPr>
        <a:xfrm flipH="1" flipV="1">
          <a:off x="3298031" y="232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</xdr:row>
      <xdr:rowOff>32918</xdr:rowOff>
    </xdr:from>
    <xdr:to>
      <xdr:col>4</xdr:col>
      <xdr:colOff>17861</xdr:colOff>
      <xdr:row>16</xdr:row>
      <xdr:rowOff>35719</xdr:rowOff>
    </xdr:to>
    <xdr:cxnSp macro="">
      <xdr:nvCxnSpPr>
        <xdr:cNvPr id="359" name="Straight Connector 358"/>
        <xdr:cNvCxnSpPr/>
      </xdr:nvCxnSpPr>
      <xdr:spPr>
        <a:xfrm flipH="1">
          <a:off x="2643187" y="2318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25</xdr:row>
      <xdr:rowOff>124558</xdr:rowOff>
    </xdr:from>
    <xdr:to>
      <xdr:col>3</xdr:col>
      <xdr:colOff>381000</xdr:colOff>
      <xdr:row>28</xdr:row>
      <xdr:rowOff>124558</xdr:rowOff>
    </xdr:to>
    <xdr:cxnSp macro="">
      <xdr:nvCxnSpPr>
        <xdr:cNvPr id="360" name="Straight Connector 359"/>
        <xdr:cNvCxnSpPr/>
      </xdr:nvCxnSpPr>
      <xdr:spPr>
        <a:xfrm flipH="1">
          <a:off x="2516342" y="4125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25</xdr:row>
      <xdr:rowOff>139212</xdr:rowOff>
    </xdr:from>
    <xdr:to>
      <xdr:col>4</xdr:col>
      <xdr:colOff>116773</xdr:colOff>
      <xdr:row>28</xdr:row>
      <xdr:rowOff>117231</xdr:rowOff>
    </xdr:to>
    <xdr:cxnSp macro="">
      <xdr:nvCxnSpPr>
        <xdr:cNvPr id="361" name="Straight Connector 360"/>
        <xdr:cNvCxnSpPr/>
      </xdr:nvCxnSpPr>
      <xdr:spPr>
        <a:xfrm>
          <a:off x="2964656" y="4139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28</xdr:row>
      <xdr:rowOff>118956</xdr:rowOff>
    </xdr:from>
    <xdr:to>
      <xdr:col>4</xdr:col>
      <xdr:colOff>134902</xdr:colOff>
      <xdr:row>28</xdr:row>
      <xdr:rowOff>118956</xdr:rowOff>
    </xdr:to>
    <xdr:cxnSp macro="">
      <xdr:nvCxnSpPr>
        <xdr:cNvPr id="362" name="Straight Connector 361"/>
        <xdr:cNvCxnSpPr/>
      </xdr:nvCxnSpPr>
      <xdr:spPr>
        <a:xfrm>
          <a:off x="2509311" y="4690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26</xdr:row>
      <xdr:rowOff>36635</xdr:rowOff>
    </xdr:from>
    <xdr:to>
      <xdr:col>3</xdr:col>
      <xdr:colOff>300404</xdr:colOff>
      <xdr:row>27</xdr:row>
      <xdr:rowOff>45337</xdr:rowOff>
    </xdr:to>
    <xdr:cxnSp macro="">
      <xdr:nvCxnSpPr>
        <xdr:cNvPr id="369" name="Straight Connector 368"/>
        <xdr:cNvCxnSpPr/>
      </xdr:nvCxnSpPr>
      <xdr:spPr>
        <a:xfrm flipH="1">
          <a:off x="2878565" y="4227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26</xdr:row>
      <xdr:rowOff>25749</xdr:rowOff>
    </xdr:from>
    <xdr:to>
      <xdr:col>3</xdr:col>
      <xdr:colOff>472128</xdr:colOff>
      <xdr:row>27</xdr:row>
      <xdr:rowOff>36635</xdr:rowOff>
    </xdr:to>
    <xdr:cxnSp macro="">
      <xdr:nvCxnSpPr>
        <xdr:cNvPr id="370" name="Straight Connector 369"/>
        <xdr:cNvCxnSpPr/>
      </xdr:nvCxnSpPr>
      <xdr:spPr>
        <a:xfrm>
          <a:off x="3037925" y="4216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30</xdr:row>
      <xdr:rowOff>297027</xdr:rowOff>
    </xdr:from>
    <xdr:to>
      <xdr:col>3</xdr:col>
      <xdr:colOff>392907</xdr:colOff>
      <xdr:row>34</xdr:row>
      <xdr:rowOff>154781</xdr:rowOff>
    </xdr:to>
    <xdr:cxnSp macro="">
      <xdr:nvCxnSpPr>
        <xdr:cNvPr id="392" name="Straight Connector 391"/>
        <xdr:cNvCxnSpPr/>
      </xdr:nvCxnSpPr>
      <xdr:spPr>
        <a:xfrm>
          <a:off x="3159237" y="1118558"/>
          <a:ext cx="7826" cy="750723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34</xdr:row>
      <xdr:rowOff>142875</xdr:rowOff>
    </xdr:from>
    <xdr:to>
      <xdr:col>4</xdr:col>
      <xdr:colOff>11908</xdr:colOff>
      <xdr:row>34</xdr:row>
      <xdr:rowOff>154782</xdr:rowOff>
    </xdr:to>
    <xdr:cxnSp macro="">
      <xdr:nvCxnSpPr>
        <xdr:cNvPr id="393" name="Straight Connector 392"/>
        <xdr:cNvCxnSpPr/>
      </xdr:nvCxnSpPr>
      <xdr:spPr>
        <a:xfrm flipH="1" flipV="1">
          <a:off x="3143251" y="1857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30</xdr:row>
      <xdr:rowOff>305147</xdr:rowOff>
    </xdr:from>
    <xdr:to>
      <xdr:col>3</xdr:col>
      <xdr:colOff>130969</xdr:colOff>
      <xdr:row>32</xdr:row>
      <xdr:rowOff>11906</xdr:rowOff>
    </xdr:to>
    <xdr:cxnSp macro="">
      <xdr:nvCxnSpPr>
        <xdr:cNvPr id="394" name="Straight Arrow Connector 393"/>
        <xdr:cNvCxnSpPr/>
      </xdr:nvCxnSpPr>
      <xdr:spPr>
        <a:xfrm flipH="1" flipV="1">
          <a:off x="2897851" y="1126678"/>
          <a:ext cx="7274" cy="21872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33</xdr:row>
      <xdr:rowOff>11907</xdr:rowOff>
    </xdr:from>
    <xdr:to>
      <xdr:col>3</xdr:col>
      <xdr:colOff>130969</xdr:colOff>
      <xdr:row>34</xdr:row>
      <xdr:rowOff>154782</xdr:rowOff>
    </xdr:to>
    <xdr:cxnSp macro="">
      <xdr:nvCxnSpPr>
        <xdr:cNvPr id="395" name="Straight Arrow Connector 394"/>
        <xdr:cNvCxnSpPr/>
      </xdr:nvCxnSpPr>
      <xdr:spPr>
        <a:xfrm>
          <a:off x="2905125" y="1535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</xdr:row>
      <xdr:rowOff>89297</xdr:rowOff>
    </xdr:from>
    <xdr:to>
      <xdr:col>3</xdr:col>
      <xdr:colOff>178594</xdr:colOff>
      <xdr:row>38</xdr:row>
      <xdr:rowOff>59531</xdr:rowOff>
    </xdr:to>
    <xdr:cxnSp macro="">
      <xdr:nvCxnSpPr>
        <xdr:cNvPr id="396" name="Straight Connector 395"/>
        <xdr:cNvCxnSpPr/>
      </xdr:nvCxnSpPr>
      <xdr:spPr>
        <a:xfrm>
          <a:off x="2833687" y="237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37</xdr:row>
      <xdr:rowOff>35719</xdr:rowOff>
    </xdr:from>
    <xdr:to>
      <xdr:col>3</xdr:col>
      <xdr:colOff>285750</xdr:colOff>
      <xdr:row>37</xdr:row>
      <xdr:rowOff>154781</xdr:rowOff>
    </xdr:to>
    <xdr:cxnSp macro="">
      <xdr:nvCxnSpPr>
        <xdr:cNvPr id="397" name="Straight Connector 396"/>
        <xdr:cNvCxnSpPr/>
      </xdr:nvCxnSpPr>
      <xdr:spPr>
        <a:xfrm>
          <a:off x="2869406" y="232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46</xdr:row>
      <xdr:rowOff>124558</xdr:rowOff>
    </xdr:from>
    <xdr:to>
      <xdr:col>3</xdr:col>
      <xdr:colOff>381000</xdr:colOff>
      <xdr:row>49</xdr:row>
      <xdr:rowOff>124558</xdr:rowOff>
    </xdr:to>
    <xdr:cxnSp macro="">
      <xdr:nvCxnSpPr>
        <xdr:cNvPr id="398" name="Straight Connector 397"/>
        <xdr:cNvCxnSpPr/>
      </xdr:nvCxnSpPr>
      <xdr:spPr>
        <a:xfrm flipH="1">
          <a:off x="2706842" y="4125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46</xdr:row>
      <xdr:rowOff>139212</xdr:rowOff>
    </xdr:from>
    <xdr:to>
      <xdr:col>4</xdr:col>
      <xdr:colOff>116773</xdr:colOff>
      <xdr:row>49</xdr:row>
      <xdr:rowOff>117231</xdr:rowOff>
    </xdr:to>
    <xdr:cxnSp macro="">
      <xdr:nvCxnSpPr>
        <xdr:cNvPr id="399" name="Straight Connector 398"/>
        <xdr:cNvCxnSpPr/>
      </xdr:nvCxnSpPr>
      <xdr:spPr>
        <a:xfrm>
          <a:off x="3155156" y="4139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49</xdr:row>
      <xdr:rowOff>118956</xdr:rowOff>
    </xdr:from>
    <xdr:to>
      <xdr:col>4</xdr:col>
      <xdr:colOff>134902</xdr:colOff>
      <xdr:row>49</xdr:row>
      <xdr:rowOff>118956</xdr:rowOff>
    </xdr:to>
    <xdr:cxnSp macro="">
      <xdr:nvCxnSpPr>
        <xdr:cNvPr id="400" name="Straight Connector 399"/>
        <xdr:cNvCxnSpPr/>
      </xdr:nvCxnSpPr>
      <xdr:spPr>
        <a:xfrm>
          <a:off x="2699811" y="4690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47</xdr:row>
      <xdr:rowOff>36635</xdr:rowOff>
    </xdr:from>
    <xdr:to>
      <xdr:col>3</xdr:col>
      <xdr:colOff>300404</xdr:colOff>
      <xdr:row>48</xdr:row>
      <xdr:rowOff>45337</xdr:rowOff>
    </xdr:to>
    <xdr:cxnSp macro="">
      <xdr:nvCxnSpPr>
        <xdr:cNvPr id="401" name="Straight Connector 400"/>
        <xdr:cNvCxnSpPr/>
      </xdr:nvCxnSpPr>
      <xdr:spPr>
        <a:xfrm flipH="1">
          <a:off x="3069065" y="4227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47</xdr:row>
      <xdr:rowOff>25749</xdr:rowOff>
    </xdr:from>
    <xdr:to>
      <xdr:col>3</xdr:col>
      <xdr:colOff>472128</xdr:colOff>
      <xdr:row>48</xdr:row>
      <xdr:rowOff>36635</xdr:rowOff>
    </xdr:to>
    <xdr:cxnSp macro="">
      <xdr:nvCxnSpPr>
        <xdr:cNvPr id="402" name="Straight Connector 401"/>
        <xdr:cNvCxnSpPr/>
      </xdr:nvCxnSpPr>
      <xdr:spPr>
        <a:xfrm>
          <a:off x="3228425" y="4216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37</xdr:row>
      <xdr:rowOff>44824</xdr:rowOff>
    </xdr:from>
    <xdr:to>
      <xdr:col>3</xdr:col>
      <xdr:colOff>67235</xdr:colOff>
      <xdr:row>39</xdr:row>
      <xdr:rowOff>156883</xdr:rowOff>
    </xdr:to>
    <xdr:cxnSp macro="">
      <xdr:nvCxnSpPr>
        <xdr:cNvPr id="403" name="Straight Connector 402"/>
        <xdr:cNvCxnSpPr/>
      </xdr:nvCxnSpPr>
      <xdr:spPr>
        <a:xfrm>
          <a:off x="2841391" y="233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</xdr:row>
      <xdr:rowOff>166690</xdr:rowOff>
    </xdr:from>
    <xdr:to>
      <xdr:col>4</xdr:col>
      <xdr:colOff>29308</xdr:colOff>
      <xdr:row>39</xdr:row>
      <xdr:rowOff>168519</xdr:rowOff>
    </xdr:to>
    <xdr:cxnSp macro="">
      <xdr:nvCxnSpPr>
        <xdr:cNvPr id="404" name="Straight Connector 403"/>
        <xdr:cNvCxnSpPr/>
      </xdr:nvCxnSpPr>
      <xdr:spPr>
        <a:xfrm>
          <a:off x="2833687" y="2833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41673</xdr:rowOff>
    </xdr:from>
    <xdr:to>
      <xdr:col>4</xdr:col>
      <xdr:colOff>12211</xdr:colOff>
      <xdr:row>40</xdr:row>
      <xdr:rowOff>0</xdr:rowOff>
    </xdr:to>
    <xdr:cxnSp macro="">
      <xdr:nvCxnSpPr>
        <xdr:cNvPr id="405" name="Straight Connector 404"/>
        <xdr:cNvCxnSpPr/>
      </xdr:nvCxnSpPr>
      <xdr:spPr>
        <a:xfrm flipH="1" flipV="1">
          <a:off x="3488531" y="232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</xdr:row>
      <xdr:rowOff>32918</xdr:rowOff>
    </xdr:from>
    <xdr:to>
      <xdr:col>4</xdr:col>
      <xdr:colOff>17861</xdr:colOff>
      <xdr:row>37</xdr:row>
      <xdr:rowOff>35719</xdr:rowOff>
    </xdr:to>
    <xdr:cxnSp macro="">
      <xdr:nvCxnSpPr>
        <xdr:cNvPr id="406" name="Straight Connector 405"/>
        <xdr:cNvCxnSpPr/>
      </xdr:nvCxnSpPr>
      <xdr:spPr>
        <a:xfrm flipH="1">
          <a:off x="2833687" y="2318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</xdr:row>
      <xdr:rowOff>89297</xdr:rowOff>
    </xdr:from>
    <xdr:to>
      <xdr:col>3</xdr:col>
      <xdr:colOff>178594</xdr:colOff>
      <xdr:row>43</xdr:row>
      <xdr:rowOff>59531</xdr:rowOff>
    </xdr:to>
    <xdr:cxnSp macro="">
      <xdr:nvCxnSpPr>
        <xdr:cNvPr id="407" name="Straight Connector 406"/>
        <xdr:cNvCxnSpPr/>
      </xdr:nvCxnSpPr>
      <xdr:spPr>
        <a:xfrm>
          <a:off x="2833687" y="332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42</xdr:row>
      <xdr:rowOff>35719</xdr:rowOff>
    </xdr:from>
    <xdr:to>
      <xdr:col>3</xdr:col>
      <xdr:colOff>285750</xdr:colOff>
      <xdr:row>42</xdr:row>
      <xdr:rowOff>154781</xdr:rowOff>
    </xdr:to>
    <xdr:cxnSp macro="">
      <xdr:nvCxnSpPr>
        <xdr:cNvPr id="408" name="Straight Connector 407"/>
        <xdr:cNvCxnSpPr/>
      </xdr:nvCxnSpPr>
      <xdr:spPr>
        <a:xfrm>
          <a:off x="2869406" y="327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42</xdr:row>
      <xdr:rowOff>44824</xdr:rowOff>
    </xdr:from>
    <xdr:to>
      <xdr:col>3</xdr:col>
      <xdr:colOff>67235</xdr:colOff>
      <xdr:row>44</xdr:row>
      <xdr:rowOff>156883</xdr:rowOff>
    </xdr:to>
    <xdr:cxnSp macro="">
      <xdr:nvCxnSpPr>
        <xdr:cNvPr id="409" name="Straight Connector 408"/>
        <xdr:cNvCxnSpPr/>
      </xdr:nvCxnSpPr>
      <xdr:spPr>
        <a:xfrm>
          <a:off x="2841391" y="328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</xdr:row>
      <xdr:rowOff>166690</xdr:rowOff>
    </xdr:from>
    <xdr:to>
      <xdr:col>4</xdr:col>
      <xdr:colOff>29308</xdr:colOff>
      <xdr:row>44</xdr:row>
      <xdr:rowOff>168519</xdr:rowOff>
    </xdr:to>
    <xdr:cxnSp macro="">
      <xdr:nvCxnSpPr>
        <xdr:cNvPr id="410" name="Straight Connector 409"/>
        <xdr:cNvCxnSpPr/>
      </xdr:nvCxnSpPr>
      <xdr:spPr>
        <a:xfrm>
          <a:off x="2833687" y="3786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41673</xdr:rowOff>
    </xdr:from>
    <xdr:to>
      <xdr:col>4</xdr:col>
      <xdr:colOff>12211</xdr:colOff>
      <xdr:row>45</xdr:row>
      <xdr:rowOff>0</xdr:rowOff>
    </xdr:to>
    <xdr:cxnSp macro="">
      <xdr:nvCxnSpPr>
        <xdr:cNvPr id="486" name="Straight Connector 485"/>
        <xdr:cNvCxnSpPr/>
      </xdr:nvCxnSpPr>
      <xdr:spPr>
        <a:xfrm flipH="1" flipV="1">
          <a:off x="3488531" y="328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</xdr:row>
      <xdr:rowOff>32918</xdr:rowOff>
    </xdr:from>
    <xdr:to>
      <xdr:col>4</xdr:col>
      <xdr:colOff>17861</xdr:colOff>
      <xdr:row>42</xdr:row>
      <xdr:rowOff>35719</xdr:rowOff>
    </xdr:to>
    <xdr:cxnSp macro="">
      <xdr:nvCxnSpPr>
        <xdr:cNvPr id="487" name="Straight Connector 486"/>
        <xdr:cNvCxnSpPr/>
      </xdr:nvCxnSpPr>
      <xdr:spPr>
        <a:xfrm flipH="1">
          <a:off x="2833687" y="3271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51</xdr:row>
      <xdr:rowOff>124558</xdr:rowOff>
    </xdr:from>
    <xdr:to>
      <xdr:col>3</xdr:col>
      <xdr:colOff>381000</xdr:colOff>
      <xdr:row>54</xdr:row>
      <xdr:rowOff>124558</xdr:rowOff>
    </xdr:to>
    <xdr:cxnSp macro="">
      <xdr:nvCxnSpPr>
        <xdr:cNvPr id="488" name="Straight Connector 487"/>
        <xdr:cNvCxnSpPr/>
      </xdr:nvCxnSpPr>
      <xdr:spPr>
        <a:xfrm flipH="1">
          <a:off x="2706842" y="5077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51</xdr:row>
      <xdr:rowOff>139212</xdr:rowOff>
    </xdr:from>
    <xdr:to>
      <xdr:col>4</xdr:col>
      <xdr:colOff>116773</xdr:colOff>
      <xdr:row>54</xdr:row>
      <xdr:rowOff>117231</xdr:rowOff>
    </xdr:to>
    <xdr:cxnSp macro="">
      <xdr:nvCxnSpPr>
        <xdr:cNvPr id="501" name="Straight Connector 500"/>
        <xdr:cNvCxnSpPr/>
      </xdr:nvCxnSpPr>
      <xdr:spPr>
        <a:xfrm>
          <a:off x="3155156" y="5092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54</xdr:row>
      <xdr:rowOff>118956</xdr:rowOff>
    </xdr:from>
    <xdr:to>
      <xdr:col>4</xdr:col>
      <xdr:colOff>134902</xdr:colOff>
      <xdr:row>54</xdr:row>
      <xdr:rowOff>118956</xdr:rowOff>
    </xdr:to>
    <xdr:cxnSp macro="">
      <xdr:nvCxnSpPr>
        <xdr:cNvPr id="502" name="Straight Connector 501"/>
        <xdr:cNvCxnSpPr/>
      </xdr:nvCxnSpPr>
      <xdr:spPr>
        <a:xfrm>
          <a:off x="2699811" y="5643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52</xdr:row>
      <xdr:rowOff>36635</xdr:rowOff>
    </xdr:from>
    <xdr:to>
      <xdr:col>3</xdr:col>
      <xdr:colOff>300404</xdr:colOff>
      <xdr:row>53</xdr:row>
      <xdr:rowOff>45337</xdr:rowOff>
    </xdr:to>
    <xdr:cxnSp macro="">
      <xdr:nvCxnSpPr>
        <xdr:cNvPr id="503" name="Straight Connector 502"/>
        <xdr:cNvCxnSpPr/>
      </xdr:nvCxnSpPr>
      <xdr:spPr>
        <a:xfrm flipH="1">
          <a:off x="3069065" y="5180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52</xdr:row>
      <xdr:rowOff>25749</xdr:rowOff>
    </xdr:from>
    <xdr:to>
      <xdr:col>3</xdr:col>
      <xdr:colOff>472128</xdr:colOff>
      <xdr:row>53</xdr:row>
      <xdr:rowOff>36635</xdr:rowOff>
    </xdr:to>
    <xdr:cxnSp macro="">
      <xdr:nvCxnSpPr>
        <xdr:cNvPr id="504" name="Straight Connector 503"/>
        <xdr:cNvCxnSpPr/>
      </xdr:nvCxnSpPr>
      <xdr:spPr>
        <a:xfrm>
          <a:off x="3228425" y="5169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56</xdr:row>
      <xdr:rowOff>297027</xdr:rowOff>
    </xdr:from>
    <xdr:to>
      <xdr:col>3</xdr:col>
      <xdr:colOff>392907</xdr:colOff>
      <xdr:row>60</xdr:row>
      <xdr:rowOff>154781</xdr:rowOff>
    </xdr:to>
    <xdr:cxnSp macro="">
      <xdr:nvCxnSpPr>
        <xdr:cNvPr id="505" name="Straight Connector 504"/>
        <xdr:cNvCxnSpPr/>
      </xdr:nvCxnSpPr>
      <xdr:spPr>
        <a:xfrm>
          <a:off x="3159237" y="6097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60</xdr:row>
      <xdr:rowOff>142875</xdr:rowOff>
    </xdr:from>
    <xdr:to>
      <xdr:col>4</xdr:col>
      <xdr:colOff>11908</xdr:colOff>
      <xdr:row>60</xdr:row>
      <xdr:rowOff>154782</xdr:rowOff>
    </xdr:to>
    <xdr:cxnSp macro="">
      <xdr:nvCxnSpPr>
        <xdr:cNvPr id="506" name="Straight Connector 505"/>
        <xdr:cNvCxnSpPr/>
      </xdr:nvCxnSpPr>
      <xdr:spPr>
        <a:xfrm flipH="1" flipV="1">
          <a:off x="3143251" y="6810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56</xdr:row>
      <xdr:rowOff>305147</xdr:rowOff>
    </xdr:from>
    <xdr:to>
      <xdr:col>3</xdr:col>
      <xdr:colOff>130969</xdr:colOff>
      <xdr:row>58</xdr:row>
      <xdr:rowOff>11906</xdr:rowOff>
    </xdr:to>
    <xdr:cxnSp macro="">
      <xdr:nvCxnSpPr>
        <xdr:cNvPr id="513" name="Straight Arrow Connector 512"/>
        <xdr:cNvCxnSpPr/>
      </xdr:nvCxnSpPr>
      <xdr:spPr>
        <a:xfrm flipH="1" flipV="1">
          <a:off x="2897851" y="6096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59</xdr:row>
      <xdr:rowOff>11907</xdr:rowOff>
    </xdr:from>
    <xdr:to>
      <xdr:col>3</xdr:col>
      <xdr:colOff>130969</xdr:colOff>
      <xdr:row>60</xdr:row>
      <xdr:rowOff>154782</xdr:rowOff>
    </xdr:to>
    <xdr:cxnSp macro="">
      <xdr:nvCxnSpPr>
        <xdr:cNvPr id="514" name="Straight Arrow Connector 513"/>
        <xdr:cNvCxnSpPr/>
      </xdr:nvCxnSpPr>
      <xdr:spPr>
        <a:xfrm>
          <a:off x="2905125" y="6488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63</xdr:row>
      <xdr:rowOff>89297</xdr:rowOff>
    </xdr:from>
    <xdr:to>
      <xdr:col>3</xdr:col>
      <xdr:colOff>178594</xdr:colOff>
      <xdr:row>64</xdr:row>
      <xdr:rowOff>59531</xdr:rowOff>
    </xdr:to>
    <xdr:cxnSp macro="">
      <xdr:nvCxnSpPr>
        <xdr:cNvPr id="515" name="Straight Connector 514"/>
        <xdr:cNvCxnSpPr/>
      </xdr:nvCxnSpPr>
      <xdr:spPr>
        <a:xfrm>
          <a:off x="2833687" y="7328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63</xdr:row>
      <xdr:rowOff>35719</xdr:rowOff>
    </xdr:from>
    <xdr:to>
      <xdr:col>3</xdr:col>
      <xdr:colOff>285750</xdr:colOff>
      <xdr:row>63</xdr:row>
      <xdr:rowOff>154781</xdr:rowOff>
    </xdr:to>
    <xdr:cxnSp macro="">
      <xdr:nvCxnSpPr>
        <xdr:cNvPr id="528" name="Straight Connector 527"/>
        <xdr:cNvCxnSpPr/>
      </xdr:nvCxnSpPr>
      <xdr:spPr>
        <a:xfrm>
          <a:off x="2869406" y="7274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72</xdr:row>
      <xdr:rowOff>124558</xdr:rowOff>
    </xdr:from>
    <xdr:to>
      <xdr:col>3</xdr:col>
      <xdr:colOff>381000</xdr:colOff>
      <xdr:row>75</xdr:row>
      <xdr:rowOff>124558</xdr:rowOff>
    </xdr:to>
    <xdr:cxnSp macro="">
      <xdr:nvCxnSpPr>
        <xdr:cNvPr id="529" name="Straight Connector 528"/>
        <xdr:cNvCxnSpPr/>
      </xdr:nvCxnSpPr>
      <xdr:spPr>
        <a:xfrm flipH="1">
          <a:off x="2706842" y="9078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72</xdr:row>
      <xdr:rowOff>139212</xdr:rowOff>
    </xdr:from>
    <xdr:to>
      <xdr:col>4</xdr:col>
      <xdr:colOff>116773</xdr:colOff>
      <xdr:row>75</xdr:row>
      <xdr:rowOff>117231</xdr:rowOff>
    </xdr:to>
    <xdr:cxnSp macro="">
      <xdr:nvCxnSpPr>
        <xdr:cNvPr id="530" name="Straight Connector 529"/>
        <xdr:cNvCxnSpPr/>
      </xdr:nvCxnSpPr>
      <xdr:spPr>
        <a:xfrm>
          <a:off x="3155156" y="9092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75</xdr:row>
      <xdr:rowOff>118956</xdr:rowOff>
    </xdr:from>
    <xdr:to>
      <xdr:col>4</xdr:col>
      <xdr:colOff>134902</xdr:colOff>
      <xdr:row>75</xdr:row>
      <xdr:rowOff>118956</xdr:rowOff>
    </xdr:to>
    <xdr:cxnSp macro="">
      <xdr:nvCxnSpPr>
        <xdr:cNvPr id="531" name="Straight Connector 530"/>
        <xdr:cNvCxnSpPr/>
      </xdr:nvCxnSpPr>
      <xdr:spPr>
        <a:xfrm>
          <a:off x="2699811" y="9643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73</xdr:row>
      <xdr:rowOff>36635</xdr:rowOff>
    </xdr:from>
    <xdr:to>
      <xdr:col>3</xdr:col>
      <xdr:colOff>300404</xdr:colOff>
      <xdr:row>74</xdr:row>
      <xdr:rowOff>45337</xdr:rowOff>
    </xdr:to>
    <xdr:cxnSp macro="">
      <xdr:nvCxnSpPr>
        <xdr:cNvPr id="532" name="Straight Connector 531"/>
        <xdr:cNvCxnSpPr/>
      </xdr:nvCxnSpPr>
      <xdr:spPr>
        <a:xfrm flipH="1">
          <a:off x="3069065" y="9180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73</xdr:row>
      <xdr:rowOff>25749</xdr:rowOff>
    </xdr:from>
    <xdr:to>
      <xdr:col>3</xdr:col>
      <xdr:colOff>472128</xdr:colOff>
      <xdr:row>74</xdr:row>
      <xdr:rowOff>36635</xdr:rowOff>
    </xdr:to>
    <xdr:cxnSp macro="">
      <xdr:nvCxnSpPr>
        <xdr:cNvPr id="533" name="Straight Connector 532"/>
        <xdr:cNvCxnSpPr/>
      </xdr:nvCxnSpPr>
      <xdr:spPr>
        <a:xfrm>
          <a:off x="3228425" y="9169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63</xdr:row>
      <xdr:rowOff>44824</xdr:rowOff>
    </xdr:from>
    <xdr:to>
      <xdr:col>3</xdr:col>
      <xdr:colOff>67235</xdr:colOff>
      <xdr:row>65</xdr:row>
      <xdr:rowOff>156883</xdr:rowOff>
    </xdr:to>
    <xdr:cxnSp macro="">
      <xdr:nvCxnSpPr>
        <xdr:cNvPr id="552" name="Straight Connector 551"/>
        <xdr:cNvCxnSpPr/>
      </xdr:nvCxnSpPr>
      <xdr:spPr>
        <a:xfrm>
          <a:off x="2841391" y="7283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65</xdr:row>
      <xdr:rowOff>166690</xdr:rowOff>
    </xdr:from>
    <xdr:to>
      <xdr:col>4</xdr:col>
      <xdr:colOff>29308</xdr:colOff>
      <xdr:row>65</xdr:row>
      <xdr:rowOff>168519</xdr:rowOff>
    </xdr:to>
    <xdr:cxnSp macro="">
      <xdr:nvCxnSpPr>
        <xdr:cNvPr id="553" name="Straight Connector 552"/>
        <xdr:cNvCxnSpPr/>
      </xdr:nvCxnSpPr>
      <xdr:spPr>
        <a:xfrm>
          <a:off x="2833687" y="7786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63</xdr:row>
      <xdr:rowOff>41673</xdr:rowOff>
    </xdr:from>
    <xdr:to>
      <xdr:col>4</xdr:col>
      <xdr:colOff>12211</xdr:colOff>
      <xdr:row>66</xdr:row>
      <xdr:rowOff>0</xdr:rowOff>
    </xdr:to>
    <xdr:cxnSp macro="">
      <xdr:nvCxnSpPr>
        <xdr:cNvPr id="554" name="Straight Connector 553"/>
        <xdr:cNvCxnSpPr/>
      </xdr:nvCxnSpPr>
      <xdr:spPr>
        <a:xfrm flipH="1" flipV="1">
          <a:off x="3488531" y="7280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63</xdr:row>
      <xdr:rowOff>32918</xdr:rowOff>
    </xdr:from>
    <xdr:to>
      <xdr:col>4</xdr:col>
      <xdr:colOff>17861</xdr:colOff>
      <xdr:row>63</xdr:row>
      <xdr:rowOff>35719</xdr:rowOff>
    </xdr:to>
    <xdr:cxnSp macro="">
      <xdr:nvCxnSpPr>
        <xdr:cNvPr id="555" name="Straight Connector 554"/>
        <xdr:cNvCxnSpPr/>
      </xdr:nvCxnSpPr>
      <xdr:spPr>
        <a:xfrm flipH="1">
          <a:off x="2833687" y="7271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68</xdr:row>
      <xdr:rowOff>89297</xdr:rowOff>
    </xdr:from>
    <xdr:to>
      <xdr:col>3</xdr:col>
      <xdr:colOff>178594</xdr:colOff>
      <xdr:row>69</xdr:row>
      <xdr:rowOff>59531</xdr:rowOff>
    </xdr:to>
    <xdr:cxnSp macro="">
      <xdr:nvCxnSpPr>
        <xdr:cNvPr id="556" name="Straight Connector 555"/>
        <xdr:cNvCxnSpPr/>
      </xdr:nvCxnSpPr>
      <xdr:spPr>
        <a:xfrm>
          <a:off x="2833687" y="828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68</xdr:row>
      <xdr:rowOff>35719</xdr:rowOff>
    </xdr:from>
    <xdr:to>
      <xdr:col>3</xdr:col>
      <xdr:colOff>285750</xdr:colOff>
      <xdr:row>68</xdr:row>
      <xdr:rowOff>154781</xdr:rowOff>
    </xdr:to>
    <xdr:cxnSp macro="">
      <xdr:nvCxnSpPr>
        <xdr:cNvPr id="557" name="Straight Connector 556"/>
        <xdr:cNvCxnSpPr/>
      </xdr:nvCxnSpPr>
      <xdr:spPr>
        <a:xfrm>
          <a:off x="2869406" y="822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68</xdr:row>
      <xdr:rowOff>44824</xdr:rowOff>
    </xdr:from>
    <xdr:to>
      <xdr:col>3</xdr:col>
      <xdr:colOff>67235</xdr:colOff>
      <xdr:row>70</xdr:row>
      <xdr:rowOff>156883</xdr:rowOff>
    </xdr:to>
    <xdr:cxnSp macro="">
      <xdr:nvCxnSpPr>
        <xdr:cNvPr id="558" name="Straight Connector 557"/>
        <xdr:cNvCxnSpPr/>
      </xdr:nvCxnSpPr>
      <xdr:spPr>
        <a:xfrm>
          <a:off x="2841391" y="823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70</xdr:row>
      <xdr:rowOff>166690</xdr:rowOff>
    </xdr:from>
    <xdr:to>
      <xdr:col>4</xdr:col>
      <xdr:colOff>29308</xdr:colOff>
      <xdr:row>70</xdr:row>
      <xdr:rowOff>168519</xdr:rowOff>
    </xdr:to>
    <xdr:cxnSp macro="">
      <xdr:nvCxnSpPr>
        <xdr:cNvPr id="559" name="Straight Connector 558"/>
        <xdr:cNvCxnSpPr/>
      </xdr:nvCxnSpPr>
      <xdr:spPr>
        <a:xfrm>
          <a:off x="2833687" y="873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68</xdr:row>
      <xdr:rowOff>41673</xdr:rowOff>
    </xdr:from>
    <xdr:to>
      <xdr:col>4</xdr:col>
      <xdr:colOff>12211</xdr:colOff>
      <xdr:row>71</xdr:row>
      <xdr:rowOff>0</xdr:rowOff>
    </xdr:to>
    <xdr:cxnSp macro="">
      <xdr:nvCxnSpPr>
        <xdr:cNvPr id="560" name="Straight Connector 559"/>
        <xdr:cNvCxnSpPr/>
      </xdr:nvCxnSpPr>
      <xdr:spPr>
        <a:xfrm flipH="1" flipV="1">
          <a:off x="3488531" y="823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68</xdr:row>
      <xdr:rowOff>32918</xdr:rowOff>
    </xdr:from>
    <xdr:to>
      <xdr:col>4</xdr:col>
      <xdr:colOff>17861</xdr:colOff>
      <xdr:row>68</xdr:row>
      <xdr:rowOff>35719</xdr:rowOff>
    </xdr:to>
    <xdr:cxnSp macro="">
      <xdr:nvCxnSpPr>
        <xdr:cNvPr id="561" name="Straight Connector 560"/>
        <xdr:cNvCxnSpPr/>
      </xdr:nvCxnSpPr>
      <xdr:spPr>
        <a:xfrm flipH="1">
          <a:off x="2833687" y="822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77</xdr:row>
      <xdr:rowOff>124558</xdr:rowOff>
    </xdr:from>
    <xdr:to>
      <xdr:col>3</xdr:col>
      <xdr:colOff>381000</xdr:colOff>
      <xdr:row>80</xdr:row>
      <xdr:rowOff>124558</xdr:rowOff>
    </xdr:to>
    <xdr:cxnSp macro="">
      <xdr:nvCxnSpPr>
        <xdr:cNvPr id="562" name="Straight Connector 561"/>
        <xdr:cNvCxnSpPr/>
      </xdr:nvCxnSpPr>
      <xdr:spPr>
        <a:xfrm flipH="1">
          <a:off x="2706842" y="10030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77</xdr:row>
      <xdr:rowOff>139212</xdr:rowOff>
    </xdr:from>
    <xdr:to>
      <xdr:col>4</xdr:col>
      <xdr:colOff>116773</xdr:colOff>
      <xdr:row>80</xdr:row>
      <xdr:rowOff>117231</xdr:rowOff>
    </xdr:to>
    <xdr:cxnSp macro="">
      <xdr:nvCxnSpPr>
        <xdr:cNvPr id="563" name="Straight Connector 562"/>
        <xdr:cNvCxnSpPr/>
      </xdr:nvCxnSpPr>
      <xdr:spPr>
        <a:xfrm>
          <a:off x="3155156" y="10045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80</xdr:row>
      <xdr:rowOff>118956</xdr:rowOff>
    </xdr:from>
    <xdr:to>
      <xdr:col>4</xdr:col>
      <xdr:colOff>134902</xdr:colOff>
      <xdr:row>80</xdr:row>
      <xdr:rowOff>118956</xdr:rowOff>
    </xdr:to>
    <xdr:cxnSp macro="">
      <xdr:nvCxnSpPr>
        <xdr:cNvPr id="564" name="Straight Connector 563"/>
        <xdr:cNvCxnSpPr/>
      </xdr:nvCxnSpPr>
      <xdr:spPr>
        <a:xfrm>
          <a:off x="2699811" y="10596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78</xdr:row>
      <xdr:rowOff>36635</xdr:rowOff>
    </xdr:from>
    <xdr:to>
      <xdr:col>3</xdr:col>
      <xdr:colOff>300404</xdr:colOff>
      <xdr:row>79</xdr:row>
      <xdr:rowOff>45337</xdr:rowOff>
    </xdr:to>
    <xdr:cxnSp macro="">
      <xdr:nvCxnSpPr>
        <xdr:cNvPr id="565" name="Straight Connector 564"/>
        <xdr:cNvCxnSpPr/>
      </xdr:nvCxnSpPr>
      <xdr:spPr>
        <a:xfrm flipH="1">
          <a:off x="3069065" y="10133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78</xdr:row>
      <xdr:rowOff>25749</xdr:rowOff>
    </xdr:from>
    <xdr:to>
      <xdr:col>3</xdr:col>
      <xdr:colOff>472128</xdr:colOff>
      <xdr:row>79</xdr:row>
      <xdr:rowOff>36635</xdr:rowOff>
    </xdr:to>
    <xdr:cxnSp macro="">
      <xdr:nvCxnSpPr>
        <xdr:cNvPr id="566" name="Straight Connector 565"/>
        <xdr:cNvCxnSpPr/>
      </xdr:nvCxnSpPr>
      <xdr:spPr>
        <a:xfrm>
          <a:off x="3228425" y="10122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82</xdr:row>
      <xdr:rowOff>297027</xdr:rowOff>
    </xdr:from>
    <xdr:to>
      <xdr:col>3</xdr:col>
      <xdr:colOff>392907</xdr:colOff>
      <xdr:row>86</xdr:row>
      <xdr:rowOff>154781</xdr:rowOff>
    </xdr:to>
    <xdr:cxnSp macro="">
      <xdr:nvCxnSpPr>
        <xdr:cNvPr id="567" name="Straight Connector 566"/>
        <xdr:cNvCxnSpPr/>
      </xdr:nvCxnSpPr>
      <xdr:spPr>
        <a:xfrm>
          <a:off x="3159237" y="11050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86</xdr:row>
      <xdr:rowOff>142875</xdr:rowOff>
    </xdr:from>
    <xdr:to>
      <xdr:col>4</xdr:col>
      <xdr:colOff>11908</xdr:colOff>
      <xdr:row>86</xdr:row>
      <xdr:rowOff>154782</xdr:rowOff>
    </xdr:to>
    <xdr:cxnSp macro="">
      <xdr:nvCxnSpPr>
        <xdr:cNvPr id="568" name="Straight Connector 567"/>
        <xdr:cNvCxnSpPr/>
      </xdr:nvCxnSpPr>
      <xdr:spPr>
        <a:xfrm flipH="1" flipV="1">
          <a:off x="3143251" y="11763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82</xdr:row>
      <xdr:rowOff>305147</xdr:rowOff>
    </xdr:from>
    <xdr:to>
      <xdr:col>3</xdr:col>
      <xdr:colOff>130969</xdr:colOff>
      <xdr:row>84</xdr:row>
      <xdr:rowOff>11906</xdr:rowOff>
    </xdr:to>
    <xdr:cxnSp macro="">
      <xdr:nvCxnSpPr>
        <xdr:cNvPr id="569" name="Straight Arrow Connector 568"/>
        <xdr:cNvCxnSpPr/>
      </xdr:nvCxnSpPr>
      <xdr:spPr>
        <a:xfrm flipH="1" flipV="1">
          <a:off x="2897851" y="1104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85</xdr:row>
      <xdr:rowOff>11907</xdr:rowOff>
    </xdr:from>
    <xdr:to>
      <xdr:col>3</xdr:col>
      <xdr:colOff>130969</xdr:colOff>
      <xdr:row>86</xdr:row>
      <xdr:rowOff>154782</xdr:rowOff>
    </xdr:to>
    <xdr:cxnSp macro="">
      <xdr:nvCxnSpPr>
        <xdr:cNvPr id="570" name="Straight Arrow Connector 569"/>
        <xdr:cNvCxnSpPr/>
      </xdr:nvCxnSpPr>
      <xdr:spPr>
        <a:xfrm>
          <a:off x="2905125" y="11441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90</xdr:row>
      <xdr:rowOff>89297</xdr:rowOff>
    </xdr:from>
    <xdr:to>
      <xdr:col>3</xdr:col>
      <xdr:colOff>178594</xdr:colOff>
      <xdr:row>91</xdr:row>
      <xdr:rowOff>59531</xdr:rowOff>
    </xdr:to>
    <xdr:cxnSp macro="">
      <xdr:nvCxnSpPr>
        <xdr:cNvPr id="571" name="Straight Connector 570"/>
        <xdr:cNvCxnSpPr/>
      </xdr:nvCxnSpPr>
      <xdr:spPr>
        <a:xfrm>
          <a:off x="2833687" y="1228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90</xdr:row>
      <xdr:rowOff>35719</xdr:rowOff>
    </xdr:from>
    <xdr:to>
      <xdr:col>3</xdr:col>
      <xdr:colOff>285750</xdr:colOff>
      <xdr:row>90</xdr:row>
      <xdr:rowOff>154781</xdr:rowOff>
    </xdr:to>
    <xdr:cxnSp macro="">
      <xdr:nvCxnSpPr>
        <xdr:cNvPr id="572" name="Straight Connector 571"/>
        <xdr:cNvCxnSpPr/>
      </xdr:nvCxnSpPr>
      <xdr:spPr>
        <a:xfrm>
          <a:off x="2869406" y="1222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99</xdr:row>
      <xdr:rowOff>124558</xdr:rowOff>
    </xdr:from>
    <xdr:to>
      <xdr:col>3</xdr:col>
      <xdr:colOff>381000</xdr:colOff>
      <xdr:row>102</xdr:row>
      <xdr:rowOff>124558</xdr:rowOff>
    </xdr:to>
    <xdr:cxnSp macro="">
      <xdr:nvCxnSpPr>
        <xdr:cNvPr id="573" name="Straight Connector 572"/>
        <xdr:cNvCxnSpPr/>
      </xdr:nvCxnSpPr>
      <xdr:spPr>
        <a:xfrm flipH="1">
          <a:off x="2706842" y="14031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99</xdr:row>
      <xdr:rowOff>139212</xdr:rowOff>
    </xdr:from>
    <xdr:to>
      <xdr:col>4</xdr:col>
      <xdr:colOff>116773</xdr:colOff>
      <xdr:row>102</xdr:row>
      <xdr:rowOff>117231</xdr:rowOff>
    </xdr:to>
    <xdr:cxnSp macro="">
      <xdr:nvCxnSpPr>
        <xdr:cNvPr id="574" name="Straight Connector 573"/>
        <xdr:cNvCxnSpPr/>
      </xdr:nvCxnSpPr>
      <xdr:spPr>
        <a:xfrm>
          <a:off x="3155156" y="14045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102</xdr:row>
      <xdr:rowOff>118956</xdr:rowOff>
    </xdr:from>
    <xdr:to>
      <xdr:col>4</xdr:col>
      <xdr:colOff>134902</xdr:colOff>
      <xdr:row>102</xdr:row>
      <xdr:rowOff>118956</xdr:rowOff>
    </xdr:to>
    <xdr:cxnSp macro="">
      <xdr:nvCxnSpPr>
        <xdr:cNvPr id="575" name="Straight Connector 574"/>
        <xdr:cNvCxnSpPr/>
      </xdr:nvCxnSpPr>
      <xdr:spPr>
        <a:xfrm>
          <a:off x="2699811" y="14596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100</xdr:row>
      <xdr:rowOff>36635</xdr:rowOff>
    </xdr:from>
    <xdr:to>
      <xdr:col>3</xdr:col>
      <xdr:colOff>300404</xdr:colOff>
      <xdr:row>101</xdr:row>
      <xdr:rowOff>45337</xdr:rowOff>
    </xdr:to>
    <xdr:cxnSp macro="">
      <xdr:nvCxnSpPr>
        <xdr:cNvPr id="576" name="Straight Connector 575"/>
        <xdr:cNvCxnSpPr/>
      </xdr:nvCxnSpPr>
      <xdr:spPr>
        <a:xfrm flipH="1">
          <a:off x="3069065" y="14133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100</xdr:row>
      <xdr:rowOff>25749</xdr:rowOff>
    </xdr:from>
    <xdr:to>
      <xdr:col>3</xdr:col>
      <xdr:colOff>472128</xdr:colOff>
      <xdr:row>101</xdr:row>
      <xdr:rowOff>36635</xdr:rowOff>
    </xdr:to>
    <xdr:cxnSp macro="">
      <xdr:nvCxnSpPr>
        <xdr:cNvPr id="577" name="Straight Connector 576"/>
        <xdr:cNvCxnSpPr/>
      </xdr:nvCxnSpPr>
      <xdr:spPr>
        <a:xfrm>
          <a:off x="3228425" y="14122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90</xdr:row>
      <xdr:rowOff>44824</xdr:rowOff>
    </xdr:from>
    <xdr:to>
      <xdr:col>3</xdr:col>
      <xdr:colOff>67235</xdr:colOff>
      <xdr:row>92</xdr:row>
      <xdr:rowOff>156883</xdr:rowOff>
    </xdr:to>
    <xdr:cxnSp macro="">
      <xdr:nvCxnSpPr>
        <xdr:cNvPr id="578" name="Straight Connector 577"/>
        <xdr:cNvCxnSpPr/>
      </xdr:nvCxnSpPr>
      <xdr:spPr>
        <a:xfrm>
          <a:off x="2841391" y="1223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92</xdr:row>
      <xdr:rowOff>166690</xdr:rowOff>
    </xdr:from>
    <xdr:to>
      <xdr:col>4</xdr:col>
      <xdr:colOff>29308</xdr:colOff>
      <xdr:row>92</xdr:row>
      <xdr:rowOff>168519</xdr:rowOff>
    </xdr:to>
    <xdr:cxnSp macro="">
      <xdr:nvCxnSpPr>
        <xdr:cNvPr id="579" name="Straight Connector 578"/>
        <xdr:cNvCxnSpPr/>
      </xdr:nvCxnSpPr>
      <xdr:spPr>
        <a:xfrm>
          <a:off x="2833687" y="12739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90</xdr:row>
      <xdr:rowOff>41673</xdr:rowOff>
    </xdr:from>
    <xdr:to>
      <xdr:col>4</xdr:col>
      <xdr:colOff>12211</xdr:colOff>
      <xdr:row>93</xdr:row>
      <xdr:rowOff>0</xdr:rowOff>
    </xdr:to>
    <xdr:cxnSp macro="">
      <xdr:nvCxnSpPr>
        <xdr:cNvPr id="580" name="Straight Connector 579"/>
        <xdr:cNvCxnSpPr/>
      </xdr:nvCxnSpPr>
      <xdr:spPr>
        <a:xfrm flipH="1" flipV="1">
          <a:off x="3488531" y="1223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90</xdr:row>
      <xdr:rowOff>32918</xdr:rowOff>
    </xdr:from>
    <xdr:to>
      <xdr:col>4</xdr:col>
      <xdr:colOff>17861</xdr:colOff>
      <xdr:row>90</xdr:row>
      <xdr:rowOff>35719</xdr:rowOff>
    </xdr:to>
    <xdr:cxnSp macro="">
      <xdr:nvCxnSpPr>
        <xdr:cNvPr id="581" name="Straight Connector 580"/>
        <xdr:cNvCxnSpPr/>
      </xdr:nvCxnSpPr>
      <xdr:spPr>
        <a:xfrm flipH="1">
          <a:off x="2833687" y="12224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95</xdr:row>
      <xdr:rowOff>89297</xdr:rowOff>
    </xdr:from>
    <xdr:to>
      <xdr:col>3</xdr:col>
      <xdr:colOff>178594</xdr:colOff>
      <xdr:row>96</xdr:row>
      <xdr:rowOff>59531</xdr:rowOff>
    </xdr:to>
    <xdr:cxnSp macro="">
      <xdr:nvCxnSpPr>
        <xdr:cNvPr id="582" name="Straight Connector 581"/>
        <xdr:cNvCxnSpPr/>
      </xdr:nvCxnSpPr>
      <xdr:spPr>
        <a:xfrm>
          <a:off x="2833687" y="13233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95</xdr:row>
      <xdr:rowOff>35719</xdr:rowOff>
    </xdr:from>
    <xdr:to>
      <xdr:col>3</xdr:col>
      <xdr:colOff>285750</xdr:colOff>
      <xdr:row>95</xdr:row>
      <xdr:rowOff>154781</xdr:rowOff>
    </xdr:to>
    <xdr:cxnSp macro="">
      <xdr:nvCxnSpPr>
        <xdr:cNvPr id="583" name="Straight Connector 582"/>
        <xdr:cNvCxnSpPr/>
      </xdr:nvCxnSpPr>
      <xdr:spPr>
        <a:xfrm>
          <a:off x="2869406" y="13180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95</xdr:row>
      <xdr:rowOff>44824</xdr:rowOff>
    </xdr:from>
    <xdr:to>
      <xdr:col>3</xdr:col>
      <xdr:colOff>67235</xdr:colOff>
      <xdr:row>97</xdr:row>
      <xdr:rowOff>156883</xdr:rowOff>
    </xdr:to>
    <xdr:cxnSp macro="">
      <xdr:nvCxnSpPr>
        <xdr:cNvPr id="584" name="Straight Connector 583"/>
        <xdr:cNvCxnSpPr/>
      </xdr:nvCxnSpPr>
      <xdr:spPr>
        <a:xfrm>
          <a:off x="2841391" y="13189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97</xdr:row>
      <xdr:rowOff>166690</xdr:rowOff>
    </xdr:from>
    <xdr:to>
      <xdr:col>4</xdr:col>
      <xdr:colOff>29308</xdr:colOff>
      <xdr:row>97</xdr:row>
      <xdr:rowOff>168519</xdr:rowOff>
    </xdr:to>
    <xdr:cxnSp macro="">
      <xdr:nvCxnSpPr>
        <xdr:cNvPr id="585" name="Straight Connector 584"/>
        <xdr:cNvCxnSpPr/>
      </xdr:nvCxnSpPr>
      <xdr:spPr>
        <a:xfrm>
          <a:off x="2833687" y="13692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95</xdr:row>
      <xdr:rowOff>41673</xdr:rowOff>
    </xdr:from>
    <xdr:to>
      <xdr:col>4</xdr:col>
      <xdr:colOff>12211</xdr:colOff>
      <xdr:row>98</xdr:row>
      <xdr:rowOff>0</xdr:rowOff>
    </xdr:to>
    <xdr:cxnSp macro="">
      <xdr:nvCxnSpPr>
        <xdr:cNvPr id="586" name="Straight Connector 585"/>
        <xdr:cNvCxnSpPr/>
      </xdr:nvCxnSpPr>
      <xdr:spPr>
        <a:xfrm flipH="1" flipV="1">
          <a:off x="3488531" y="13186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95</xdr:row>
      <xdr:rowOff>32918</xdr:rowOff>
    </xdr:from>
    <xdr:to>
      <xdr:col>4</xdr:col>
      <xdr:colOff>17861</xdr:colOff>
      <xdr:row>95</xdr:row>
      <xdr:rowOff>35719</xdr:rowOff>
    </xdr:to>
    <xdr:cxnSp macro="">
      <xdr:nvCxnSpPr>
        <xdr:cNvPr id="587" name="Straight Connector 586"/>
        <xdr:cNvCxnSpPr/>
      </xdr:nvCxnSpPr>
      <xdr:spPr>
        <a:xfrm flipH="1">
          <a:off x="2833687" y="13177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104</xdr:row>
      <xdr:rowOff>124558</xdr:rowOff>
    </xdr:from>
    <xdr:to>
      <xdr:col>3</xdr:col>
      <xdr:colOff>381000</xdr:colOff>
      <xdr:row>107</xdr:row>
      <xdr:rowOff>124558</xdr:rowOff>
    </xdr:to>
    <xdr:cxnSp macro="">
      <xdr:nvCxnSpPr>
        <xdr:cNvPr id="588" name="Straight Connector 587"/>
        <xdr:cNvCxnSpPr/>
      </xdr:nvCxnSpPr>
      <xdr:spPr>
        <a:xfrm flipH="1">
          <a:off x="2706842" y="14983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104</xdr:row>
      <xdr:rowOff>139212</xdr:rowOff>
    </xdr:from>
    <xdr:to>
      <xdr:col>4</xdr:col>
      <xdr:colOff>116773</xdr:colOff>
      <xdr:row>107</xdr:row>
      <xdr:rowOff>117231</xdr:rowOff>
    </xdr:to>
    <xdr:cxnSp macro="">
      <xdr:nvCxnSpPr>
        <xdr:cNvPr id="589" name="Straight Connector 588"/>
        <xdr:cNvCxnSpPr/>
      </xdr:nvCxnSpPr>
      <xdr:spPr>
        <a:xfrm>
          <a:off x="3155156" y="14998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107</xdr:row>
      <xdr:rowOff>118956</xdr:rowOff>
    </xdr:from>
    <xdr:to>
      <xdr:col>4</xdr:col>
      <xdr:colOff>134902</xdr:colOff>
      <xdr:row>107</xdr:row>
      <xdr:rowOff>118956</xdr:rowOff>
    </xdr:to>
    <xdr:cxnSp macro="">
      <xdr:nvCxnSpPr>
        <xdr:cNvPr id="590" name="Straight Connector 589"/>
        <xdr:cNvCxnSpPr/>
      </xdr:nvCxnSpPr>
      <xdr:spPr>
        <a:xfrm>
          <a:off x="2699811" y="15549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105</xdr:row>
      <xdr:rowOff>36635</xdr:rowOff>
    </xdr:from>
    <xdr:to>
      <xdr:col>3</xdr:col>
      <xdr:colOff>300404</xdr:colOff>
      <xdr:row>106</xdr:row>
      <xdr:rowOff>45337</xdr:rowOff>
    </xdr:to>
    <xdr:cxnSp macro="">
      <xdr:nvCxnSpPr>
        <xdr:cNvPr id="591" name="Straight Connector 590"/>
        <xdr:cNvCxnSpPr/>
      </xdr:nvCxnSpPr>
      <xdr:spPr>
        <a:xfrm flipH="1">
          <a:off x="3069065" y="15086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105</xdr:row>
      <xdr:rowOff>25749</xdr:rowOff>
    </xdr:from>
    <xdr:to>
      <xdr:col>3</xdr:col>
      <xdr:colOff>472128</xdr:colOff>
      <xdr:row>106</xdr:row>
      <xdr:rowOff>36635</xdr:rowOff>
    </xdr:to>
    <xdr:cxnSp macro="">
      <xdr:nvCxnSpPr>
        <xdr:cNvPr id="592" name="Straight Connector 591"/>
        <xdr:cNvCxnSpPr/>
      </xdr:nvCxnSpPr>
      <xdr:spPr>
        <a:xfrm>
          <a:off x="3228425" y="15075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110</xdr:row>
      <xdr:rowOff>35719</xdr:rowOff>
    </xdr:from>
    <xdr:to>
      <xdr:col>3</xdr:col>
      <xdr:colOff>428625</xdr:colOff>
      <xdr:row>112</xdr:row>
      <xdr:rowOff>178594</xdr:rowOff>
    </xdr:to>
    <xdr:cxnSp macro="">
      <xdr:nvCxnSpPr>
        <xdr:cNvPr id="593" name="Straight Connector 592"/>
        <xdr:cNvCxnSpPr/>
      </xdr:nvCxnSpPr>
      <xdr:spPr>
        <a:xfrm>
          <a:off x="3202781" y="21181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112</xdr:row>
      <xdr:rowOff>95249</xdr:rowOff>
    </xdr:from>
    <xdr:to>
      <xdr:col>3</xdr:col>
      <xdr:colOff>571500</xdr:colOff>
      <xdr:row>112</xdr:row>
      <xdr:rowOff>154780</xdr:rowOff>
    </xdr:to>
    <xdr:cxnSp macro="">
      <xdr:nvCxnSpPr>
        <xdr:cNvPr id="594" name="Straight Connector 593"/>
        <xdr:cNvCxnSpPr/>
      </xdr:nvCxnSpPr>
      <xdr:spPr>
        <a:xfrm flipH="1">
          <a:off x="3202781" y="21621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110</xdr:row>
      <xdr:rowOff>47625</xdr:rowOff>
    </xdr:from>
    <xdr:to>
      <xdr:col>3</xdr:col>
      <xdr:colOff>595313</xdr:colOff>
      <xdr:row>110</xdr:row>
      <xdr:rowOff>119062</xdr:rowOff>
    </xdr:to>
    <xdr:cxnSp macro="">
      <xdr:nvCxnSpPr>
        <xdr:cNvPr id="595" name="Straight Connector 594"/>
        <xdr:cNvCxnSpPr/>
      </xdr:nvCxnSpPr>
      <xdr:spPr>
        <a:xfrm>
          <a:off x="3202781" y="21193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114</xdr:row>
      <xdr:rowOff>297027</xdr:rowOff>
    </xdr:from>
    <xdr:to>
      <xdr:col>3</xdr:col>
      <xdr:colOff>392907</xdr:colOff>
      <xdr:row>118</xdr:row>
      <xdr:rowOff>154781</xdr:rowOff>
    </xdr:to>
    <xdr:cxnSp macro="">
      <xdr:nvCxnSpPr>
        <xdr:cNvPr id="596" name="Straight Connector 595"/>
        <xdr:cNvCxnSpPr/>
      </xdr:nvCxnSpPr>
      <xdr:spPr>
        <a:xfrm>
          <a:off x="3159237" y="16003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118</xdr:row>
      <xdr:rowOff>142875</xdr:rowOff>
    </xdr:from>
    <xdr:to>
      <xdr:col>4</xdr:col>
      <xdr:colOff>11908</xdr:colOff>
      <xdr:row>118</xdr:row>
      <xdr:rowOff>154782</xdr:rowOff>
    </xdr:to>
    <xdr:cxnSp macro="">
      <xdr:nvCxnSpPr>
        <xdr:cNvPr id="597" name="Straight Connector 596"/>
        <xdr:cNvCxnSpPr/>
      </xdr:nvCxnSpPr>
      <xdr:spPr>
        <a:xfrm flipH="1" flipV="1">
          <a:off x="3143251" y="16716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114</xdr:row>
      <xdr:rowOff>305147</xdr:rowOff>
    </xdr:from>
    <xdr:to>
      <xdr:col>3</xdr:col>
      <xdr:colOff>130969</xdr:colOff>
      <xdr:row>116</xdr:row>
      <xdr:rowOff>11906</xdr:rowOff>
    </xdr:to>
    <xdr:cxnSp macro="">
      <xdr:nvCxnSpPr>
        <xdr:cNvPr id="598" name="Straight Arrow Connector 597"/>
        <xdr:cNvCxnSpPr/>
      </xdr:nvCxnSpPr>
      <xdr:spPr>
        <a:xfrm flipH="1" flipV="1">
          <a:off x="2897851" y="16002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117</xdr:row>
      <xdr:rowOff>11907</xdr:rowOff>
    </xdr:from>
    <xdr:to>
      <xdr:col>3</xdr:col>
      <xdr:colOff>130969</xdr:colOff>
      <xdr:row>118</xdr:row>
      <xdr:rowOff>154782</xdr:rowOff>
    </xdr:to>
    <xdr:cxnSp macro="">
      <xdr:nvCxnSpPr>
        <xdr:cNvPr id="599" name="Straight Arrow Connector 598"/>
        <xdr:cNvCxnSpPr/>
      </xdr:nvCxnSpPr>
      <xdr:spPr>
        <a:xfrm>
          <a:off x="2905125" y="16394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122</xdr:row>
      <xdr:rowOff>89297</xdr:rowOff>
    </xdr:from>
    <xdr:to>
      <xdr:col>3</xdr:col>
      <xdr:colOff>178594</xdr:colOff>
      <xdr:row>123</xdr:row>
      <xdr:rowOff>59531</xdr:rowOff>
    </xdr:to>
    <xdr:cxnSp macro="">
      <xdr:nvCxnSpPr>
        <xdr:cNvPr id="600" name="Straight Connector 599"/>
        <xdr:cNvCxnSpPr/>
      </xdr:nvCxnSpPr>
      <xdr:spPr>
        <a:xfrm>
          <a:off x="2833687" y="17424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122</xdr:row>
      <xdr:rowOff>35719</xdr:rowOff>
    </xdr:from>
    <xdr:to>
      <xdr:col>3</xdr:col>
      <xdr:colOff>285750</xdr:colOff>
      <xdr:row>122</xdr:row>
      <xdr:rowOff>154781</xdr:rowOff>
    </xdr:to>
    <xdr:cxnSp macro="">
      <xdr:nvCxnSpPr>
        <xdr:cNvPr id="601" name="Straight Connector 600"/>
        <xdr:cNvCxnSpPr/>
      </xdr:nvCxnSpPr>
      <xdr:spPr>
        <a:xfrm>
          <a:off x="2869406" y="17371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131</xdr:row>
      <xdr:rowOff>124558</xdr:rowOff>
    </xdr:from>
    <xdr:to>
      <xdr:col>3</xdr:col>
      <xdr:colOff>381000</xdr:colOff>
      <xdr:row>134</xdr:row>
      <xdr:rowOff>124558</xdr:rowOff>
    </xdr:to>
    <xdr:cxnSp macro="">
      <xdr:nvCxnSpPr>
        <xdr:cNvPr id="602" name="Straight Connector 601"/>
        <xdr:cNvCxnSpPr/>
      </xdr:nvCxnSpPr>
      <xdr:spPr>
        <a:xfrm flipH="1">
          <a:off x="2706842" y="19174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131</xdr:row>
      <xdr:rowOff>139212</xdr:rowOff>
    </xdr:from>
    <xdr:to>
      <xdr:col>4</xdr:col>
      <xdr:colOff>116773</xdr:colOff>
      <xdr:row>134</xdr:row>
      <xdr:rowOff>117231</xdr:rowOff>
    </xdr:to>
    <xdr:cxnSp macro="">
      <xdr:nvCxnSpPr>
        <xdr:cNvPr id="603" name="Straight Connector 602"/>
        <xdr:cNvCxnSpPr/>
      </xdr:nvCxnSpPr>
      <xdr:spPr>
        <a:xfrm>
          <a:off x="3155156" y="19189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134</xdr:row>
      <xdr:rowOff>118956</xdr:rowOff>
    </xdr:from>
    <xdr:to>
      <xdr:col>4</xdr:col>
      <xdr:colOff>134902</xdr:colOff>
      <xdr:row>134</xdr:row>
      <xdr:rowOff>118956</xdr:rowOff>
    </xdr:to>
    <xdr:cxnSp macro="">
      <xdr:nvCxnSpPr>
        <xdr:cNvPr id="604" name="Straight Connector 603"/>
        <xdr:cNvCxnSpPr/>
      </xdr:nvCxnSpPr>
      <xdr:spPr>
        <a:xfrm>
          <a:off x="2699811" y="19740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132</xdr:row>
      <xdr:rowOff>36635</xdr:rowOff>
    </xdr:from>
    <xdr:to>
      <xdr:col>3</xdr:col>
      <xdr:colOff>300404</xdr:colOff>
      <xdr:row>133</xdr:row>
      <xdr:rowOff>45337</xdr:rowOff>
    </xdr:to>
    <xdr:cxnSp macro="">
      <xdr:nvCxnSpPr>
        <xdr:cNvPr id="605" name="Straight Connector 604"/>
        <xdr:cNvCxnSpPr/>
      </xdr:nvCxnSpPr>
      <xdr:spPr>
        <a:xfrm flipH="1">
          <a:off x="3069065" y="19277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132</xdr:row>
      <xdr:rowOff>25749</xdr:rowOff>
    </xdr:from>
    <xdr:to>
      <xdr:col>3</xdr:col>
      <xdr:colOff>472128</xdr:colOff>
      <xdr:row>133</xdr:row>
      <xdr:rowOff>36635</xdr:rowOff>
    </xdr:to>
    <xdr:cxnSp macro="">
      <xdr:nvCxnSpPr>
        <xdr:cNvPr id="606" name="Straight Connector 605"/>
        <xdr:cNvCxnSpPr/>
      </xdr:nvCxnSpPr>
      <xdr:spPr>
        <a:xfrm>
          <a:off x="3228425" y="19266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122</xdr:row>
      <xdr:rowOff>44824</xdr:rowOff>
    </xdr:from>
    <xdr:to>
      <xdr:col>3</xdr:col>
      <xdr:colOff>67235</xdr:colOff>
      <xdr:row>124</xdr:row>
      <xdr:rowOff>156883</xdr:rowOff>
    </xdr:to>
    <xdr:cxnSp macro="">
      <xdr:nvCxnSpPr>
        <xdr:cNvPr id="607" name="Straight Connector 606"/>
        <xdr:cNvCxnSpPr/>
      </xdr:nvCxnSpPr>
      <xdr:spPr>
        <a:xfrm>
          <a:off x="2841391" y="17380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124</xdr:row>
      <xdr:rowOff>166690</xdr:rowOff>
    </xdr:from>
    <xdr:to>
      <xdr:col>4</xdr:col>
      <xdr:colOff>29308</xdr:colOff>
      <xdr:row>124</xdr:row>
      <xdr:rowOff>168519</xdr:rowOff>
    </xdr:to>
    <xdr:cxnSp macro="">
      <xdr:nvCxnSpPr>
        <xdr:cNvPr id="608" name="Straight Connector 607"/>
        <xdr:cNvCxnSpPr/>
      </xdr:nvCxnSpPr>
      <xdr:spPr>
        <a:xfrm>
          <a:off x="2833687" y="17883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122</xdr:row>
      <xdr:rowOff>41673</xdr:rowOff>
    </xdr:from>
    <xdr:to>
      <xdr:col>4</xdr:col>
      <xdr:colOff>12211</xdr:colOff>
      <xdr:row>125</xdr:row>
      <xdr:rowOff>0</xdr:rowOff>
    </xdr:to>
    <xdr:cxnSp macro="">
      <xdr:nvCxnSpPr>
        <xdr:cNvPr id="609" name="Straight Connector 608"/>
        <xdr:cNvCxnSpPr/>
      </xdr:nvCxnSpPr>
      <xdr:spPr>
        <a:xfrm flipH="1" flipV="1">
          <a:off x="3488531" y="17377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122</xdr:row>
      <xdr:rowOff>32918</xdr:rowOff>
    </xdr:from>
    <xdr:to>
      <xdr:col>4</xdr:col>
      <xdr:colOff>17861</xdr:colOff>
      <xdr:row>122</xdr:row>
      <xdr:rowOff>35719</xdr:rowOff>
    </xdr:to>
    <xdr:cxnSp macro="">
      <xdr:nvCxnSpPr>
        <xdr:cNvPr id="610" name="Straight Connector 609"/>
        <xdr:cNvCxnSpPr/>
      </xdr:nvCxnSpPr>
      <xdr:spPr>
        <a:xfrm flipH="1">
          <a:off x="2833687" y="17368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127</xdr:row>
      <xdr:rowOff>89297</xdr:rowOff>
    </xdr:from>
    <xdr:to>
      <xdr:col>3</xdr:col>
      <xdr:colOff>178594</xdr:colOff>
      <xdr:row>128</xdr:row>
      <xdr:rowOff>59531</xdr:rowOff>
    </xdr:to>
    <xdr:cxnSp macro="">
      <xdr:nvCxnSpPr>
        <xdr:cNvPr id="611" name="Straight Connector 610"/>
        <xdr:cNvCxnSpPr/>
      </xdr:nvCxnSpPr>
      <xdr:spPr>
        <a:xfrm>
          <a:off x="2833687" y="1837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127</xdr:row>
      <xdr:rowOff>35719</xdr:rowOff>
    </xdr:from>
    <xdr:to>
      <xdr:col>3</xdr:col>
      <xdr:colOff>285750</xdr:colOff>
      <xdr:row>127</xdr:row>
      <xdr:rowOff>154781</xdr:rowOff>
    </xdr:to>
    <xdr:cxnSp macro="">
      <xdr:nvCxnSpPr>
        <xdr:cNvPr id="612" name="Straight Connector 611"/>
        <xdr:cNvCxnSpPr/>
      </xdr:nvCxnSpPr>
      <xdr:spPr>
        <a:xfrm>
          <a:off x="2869406" y="1832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127</xdr:row>
      <xdr:rowOff>44824</xdr:rowOff>
    </xdr:from>
    <xdr:to>
      <xdr:col>3</xdr:col>
      <xdr:colOff>67235</xdr:colOff>
      <xdr:row>129</xdr:row>
      <xdr:rowOff>156883</xdr:rowOff>
    </xdr:to>
    <xdr:cxnSp macro="">
      <xdr:nvCxnSpPr>
        <xdr:cNvPr id="613" name="Straight Connector 612"/>
        <xdr:cNvCxnSpPr/>
      </xdr:nvCxnSpPr>
      <xdr:spPr>
        <a:xfrm>
          <a:off x="2841391" y="1833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129</xdr:row>
      <xdr:rowOff>166690</xdr:rowOff>
    </xdr:from>
    <xdr:to>
      <xdr:col>4</xdr:col>
      <xdr:colOff>29308</xdr:colOff>
      <xdr:row>129</xdr:row>
      <xdr:rowOff>168519</xdr:rowOff>
    </xdr:to>
    <xdr:cxnSp macro="">
      <xdr:nvCxnSpPr>
        <xdr:cNvPr id="614" name="Straight Connector 613"/>
        <xdr:cNvCxnSpPr/>
      </xdr:nvCxnSpPr>
      <xdr:spPr>
        <a:xfrm>
          <a:off x="2833687" y="1883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127</xdr:row>
      <xdr:rowOff>41673</xdr:rowOff>
    </xdr:from>
    <xdr:to>
      <xdr:col>4</xdr:col>
      <xdr:colOff>12211</xdr:colOff>
      <xdr:row>130</xdr:row>
      <xdr:rowOff>0</xdr:rowOff>
    </xdr:to>
    <xdr:cxnSp macro="">
      <xdr:nvCxnSpPr>
        <xdr:cNvPr id="615" name="Straight Connector 614"/>
        <xdr:cNvCxnSpPr/>
      </xdr:nvCxnSpPr>
      <xdr:spPr>
        <a:xfrm flipH="1" flipV="1">
          <a:off x="3488531" y="1832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127</xdr:row>
      <xdr:rowOff>32918</xdr:rowOff>
    </xdr:from>
    <xdr:to>
      <xdr:col>4</xdr:col>
      <xdr:colOff>17861</xdr:colOff>
      <xdr:row>127</xdr:row>
      <xdr:rowOff>35719</xdr:rowOff>
    </xdr:to>
    <xdr:cxnSp macro="">
      <xdr:nvCxnSpPr>
        <xdr:cNvPr id="616" name="Straight Connector 615"/>
        <xdr:cNvCxnSpPr/>
      </xdr:nvCxnSpPr>
      <xdr:spPr>
        <a:xfrm flipH="1">
          <a:off x="2833687" y="1832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136</xdr:row>
      <xdr:rowOff>124558</xdr:rowOff>
    </xdr:from>
    <xdr:to>
      <xdr:col>3</xdr:col>
      <xdr:colOff>381000</xdr:colOff>
      <xdr:row>139</xdr:row>
      <xdr:rowOff>124558</xdr:rowOff>
    </xdr:to>
    <xdr:cxnSp macro="">
      <xdr:nvCxnSpPr>
        <xdr:cNvPr id="617" name="Straight Connector 616"/>
        <xdr:cNvCxnSpPr/>
      </xdr:nvCxnSpPr>
      <xdr:spPr>
        <a:xfrm flipH="1">
          <a:off x="2706842" y="20127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136</xdr:row>
      <xdr:rowOff>139212</xdr:rowOff>
    </xdr:from>
    <xdr:to>
      <xdr:col>4</xdr:col>
      <xdr:colOff>116773</xdr:colOff>
      <xdr:row>139</xdr:row>
      <xdr:rowOff>117231</xdr:rowOff>
    </xdr:to>
    <xdr:cxnSp macro="">
      <xdr:nvCxnSpPr>
        <xdr:cNvPr id="618" name="Straight Connector 617"/>
        <xdr:cNvCxnSpPr/>
      </xdr:nvCxnSpPr>
      <xdr:spPr>
        <a:xfrm>
          <a:off x="3155156" y="20141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139</xdr:row>
      <xdr:rowOff>118956</xdr:rowOff>
    </xdr:from>
    <xdr:to>
      <xdr:col>4</xdr:col>
      <xdr:colOff>134902</xdr:colOff>
      <xdr:row>139</xdr:row>
      <xdr:rowOff>118956</xdr:rowOff>
    </xdr:to>
    <xdr:cxnSp macro="">
      <xdr:nvCxnSpPr>
        <xdr:cNvPr id="619" name="Straight Connector 618"/>
        <xdr:cNvCxnSpPr/>
      </xdr:nvCxnSpPr>
      <xdr:spPr>
        <a:xfrm>
          <a:off x="2699811" y="20692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137</xdr:row>
      <xdr:rowOff>36635</xdr:rowOff>
    </xdr:from>
    <xdr:to>
      <xdr:col>3</xdr:col>
      <xdr:colOff>300404</xdr:colOff>
      <xdr:row>138</xdr:row>
      <xdr:rowOff>45337</xdr:rowOff>
    </xdr:to>
    <xdr:cxnSp macro="">
      <xdr:nvCxnSpPr>
        <xdr:cNvPr id="620" name="Straight Connector 619"/>
        <xdr:cNvCxnSpPr/>
      </xdr:nvCxnSpPr>
      <xdr:spPr>
        <a:xfrm flipH="1">
          <a:off x="3069065" y="20229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137</xdr:row>
      <xdr:rowOff>25749</xdr:rowOff>
    </xdr:from>
    <xdr:to>
      <xdr:col>3</xdr:col>
      <xdr:colOff>472128</xdr:colOff>
      <xdr:row>138</xdr:row>
      <xdr:rowOff>36635</xdr:rowOff>
    </xdr:to>
    <xdr:cxnSp macro="">
      <xdr:nvCxnSpPr>
        <xdr:cNvPr id="621" name="Straight Connector 620"/>
        <xdr:cNvCxnSpPr/>
      </xdr:nvCxnSpPr>
      <xdr:spPr>
        <a:xfrm>
          <a:off x="3228425" y="20218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142</xdr:row>
      <xdr:rowOff>35719</xdr:rowOff>
    </xdr:from>
    <xdr:to>
      <xdr:col>3</xdr:col>
      <xdr:colOff>428625</xdr:colOff>
      <xdr:row>144</xdr:row>
      <xdr:rowOff>178594</xdr:rowOff>
    </xdr:to>
    <xdr:cxnSp macro="">
      <xdr:nvCxnSpPr>
        <xdr:cNvPr id="622" name="Straight Connector 621"/>
        <xdr:cNvCxnSpPr/>
      </xdr:nvCxnSpPr>
      <xdr:spPr>
        <a:xfrm>
          <a:off x="3202781" y="21181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144</xdr:row>
      <xdr:rowOff>95249</xdr:rowOff>
    </xdr:from>
    <xdr:to>
      <xdr:col>3</xdr:col>
      <xdr:colOff>571500</xdr:colOff>
      <xdr:row>144</xdr:row>
      <xdr:rowOff>154780</xdr:rowOff>
    </xdr:to>
    <xdr:cxnSp macro="">
      <xdr:nvCxnSpPr>
        <xdr:cNvPr id="623" name="Straight Connector 622"/>
        <xdr:cNvCxnSpPr/>
      </xdr:nvCxnSpPr>
      <xdr:spPr>
        <a:xfrm flipH="1">
          <a:off x="3202781" y="21621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142</xdr:row>
      <xdr:rowOff>47625</xdr:rowOff>
    </xdr:from>
    <xdr:to>
      <xdr:col>3</xdr:col>
      <xdr:colOff>595313</xdr:colOff>
      <xdr:row>142</xdr:row>
      <xdr:rowOff>119062</xdr:rowOff>
    </xdr:to>
    <xdr:cxnSp macro="">
      <xdr:nvCxnSpPr>
        <xdr:cNvPr id="624" name="Straight Connector 623"/>
        <xdr:cNvCxnSpPr/>
      </xdr:nvCxnSpPr>
      <xdr:spPr>
        <a:xfrm>
          <a:off x="3202781" y="21193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145</xdr:row>
      <xdr:rowOff>297027</xdr:rowOff>
    </xdr:from>
    <xdr:to>
      <xdr:col>3</xdr:col>
      <xdr:colOff>392907</xdr:colOff>
      <xdr:row>149</xdr:row>
      <xdr:rowOff>154781</xdr:rowOff>
    </xdr:to>
    <xdr:cxnSp macro="">
      <xdr:nvCxnSpPr>
        <xdr:cNvPr id="625" name="Straight Connector 624"/>
        <xdr:cNvCxnSpPr/>
      </xdr:nvCxnSpPr>
      <xdr:spPr>
        <a:xfrm>
          <a:off x="3159237" y="2209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149</xdr:row>
      <xdr:rowOff>142875</xdr:rowOff>
    </xdr:from>
    <xdr:to>
      <xdr:col>4</xdr:col>
      <xdr:colOff>11908</xdr:colOff>
      <xdr:row>149</xdr:row>
      <xdr:rowOff>154782</xdr:rowOff>
    </xdr:to>
    <xdr:cxnSp macro="">
      <xdr:nvCxnSpPr>
        <xdr:cNvPr id="626" name="Straight Connector 625"/>
        <xdr:cNvCxnSpPr/>
      </xdr:nvCxnSpPr>
      <xdr:spPr>
        <a:xfrm flipH="1" flipV="1">
          <a:off x="3143251" y="22812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145</xdr:row>
      <xdr:rowOff>305147</xdr:rowOff>
    </xdr:from>
    <xdr:to>
      <xdr:col>3</xdr:col>
      <xdr:colOff>130969</xdr:colOff>
      <xdr:row>147</xdr:row>
      <xdr:rowOff>11906</xdr:rowOff>
    </xdr:to>
    <xdr:cxnSp macro="">
      <xdr:nvCxnSpPr>
        <xdr:cNvPr id="627" name="Straight Arrow Connector 626"/>
        <xdr:cNvCxnSpPr/>
      </xdr:nvCxnSpPr>
      <xdr:spPr>
        <a:xfrm flipH="1" flipV="1">
          <a:off x="2897851" y="2209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148</xdr:row>
      <xdr:rowOff>11907</xdr:rowOff>
    </xdr:from>
    <xdr:to>
      <xdr:col>3</xdr:col>
      <xdr:colOff>130969</xdr:colOff>
      <xdr:row>149</xdr:row>
      <xdr:rowOff>154782</xdr:rowOff>
    </xdr:to>
    <xdr:cxnSp macro="">
      <xdr:nvCxnSpPr>
        <xdr:cNvPr id="628" name="Straight Arrow Connector 627"/>
        <xdr:cNvCxnSpPr/>
      </xdr:nvCxnSpPr>
      <xdr:spPr>
        <a:xfrm>
          <a:off x="2905125" y="2249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153</xdr:row>
      <xdr:rowOff>89297</xdr:rowOff>
    </xdr:from>
    <xdr:to>
      <xdr:col>3</xdr:col>
      <xdr:colOff>178594</xdr:colOff>
      <xdr:row>154</xdr:row>
      <xdr:rowOff>59531</xdr:rowOff>
    </xdr:to>
    <xdr:cxnSp macro="">
      <xdr:nvCxnSpPr>
        <xdr:cNvPr id="629" name="Straight Connector 628"/>
        <xdr:cNvCxnSpPr/>
      </xdr:nvCxnSpPr>
      <xdr:spPr>
        <a:xfrm>
          <a:off x="2833687" y="2352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153</xdr:row>
      <xdr:rowOff>35719</xdr:rowOff>
    </xdr:from>
    <xdr:to>
      <xdr:col>3</xdr:col>
      <xdr:colOff>285750</xdr:colOff>
      <xdr:row>153</xdr:row>
      <xdr:rowOff>154781</xdr:rowOff>
    </xdr:to>
    <xdr:cxnSp macro="">
      <xdr:nvCxnSpPr>
        <xdr:cNvPr id="630" name="Straight Connector 629"/>
        <xdr:cNvCxnSpPr/>
      </xdr:nvCxnSpPr>
      <xdr:spPr>
        <a:xfrm>
          <a:off x="2869406" y="2346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162</xdr:row>
      <xdr:rowOff>124558</xdr:rowOff>
    </xdr:from>
    <xdr:to>
      <xdr:col>3</xdr:col>
      <xdr:colOff>381000</xdr:colOff>
      <xdr:row>165</xdr:row>
      <xdr:rowOff>124558</xdr:rowOff>
    </xdr:to>
    <xdr:cxnSp macro="">
      <xdr:nvCxnSpPr>
        <xdr:cNvPr id="631" name="Straight Connector 630"/>
        <xdr:cNvCxnSpPr/>
      </xdr:nvCxnSpPr>
      <xdr:spPr>
        <a:xfrm flipH="1">
          <a:off x="2706842" y="25270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162</xdr:row>
      <xdr:rowOff>139212</xdr:rowOff>
    </xdr:from>
    <xdr:to>
      <xdr:col>4</xdr:col>
      <xdr:colOff>116773</xdr:colOff>
      <xdr:row>165</xdr:row>
      <xdr:rowOff>117231</xdr:rowOff>
    </xdr:to>
    <xdr:cxnSp macro="">
      <xdr:nvCxnSpPr>
        <xdr:cNvPr id="632" name="Straight Connector 631"/>
        <xdr:cNvCxnSpPr/>
      </xdr:nvCxnSpPr>
      <xdr:spPr>
        <a:xfrm>
          <a:off x="3155156" y="25285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165</xdr:row>
      <xdr:rowOff>118956</xdr:rowOff>
    </xdr:from>
    <xdr:to>
      <xdr:col>4</xdr:col>
      <xdr:colOff>134902</xdr:colOff>
      <xdr:row>165</xdr:row>
      <xdr:rowOff>118956</xdr:rowOff>
    </xdr:to>
    <xdr:cxnSp macro="">
      <xdr:nvCxnSpPr>
        <xdr:cNvPr id="633" name="Straight Connector 632"/>
        <xdr:cNvCxnSpPr/>
      </xdr:nvCxnSpPr>
      <xdr:spPr>
        <a:xfrm>
          <a:off x="2699811" y="25836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163</xdr:row>
      <xdr:rowOff>36635</xdr:rowOff>
    </xdr:from>
    <xdr:to>
      <xdr:col>3</xdr:col>
      <xdr:colOff>300404</xdr:colOff>
      <xdr:row>164</xdr:row>
      <xdr:rowOff>45337</xdr:rowOff>
    </xdr:to>
    <xdr:cxnSp macro="">
      <xdr:nvCxnSpPr>
        <xdr:cNvPr id="634" name="Straight Connector 633"/>
        <xdr:cNvCxnSpPr/>
      </xdr:nvCxnSpPr>
      <xdr:spPr>
        <a:xfrm flipH="1">
          <a:off x="3069065" y="25373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163</xdr:row>
      <xdr:rowOff>25749</xdr:rowOff>
    </xdr:from>
    <xdr:to>
      <xdr:col>3</xdr:col>
      <xdr:colOff>472128</xdr:colOff>
      <xdr:row>164</xdr:row>
      <xdr:rowOff>36635</xdr:rowOff>
    </xdr:to>
    <xdr:cxnSp macro="">
      <xdr:nvCxnSpPr>
        <xdr:cNvPr id="635" name="Straight Connector 634"/>
        <xdr:cNvCxnSpPr/>
      </xdr:nvCxnSpPr>
      <xdr:spPr>
        <a:xfrm>
          <a:off x="3228425" y="25362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153</xdr:row>
      <xdr:rowOff>44824</xdr:rowOff>
    </xdr:from>
    <xdr:to>
      <xdr:col>3</xdr:col>
      <xdr:colOff>67235</xdr:colOff>
      <xdr:row>155</xdr:row>
      <xdr:rowOff>156883</xdr:rowOff>
    </xdr:to>
    <xdr:cxnSp macro="">
      <xdr:nvCxnSpPr>
        <xdr:cNvPr id="636" name="Straight Connector 635"/>
        <xdr:cNvCxnSpPr/>
      </xdr:nvCxnSpPr>
      <xdr:spPr>
        <a:xfrm>
          <a:off x="2841391" y="2347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155</xdr:row>
      <xdr:rowOff>166690</xdr:rowOff>
    </xdr:from>
    <xdr:to>
      <xdr:col>4</xdr:col>
      <xdr:colOff>29308</xdr:colOff>
      <xdr:row>155</xdr:row>
      <xdr:rowOff>168519</xdr:rowOff>
    </xdr:to>
    <xdr:cxnSp macro="">
      <xdr:nvCxnSpPr>
        <xdr:cNvPr id="637" name="Straight Connector 636"/>
        <xdr:cNvCxnSpPr/>
      </xdr:nvCxnSpPr>
      <xdr:spPr>
        <a:xfrm>
          <a:off x="2833687" y="2397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153</xdr:row>
      <xdr:rowOff>41673</xdr:rowOff>
    </xdr:from>
    <xdr:to>
      <xdr:col>4</xdr:col>
      <xdr:colOff>12211</xdr:colOff>
      <xdr:row>156</xdr:row>
      <xdr:rowOff>0</xdr:rowOff>
    </xdr:to>
    <xdr:cxnSp macro="">
      <xdr:nvCxnSpPr>
        <xdr:cNvPr id="638" name="Straight Connector 637"/>
        <xdr:cNvCxnSpPr/>
      </xdr:nvCxnSpPr>
      <xdr:spPr>
        <a:xfrm flipH="1" flipV="1">
          <a:off x="3488531" y="2347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153</xdr:row>
      <xdr:rowOff>32918</xdr:rowOff>
    </xdr:from>
    <xdr:to>
      <xdr:col>4</xdr:col>
      <xdr:colOff>17861</xdr:colOff>
      <xdr:row>153</xdr:row>
      <xdr:rowOff>35719</xdr:rowOff>
    </xdr:to>
    <xdr:cxnSp macro="">
      <xdr:nvCxnSpPr>
        <xdr:cNvPr id="639" name="Straight Connector 638"/>
        <xdr:cNvCxnSpPr/>
      </xdr:nvCxnSpPr>
      <xdr:spPr>
        <a:xfrm flipH="1">
          <a:off x="2833687" y="2346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158</xdr:row>
      <xdr:rowOff>89297</xdr:rowOff>
    </xdr:from>
    <xdr:to>
      <xdr:col>3</xdr:col>
      <xdr:colOff>178594</xdr:colOff>
      <xdr:row>159</xdr:row>
      <xdr:rowOff>59531</xdr:rowOff>
    </xdr:to>
    <xdr:cxnSp macro="">
      <xdr:nvCxnSpPr>
        <xdr:cNvPr id="640" name="Straight Connector 639"/>
        <xdr:cNvCxnSpPr/>
      </xdr:nvCxnSpPr>
      <xdr:spPr>
        <a:xfrm>
          <a:off x="2833687" y="24473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158</xdr:row>
      <xdr:rowOff>35719</xdr:rowOff>
    </xdr:from>
    <xdr:to>
      <xdr:col>3</xdr:col>
      <xdr:colOff>285750</xdr:colOff>
      <xdr:row>158</xdr:row>
      <xdr:rowOff>154781</xdr:rowOff>
    </xdr:to>
    <xdr:cxnSp macro="">
      <xdr:nvCxnSpPr>
        <xdr:cNvPr id="641" name="Straight Connector 640"/>
        <xdr:cNvCxnSpPr/>
      </xdr:nvCxnSpPr>
      <xdr:spPr>
        <a:xfrm>
          <a:off x="2869406" y="24419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158</xdr:row>
      <xdr:rowOff>44824</xdr:rowOff>
    </xdr:from>
    <xdr:to>
      <xdr:col>3</xdr:col>
      <xdr:colOff>67235</xdr:colOff>
      <xdr:row>160</xdr:row>
      <xdr:rowOff>156883</xdr:rowOff>
    </xdr:to>
    <xdr:cxnSp macro="">
      <xdr:nvCxnSpPr>
        <xdr:cNvPr id="642" name="Straight Connector 641"/>
        <xdr:cNvCxnSpPr/>
      </xdr:nvCxnSpPr>
      <xdr:spPr>
        <a:xfrm>
          <a:off x="2841391" y="24428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160</xdr:row>
      <xdr:rowOff>166690</xdr:rowOff>
    </xdr:from>
    <xdr:to>
      <xdr:col>4</xdr:col>
      <xdr:colOff>29308</xdr:colOff>
      <xdr:row>160</xdr:row>
      <xdr:rowOff>168519</xdr:rowOff>
    </xdr:to>
    <xdr:cxnSp macro="">
      <xdr:nvCxnSpPr>
        <xdr:cNvPr id="643" name="Straight Connector 642"/>
        <xdr:cNvCxnSpPr/>
      </xdr:nvCxnSpPr>
      <xdr:spPr>
        <a:xfrm>
          <a:off x="2833687" y="24931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41673</xdr:rowOff>
    </xdr:from>
    <xdr:to>
      <xdr:col>4</xdr:col>
      <xdr:colOff>12211</xdr:colOff>
      <xdr:row>161</xdr:row>
      <xdr:rowOff>0</xdr:rowOff>
    </xdr:to>
    <xdr:cxnSp macro="">
      <xdr:nvCxnSpPr>
        <xdr:cNvPr id="644" name="Straight Connector 643"/>
        <xdr:cNvCxnSpPr/>
      </xdr:nvCxnSpPr>
      <xdr:spPr>
        <a:xfrm flipH="1" flipV="1">
          <a:off x="3488531" y="24425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158</xdr:row>
      <xdr:rowOff>32918</xdr:rowOff>
    </xdr:from>
    <xdr:to>
      <xdr:col>4</xdr:col>
      <xdr:colOff>17861</xdr:colOff>
      <xdr:row>158</xdr:row>
      <xdr:rowOff>35719</xdr:rowOff>
    </xdr:to>
    <xdr:cxnSp macro="">
      <xdr:nvCxnSpPr>
        <xdr:cNvPr id="645" name="Straight Connector 644"/>
        <xdr:cNvCxnSpPr/>
      </xdr:nvCxnSpPr>
      <xdr:spPr>
        <a:xfrm flipH="1">
          <a:off x="2833687" y="24416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167</xdr:row>
      <xdr:rowOff>124558</xdr:rowOff>
    </xdr:from>
    <xdr:to>
      <xdr:col>3</xdr:col>
      <xdr:colOff>381000</xdr:colOff>
      <xdr:row>170</xdr:row>
      <xdr:rowOff>124558</xdr:rowOff>
    </xdr:to>
    <xdr:cxnSp macro="">
      <xdr:nvCxnSpPr>
        <xdr:cNvPr id="646" name="Straight Connector 645"/>
        <xdr:cNvCxnSpPr/>
      </xdr:nvCxnSpPr>
      <xdr:spPr>
        <a:xfrm flipH="1">
          <a:off x="2706842" y="26223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167</xdr:row>
      <xdr:rowOff>139212</xdr:rowOff>
    </xdr:from>
    <xdr:to>
      <xdr:col>4</xdr:col>
      <xdr:colOff>116773</xdr:colOff>
      <xdr:row>170</xdr:row>
      <xdr:rowOff>117231</xdr:rowOff>
    </xdr:to>
    <xdr:cxnSp macro="">
      <xdr:nvCxnSpPr>
        <xdr:cNvPr id="647" name="Straight Connector 646"/>
        <xdr:cNvCxnSpPr/>
      </xdr:nvCxnSpPr>
      <xdr:spPr>
        <a:xfrm>
          <a:off x="3155156" y="26237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170</xdr:row>
      <xdr:rowOff>118956</xdr:rowOff>
    </xdr:from>
    <xdr:to>
      <xdr:col>4</xdr:col>
      <xdr:colOff>134902</xdr:colOff>
      <xdr:row>170</xdr:row>
      <xdr:rowOff>118956</xdr:rowOff>
    </xdr:to>
    <xdr:cxnSp macro="">
      <xdr:nvCxnSpPr>
        <xdr:cNvPr id="648" name="Straight Connector 647"/>
        <xdr:cNvCxnSpPr/>
      </xdr:nvCxnSpPr>
      <xdr:spPr>
        <a:xfrm>
          <a:off x="2699811" y="26788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168</xdr:row>
      <xdr:rowOff>36635</xdr:rowOff>
    </xdr:from>
    <xdr:to>
      <xdr:col>3</xdr:col>
      <xdr:colOff>300404</xdr:colOff>
      <xdr:row>169</xdr:row>
      <xdr:rowOff>45337</xdr:rowOff>
    </xdr:to>
    <xdr:cxnSp macro="">
      <xdr:nvCxnSpPr>
        <xdr:cNvPr id="649" name="Straight Connector 648"/>
        <xdr:cNvCxnSpPr/>
      </xdr:nvCxnSpPr>
      <xdr:spPr>
        <a:xfrm flipH="1">
          <a:off x="3069065" y="26325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168</xdr:row>
      <xdr:rowOff>25749</xdr:rowOff>
    </xdr:from>
    <xdr:to>
      <xdr:col>3</xdr:col>
      <xdr:colOff>472128</xdr:colOff>
      <xdr:row>169</xdr:row>
      <xdr:rowOff>36635</xdr:rowOff>
    </xdr:to>
    <xdr:cxnSp macro="">
      <xdr:nvCxnSpPr>
        <xdr:cNvPr id="650" name="Straight Connector 649"/>
        <xdr:cNvCxnSpPr/>
      </xdr:nvCxnSpPr>
      <xdr:spPr>
        <a:xfrm>
          <a:off x="3228425" y="26314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173</xdr:row>
      <xdr:rowOff>35719</xdr:rowOff>
    </xdr:from>
    <xdr:to>
      <xdr:col>3</xdr:col>
      <xdr:colOff>428625</xdr:colOff>
      <xdr:row>175</xdr:row>
      <xdr:rowOff>178594</xdr:rowOff>
    </xdr:to>
    <xdr:cxnSp macro="">
      <xdr:nvCxnSpPr>
        <xdr:cNvPr id="651" name="Straight Connector 650"/>
        <xdr:cNvCxnSpPr/>
      </xdr:nvCxnSpPr>
      <xdr:spPr>
        <a:xfrm>
          <a:off x="3202781" y="27277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175</xdr:row>
      <xdr:rowOff>95249</xdr:rowOff>
    </xdr:from>
    <xdr:to>
      <xdr:col>3</xdr:col>
      <xdr:colOff>571500</xdr:colOff>
      <xdr:row>175</xdr:row>
      <xdr:rowOff>154780</xdr:rowOff>
    </xdr:to>
    <xdr:cxnSp macro="">
      <xdr:nvCxnSpPr>
        <xdr:cNvPr id="652" name="Straight Connector 651"/>
        <xdr:cNvCxnSpPr/>
      </xdr:nvCxnSpPr>
      <xdr:spPr>
        <a:xfrm flipH="1">
          <a:off x="3202781" y="27717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173</xdr:row>
      <xdr:rowOff>47625</xdr:rowOff>
    </xdr:from>
    <xdr:to>
      <xdr:col>3</xdr:col>
      <xdr:colOff>595313</xdr:colOff>
      <xdr:row>173</xdr:row>
      <xdr:rowOff>119062</xdr:rowOff>
    </xdr:to>
    <xdr:cxnSp macro="">
      <xdr:nvCxnSpPr>
        <xdr:cNvPr id="653" name="Straight Connector 652"/>
        <xdr:cNvCxnSpPr/>
      </xdr:nvCxnSpPr>
      <xdr:spPr>
        <a:xfrm>
          <a:off x="3202781" y="27289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176</xdr:row>
      <xdr:rowOff>297027</xdr:rowOff>
    </xdr:from>
    <xdr:to>
      <xdr:col>3</xdr:col>
      <xdr:colOff>392907</xdr:colOff>
      <xdr:row>180</xdr:row>
      <xdr:rowOff>154781</xdr:rowOff>
    </xdr:to>
    <xdr:cxnSp macro="">
      <xdr:nvCxnSpPr>
        <xdr:cNvPr id="683" name="Straight Connector 682"/>
        <xdr:cNvCxnSpPr/>
      </xdr:nvCxnSpPr>
      <xdr:spPr>
        <a:xfrm>
          <a:off x="3159237" y="280052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180</xdr:row>
      <xdr:rowOff>142875</xdr:rowOff>
    </xdr:from>
    <xdr:to>
      <xdr:col>4</xdr:col>
      <xdr:colOff>11908</xdr:colOff>
      <xdr:row>180</xdr:row>
      <xdr:rowOff>154782</xdr:rowOff>
    </xdr:to>
    <xdr:cxnSp macro="">
      <xdr:nvCxnSpPr>
        <xdr:cNvPr id="684" name="Straight Connector 683"/>
        <xdr:cNvCxnSpPr/>
      </xdr:nvCxnSpPr>
      <xdr:spPr>
        <a:xfrm flipH="1" flipV="1">
          <a:off x="3143251" y="287178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176</xdr:row>
      <xdr:rowOff>305147</xdr:rowOff>
    </xdr:from>
    <xdr:to>
      <xdr:col>3</xdr:col>
      <xdr:colOff>130969</xdr:colOff>
      <xdr:row>178</xdr:row>
      <xdr:rowOff>11906</xdr:rowOff>
    </xdr:to>
    <xdr:cxnSp macro="">
      <xdr:nvCxnSpPr>
        <xdr:cNvPr id="685" name="Straight Arrow Connector 684"/>
        <xdr:cNvCxnSpPr/>
      </xdr:nvCxnSpPr>
      <xdr:spPr>
        <a:xfrm flipH="1" flipV="1">
          <a:off x="2897851" y="280038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179</xdr:row>
      <xdr:rowOff>11907</xdr:rowOff>
    </xdr:from>
    <xdr:to>
      <xdr:col>3</xdr:col>
      <xdr:colOff>130969</xdr:colOff>
      <xdr:row>180</xdr:row>
      <xdr:rowOff>154782</xdr:rowOff>
    </xdr:to>
    <xdr:cxnSp macro="">
      <xdr:nvCxnSpPr>
        <xdr:cNvPr id="686" name="Straight Arrow Connector 685"/>
        <xdr:cNvCxnSpPr/>
      </xdr:nvCxnSpPr>
      <xdr:spPr>
        <a:xfrm>
          <a:off x="2905125" y="283964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184</xdr:row>
      <xdr:rowOff>89297</xdr:rowOff>
    </xdr:from>
    <xdr:to>
      <xdr:col>3</xdr:col>
      <xdr:colOff>178594</xdr:colOff>
      <xdr:row>185</xdr:row>
      <xdr:rowOff>59531</xdr:rowOff>
    </xdr:to>
    <xdr:cxnSp macro="">
      <xdr:nvCxnSpPr>
        <xdr:cNvPr id="687" name="Straight Connector 686"/>
        <xdr:cNvCxnSpPr/>
      </xdr:nvCxnSpPr>
      <xdr:spPr>
        <a:xfrm>
          <a:off x="2833687" y="29426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184</xdr:row>
      <xdr:rowOff>35719</xdr:rowOff>
    </xdr:from>
    <xdr:to>
      <xdr:col>3</xdr:col>
      <xdr:colOff>285750</xdr:colOff>
      <xdr:row>184</xdr:row>
      <xdr:rowOff>154781</xdr:rowOff>
    </xdr:to>
    <xdr:cxnSp macro="">
      <xdr:nvCxnSpPr>
        <xdr:cNvPr id="688" name="Straight Connector 687"/>
        <xdr:cNvCxnSpPr/>
      </xdr:nvCxnSpPr>
      <xdr:spPr>
        <a:xfrm>
          <a:off x="2869406" y="29372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198</xdr:row>
      <xdr:rowOff>124558</xdr:rowOff>
    </xdr:from>
    <xdr:to>
      <xdr:col>3</xdr:col>
      <xdr:colOff>381000</xdr:colOff>
      <xdr:row>201</xdr:row>
      <xdr:rowOff>124558</xdr:rowOff>
    </xdr:to>
    <xdr:cxnSp macro="">
      <xdr:nvCxnSpPr>
        <xdr:cNvPr id="689" name="Straight Connector 688"/>
        <xdr:cNvCxnSpPr/>
      </xdr:nvCxnSpPr>
      <xdr:spPr>
        <a:xfrm flipH="1">
          <a:off x="2706842" y="31176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198</xdr:row>
      <xdr:rowOff>139212</xdr:rowOff>
    </xdr:from>
    <xdr:to>
      <xdr:col>4</xdr:col>
      <xdr:colOff>116773</xdr:colOff>
      <xdr:row>201</xdr:row>
      <xdr:rowOff>117231</xdr:rowOff>
    </xdr:to>
    <xdr:cxnSp macro="">
      <xdr:nvCxnSpPr>
        <xdr:cNvPr id="690" name="Straight Connector 689"/>
        <xdr:cNvCxnSpPr/>
      </xdr:nvCxnSpPr>
      <xdr:spPr>
        <a:xfrm>
          <a:off x="3155156" y="31190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201</xdr:row>
      <xdr:rowOff>118956</xdr:rowOff>
    </xdr:from>
    <xdr:to>
      <xdr:col>4</xdr:col>
      <xdr:colOff>134902</xdr:colOff>
      <xdr:row>201</xdr:row>
      <xdr:rowOff>118956</xdr:rowOff>
    </xdr:to>
    <xdr:cxnSp macro="">
      <xdr:nvCxnSpPr>
        <xdr:cNvPr id="691" name="Straight Connector 690"/>
        <xdr:cNvCxnSpPr/>
      </xdr:nvCxnSpPr>
      <xdr:spPr>
        <a:xfrm>
          <a:off x="2699811" y="31741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199</xdr:row>
      <xdr:rowOff>36635</xdr:rowOff>
    </xdr:from>
    <xdr:to>
      <xdr:col>3</xdr:col>
      <xdr:colOff>300404</xdr:colOff>
      <xdr:row>200</xdr:row>
      <xdr:rowOff>45337</xdr:rowOff>
    </xdr:to>
    <xdr:cxnSp macro="">
      <xdr:nvCxnSpPr>
        <xdr:cNvPr id="692" name="Straight Connector 691"/>
        <xdr:cNvCxnSpPr/>
      </xdr:nvCxnSpPr>
      <xdr:spPr>
        <a:xfrm flipH="1">
          <a:off x="3069065" y="31278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199</xdr:row>
      <xdr:rowOff>25749</xdr:rowOff>
    </xdr:from>
    <xdr:to>
      <xdr:col>3</xdr:col>
      <xdr:colOff>472128</xdr:colOff>
      <xdr:row>200</xdr:row>
      <xdr:rowOff>36635</xdr:rowOff>
    </xdr:to>
    <xdr:cxnSp macro="">
      <xdr:nvCxnSpPr>
        <xdr:cNvPr id="693" name="Straight Connector 692"/>
        <xdr:cNvCxnSpPr/>
      </xdr:nvCxnSpPr>
      <xdr:spPr>
        <a:xfrm>
          <a:off x="3228425" y="31267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184</xdr:row>
      <xdr:rowOff>44824</xdr:rowOff>
    </xdr:from>
    <xdr:to>
      <xdr:col>3</xdr:col>
      <xdr:colOff>67235</xdr:colOff>
      <xdr:row>186</xdr:row>
      <xdr:rowOff>156883</xdr:rowOff>
    </xdr:to>
    <xdr:cxnSp macro="">
      <xdr:nvCxnSpPr>
        <xdr:cNvPr id="694" name="Straight Connector 693"/>
        <xdr:cNvCxnSpPr/>
      </xdr:nvCxnSpPr>
      <xdr:spPr>
        <a:xfrm>
          <a:off x="2841391" y="29381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186</xdr:row>
      <xdr:rowOff>166690</xdr:rowOff>
    </xdr:from>
    <xdr:to>
      <xdr:col>4</xdr:col>
      <xdr:colOff>29308</xdr:colOff>
      <xdr:row>186</xdr:row>
      <xdr:rowOff>168519</xdr:rowOff>
    </xdr:to>
    <xdr:cxnSp macro="">
      <xdr:nvCxnSpPr>
        <xdr:cNvPr id="695" name="Straight Connector 694"/>
        <xdr:cNvCxnSpPr/>
      </xdr:nvCxnSpPr>
      <xdr:spPr>
        <a:xfrm>
          <a:off x="2833687" y="29884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41673</xdr:rowOff>
    </xdr:from>
    <xdr:to>
      <xdr:col>4</xdr:col>
      <xdr:colOff>12211</xdr:colOff>
      <xdr:row>187</xdr:row>
      <xdr:rowOff>0</xdr:rowOff>
    </xdr:to>
    <xdr:cxnSp macro="">
      <xdr:nvCxnSpPr>
        <xdr:cNvPr id="696" name="Straight Connector 695"/>
        <xdr:cNvCxnSpPr/>
      </xdr:nvCxnSpPr>
      <xdr:spPr>
        <a:xfrm flipH="1" flipV="1">
          <a:off x="3488531" y="29378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184</xdr:row>
      <xdr:rowOff>32918</xdr:rowOff>
    </xdr:from>
    <xdr:to>
      <xdr:col>4</xdr:col>
      <xdr:colOff>17861</xdr:colOff>
      <xdr:row>184</xdr:row>
      <xdr:rowOff>35719</xdr:rowOff>
    </xdr:to>
    <xdr:cxnSp macro="">
      <xdr:nvCxnSpPr>
        <xdr:cNvPr id="697" name="Straight Connector 696"/>
        <xdr:cNvCxnSpPr/>
      </xdr:nvCxnSpPr>
      <xdr:spPr>
        <a:xfrm flipH="1">
          <a:off x="2833687" y="29369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189</xdr:row>
      <xdr:rowOff>89297</xdr:rowOff>
    </xdr:from>
    <xdr:to>
      <xdr:col>3</xdr:col>
      <xdr:colOff>178594</xdr:colOff>
      <xdr:row>190</xdr:row>
      <xdr:rowOff>59531</xdr:rowOff>
    </xdr:to>
    <xdr:cxnSp macro="">
      <xdr:nvCxnSpPr>
        <xdr:cNvPr id="698" name="Straight Connector 697"/>
        <xdr:cNvCxnSpPr/>
      </xdr:nvCxnSpPr>
      <xdr:spPr>
        <a:xfrm>
          <a:off x="2833687" y="3037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189</xdr:row>
      <xdr:rowOff>35719</xdr:rowOff>
    </xdr:from>
    <xdr:to>
      <xdr:col>3</xdr:col>
      <xdr:colOff>285750</xdr:colOff>
      <xdr:row>189</xdr:row>
      <xdr:rowOff>154781</xdr:rowOff>
    </xdr:to>
    <xdr:cxnSp macro="">
      <xdr:nvCxnSpPr>
        <xdr:cNvPr id="699" name="Straight Connector 698"/>
        <xdr:cNvCxnSpPr/>
      </xdr:nvCxnSpPr>
      <xdr:spPr>
        <a:xfrm>
          <a:off x="2869406" y="3032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189</xdr:row>
      <xdr:rowOff>44824</xdr:rowOff>
    </xdr:from>
    <xdr:to>
      <xdr:col>3</xdr:col>
      <xdr:colOff>67235</xdr:colOff>
      <xdr:row>191</xdr:row>
      <xdr:rowOff>156883</xdr:rowOff>
    </xdr:to>
    <xdr:cxnSp macro="">
      <xdr:nvCxnSpPr>
        <xdr:cNvPr id="700" name="Straight Connector 699"/>
        <xdr:cNvCxnSpPr/>
      </xdr:nvCxnSpPr>
      <xdr:spPr>
        <a:xfrm>
          <a:off x="2841391" y="3033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191</xdr:row>
      <xdr:rowOff>166690</xdr:rowOff>
    </xdr:from>
    <xdr:to>
      <xdr:col>4</xdr:col>
      <xdr:colOff>29308</xdr:colOff>
      <xdr:row>191</xdr:row>
      <xdr:rowOff>168519</xdr:rowOff>
    </xdr:to>
    <xdr:cxnSp macro="">
      <xdr:nvCxnSpPr>
        <xdr:cNvPr id="701" name="Straight Connector 700"/>
        <xdr:cNvCxnSpPr/>
      </xdr:nvCxnSpPr>
      <xdr:spPr>
        <a:xfrm>
          <a:off x="2833687" y="30837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189</xdr:row>
      <xdr:rowOff>41673</xdr:rowOff>
    </xdr:from>
    <xdr:to>
      <xdr:col>4</xdr:col>
      <xdr:colOff>12211</xdr:colOff>
      <xdr:row>192</xdr:row>
      <xdr:rowOff>0</xdr:rowOff>
    </xdr:to>
    <xdr:cxnSp macro="">
      <xdr:nvCxnSpPr>
        <xdr:cNvPr id="702" name="Straight Connector 701"/>
        <xdr:cNvCxnSpPr/>
      </xdr:nvCxnSpPr>
      <xdr:spPr>
        <a:xfrm flipH="1" flipV="1">
          <a:off x="3488531" y="3033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189</xdr:row>
      <xdr:rowOff>32918</xdr:rowOff>
    </xdr:from>
    <xdr:to>
      <xdr:col>4</xdr:col>
      <xdr:colOff>17861</xdr:colOff>
      <xdr:row>189</xdr:row>
      <xdr:rowOff>35719</xdr:rowOff>
    </xdr:to>
    <xdr:cxnSp macro="">
      <xdr:nvCxnSpPr>
        <xdr:cNvPr id="703" name="Straight Connector 702"/>
        <xdr:cNvCxnSpPr/>
      </xdr:nvCxnSpPr>
      <xdr:spPr>
        <a:xfrm flipH="1">
          <a:off x="2833687" y="30322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203</xdr:row>
      <xdr:rowOff>124558</xdr:rowOff>
    </xdr:from>
    <xdr:to>
      <xdr:col>3</xdr:col>
      <xdr:colOff>381000</xdr:colOff>
      <xdr:row>206</xdr:row>
      <xdr:rowOff>124558</xdr:rowOff>
    </xdr:to>
    <xdr:cxnSp macro="">
      <xdr:nvCxnSpPr>
        <xdr:cNvPr id="704" name="Straight Connector 703"/>
        <xdr:cNvCxnSpPr/>
      </xdr:nvCxnSpPr>
      <xdr:spPr>
        <a:xfrm flipH="1">
          <a:off x="2706842" y="32128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203</xdr:row>
      <xdr:rowOff>139212</xdr:rowOff>
    </xdr:from>
    <xdr:to>
      <xdr:col>4</xdr:col>
      <xdr:colOff>116773</xdr:colOff>
      <xdr:row>206</xdr:row>
      <xdr:rowOff>117231</xdr:rowOff>
    </xdr:to>
    <xdr:cxnSp macro="">
      <xdr:nvCxnSpPr>
        <xdr:cNvPr id="705" name="Straight Connector 704"/>
        <xdr:cNvCxnSpPr/>
      </xdr:nvCxnSpPr>
      <xdr:spPr>
        <a:xfrm>
          <a:off x="3155156" y="32143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206</xdr:row>
      <xdr:rowOff>118956</xdr:rowOff>
    </xdr:from>
    <xdr:to>
      <xdr:col>4</xdr:col>
      <xdr:colOff>134902</xdr:colOff>
      <xdr:row>206</xdr:row>
      <xdr:rowOff>118956</xdr:rowOff>
    </xdr:to>
    <xdr:cxnSp macro="">
      <xdr:nvCxnSpPr>
        <xdr:cNvPr id="706" name="Straight Connector 705"/>
        <xdr:cNvCxnSpPr/>
      </xdr:nvCxnSpPr>
      <xdr:spPr>
        <a:xfrm>
          <a:off x="2699811" y="32694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204</xdr:row>
      <xdr:rowOff>36635</xdr:rowOff>
    </xdr:from>
    <xdr:to>
      <xdr:col>3</xdr:col>
      <xdr:colOff>300404</xdr:colOff>
      <xdr:row>205</xdr:row>
      <xdr:rowOff>45337</xdr:rowOff>
    </xdr:to>
    <xdr:cxnSp macro="">
      <xdr:nvCxnSpPr>
        <xdr:cNvPr id="707" name="Straight Connector 706"/>
        <xdr:cNvCxnSpPr/>
      </xdr:nvCxnSpPr>
      <xdr:spPr>
        <a:xfrm flipH="1">
          <a:off x="3069065" y="32231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204</xdr:row>
      <xdr:rowOff>25749</xdr:rowOff>
    </xdr:from>
    <xdr:to>
      <xdr:col>3</xdr:col>
      <xdr:colOff>472128</xdr:colOff>
      <xdr:row>205</xdr:row>
      <xdr:rowOff>36635</xdr:rowOff>
    </xdr:to>
    <xdr:cxnSp macro="">
      <xdr:nvCxnSpPr>
        <xdr:cNvPr id="708" name="Straight Connector 707"/>
        <xdr:cNvCxnSpPr/>
      </xdr:nvCxnSpPr>
      <xdr:spPr>
        <a:xfrm>
          <a:off x="3228425" y="32220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194</xdr:row>
      <xdr:rowOff>89297</xdr:rowOff>
    </xdr:from>
    <xdr:to>
      <xdr:col>3</xdr:col>
      <xdr:colOff>178594</xdr:colOff>
      <xdr:row>195</xdr:row>
      <xdr:rowOff>59531</xdr:rowOff>
    </xdr:to>
    <xdr:cxnSp macro="">
      <xdr:nvCxnSpPr>
        <xdr:cNvPr id="712" name="Straight Connector 711"/>
        <xdr:cNvCxnSpPr/>
      </xdr:nvCxnSpPr>
      <xdr:spPr>
        <a:xfrm>
          <a:off x="2833687" y="36284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194</xdr:row>
      <xdr:rowOff>35719</xdr:rowOff>
    </xdr:from>
    <xdr:to>
      <xdr:col>3</xdr:col>
      <xdr:colOff>285750</xdr:colOff>
      <xdr:row>194</xdr:row>
      <xdr:rowOff>154781</xdr:rowOff>
    </xdr:to>
    <xdr:cxnSp macro="">
      <xdr:nvCxnSpPr>
        <xdr:cNvPr id="713" name="Straight Connector 712"/>
        <xdr:cNvCxnSpPr/>
      </xdr:nvCxnSpPr>
      <xdr:spPr>
        <a:xfrm>
          <a:off x="2869406" y="36230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194</xdr:row>
      <xdr:rowOff>44824</xdr:rowOff>
    </xdr:from>
    <xdr:to>
      <xdr:col>3</xdr:col>
      <xdr:colOff>67235</xdr:colOff>
      <xdr:row>196</xdr:row>
      <xdr:rowOff>156883</xdr:rowOff>
    </xdr:to>
    <xdr:cxnSp macro="">
      <xdr:nvCxnSpPr>
        <xdr:cNvPr id="714" name="Straight Connector 713"/>
        <xdr:cNvCxnSpPr/>
      </xdr:nvCxnSpPr>
      <xdr:spPr>
        <a:xfrm>
          <a:off x="2841391" y="36239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196</xdr:row>
      <xdr:rowOff>166690</xdr:rowOff>
    </xdr:from>
    <xdr:to>
      <xdr:col>4</xdr:col>
      <xdr:colOff>29308</xdr:colOff>
      <xdr:row>196</xdr:row>
      <xdr:rowOff>168519</xdr:rowOff>
    </xdr:to>
    <xdr:cxnSp macro="">
      <xdr:nvCxnSpPr>
        <xdr:cNvPr id="715" name="Straight Connector 714"/>
        <xdr:cNvCxnSpPr/>
      </xdr:nvCxnSpPr>
      <xdr:spPr>
        <a:xfrm>
          <a:off x="2833687" y="36742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194</xdr:row>
      <xdr:rowOff>41673</xdr:rowOff>
    </xdr:from>
    <xdr:to>
      <xdr:col>4</xdr:col>
      <xdr:colOff>12211</xdr:colOff>
      <xdr:row>197</xdr:row>
      <xdr:rowOff>0</xdr:rowOff>
    </xdr:to>
    <xdr:cxnSp macro="">
      <xdr:nvCxnSpPr>
        <xdr:cNvPr id="716" name="Straight Connector 715"/>
        <xdr:cNvCxnSpPr/>
      </xdr:nvCxnSpPr>
      <xdr:spPr>
        <a:xfrm flipH="1" flipV="1">
          <a:off x="3488531" y="36236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194</xdr:row>
      <xdr:rowOff>32918</xdr:rowOff>
    </xdr:from>
    <xdr:to>
      <xdr:col>4</xdr:col>
      <xdr:colOff>17861</xdr:colOff>
      <xdr:row>194</xdr:row>
      <xdr:rowOff>35719</xdr:rowOff>
    </xdr:to>
    <xdr:cxnSp macro="">
      <xdr:nvCxnSpPr>
        <xdr:cNvPr id="717" name="Straight Connector 716"/>
        <xdr:cNvCxnSpPr/>
      </xdr:nvCxnSpPr>
      <xdr:spPr>
        <a:xfrm flipH="1">
          <a:off x="2833687" y="36227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208</xdr:row>
      <xdr:rowOff>297027</xdr:rowOff>
    </xdr:from>
    <xdr:to>
      <xdr:col>3</xdr:col>
      <xdr:colOff>392907</xdr:colOff>
      <xdr:row>212</xdr:row>
      <xdr:rowOff>154781</xdr:rowOff>
    </xdr:to>
    <xdr:cxnSp macro="">
      <xdr:nvCxnSpPr>
        <xdr:cNvPr id="718" name="Straight Connector 717"/>
        <xdr:cNvCxnSpPr/>
      </xdr:nvCxnSpPr>
      <xdr:spPr>
        <a:xfrm>
          <a:off x="3159237" y="33910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212</xdr:row>
      <xdr:rowOff>142875</xdr:rowOff>
    </xdr:from>
    <xdr:to>
      <xdr:col>4</xdr:col>
      <xdr:colOff>11908</xdr:colOff>
      <xdr:row>212</xdr:row>
      <xdr:rowOff>154782</xdr:rowOff>
    </xdr:to>
    <xdr:cxnSp macro="">
      <xdr:nvCxnSpPr>
        <xdr:cNvPr id="719" name="Straight Connector 718"/>
        <xdr:cNvCxnSpPr/>
      </xdr:nvCxnSpPr>
      <xdr:spPr>
        <a:xfrm flipH="1" flipV="1">
          <a:off x="3143251" y="34623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208</xdr:row>
      <xdr:rowOff>305147</xdr:rowOff>
    </xdr:from>
    <xdr:to>
      <xdr:col>3</xdr:col>
      <xdr:colOff>130969</xdr:colOff>
      <xdr:row>210</xdr:row>
      <xdr:rowOff>11906</xdr:rowOff>
    </xdr:to>
    <xdr:cxnSp macro="">
      <xdr:nvCxnSpPr>
        <xdr:cNvPr id="720" name="Straight Arrow Connector 719"/>
        <xdr:cNvCxnSpPr/>
      </xdr:nvCxnSpPr>
      <xdr:spPr>
        <a:xfrm flipH="1" flipV="1">
          <a:off x="2897851" y="3390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211</xdr:row>
      <xdr:rowOff>11907</xdr:rowOff>
    </xdr:from>
    <xdr:to>
      <xdr:col>3</xdr:col>
      <xdr:colOff>130969</xdr:colOff>
      <xdr:row>212</xdr:row>
      <xdr:rowOff>154782</xdr:rowOff>
    </xdr:to>
    <xdr:cxnSp macro="">
      <xdr:nvCxnSpPr>
        <xdr:cNvPr id="721" name="Straight Arrow Connector 720"/>
        <xdr:cNvCxnSpPr/>
      </xdr:nvCxnSpPr>
      <xdr:spPr>
        <a:xfrm>
          <a:off x="2905125" y="34301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215</xdr:row>
      <xdr:rowOff>89297</xdr:rowOff>
    </xdr:from>
    <xdr:to>
      <xdr:col>3</xdr:col>
      <xdr:colOff>178594</xdr:colOff>
      <xdr:row>216</xdr:row>
      <xdr:rowOff>59531</xdr:rowOff>
    </xdr:to>
    <xdr:cxnSp macro="">
      <xdr:nvCxnSpPr>
        <xdr:cNvPr id="750" name="Straight Connector 749"/>
        <xdr:cNvCxnSpPr/>
      </xdr:nvCxnSpPr>
      <xdr:spPr>
        <a:xfrm>
          <a:off x="2833687" y="7328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215</xdr:row>
      <xdr:rowOff>35719</xdr:rowOff>
    </xdr:from>
    <xdr:to>
      <xdr:col>3</xdr:col>
      <xdr:colOff>285750</xdr:colOff>
      <xdr:row>215</xdr:row>
      <xdr:rowOff>154781</xdr:rowOff>
    </xdr:to>
    <xdr:cxnSp macro="">
      <xdr:nvCxnSpPr>
        <xdr:cNvPr id="751" name="Straight Connector 750"/>
        <xdr:cNvCxnSpPr/>
      </xdr:nvCxnSpPr>
      <xdr:spPr>
        <a:xfrm>
          <a:off x="2869406" y="7274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224</xdr:row>
      <xdr:rowOff>124558</xdr:rowOff>
    </xdr:from>
    <xdr:to>
      <xdr:col>3</xdr:col>
      <xdr:colOff>381000</xdr:colOff>
      <xdr:row>227</xdr:row>
      <xdr:rowOff>124558</xdr:rowOff>
    </xdr:to>
    <xdr:cxnSp macro="">
      <xdr:nvCxnSpPr>
        <xdr:cNvPr id="752" name="Straight Connector 751"/>
        <xdr:cNvCxnSpPr/>
      </xdr:nvCxnSpPr>
      <xdr:spPr>
        <a:xfrm flipH="1">
          <a:off x="2706842" y="9078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224</xdr:row>
      <xdr:rowOff>139212</xdr:rowOff>
    </xdr:from>
    <xdr:to>
      <xdr:col>4</xdr:col>
      <xdr:colOff>116773</xdr:colOff>
      <xdr:row>227</xdr:row>
      <xdr:rowOff>117231</xdr:rowOff>
    </xdr:to>
    <xdr:cxnSp macro="">
      <xdr:nvCxnSpPr>
        <xdr:cNvPr id="753" name="Straight Connector 752"/>
        <xdr:cNvCxnSpPr/>
      </xdr:nvCxnSpPr>
      <xdr:spPr>
        <a:xfrm>
          <a:off x="3155156" y="9092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227</xdr:row>
      <xdr:rowOff>118956</xdr:rowOff>
    </xdr:from>
    <xdr:to>
      <xdr:col>4</xdr:col>
      <xdr:colOff>134902</xdr:colOff>
      <xdr:row>227</xdr:row>
      <xdr:rowOff>118956</xdr:rowOff>
    </xdr:to>
    <xdr:cxnSp macro="">
      <xdr:nvCxnSpPr>
        <xdr:cNvPr id="754" name="Straight Connector 753"/>
        <xdr:cNvCxnSpPr/>
      </xdr:nvCxnSpPr>
      <xdr:spPr>
        <a:xfrm>
          <a:off x="2699811" y="9643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225</xdr:row>
      <xdr:rowOff>36635</xdr:rowOff>
    </xdr:from>
    <xdr:to>
      <xdr:col>3</xdr:col>
      <xdr:colOff>300404</xdr:colOff>
      <xdr:row>226</xdr:row>
      <xdr:rowOff>45337</xdr:rowOff>
    </xdr:to>
    <xdr:cxnSp macro="">
      <xdr:nvCxnSpPr>
        <xdr:cNvPr id="755" name="Straight Connector 754"/>
        <xdr:cNvCxnSpPr/>
      </xdr:nvCxnSpPr>
      <xdr:spPr>
        <a:xfrm flipH="1">
          <a:off x="3069065" y="9180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225</xdr:row>
      <xdr:rowOff>25749</xdr:rowOff>
    </xdr:from>
    <xdr:to>
      <xdr:col>3</xdr:col>
      <xdr:colOff>472128</xdr:colOff>
      <xdr:row>226</xdr:row>
      <xdr:rowOff>36635</xdr:rowOff>
    </xdr:to>
    <xdr:cxnSp macro="">
      <xdr:nvCxnSpPr>
        <xdr:cNvPr id="756" name="Straight Connector 755"/>
        <xdr:cNvCxnSpPr/>
      </xdr:nvCxnSpPr>
      <xdr:spPr>
        <a:xfrm>
          <a:off x="3228425" y="9169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215</xdr:row>
      <xdr:rowOff>44824</xdr:rowOff>
    </xdr:from>
    <xdr:to>
      <xdr:col>3</xdr:col>
      <xdr:colOff>67235</xdr:colOff>
      <xdr:row>217</xdr:row>
      <xdr:rowOff>156883</xdr:rowOff>
    </xdr:to>
    <xdr:cxnSp macro="">
      <xdr:nvCxnSpPr>
        <xdr:cNvPr id="757" name="Straight Connector 756"/>
        <xdr:cNvCxnSpPr/>
      </xdr:nvCxnSpPr>
      <xdr:spPr>
        <a:xfrm>
          <a:off x="2841391" y="7283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217</xdr:row>
      <xdr:rowOff>166690</xdr:rowOff>
    </xdr:from>
    <xdr:to>
      <xdr:col>4</xdr:col>
      <xdr:colOff>29308</xdr:colOff>
      <xdr:row>217</xdr:row>
      <xdr:rowOff>168519</xdr:rowOff>
    </xdr:to>
    <xdr:cxnSp macro="">
      <xdr:nvCxnSpPr>
        <xdr:cNvPr id="758" name="Straight Connector 757"/>
        <xdr:cNvCxnSpPr/>
      </xdr:nvCxnSpPr>
      <xdr:spPr>
        <a:xfrm>
          <a:off x="2833687" y="7786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215</xdr:row>
      <xdr:rowOff>41673</xdr:rowOff>
    </xdr:from>
    <xdr:to>
      <xdr:col>4</xdr:col>
      <xdr:colOff>12211</xdr:colOff>
      <xdr:row>218</xdr:row>
      <xdr:rowOff>0</xdr:rowOff>
    </xdr:to>
    <xdr:cxnSp macro="">
      <xdr:nvCxnSpPr>
        <xdr:cNvPr id="759" name="Straight Connector 758"/>
        <xdr:cNvCxnSpPr/>
      </xdr:nvCxnSpPr>
      <xdr:spPr>
        <a:xfrm flipH="1" flipV="1">
          <a:off x="3488531" y="7280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215</xdr:row>
      <xdr:rowOff>32918</xdr:rowOff>
    </xdr:from>
    <xdr:to>
      <xdr:col>4</xdr:col>
      <xdr:colOff>17861</xdr:colOff>
      <xdr:row>215</xdr:row>
      <xdr:rowOff>35719</xdr:rowOff>
    </xdr:to>
    <xdr:cxnSp macro="">
      <xdr:nvCxnSpPr>
        <xdr:cNvPr id="760" name="Straight Connector 759"/>
        <xdr:cNvCxnSpPr/>
      </xdr:nvCxnSpPr>
      <xdr:spPr>
        <a:xfrm flipH="1">
          <a:off x="2833687" y="7271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220</xdr:row>
      <xdr:rowOff>89297</xdr:rowOff>
    </xdr:from>
    <xdr:to>
      <xdr:col>3</xdr:col>
      <xdr:colOff>178594</xdr:colOff>
      <xdr:row>221</xdr:row>
      <xdr:rowOff>59531</xdr:rowOff>
    </xdr:to>
    <xdr:cxnSp macro="">
      <xdr:nvCxnSpPr>
        <xdr:cNvPr id="761" name="Straight Connector 760"/>
        <xdr:cNvCxnSpPr/>
      </xdr:nvCxnSpPr>
      <xdr:spPr>
        <a:xfrm>
          <a:off x="2833687" y="828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220</xdr:row>
      <xdr:rowOff>35719</xdr:rowOff>
    </xdr:from>
    <xdr:to>
      <xdr:col>3</xdr:col>
      <xdr:colOff>285750</xdr:colOff>
      <xdr:row>220</xdr:row>
      <xdr:rowOff>154781</xdr:rowOff>
    </xdr:to>
    <xdr:cxnSp macro="">
      <xdr:nvCxnSpPr>
        <xdr:cNvPr id="762" name="Straight Connector 761"/>
        <xdr:cNvCxnSpPr/>
      </xdr:nvCxnSpPr>
      <xdr:spPr>
        <a:xfrm>
          <a:off x="2869406" y="822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220</xdr:row>
      <xdr:rowOff>44824</xdr:rowOff>
    </xdr:from>
    <xdr:to>
      <xdr:col>3</xdr:col>
      <xdr:colOff>67235</xdr:colOff>
      <xdr:row>222</xdr:row>
      <xdr:rowOff>156883</xdr:rowOff>
    </xdr:to>
    <xdr:cxnSp macro="">
      <xdr:nvCxnSpPr>
        <xdr:cNvPr id="763" name="Straight Connector 762"/>
        <xdr:cNvCxnSpPr/>
      </xdr:nvCxnSpPr>
      <xdr:spPr>
        <a:xfrm>
          <a:off x="2841391" y="823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222</xdr:row>
      <xdr:rowOff>166690</xdr:rowOff>
    </xdr:from>
    <xdr:to>
      <xdr:col>4</xdr:col>
      <xdr:colOff>29308</xdr:colOff>
      <xdr:row>222</xdr:row>
      <xdr:rowOff>168519</xdr:rowOff>
    </xdr:to>
    <xdr:cxnSp macro="">
      <xdr:nvCxnSpPr>
        <xdr:cNvPr id="764" name="Straight Connector 763"/>
        <xdr:cNvCxnSpPr/>
      </xdr:nvCxnSpPr>
      <xdr:spPr>
        <a:xfrm>
          <a:off x="2833687" y="873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220</xdr:row>
      <xdr:rowOff>41673</xdr:rowOff>
    </xdr:from>
    <xdr:to>
      <xdr:col>4</xdr:col>
      <xdr:colOff>12211</xdr:colOff>
      <xdr:row>223</xdr:row>
      <xdr:rowOff>0</xdr:rowOff>
    </xdr:to>
    <xdr:cxnSp macro="">
      <xdr:nvCxnSpPr>
        <xdr:cNvPr id="765" name="Straight Connector 764"/>
        <xdr:cNvCxnSpPr/>
      </xdr:nvCxnSpPr>
      <xdr:spPr>
        <a:xfrm flipH="1" flipV="1">
          <a:off x="3488531" y="823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220</xdr:row>
      <xdr:rowOff>32918</xdr:rowOff>
    </xdr:from>
    <xdr:to>
      <xdr:col>4</xdr:col>
      <xdr:colOff>17861</xdr:colOff>
      <xdr:row>220</xdr:row>
      <xdr:rowOff>35719</xdr:rowOff>
    </xdr:to>
    <xdr:cxnSp macro="">
      <xdr:nvCxnSpPr>
        <xdr:cNvPr id="766" name="Straight Connector 765"/>
        <xdr:cNvCxnSpPr/>
      </xdr:nvCxnSpPr>
      <xdr:spPr>
        <a:xfrm flipH="1">
          <a:off x="2833687" y="822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229</xdr:row>
      <xdr:rowOff>124558</xdr:rowOff>
    </xdr:from>
    <xdr:to>
      <xdr:col>3</xdr:col>
      <xdr:colOff>381000</xdr:colOff>
      <xdr:row>232</xdr:row>
      <xdr:rowOff>124558</xdr:rowOff>
    </xdr:to>
    <xdr:cxnSp macro="">
      <xdr:nvCxnSpPr>
        <xdr:cNvPr id="767" name="Straight Connector 766"/>
        <xdr:cNvCxnSpPr/>
      </xdr:nvCxnSpPr>
      <xdr:spPr>
        <a:xfrm flipH="1">
          <a:off x="2706842" y="10030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229</xdr:row>
      <xdr:rowOff>139212</xdr:rowOff>
    </xdr:from>
    <xdr:to>
      <xdr:col>4</xdr:col>
      <xdr:colOff>116773</xdr:colOff>
      <xdr:row>232</xdr:row>
      <xdr:rowOff>117231</xdr:rowOff>
    </xdr:to>
    <xdr:cxnSp macro="">
      <xdr:nvCxnSpPr>
        <xdr:cNvPr id="768" name="Straight Connector 767"/>
        <xdr:cNvCxnSpPr/>
      </xdr:nvCxnSpPr>
      <xdr:spPr>
        <a:xfrm>
          <a:off x="3155156" y="10045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232</xdr:row>
      <xdr:rowOff>118956</xdr:rowOff>
    </xdr:from>
    <xdr:to>
      <xdr:col>4</xdr:col>
      <xdr:colOff>134902</xdr:colOff>
      <xdr:row>232</xdr:row>
      <xdr:rowOff>118956</xdr:rowOff>
    </xdr:to>
    <xdr:cxnSp macro="">
      <xdr:nvCxnSpPr>
        <xdr:cNvPr id="769" name="Straight Connector 768"/>
        <xdr:cNvCxnSpPr/>
      </xdr:nvCxnSpPr>
      <xdr:spPr>
        <a:xfrm>
          <a:off x="2699811" y="10596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230</xdr:row>
      <xdr:rowOff>36635</xdr:rowOff>
    </xdr:from>
    <xdr:to>
      <xdr:col>3</xdr:col>
      <xdr:colOff>300404</xdr:colOff>
      <xdr:row>231</xdr:row>
      <xdr:rowOff>45337</xdr:rowOff>
    </xdr:to>
    <xdr:cxnSp macro="">
      <xdr:nvCxnSpPr>
        <xdr:cNvPr id="770" name="Straight Connector 769"/>
        <xdr:cNvCxnSpPr/>
      </xdr:nvCxnSpPr>
      <xdr:spPr>
        <a:xfrm flipH="1">
          <a:off x="3069065" y="10133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230</xdr:row>
      <xdr:rowOff>25749</xdr:rowOff>
    </xdr:from>
    <xdr:to>
      <xdr:col>3</xdr:col>
      <xdr:colOff>472128</xdr:colOff>
      <xdr:row>231</xdr:row>
      <xdr:rowOff>36635</xdr:rowOff>
    </xdr:to>
    <xdr:cxnSp macro="">
      <xdr:nvCxnSpPr>
        <xdr:cNvPr id="771" name="Straight Connector 770"/>
        <xdr:cNvCxnSpPr/>
      </xdr:nvCxnSpPr>
      <xdr:spPr>
        <a:xfrm>
          <a:off x="3228425" y="10122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176</xdr:row>
      <xdr:rowOff>305147</xdr:rowOff>
    </xdr:from>
    <xdr:to>
      <xdr:col>3</xdr:col>
      <xdr:colOff>130969</xdr:colOff>
      <xdr:row>178</xdr:row>
      <xdr:rowOff>11906</xdr:rowOff>
    </xdr:to>
    <xdr:cxnSp macro="">
      <xdr:nvCxnSpPr>
        <xdr:cNvPr id="225" name="Straight Arrow Connector 224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145</xdr:row>
      <xdr:rowOff>305147</xdr:rowOff>
    </xdr:from>
    <xdr:to>
      <xdr:col>3</xdr:col>
      <xdr:colOff>130969</xdr:colOff>
      <xdr:row>147</xdr:row>
      <xdr:rowOff>11906</xdr:rowOff>
    </xdr:to>
    <xdr:cxnSp macro="">
      <xdr:nvCxnSpPr>
        <xdr:cNvPr id="226" name="Straight Arrow Connector 225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114</xdr:row>
      <xdr:rowOff>305147</xdr:rowOff>
    </xdr:from>
    <xdr:to>
      <xdr:col>3</xdr:col>
      <xdr:colOff>130969</xdr:colOff>
      <xdr:row>116</xdr:row>
      <xdr:rowOff>11906</xdr:rowOff>
    </xdr:to>
    <xdr:cxnSp macro="">
      <xdr:nvCxnSpPr>
        <xdr:cNvPr id="227" name="Straight Arrow Connector 226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228" name="Straight Arrow Connector 227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229" name="Straight Arrow Connector 228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30</xdr:row>
      <xdr:rowOff>305147</xdr:rowOff>
    </xdr:from>
    <xdr:to>
      <xdr:col>3</xdr:col>
      <xdr:colOff>130969</xdr:colOff>
      <xdr:row>32</xdr:row>
      <xdr:rowOff>11906</xdr:rowOff>
    </xdr:to>
    <xdr:cxnSp macro="">
      <xdr:nvCxnSpPr>
        <xdr:cNvPr id="230" name="Straight Arrow Connector 229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56</xdr:row>
      <xdr:rowOff>305147</xdr:rowOff>
    </xdr:from>
    <xdr:to>
      <xdr:col>3</xdr:col>
      <xdr:colOff>130969</xdr:colOff>
      <xdr:row>58</xdr:row>
      <xdr:rowOff>11906</xdr:rowOff>
    </xdr:to>
    <xdr:cxnSp macro="">
      <xdr:nvCxnSpPr>
        <xdr:cNvPr id="231" name="Straight Arrow Connector 230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82</xdr:row>
      <xdr:rowOff>305147</xdr:rowOff>
    </xdr:from>
    <xdr:to>
      <xdr:col>3</xdr:col>
      <xdr:colOff>130969</xdr:colOff>
      <xdr:row>84</xdr:row>
      <xdr:rowOff>11906</xdr:rowOff>
    </xdr:to>
    <xdr:cxnSp macro="">
      <xdr:nvCxnSpPr>
        <xdr:cNvPr id="232" name="Straight Arrow Connector 231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234</xdr:row>
      <xdr:rowOff>297027</xdr:rowOff>
    </xdr:from>
    <xdr:to>
      <xdr:col>3</xdr:col>
      <xdr:colOff>392907</xdr:colOff>
      <xdr:row>238</xdr:row>
      <xdr:rowOff>154781</xdr:rowOff>
    </xdr:to>
    <xdr:cxnSp macro="">
      <xdr:nvCxnSpPr>
        <xdr:cNvPr id="233" name="Straight Connector 232"/>
        <xdr:cNvCxnSpPr/>
      </xdr:nvCxnSpPr>
      <xdr:spPr>
        <a:xfrm>
          <a:off x="3159237" y="40006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238</xdr:row>
      <xdr:rowOff>142875</xdr:rowOff>
    </xdr:from>
    <xdr:to>
      <xdr:col>4</xdr:col>
      <xdr:colOff>11908</xdr:colOff>
      <xdr:row>238</xdr:row>
      <xdr:rowOff>154782</xdr:rowOff>
    </xdr:to>
    <xdr:cxnSp macro="">
      <xdr:nvCxnSpPr>
        <xdr:cNvPr id="234" name="Straight Connector 233"/>
        <xdr:cNvCxnSpPr/>
      </xdr:nvCxnSpPr>
      <xdr:spPr>
        <a:xfrm flipH="1" flipV="1">
          <a:off x="3143251" y="40719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234</xdr:row>
      <xdr:rowOff>305147</xdr:rowOff>
    </xdr:from>
    <xdr:to>
      <xdr:col>3</xdr:col>
      <xdr:colOff>130969</xdr:colOff>
      <xdr:row>236</xdr:row>
      <xdr:rowOff>11906</xdr:rowOff>
    </xdr:to>
    <xdr:cxnSp macro="">
      <xdr:nvCxnSpPr>
        <xdr:cNvPr id="235" name="Straight Arrow Connector 234"/>
        <xdr:cNvCxnSpPr/>
      </xdr:nvCxnSpPr>
      <xdr:spPr>
        <a:xfrm flipH="1" flipV="1">
          <a:off x="2897851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237</xdr:row>
      <xdr:rowOff>11907</xdr:rowOff>
    </xdr:from>
    <xdr:to>
      <xdr:col>3</xdr:col>
      <xdr:colOff>130969</xdr:colOff>
      <xdr:row>238</xdr:row>
      <xdr:rowOff>154782</xdr:rowOff>
    </xdr:to>
    <xdr:cxnSp macro="">
      <xdr:nvCxnSpPr>
        <xdr:cNvPr id="236" name="Straight Arrow Connector 235"/>
        <xdr:cNvCxnSpPr/>
      </xdr:nvCxnSpPr>
      <xdr:spPr>
        <a:xfrm>
          <a:off x="2905125" y="40397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241</xdr:row>
      <xdr:rowOff>89297</xdr:rowOff>
    </xdr:from>
    <xdr:to>
      <xdr:col>3</xdr:col>
      <xdr:colOff>178594</xdr:colOff>
      <xdr:row>242</xdr:row>
      <xdr:rowOff>59531</xdr:rowOff>
    </xdr:to>
    <xdr:cxnSp macro="">
      <xdr:nvCxnSpPr>
        <xdr:cNvPr id="237" name="Straight Connector 236"/>
        <xdr:cNvCxnSpPr/>
      </xdr:nvCxnSpPr>
      <xdr:spPr>
        <a:xfrm>
          <a:off x="2833687" y="4123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241</xdr:row>
      <xdr:rowOff>35719</xdr:rowOff>
    </xdr:from>
    <xdr:to>
      <xdr:col>3</xdr:col>
      <xdr:colOff>285750</xdr:colOff>
      <xdr:row>241</xdr:row>
      <xdr:rowOff>154781</xdr:rowOff>
    </xdr:to>
    <xdr:cxnSp macro="">
      <xdr:nvCxnSpPr>
        <xdr:cNvPr id="238" name="Straight Connector 237"/>
        <xdr:cNvCxnSpPr/>
      </xdr:nvCxnSpPr>
      <xdr:spPr>
        <a:xfrm>
          <a:off x="2869406" y="4118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250</xdr:row>
      <xdr:rowOff>124558</xdr:rowOff>
    </xdr:from>
    <xdr:to>
      <xdr:col>3</xdr:col>
      <xdr:colOff>381000</xdr:colOff>
      <xdr:row>253</xdr:row>
      <xdr:rowOff>124558</xdr:rowOff>
    </xdr:to>
    <xdr:cxnSp macro="">
      <xdr:nvCxnSpPr>
        <xdr:cNvPr id="239" name="Straight Connector 238"/>
        <xdr:cNvCxnSpPr/>
      </xdr:nvCxnSpPr>
      <xdr:spPr>
        <a:xfrm flipH="1">
          <a:off x="2706842" y="42987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250</xdr:row>
      <xdr:rowOff>139212</xdr:rowOff>
    </xdr:from>
    <xdr:to>
      <xdr:col>4</xdr:col>
      <xdr:colOff>116773</xdr:colOff>
      <xdr:row>253</xdr:row>
      <xdr:rowOff>117231</xdr:rowOff>
    </xdr:to>
    <xdr:cxnSp macro="">
      <xdr:nvCxnSpPr>
        <xdr:cNvPr id="240" name="Straight Connector 239"/>
        <xdr:cNvCxnSpPr/>
      </xdr:nvCxnSpPr>
      <xdr:spPr>
        <a:xfrm>
          <a:off x="3155156" y="43001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253</xdr:row>
      <xdr:rowOff>118956</xdr:rowOff>
    </xdr:from>
    <xdr:to>
      <xdr:col>4</xdr:col>
      <xdr:colOff>134902</xdr:colOff>
      <xdr:row>253</xdr:row>
      <xdr:rowOff>118956</xdr:rowOff>
    </xdr:to>
    <xdr:cxnSp macro="">
      <xdr:nvCxnSpPr>
        <xdr:cNvPr id="241" name="Straight Connector 240"/>
        <xdr:cNvCxnSpPr/>
      </xdr:nvCxnSpPr>
      <xdr:spPr>
        <a:xfrm>
          <a:off x="2699811" y="43552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251</xdr:row>
      <xdr:rowOff>36635</xdr:rowOff>
    </xdr:from>
    <xdr:to>
      <xdr:col>3</xdr:col>
      <xdr:colOff>300404</xdr:colOff>
      <xdr:row>252</xdr:row>
      <xdr:rowOff>45337</xdr:rowOff>
    </xdr:to>
    <xdr:cxnSp macro="">
      <xdr:nvCxnSpPr>
        <xdr:cNvPr id="242" name="Straight Connector 241"/>
        <xdr:cNvCxnSpPr/>
      </xdr:nvCxnSpPr>
      <xdr:spPr>
        <a:xfrm flipH="1">
          <a:off x="3069065" y="43089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251</xdr:row>
      <xdr:rowOff>25749</xdr:rowOff>
    </xdr:from>
    <xdr:to>
      <xdr:col>3</xdr:col>
      <xdr:colOff>472128</xdr:colOff>
      <xdr:row>252</xdr:row>
      <xdr:rowOff>36635</xdr:rowOff>
    </xdr:to>
    <xdr:cxnSp macro="">
      <xdr:nvCxnSpPr>
        <xdr:cNvPr id="243" name="Straight Connector 242"/>
        <xdr:cNvCxnSpPr/>
      </xdr:nvCxnSpPr>
      <xdr:spPr>
        <a:xfrm>
          <a:off x="3228425" y="43078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241</xdr:row>
      <xdr:rowOff>44824</xdr:rowOff>
    </xdr:from>
    <xdr:to>
      <xdr:col>3</xdr:col>
      <xdr:colOff>67235</xdr:colOff>
      <xdr:row>243</xdr:row>
      <xdr:rowOff>156883</xdr:rowOff>
    </xdr:to>
    <xdr:cxnSp macro="">
      <xdr:nvCxnSpPr>
        <xdr:cNvPr id="244" name="Straight Connector 243"/>
        <xdr:cNvCxnSpPr/>
      </xdr:nvCxnSpPr>
      <xdr:spPr>
        <a:xfrm>
          <a:off x="2841391" y="4119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243</xdr:row>
      <xdr:rowOff>166690</xdr:rowOff>
    </xdr:from>
    <xdr:to>
      <xdr:col>4</xdr:col>
      <xdr:colOff>29308</xdr:colOff>
      <xdr:row>243</xdr:row>
      <xdr:rowOff>168519</xdr:rowOff>
    </xdr:to>
    <xdr:cxnSp macro="">
      <xdr:nvCxnSpPr>
        <xdr:cNvPr id="245" name="Straight Connector 244"/>
        <xdr:cNvCxnSpPr/>
      </xdr:nvCxnSpPr>
      <xdr:spPr>
        <a:xfrm>
          <a:off x="2833687" y="4169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241</xdr:row>
      <xdr:rowOff>41673</xdr:rowOff>
    </xdr:from>
    <xdr:to>
      <xdr:col>4</xdr:col>
      <xdr:colOff>12211</xdr:colOff>
      <xdr:row>244</xdr:row>
      <xdr:rowOff>0</xdr:rowOff>
    </xdr:to>
    <xdr:cxnSp macro="">
      <xdr:nvCxnSpPr>
        <xdr:cNvPr id="246" name="Straight Connector 245"/>
        <xdr:cNvCxnSpPr/>
      </xdr:nvCxnSpPr>
      <xdr:spPr>
        <a:xfrm flipH="1" flipV="1">
          <a:off x="3488531" y="4118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241</xdr:row>
      <xdr:rowOff>32918</xdr:rowOff>
    </xdr:from>
    <xdr:to>
      <xdr:col>4</xdr:col>
      <xdr:colOff>17861</xdr:colOff>
      <xdr:row>241</xdr:row>
      <xdr:rowOff>35719</xdr:rowOff>
    </xdr:to>
    <xdr:cxnSp macro="">
      <xdr:nvCxnSpPr>
        <xdr:cNvPr id="247" name="Straight Connector 246"/>
        <xdr:cNvCxnSpPr/>
      </xdr:nvCxnSpPr>
      <xdr:spPr>
        <a:xfrm flipH="1">
          <a:off x="2833687" y="4118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246</xdr:row>
      <xdr:rowOff>89297</xdr:rowOff>
    </xdr:from>
    <xdr:to>
      <xdr:col>3</xdr:col>
      <xdr:colOff>178594</xdr:colOff>
      <xdr:row>247</xdr:row>
      <xdr:rowOff>59531</xdr:rowOff>
    </xdr:to>
    <xdr:cxnSp macro="">
      <xdr:nvCxnSpPr>
        <xdr:cNvPr id="248" name="Straight Connector 247"/>
        <xdr:cNvCxnSpPr/>
      </xdr:nvCxnSpPr>
      <xdr:spPr>
        <a:xfrm>
          <a:off x="2833687" y="42189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246</xdr:row>
      <xdr:rowOff>35719</xdr:rowOff>
    </xdr:from>
    <xdr:to>
      <xdr:col>3</xdr:col>
      <xdr:colOff>285750</xdr:colOff>
      <xdr:row>246</xdr:row>
      <xdr:rowOff>154781</xdr:rowOff>
    </xdr:to>
    <xdr:cxnSp macro="">
      <xdr:nvCxnSpPr>
        <xdr:cNvPr id="249" name="Straight Connector 248"/>
        <xdr:cNvCxnSpPr/>
      </xdr:nvCxnSpPr>
      <xdr:spPr>
        <a:xfrm>
          <a:off x="2869406" y="42136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246</xdr:row>
      <xdr:rowOff>44824</xdr:rowOff>
    </xdr:from>
    <xdr:to>
      <xdr:col>3</xdr:col>
      <xdr:colOff>67235</xdr:colOff>
      <xdr:row>248</xdr:row>
      <xdr:rowOff>156883</xdr:rowOff>
    </xdr:to>
    <xdr:cxnSp macro="">
      <xdr:nvCxnSpPr>
        <xdr:cNvPr id="250" name="Straight Connector 249"/>
        <xdr:cNvCxnSpPr/>
      </xdr:nvCxnSpPr>
      <xdr:spPr>
        <a:xfrm>
          <a:off x="2841391" y="42145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248</xdr:row>
      <xdr:rowOff>166690</xdr:rowOff>
    </xdr:from>
    <xdr:to>
      <xdr:col>4</xdr:col>
      <xdr:colOff>29308</xdr:colOff>
      <xdr:row>248</xdr:row>
      <xdr:rowOff>168519</xdr:rowOff>
    </xdr:to>
    <xdr:cxnSp macro="">
      <xdr:nvCxnSpPr>
        <xdr:cNvPr id="251" name="Straight Connector 250"/>
        <xdr:cNvCxnSpPr/>
      </xdr:nvCxnSpPr>
      <xdr:spPr>
        <a:xfrm>
          <a:off x="2833687" y="42648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246</xdr:row>
      <xdr:rowOff>41673</xdr:rowOff>
    </xdr:from>
    <xdr:to>
      <xdr:col>4</xdr:col>
      <xdr:colOff>12211</xdr:colOff>
      <xdr:row>249</xdr:row>
      <xdr:rowOff>0</xdr:rowOff>
    </xdr:to>
    <xdr:cxnSp macro="">
      <xdr:nvCxnSpPr>
        <xdr:cNvPr id="252" name="Straight Connector 251"/>
        <xdr:cNvCxnSpPr/>
      </xdr:nvCxnSpPr>
      <xdr:spPr>
        <a:xfrm flipH="1" flipV="1">
          <a:off x="3488531" y="42142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246</xdr:row>
      <xdr:rowOff>32918</xdr:rowOff>
    </xdr:from>
    <xdr:to>
      <xdr:col>4</xdr:col>
      <xdr:colOff>17861</xdr:colOff>
      <xdr:row>246</xdr:row>
      <xdr:rowOff>35719</xdr:rowOff>
    </xdr:to>
    <xdr:cxnSp macro="">
      <xdr:nvCxnSpPr>
        <xdr:cNvPr id="253" name="Straight Connector 252"/>
        <xdr:cNvCxnSpPr/>
      </xdr:nvCxnSpPr>
      <xdr:spPr>
        <a:xfrm flipH="1">
          <a:off x="2833687" y="42133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255</xdr:row>
      <xdr:rowOff>124558</xdr:rowOff>
    </xdr:from>
    <xdr:to>
      <xdr:col>3</xdr:col>
      <xdr:colOff>381000</xdr:colOff>
      <xdr:row>258</xdr:row>
      <xdr:rowOff>124558</xdr:rowOff>
    </xdr:to>
    <xdr:cxnSp macro="">
      <xdr:nvCxnSpPr>
        <xdr:cNvPr id="254" name="Straight Connector 253"/>
        <xdr:cNvCxnSpPr/>
      </xdr:nvCxnSpPr>
      <xdr:spPr>
        <a:xfrm flipH="1">
          <a:off x="2706842" y="43939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255</xdr:row>
      <xdr:rowOff>139212</xdr:rowOff>
    </xdr:from>
    <xdr:to>
      <xdr:col>4</xdr:col>
      <xdr:colOff>116773</xdr:colOff>
      <xdr:row>258</xdr:row>
      <xdr:rowOff>117231</xdr:rowOff>
    </xdr:to>
    <xdr:cxnSp macro="">
      <xdr:nvCxnSpPr>
        <xdr:cNvPr id="255" name="Straight Connector 254"/>
        <xdr:cNvCxnSpPr/>
      </xdr:nvCxnSpPr>
      <xdr:spPr>
        <a:xfrm>
          <a:off x="3155156" y="43954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258</xdr:row>
      <xdr:rowOff>118956</xdr:rowOff>
    </xdr:from>
    <xdr:to>
      <xdr:col>4</xdr:col>
      <xdr:colOff>134902</xdr:colOff>
      <xdr:row>258</xdr:row>
      <xdr:rowOff>118956</xdr:rowOff>
    </xdr:to>
    <xdr:cxnSp macro="">
      <xdr:nvCxnSpPr>
        <xdr:cNvPr id="256" name="Straight Connector 255"/>
        <xdr:cNvCxnSpPr/>
      </xdr:nvCxnSpPr>
      <xdr:spPr>
        <a:xfrm>
          <a:off x="2699811" y="44505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256</xdr:row>
      <xdr:rowOff>36635</xdr:rowOff>
    </xdr:from>
    <xdr:to>
      <xdr:col>3</xdr:col>
      <xdr:colOff>300404</xdr:colOff>
      <xdr:row>257</xdr:row>
      <xdr:rowOff>45337</xdr:rowOff>
    </xdr:to>
    <xdr:cxnSp macro="">
      <xdr:nvCxnSpPr>
        <xdr:cNvPr id="257" name="Straight Connector 256"/>
        <xdr:cNvCxnSpPr/>
      </xdr:nvCxnSpPr>
      <xdr:spPr>
        <a:xfrm flipH="1">
          <a:off x="3069065" y="44042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256</xdr:row>
      <xdr:rowOff>25749</xdr:rowOff>
    </xdr:from>
    <xdr:to>
      <xdr:col>3</xdr:col>
      <xdr:colOff>472128</xdr:colOff>
      <xdr:row>257</xdr:row>
      <xdr:rowOff>36635</xdr:rowOff>
    </xdr:to>
    <xdr:cxnSp macro="">
      <xdr:nvCxnSpPr>
        <xdr:cNvPr id="258" name="Straight Connector 257"/>
        <xdr:cNvCxnSpPr/>
      </xdr:nvCxnSpPr>
      <xdr:spPr>
        <a:xfrm>
          <a:off x="3228425" y="44031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234</xdr:row>
      <xdr:rowOff>171450</xdr:rowOff>
    </xdr:from>
    <xdr:to>
      <xdr:col>3</xdr:col>
      <xdr:colOff>504825</xdr:colOff>
      <xdr:row>239</xdr:row>
      <xdr:rowOff>47625</xdr:rowOff>
    </xdr:to>
    <xdr:pic>
      <xdr:nvPicPr>
        <xdr:cNvPr id="259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4493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208</xdr:row>
      <xdr:rowOff>171450</xdr:rowOff>
    </xdr:from>
    <xdr:to>
      <xdr:col>3</xdr:col>
      <xdr:colOff>495300</xdr:colOff>
      <xdr:row>213</xdr:row>
      <xdr:rowOff>47625</xdr:rowOff>
    </xdr:to>
    <xdr:pic>
      <xdr:nvPicPr>
        <xdr:cNvPr id="1025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9985950"/>
          <a:ext cx="1524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385081</xdr:colOff>
      <xdr:row>4</xdr:row>
      <xdr:rowOff>297027</xdr:rowOff>
    </xdr:from>
    <xdr:to>
      <xdr:col>3</xdr:col>
      <xdr:colOff>392907</xdr:colOff>
      <xdr:row>8</xdr:row>
      <xdr:rowOff>154781</xdr:rowOff>
    </xdr:to>
    <xdr:cxnSp macro="">
      <xdr:nvCxnSpPr>
        <xdr:cNvPr id="2" name="Straight Connector 1"/>
        <xdr:cNvCxnSpPr/>
      </xdr:nvCxnSpPr>
      <xdr:spPr>
        <a:xfrm>
          <a:off x="3166381" y="1116177"/>
          <a:ext cx="7826" cy="753104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8</xdr:row>
      <xdr:rowOff>142875</xdr:rowOff>
    </xdr:from>
    <xdr:to>
      <xdr:col>4</xdr:col>
      <xdr:colOff>11908</xdr:colOff>
      <xdr:row>8</xdr:row>
      <xdr:rowOff>154782</xdr:rowOff>
    </xdr:to>
    <xdr:cxnSp macro="">
      <xdr:nvCxnSpPr>
        <xdr:cNvPr id="3" name="Straight Connector 2"/>
        <xdr:cNvCxnSpPr/>
      </xdr:nvCxnSpPr>
      <xdr:spPr>
        <a:xfrm flipH="1" flipV="1">
          <a:off x="3150395" y="1857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4" name="Straight Arrow Connector 3"/>
        <xdr:cNvCxnSpPr/>
      </xdr:nvCxnSpPr>
      <xdr:spPr>
        <a:xfrm flipH="1" flipV="1">
          <a:off x="2904995" y="1124297"/>
          <a:ext cx="7274" cy="22110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7</xdr:row>
      <xdr:rowOff>11907</xdr:rowOff>
    </xdr:from>
    <xdr:to>
      <xdr:col>3</xdr:col>
      <xdr:colOff>130969</xdr:colOff>
      <xdr:row>8</xdr:row>
      <xdr:rowOff>154782</xdr:rowOff>
    </xdr:to>
    <xdr:cxnSp macro="">
      <xdr:nvCxnSpPr>
        <xdr:cNvPr id="5" name="Straight Arrow Connector 4"/>
        <xdr:cNvCxnSpPr/>
      </xdr:nvCxnSpPr>
      <xdr:spPr>
        <a:xfrm>
          <a:off x="2912269" y="1535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11</xdr:row>
      <xdr:rowOff>89297</xdr:rowOff>
    </xdr:from>
    <xdr:to>
      <xdr:col>3</xdr:col>
      <xdr:colOff>178594</xdr:colOff>
      <xdr:row>12</xdr:row>
      <xdr:rowOff>59531</xdr:rowOff>
    </xdr:to>
    <xdr:cxnSp macro="">
      <xdr:nvCxnSpPr>
        <xdr:cNvPr id="6" name="Straight Connector 5"/>
        <xdr:cNvCxnSpPr/>
      </xdr:nvCxnSpPr>
      <xdr:spPr>
        <a:xfrm>
          <a:off x="2840831" y="237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11</xdr:row>
      <xdr:rowOff>35719</xdr:rowOff>
    </xdr:from>
    <xdr:to>
      <xdr:col>3</xdr:col>
      <xdr:colOff>285750</xdr:colOff>
      <xdr:row>11</xdr:row>
      <xdr:rowOff>154781</xdr:rowOff>
    </xdr:to>
    <xdr:cxnSp macro="">
      <xdr:nvCxnSpPr>
        <xdr:cNvPr id="7" name="Straight Connector 6"/>
        <xdr:cNvCxnSpPr/>
      </xdr:nvCxnSpPr>
      <xdr:spPr>
        <a:xfrm>
          <a:off x="2876550" y="232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20</xdr:row>
      <xdr:rowOff>124558</xdr:rowOff>
    </xdr:from>
    <xdr:to>
      <xdr:col>3</xdr:col>
      <xdr:colOff>381000</xdr:colOff>
      <xdr:row>23</xdr:row>
      <xdr:rowOff>124558</xdr:rowOff>
    </xdr:to>
    <xdr:cxnSp macro="">
      <xdr:nvCxnSpPr>
        <xdr:cNvPr id="8" name="Straight Connector 7"/>
        <xdr:cNvCxnSpPr/>
      </xdr:nvCxnSpPr>
      <xdr:spPr>
        <a:xfrm flipH="1">
          <a:off x="2713986" y="4125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</xdr:row>
      <xdr:rowOff>139212</xdr:rowOff>
    </xdr:from>
    <xdr:to>
      <xdr:col>4</xdr:col>
      <xdr:colOff>116773</xdr:colOff>
      <xdr:row>23</xdr:row>
      <xdr:rowOff>117231</xdr:rowOff>
    </xdr:to>
    <xdr:cxnSp macro="">
      <xdr:nvCxnSpPr>
        <xdr:cNvPr id="9" name="Straight Connector 8"/>
        <xdr:cNvCxnSpPr/>
      </xdr:nvCxnSpPr>
      <xdr:spPr>
        <a:xfrm>
          <a:off x="3162300" y="4139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23</xdr:row>
      <xdr:rowOff>118956</xdr:rowOff>
    </xdr:from>
    <xdr:to>
      <xdr:col>4</xdr:col>
      <xdr:colOff>134902</xdr:colOff>
      <xdr:row>23</xdr:row>
      <xdr:rowOff>118956</xdr:rowOff>
    </xdr:to>
    <xdr:cxnSp macro="">
      <xdr:nvCxnSpPr>
        <xdr:cNvPr id="10" name="Straight Connector 9"/>
        <xdr:cNvCxnSpPr/>
      </xdr:nvCxnSpPr>
      <xdr:spPr>
        <a:xfrm>
          <a:off x="2706955" y="4690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21</xdr:row>
      <xdr:rowOff>36635</xdr:rowOff>
    </xdr:from>
    <xdr:to>
      <xdr:col>3</xdr:col>
      <xdr:colOff>300404</xdr:colOff>
      <xdr:row>22</xdr:row>
      <xdr:rowOff>45337</xdr:rowOff>
    </xdr:to>
    <xdr:cxnSp macro="">
      <xdr:nvCxnSpPr>
        <xdr:cNvPr id="11" name="Straight Connector 10"/>
        <xdr:cNvCxnSpPr/>
      </xdr:nvCxnSpPr>
      <xdr:spPr>
        <a:xfrm flipH="1">
          <a:off x="3076209" y="4227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21</xdr:row>
      <xdr:rowOff>25749</xdr:rowOff>
    </xdr:from>
    <xdr:to>
      <xdr:col>3</xdr:col>
      <xdr:colOff>472128</xdr:colOff>
      <xdr:row>22</xdr:row>
      <xdr:rowOff>36635</xdr:rowOff>
    </xdr:to>
    <xdr:cxnSp macro="">
      <xdr:nvCxnSpPr>
        <xdr:cNvPr id="12" name="Straight Connector 11"/>
        <xdr:cNvCxnSpPr/>
      </xdr:nvCxnSpPr>
      <xdr:spPr>
        <a:xfrm>
          <a:off x="3235569" y="4216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11</xdr:row>
      <xdr:rowOff>44824</xdr:rowOff>
    </xdr:from>
    <xdr:to>
      <xdr:col>3</xdr:col>
      <xdr:colOff>67235</xdr:colOff>
      <xdr:row>13</xdr:row>
      <xdr:rowOff>156883</xdr:rowOff>
    </xdr:to>
    <xdr:cxnSp macro="">
      <xdr:nvCxnSpPr>
        <xdr:cNvPr id="13" name="Straight Connector 12"/>
        <xdr:cNvCxnSpPr/>
      </xdr:nvCxnSpPr>
      <xdr:spPr>
        <a:xfrm>
          <a:off x="2848535" y="233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13</xdr:row>
      <xdr:rowOff>166690</xdr:rowOff>
    </xdr:from>
    <xdr:to>
      <xdr:col>4</xdr:col>
      <xdr:colOff>29308</xdr:colOff>
      <xdr:row>13</xdr:row>
      <xdr:rowOff>168519</xdr:rowOff>
    </xdr:to>
    <xdr:cxnSp macro="">
      <xdr:nvCxnSpPr>
        <xdr:cNvPr id="14" name="Straight Connector 13"/>
        <xdr:cNvCxnSpPr/>
      </xdr:nvCxnSpPr>
      <xdr:spPr>
        <a:xfrm>
          <a:off x="2840831" y="2833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41673</xdr:rowOff>
    </xdr:from>
    <xdr:to>
      <xdr:col>4</xdr:col>
      <xdr:colOff>12211</xdr:colOff>
      <xdr:row>14</xdr:row>
      <xdr:rowOff>0</xdr:rowOff>
    </xdr:to>
    <xdr:cxnSp macro="">
      <xdr:nvCxnSpPr>
        <xdr:cNvPr id="15" name="Straight Connector 14"/>
        <xdr:cNvCxnSpPr/>
      </xdr:nvCxnSpPr>
      <xdr:spPr>
        <a:xfrm flipH="1" flipV="1">
          <a:off x="3495675" y="232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11</xdr:row>
      <xdr:rowOff>32918</xdr:rowOff>
    </xdr:from>
    <xdr:to>
      <xdr:col>4</xdr:col>
      <xdr:colOff>17861</xdr:colOff>
      <xdr:row>11</xdr:row>
      <xdr:rowOff>35719</xdr:rowOff>
    </xdr:to>
    <xdr:cxnSp macro="">
      <xdr:nvCxnSpPr>
        <xdr:cNvPr id="16" name="Straight Connector 15"/>
        <xdr:cNvCxnSpPr/>
      </xdr:nvCxnSpPr>
      <xdr:spPr>
        <a:xfrm flipH="1">
          <a:off x="2840831" y="2318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</xdr:row>
      <xdr:rowOff>89297</xdr:rowOff>
    </xdr:from>
    <xdr:to>
      <xdr:col>3</xdr:col>
      <xdr:colOff>178594</xdr:colOff>
      <xdr:row>17</xdr:row>
      <xdr:rowOff>59531</xdr:rowOff>
    </xdr:to>
    <xdr:cxnSp macro="">
      <xdr:nvCxnSpPr>
        <xdr:cNvPr id="17" name="Straight Connector 16"/>
        <xdr:cNvCxnSpPr/>
      </xdr:nvCxnSpPr>
      <xdr:spPr>
        <a:xfrm>
          <a:off x="2840831" y="332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16</xdr:row>
      <xdr:rowOff>35719</xdr:rowOff>
    </xdr:from>
    <xdr:to>
      <xdr:col>3</xdr:col>
      <xdr:colOff>285750</xdr:colOff>
      <xdr:row>16</xdr:row>
      <xdr:rowOff>154781</xdr:rowOff>
    </xdr:to>
    <xdr:cxnSp macro="">
      <xdr:nvCxnSpPr>
        <xdr:cNvPr id="18" name="Straight Connector 17"/>
        <xdr:cNvCxnSpPr/>
      </xdr:nvCxnSpPr>
      <xdr:spPr>
        <a:xfrm>
          <a:off x="2876550" y="327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16</xdr:row>
      <xdr:rowOff>44824</xdr:rowOff>
    </xdr:from>
    <xdr:to>
      <xdr:col>3</xdr:col>
      <xdr:colOff>67235</xdr:colOff>
      <xdr:row>18</xdr:row>
      <xdr:rowOff>156883</xdr:rowOff>
    </xdr:to>
    <xdr:cxnSp macro="">
      <xdr:nvCxnSpPr>
        <xdr:cNvPr id="19" name="Straight Connector 18"/>
        <xdr:cNvCxnSpPr/>
      </xdr:nvCxnSpPr>
      <xdr:spPr>
        <a:xfrm>
          <a:off x="2848535" y="328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</xdr:row>
      <xdr:rowOff>166690</xdr:rowOff>
    </xdr:from>
    <xdr:to>
      <xdr:col>4</xdr:col>
      <xdr:colOff>29308</xdr:colOff>
      <xdr:row>18</xdr:row>
      <xdr:rowOff>168519</xdr:rowOff>
    </xdr:to>
    <xdr:cxnSp macro="">
      <xdr:nvCxnSpPr>
        <xdr:cNvPr id="20" name="Straight Connector 19"/>
        <xdr:cNvCxnSpPr/>
      </xdr:nvCxnSpPr>
      <xdr:spPr>
        <a:xfrm>
          <a:off x="2840831" y="3786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41673</xdr:rowOff>
    </xdr:from>
    <xdr:to>
      <xdr:col>4</xdr:col>
      <xdr:colOff>12211</xdr:colOff>
      <xdr:row>19</xdr:row>
      <xdr:rowOff>0</xdr:rowOff>
    </xdr:to>
    <xdr:cxnSp macro="">
      <xdr:nvCxnSpPr>
        <xdr:cNvPr id="21" name="Straight Connector 20"/>
        <xdr:cNvCxnSpPr/>
      </xdr:nvCxnSpPr>
      <xdr:spPr>
        <a:xfrm flipH="1" flipV="1">
          <a:off x="3495675" y="328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</xdr:row>
      <xdr:rowOff>32918</xdr:rowOff>
    </xdr:from>
    <xdr:to>
      <xdr:col>4</xdr:col>
      <xdr:colOff>17861</xdr:colOff>
      <xdr:row>16</xdr:row>
      <xdr:rowOff>35719</xdr:rowOff>
    </xdr:to>
    <xdr:cxnSp macro="">
      <xdr:nvCxnSpPr>
        <xdr:cNvPr id="22" name="Straight Connector 21"/>
        <xdr:cNvCxnSpPr/>
      </xdr:nvCxnSpPr>
      <xdr:spPr>
        <a:xfrm flipH="1">
          <a:off x="2840831" y="3271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25</xdr:row>
      <xdr:rowOff>124558</xdr:rowOff>
    </xdr:from>
    <xdr:to>
      <xdr:col>3</xdr:col>
      <xdr:colOff>381000</xdr:colOff>
      <xdr:row>28</xdr:row>
      <xdr:rowOff>124558</xdr:rowOff>
    </xdr:to>
    <xdr:cxnSp macro="">
      <xdr:nvCxnSpPr>
        <xdr:cNvPr id="23" name="Straight Connector 22"/>
        <xdr:cNvCxnSpPr/>
      </xdr:nvCxnSpPr>
      <xdr:spPr>
        <a:xfrm flipH="1">
          <a:off x="2713986" y="5077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25</xdr:row>
      <xdr:rowOff>139212</xdr:rowOff>
    </xdr:from>
    <xdr:to>
      <xdr:col>4</xdr:col>
      <xdr:colOff>116773</xdr:colOff>
      <xdr:row>28</xdr:row>
      <xdr:rowOff>117231</xdr:rowOff>
    </xdr:to>
    <xdr:cxnSp macro="">
      <xdr:nvCxnSpPr>
        <xdr:cNvPr id="24" name="Straight Connector 23"/>
        <xdr:cNvCxnSpPr/>
      </xdr:nvCxnSpPr>
      <xdr:spPr>
        <a:xfrm>
          <a:off x="3162300" y="5092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28</xdr:row>
      <xdr:rowOff>118956</xdr:rowOff>
    </xdr:from>
    <xdr:to>
      <xdr:col>4</xdr:col>
      <xdr:colOff>134902</xdr:colOff>
      <xdr:row>28</xdr:row>
      <xdr:rowOff>118956</xdr:rowOff>
    </xdr:to>
    <xdr:cxnSp macro="">
      <xdr:nvCxnSpPr>
        <xdr:cNvPr id="25" name="Straight Connector 24"/>
        <xdr:cNvCxnSpPr/>
      </xdr:nvCxnSpPr>
      <xdr:spPr>
        <a:xfrm>
          <a:off x="2706955" y="5643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26</xdr:row>
      <xdr:rowOff>36635</xdr:rowOff>
    </xdr:from>
    <xdr:to>
      <xdr:col>3</xdr:col>
      <xdr:colOff>300404</xdr:colOff>
      <xdr:row>27</xdr:row>
      <xdr:rowOff>45337</xdr:rowOff>
    </xdr:to>
    <xdr:cxnSp macro="">
      <xdr:nvCxnSpPr>
        <xdr:cNvPr id="26" name="Straight Connector 25"/>
        <xdr:cNvCxnSpPr/>
      </xdr:nvCxnSpPr>
      <xdr:spPr>
        <a:xfrm flipH="1">
          <a:off x="3076209" y="5180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26</xdr:row>
      <xdr:rowOff>25749</xdr:rowOff>
    </xdr:from>
    <xdr:to>
      <xdr:col>3</xdr:col>
      <xdr:colOff>472128</xdr:colOff>
      <xdr:row>27</xdr:row>
      <xdr:rowOff>36635</xdr:rowOff>
    </xdr:to>
    <xdr:cxnSp macro="">
      <xdr:nvCxnSpPr>
        <xdr:cNvPr id="27" name="Straight Connector 26"/>
        <xdr:cNvCxnSpPr/>
      </xdr:nvCxnSpPr>
      <xdr:spPr>
        <a:xfrm>
          <a:off x="3235569" y="5169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30</xdr:row>
      <xdr:rowOff>297027</xdr:rowOff>
    </xdr:from>
    <xdr:to>
      <xdr:col>3</xdr:col>
      <xdr:colOff>392907</xdr:colOff>
      <xdr:row>34</xdr:row>
      <xdr:rowOff>154781</xdr:rowOff>
    </xdr:to>
    <xdr:cxnSp macro="">
      <xdr:nvCxnSpPr>
        <xdr:cNvPr id="28" name="Straight Connector 27"/>
        <xdr:cNvCxnSpPr/>
      </xdr:nvCxnSpPr>
      <xdr:spPr>
        <a:xfrm>
          <a:off x="3166381" y="6097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34</xdr:row>
      <xdr:rowOff>142875</xdr:rowOff>
    </xdr:from>
    <xdr:to>
      <xdr:col>4</xdr:col>
      <xdr:colOff>11908</xdr:colOff>
      <xdr:row>34</xdr:row>
      <xdr:rowOff>154782</xdr:rowOff>
    </xdr:to>
    <xdr:cxnSp macro="">
      <xdr:nvCxnSpPr>
        <xdr:cNvPr id="29" name="Straight Connector 28"/>
        <xdr:cNvCxnSpPr/>
      </xdr:nvCxnSpPr>
      <xdr:spPr>
        <a:xfrm flipH="1" flipV="1">
          <a:off x="3150395" y="6810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30</xdr:row>
      <xdr:rowOff>305147</xdr:rowOff>
    </xdr:from>
    <xdr:to>
      <xdr:col>3</xdr:col>
      <xdr:colOff>130969</xdr:colOff>
      <xdr:row>32</xdr:row>
      <xdr:rowOff>11906</xdr:rowOff>
    </xdr:to>
    <xdr:cxnSp macro="">
      <xdr:nvCxnSpPr>
        <xdr:cNvPr id="30" name="Straight Arrow Connector 29"/>
        <xdr:cNvCxnSpPr/>
      </xdr:nvCxnSpPr>
      <xdr:spPr>
        <a:xfrm flipH="1" flipV="1">
          <a:off x="2904995" y="6096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33</xdr:row>
      <xdr:rowOff>11907</xdr:rowOff>
    </xdr:from>
    <xdr:to>
      <xdr:col>3</xdr:col>
      <xdr:colOff>130969</xdr:colOff>
      <xdr:row>34</xdr:row>
      <xdr:rowOff>154782</xdr:rowOff>
    </xdr:to>
    <xdr:cxnSp macro="">
      <xdr:nvCxnSpPr>
        <xdr:cNvPr id="31" name="Straight Arrow Connector 30"/>
        <xdr:cNvCxnSpPr/>
      </xdr:nvCxnSpPr>
      <xdr:spPr>
        <a:xfrm>
          <a:off x="2912269" y="6488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</xdr:row>
      <xdr:rowOff>89297</xdr:rowOff>
    </xdr:from>
    <xdr:to>
      <xdr:col>3</xdr:col>
      <xdr:colOff>178594</xdr:colOff>
      <xdr:row>38</xdr:row>
      <xdr:rowOff>59531</xdr:rowOff>
    </xdr:to>
    <xdr:cxnSp macro="">
      <xdr:nvCxnSpPr>
        <xdr:cNvPr id="32" name="Straight Connector 31"/>
        <xdr:cNvCxnSpPr/>
      </xdr:nvCxnSpPr>
      <xdr:spPr>
        <a:xfrm>
          <a:off x="2840831" y="7328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37</xdr:row>
      <xdr:rowOff>35719</xdr:rowOff>
    </xdr:from>
    <xdr:to>
      <xdr:col>3</xdr:col>
      <xdr:colOff>285750</xdr:colOff>
      <xdr:row>37</xdr:row>
      <xdr:rowOff>154781</xdr:rowOff>
    </xdr:to>
    <xdr:cxnSp macro="">
      <xdr:nvCxnSpPr>
        <xdr:cNvPr id="33" name="Straight Connector 32"/>
        <xdr:cNvCxnSpPr/>
      </xdr:nvCxnSpPr>
      <xdr:spPr>
        <a:xfrm>
          <a:off x="2876550" y="7274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46</xdr:row>
      <xdr:rowOff>124558</xdr:rowOff>
    </xdr:from>
    <xdr:to>
      <xdr:col>3</xdr:col>
      <xdr:colOff>381000</xdr:colOff>
      <xdr:row>49</xdr:row>
      <xdr:rowOff>124558</xdr:rowOff>
    </xdr:to>
    <xdr:cxnSp macro="">
      <xdr:nvCxnSpPr>
        <xdr:cNvPr id="34" name="Straight Connector 33"/>
        <xdr:cNvCxnSpPr/>
      </xdr:nvCxnSpPr>
      <xdr:spPr>
        <a:xfrm flipH="1">
          <a:off x="2713986" y="9078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46</xdr:row>
      <xdr:rowOff>139212</xdr:rowOff>
    </xdr:from>
    <xdr:to>
      <xdr:col>4</xdr:col>
      <xdr:colOff>116773</xdr:colOff>
      <xdr:row>49</xdr:row>
      <xdr:rowOff>117231</xdr:rowOff>
    </xdr:to>
    <xdr:cxnSp macro="">
      <xdr:nvCxnSpPr>
        <xdr:cNvPr id="35" name="Straight Connector 34"/>
        <xdr:cNvCxnSpPr/>
      </xdr:nvCxnSpPr>
      <xdr:spPr>
        <a:xfrm>
          <a:off x="3162300" y="9092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49</xdr:row>
      <xdr:rowOff>118956</xdr:rowOff>
    </xdr:from>
    <xdr:to>
      <xdr:col>4</xdr:col>
      <xdr:colOff>134902</xdr:colOff>
      <xdr:row>49</xdr:row>
      <xdr:rowOff>118956</xdr:rowOff>
    </xdr:to>
    <xdr:cxnSp macro="">
      <xdr:nvCxnSpPr>
        <xdr:cNvPr id="36" name="Straight Connector 35"/>
        <xdr:cNvCxnSpPr/>
      </xdr:nvCxnSpPr>
      <xdr:spPr>
        <a:xfrm>
          <a:off x="2706955" y="9643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47</xdr:row>
      <xdr:rowOff>36635</xdr:rowOff>
    </xdr:from>
    <xdr:to>
      <xdr:col>3</xdr:col>
      <xdr:colOff>300404</xdr:colOff>
      <xdr:row>48</xdr:row>
      <xdr:rowOff>45337</xdr:rowOff>
    </xdr:to>
    <xdr:cxnSp macro="">
      <xdr:nvCxnSpPr>
        <xdr:cNvPr id="37" name="Straight Connector 36"/>
        <xdr:cNvCxnSpPr/>
      </xdr:nvCxnSpPr>
      <xdr:spPr>
        <a:xfrm flipH="1">
          <a:off x="3076209" y="9180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47</xdr:row>
      <xdr:rowOff>25749</xdr:rowOff>
    </xdr:from>
    <xdr:to>
      <xdr:col>3</xdr:col>
      <xdr:colOff>472128</xdr:colOff>
      <xdr:row>48</xdr:row>
      <xdr:rowOff>36635</xdr:rowOff>
    </xdr:to>
    <xdr:cxnSp macro="">
      <xdr:nvCxnSpPr>
        <xdr:cNvPr id="38" name="Straight Connector 37"/>
        <xdr:cNvCxnSpPr/>
      </xdr:nvCxnSpPr>
      <xdr:spPr>
        <a:xfrm>
          <a:off x="3235569" y="9169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37</xdr:row>
      <xdr:rowOff>44824</xdr:rowOff>
    </xdr:from>
    <xdr:to>
      <xdr:col>3</xdr:col>
      <xdr:colOff>67235</xdr:colOff>
      <xdr:row>39</xdr:row>
      <xdr:rowOff>156883</xdr:rowOff>
    </xdr:to>
    <xdr:cxnSp macro="">
      <xdr:nvCxnSpPr>
        <xdr:cNvPr id="39" name="Straight Connector 38"/>
        <xdr:cNvCxnSpPr/>
      </xdr:nvCxnSpPr>
      <xdr:spPr>
        <a:xfrm>
          <a:off x="2848535" y="7283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</xdr:row>
      <xdr:rowOff>166690</xdr:rowOff>
    </xdr:from>
    <xdr:to>
      <xdr:col>4</xdr:col>
      <xdr:colOff>29308</xdr:colOff>
      <xdr:row>39</xdr:row>
      <xdr:rowOff>168519</xdr:rowOff>
    </xdr:to>
    <xdr:cxnSp macro="">
      <xdr:nvCxnSpPr>
        <xdr:cNvPr id="40" name="Straight Connector 39"/>
        <xdr:cNvCxnSpPr/>
      </xdr:nvCxnSpPr>
      <xdr:spPr>
        <a:xfrm>
          <a:off x="2840831" y="7786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41673</xdr:rowOff>
    </xdr:from>
    <xdr:to>
      <xdr:col>4</xdr:col>
      <xdr:colOff>12211</xdr:colOff>
      <xdr:row>40</xdr:row>
      <xdr:rowOff>0</xdr:rowOff>
    </xdr:to>
    <xdr:cxnSp macro="">
      <xdr:nvCxnSpPr>
        <xdr:cNvPr id="41" name="Straight Connector 40"/>
        <xdr:cNvCxnSpPr/>
      </xdr:nvCxnSpPr>
      <xdr:spPr>
        <a:xfrm flipH="1" flipV="1">
          <a:off x="3495675" y="7280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</xdr:row>
      <xdr:rowOff>32918</xdr:rowOff>
    </xdr:from>
    <xdr:to>
      <xdr:col>4</xdr:col>
      <xdr:colOff>17861</xdr:colOff>
      <xdr:row>37</xdr:row>
      <xdr:rowOff>35719</xdr:rowOff>
    </xdr:to>
    <xdr:cxnSp macro="">
      <xdr:nvCxnSpPr>
        <xdr:cNvPr id="42" name="Straight Connector 41"/>
        <xdr:cNvCxnSpPr/>
      </xdr:nvCxnSpPr>
      <xdr:spPr>
        <a:xfrm flipH="1">
          <a:off x="2840831" y="7271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</xdr:row>
      <xdr:rowOff>89297</xdr:rowOff>
    </xdr:from>
    <xdr:to>
      <xdr:col>3</xdr:col>
      <xdr:colOff>178594</xdr:colOff>
      <xdr:row>43</xdr:row>
      <xdr:rowOff>59531</xdr:rowOff>
    </xdr:to>
    <xdr:cxnSp macro="">
      <xdr:nvCxnSpPr>
        <xdr:cNvPr id="43" name="Straight Connector 42"/>
        <xdr:cNvCxnSpPr/>
      </xdr:nvCxnSpPr>
      <xdr:spPr>
        <a:xfrm>
          <a:off x="2840831" y="828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42</xdr:row>
      <xdr:rowOff>35719</xdr:rowOff>
    </xdr:from>
    <xdr:to>
      <xdr:col>3</xdr:col>
      <xdr:colOff>285750</xdr:colOff>
      <xdr:row>42</xdr:row>
      <xdr:rowOff>154781</xdr:rowOff>
    </xdr:to>
    <xdr:cxnSp macro="">
      <xdr:nvCxnSpPr>
        <xdr:cNvPr id="44" name="Straight Connector 43"/>
        <xdr:cNvCxnSpPr/>
      </xdr:nvCxnSpPr>
      <xdr:spPr>
        <a:xfrm>
          <a:off x="2876550" y="822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42</xdr:row>
      <xdr:rowOff>44824</xdr:rowOff>
    </xdr:from>
    <xdr:to>
      <xdr:col>3</xdr:col>
      <xdr:colOff>67235</xdr:colOff>
      <xdr:row>44</xdr:row>
      <xdr:rowOff>156883</xdr:rowOff>
    </xdr:to>
    <xdr:cxnSp macro="">
      <xdr:nvCxnSpPr>
        <xdr:cNvPr id="45" name="Straight Connector 44"/>
        <xdr:cNvCxnSpPr/>
      </xdr:nvCxnSpPr>
      <xdr:spPr>
        <a:xfrm>
          <a:off x="2848535" y="823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</xdr:row>
      <xdr:rowOff>166690</xdr:rowOff>
    </xdr:from>
    <xdr:to>
      <xdr:col>4</xdr:col>
      <xdr:colOff>29308</xdr:colOff>
      <xdr:row>44</xdr:row>
      <xdr:rowOff>168519</xdr:rowOff>
    </xdr:to>
    <xdr:cxnSp macro="">
      <xdr:nvCxnSpPr>
        <xdr:cNvPr id="46" name="Straight Connector 45"/>
        <xdr:cNvCxnSpPr/>
      </xdr:nvCxnSpPr>
      <xdr:spPr>
        <a:xfrm>
          <a:off x="2840831" y="873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41673</xdr:rowOff>
    </xdr:from>
    <xdr:to>
      <xdr:col>4</xdr:col>
      <xdr:colOff>12211</xdr:colOff>
      <xdr:row>45</xdr:row>
      <xdr:rowOff>0</xdr:rowOff>
    </xdr:to>
    <xdr:cxnSp macro="">
      <xdr:nvCxnSpPr>
        <xdr:cNvPr id="47" name="Straight Connector 46"/>
        <xdr:cNvCxnSpPr/>
      </xdr:nvCxnSpPr>
      <xdr:spPr>
        <a:xfrm flipH="1" flipV="1">
          <a:off x="3495675" y="823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</xdr:row>
      <xdr:rowOff>32918</xdr:rowOff>
    </xdr:from>
    <xdr:to>
      <xdr:col>4</xdr:col>
      <xdr:colOff>17861</xdr:colOff>
      <xdr:row>42</xdr:row>
      <xdr:rowOff>35719</xdr:rowOff>
    </xdr:to>
    <xdr:cxnSp macro="">
      <xdr:nvCxnSpPr>
        <xdr:cNvPr id="48" name="Straight Connector 47"/>
        <xdr:cNvCxnSpPr/>
      </xdr:nvCxnSpPr>
      <xdr:spPr>
        <a:xfrm flipH="1">
          <a:off x="2840831" y="822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51</xdr:row>
      <xdr:rowOff>124558</xdr:rowOff>
    </xdr:from>
    <xdr:to>
      <xdr:col>3</xdr:col>
      <xdr:colOff>381000</xdr:colOff>
      <xdr:row>54</xdr:row>
      <xdr:rowOff>124558</xdr:rowOff>
    </xdr:to>
    <xdr:cxnSp macro="">
      <xdr:nvCxnSpPr>
        <xdr:cNvPr id="49" name="Straight Connector 48"/>
        <xdr:cNvCxnSpPr/>
      </xdr:nvCxnSpPr>
      <xdr:spPr>
        <a:xfrm flipH="1">
          <a:off x="2713986" y="10030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51</xdr:row>
      <xdr:rowOff>139212</xdr:rowOff>
    </xdr:from>
    <xdr:to>
      <xdr:col>4</xdr:col>
      <xdr:colOff>116773</xdr:colOff>
      <xdr:row>54</xdr:row>
      <xdr:rowOff>117231</xdr:rowOff>
    </xdr:to>
    <xdr:cxnSp macro="">
      <xdr:nvCxnSpPr>
        <xdr:cNvPr id="50" name="Straight Connector 49"/>
        <xdr:cNvCxnSpPr/>
      </xdr:nvCxnSpPr>
      <xdr:spPr>
        <a:xfrm>
          <a:off x="3162300" y="10045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54</xdr:row>
      <xdr:rowOff>118956</xdr:rowOff>
    </xdr:from>
    <xdr:to>
      <xdr:col>4</xdr:col>
      <xdr:colOff>134902</xdr:colOff>
      <xdr:row>54</xdr:row>
      <xdr:rowOff>118956</xdr:rowOff>
    </xdr:to>
    <xdr:cxnSp macro="">
      <xdr:nvCxnSpPr>
        <xdr:cNvPr id="51" name="Straight Connector 50"/>
        <xdr:cNvCxnSpPr/>
      </xdr:nvCxnSpPr>
      <xdr:spPr>
        <a:xfrm>
          <a:off x="2706955" y="10596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52</xdr:row>
      <xdr:rowOff>36635</xdr:rowOff>
    </xdr:from>
    <xdr:to>
      <xdr:col>3</xdr:col>
      <xdr:colOff>300404</xdr:colOff>
      <xdr:row>53</xdr:row>
      <xdr:rowOff>45337</xdr:rowOff>
    </xdr:to>
    <xdr:cxnSp macro="">
      <xdr:nvCxnSpPr>
        <xdr:cNvPr id="52" name="Straight Connector 51"/>
        <xdr:cNvCxnSpPr/>
      </xdr:nvCxnSpPr>
      <xdr:spPr>
        <a:xfrm flipH="1">
          <a:off x="3076209" y="10133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52</xdr:row>
      <xdr:rowOff>25749</xdr:rowOff>
    </xdr:from>
    <xdr:to>
      <xdr:col>3</xdr:col>
      <xdr:colOff>472128</xdr:colOff>
      <xdr:row>53</xdr:row>
      <xdr:rowOff>36635</xdr:rowOff>
    </xdr:to>
    <xdr:cxnSp macro="">
      <xdr:nvCxnSpPr>
        <xdr:cNvPr id="53" name="Straight Connector 52"/>
        <xdr:cNvCxnSpPr/>
      </xdr:nvCxnSpPr>
      <xdr:spPr>
        <a:xfrm>
          <a:off x="3235569" y="10122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56</xdr:row>
      <xdr:rowOff>297027</xdr:rowOff>
    </xdr:from>
    <xdr:to>
      <xdr:col>3</xdr:col>
      <xdr:colOff>392907</xdr:colOff>
      <xdr:row>60</xdr:row>
      <xdr:rowOff>154781</xdr:rowOff>
    </xdr:to>
    <xdr:cxnSp macro="">
      <xdr:nvCxnSpPr>
        <xdr:cNvPr id="54" name="Straight Connector 53"/>
        <xdr:cNvCxnSpPr/>
      </xdr:nvCxnSpPr>
      <xdr:spPr>
        <a:xfrm>
          <a:off x="3166381" y="11050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60</xdr:row>
      <xdr:rowOff>142875</xdr:rowOff>
    </xdr:from>
    <xdr:to>
      <xdr:col>4</xdr:col>
      <xdr:colOff>11908</xdr:colOff>
      <xdr:row>60</xdr:row>
      <xdr:rowOff>154782</xdr:rowOff>
    </xdr:to>
    <xdr:cxnSp macro="">
      <xdr:nvCxnSpPr>
        <xdr:cNvPr id="55" name="Straight Connector 54"/>
        <xdr:cNvCxnSpPr/>
      </xdr:nvCxnSpPr>
      <xdr:spPr>
        <a:xfrm flipH="1" flipV="1">
          <a:off x="3150395" y="11763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56</xdr:row>
      <xdr:rowOff>305147</xdr:rowOff>
    </xdr:from>
    <xdr:to>
      <xdr:col>3</xdr:col>
      <xdr:colOff>130969</xdr:colOff>
      <xdr:row>58</xdr:row>
      <xdr:rowOff>11906</xdr:rowOff>
    </xdr:to>
    <xdr:cxnSp macro="">
      <xdr:nvCxnSpPr>
        <xdr:cNvPr id="56" name="Straight Arrow Connector 55"/>
        <xdr:cNvCxnSpPr/>
      </xdr:nvCxnSpPr>
      <xdr:spPr>
        <a:xfrm flipH="1" flipV="1">
          <a:off x="2904995" y="1104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59</xdr:row>
      <xdr:rowOff>11907</xdr:rowOff>
    </xdr:from>
    <xdr:to>
      <xdr:col>3</xdr:col>
      <xdr:colOff>130969</xdr:colOff>
      <xdr:row>60</xdr:row>
      <xdr:rowOff>154782</xdr:rowOff>
    </xdr:to>
    <xdr:cxnSp macro="">
      <xdr:nvCxnSpPr>
        <xdr:cNvPr id="57" name="Straight Arrow Connector 56"/>
        <xdr:cNvCxnSpPr/>
      </xdr:nvCxnSpPr>
      <xdr:spPr>
        <a:xfrm>
          <a:off x="2912269" y="11441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63</xdr:row>
      <xdr:rowOff>89297</xdr:rowOff>
    </xdr:from>
    <xdr:to>
      <xdr:col>3</xdr:col>
      <xdr:colOff>178594</xdr:colOff>
      <xdr:row>64</xdr:row>
      <xdr:rowOff>59531</xdr:rowOff>
    </xdr:to>
    <xdr:cxnSp macro="">
      <xdr:nvCxnSpPr>
        <xdr:cNvPr id="58" name="Straight Connector 57"/>
        <xdr:cNvCxnSpPr/>
      </xdr:nvCxnSpPr>
      <xdr:spPr>
        <a:xfrm>
          <a:off x="2840831" y="1228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63</xdr:row>
      <xdr:rowOff>35719</xdr:rowOff>
    </xdr:from>
    <xdr:to>
      <xdr:col>3</xdr:col>
      <xdr:colOff>285750</xdr:colOff>
      <xdr:row>63</xdr:row>
      <xdr:rowOff>154781</xdr:rowOff>
    </xdr:to>
    <xdr:cxnSp macro="">
      <xdr:nvCxnSpPr>
        <xdr:cNvPr id="59" name="Straight Connector 58"/>
        <xdr:cNvCxnSpPr/>
      </xdr:nvCxnSpPr>
      <xdr:spPr>
        <a:xfrm>
          <a:off x="2876550" y="1222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72</xdr:row>
      <xdr:rowOff>124558</xdr:rowOff>
    </xdr:from>
    <xdr:to>
      <xdr:col>3</xdr:col>
      <xdr:colOff>381000</xdr:colOff>
      <xdr:row>75</xdr:row>
      <xdr:rowOff>124558</xdr:rowOff>
    </xdr:to>
    <xdr:cxnSp macro="">
      <xdr:nvCxnSpPr>
        <xdr:cNvPr id="60" name="Straight Connector 59"/>
        <xdr:cNvCxnSpPr/>
      </xdr:nvCxnSpPr>
      <xdr:spPr>
        <a:xfrm flipH="1">
          <a:off x="2713986" y="14031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72</xdr:row>
      <xdr:rowOff>139212</xdr:rowOff>
    </xdr:from>
    <xdr:to>
      <xdr:col>4</xdr:col>
      <xdr:colOff>116773</xdr:colOff>
      <xdr:row>75</xdr:row>
      <xdr:rowOff>117231</xdr:rowOff>
    </xdr:to>
    <xdr:cxnSp macro="">
      <xdr:nvCxnSpPr>
        <xdr:cNvPr id="61" name="Straight Connector 60"/>
        <xdr:cNvCxnSpPr/>
      </xdr:nvCxnSpPr>
      <xdr:spPr>
        <a:xfrm>
          <a:off x="3162300" y="14045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75</xdr:row>
      <xdr:rowOff>118956</xdr:rowOff>
    </xdr:from>
    <xdr:to>
      <xdr:col>4</xdr:col>
      <xdr:colOff>134902</xdr:colOff>
      <xdr:row>75</xdr:row>
      <xdr:rowOff>118956</xdr:rowOff>
    </xdr:to>
    <xdr:cxnSp macro="">
      <xdr:nvCxnSpPr>
        <xdr:cNvPr id="62" name="Straight Connector 61"/>
        <xdr:cNvCxnSpPr/>
      </xdr:nvCxnSpPr>
      <xdr:spPr>
        <a:xfrm>
          <a:off x="2706955" y="14596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73</xdr:row>
      <xdr:rowOff>36635</xdr:rowOff>
    </xdr:from>
    <xdr:to>
      <xdr:col>3</xdr:col>
      <xdr:colOff>300404</xdr:colOff>
      <xdr:row>74</xdr:row>
      <xdr:rowOff>45337</xdr:rowOff>
    </xdr:to>
    <xdr:cxnSp macro="">
      <xdr:nvCxnSpPr>
        <xdr:cNvPr id="63" name="Straight Connector 62"/>
        <xdr:cNvCxnSpPr/>
      </xdr:nvCxnSpPr>
      <xdr:spPr>
        <a:xfrm flipH="1">
          <a:off x="3076209" y="14133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73</xdr:row>
      <xdr:rowOff>25749</xdr:rowOff>
    </xdr:from>
    <xdr:to>
      <xdr:col>3</xdr:col>
      <xdr:colOff>472128</xdr:colOff>
      <xdr:row>74</xdr:row>
      <xdr:rowOff>36635</xdr:rowOff>
    </xdr:to>
    <xdr:cxnSp macro="">
      <xdr:nvCxnSpPr>
        <xdr:cNvPr id="64" name="Straight Connector 63"/>
        <xdr:cNvCxnSpPr/>
      </xdr:nvCxnSpPr>
      <xdr:spPr>
        <a:xfrm>
          <a:off x="3235569" y="14122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63</xdr:row>
      <xdr:rowOff>44824</xdr:rowOff>
    </xdr:from>
    <xdr:to>
      <xdr:col>3</xdr:col>
      <xdr:colOff>67235</xdr:colOff>
      <xdr:row>65</xdr:row>
      <xdr:rowOff>156883</xdr:rowOff>
    </xdr:to>
    <xdr:cxnSp macro="">
      <xdr:nvCxnSpPr>
        <xdr:cNvPr id="65" name="Straight Connector 64"/>
        <xdr:cNvCxnSpPr/>
      </xdr:nvCxnSpPr>
      <xdr:spPr>
        <a:xfrm>
          <a:off x="2848535" y="1223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65</xdr:row>
      <xdr:rowOff>166690</xdr:rowOff>
    </xdr:from>
    <xdr:to>
      <xdr:col>4</xdr:col>
      <xdr:colOff>29308</xdr:colOff>
      <xdr:row>65</xdr:row>
      <xdr:rowOff>168519</xdr:rowOff>
    </xdr:to>
    <xdr:cxnSp macro="">
      <xdr:nvCxnSpPr>
        <xdr:cNvPr id="66" name="Straight Connector 65"/>
        <xdr:cNvCxnSpPr/>
      </xdr:nvCxnSpPr>
      <xdr:spPr>
        <a:xfrm>
          <a:off x="2840831" y="12739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63</xdr:row>
      <xdr:rowOff>41673</xdr:rowOff>
    </xdr:from>
    <xdr:to>
      <xdr:col>4</xdr:col>
      <xdr:colOff>12211</xdr:colOff>
      <xdr:row>66</xdr:row>
      <xdr:rowOff>0</xdr:rowOff>
    </xdr:to>
    <xdr:cxnSp macro="">
      <xdr:nvCxnSpPr>
        <xdr:cNvPr id="67" name="Straight Connector 66"/>
        <xdr:cNvCxnSpPr/>
      </xdr:nvCxnSpPr>
      <xdr:spPr>
        <a:xfrm flipH="1" flipV="1">
          <a:off x="3495675" y="1223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63</xdr:row>
      <xdr:rowOff>32918</xdr:rowOff>
    </xdr:from>
    <xdr:to>
      <xdr:col>4</xdr:col>
      <xdr:colOff>17861</xdr:colOff>
      <xdr:row>63</xdr:row>
      <xdr:rowOff>35719</xdr:rowOff>
    </xdr:to>
    <xdr:cxnSp macro="">
      <xdr:nvCxnSpPr>
        <xdr:cNvPr id="68" name="Straight Connector 67"/>
        <xdr:cNvCxnSpPr/>
      </xdr:nvCxnSpPr>
      <xdr:spPr>
        <a:xfrm flipH="1">
          <a:off x="2840831" y="12224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68</xdr:row>
      <xdr:rowOff>89297</xdr:rowOff>
    </xdr:from>
    <xdr:to>
      <xdr:col>3</xdr:col>
      <xdr:colOff>178594</xdr:colOff>
      <xdr:row>69</xdr:row>
      <xdr:rowOff>59531</xdr:rowOff>
    </xdr:to>
    <xdr:cxnSp macro="">
      <xdr:nvCxnSpPr>
        <xdr:cNvPr id="69" name="Straight Connector 68"/>
        <xdr:cNvCxnSpPr/>
      </xdr:nvCxnSpPr>
      <xdr:spPr>
        <a:xfrm>
          <a:off x="2840831" y="13233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68</xdr:row>
      <xdr:rowOff>35719</xdr:rowOff>
    </xdr:from>
    <xdr:to>
      <xdr:col>3</xdr:col>
      <xdr:colOff>285750</xdr:colOff>
      <xdr:row>68</xdr:row>
      <xdr:rowOff>154781</xdr:rowOff>
    </xdr:to>
    <xdr:cxnSp macro="">
      <xdr:nvCxnSpPr>
        <xdr:cNvPr id="70" name="Straight Connector 69"/>
        <xdr:cNvCxnSpPr/>
      </xdr:nvCxnSpPr>
      <xdr:spPr>
        <a:xfrm>
          <a:off x="2876550" y="13180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68</xdr:row>
      <xdr:rowOff>44824</xdr:rowOff>
    </xdr:from>
    <xdr:to>
      <xdr:col>3</xdr:col>
      <xdr:colOff>67235</xdr:colOff>
      <xdr:row>70</xdr:row>
      <xdr:rowOff>156883</xdr:rowOff>
    </xdr:to>
    <xdr:cxnSp macro="">
      <xdr:nvCxnSpPr>
        <xdr:cNvPr id="71" name="Straight Connector 70"/>
        <xdr:cNvCxnSpPr/>
      </xdr:nvCxnSpPr>
      <xdr:spPr>
        <a:xfrm>
          <a:off x="2848535" y="13189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70</xdr:row>
      <xdr:rowOff>166690</xdr:rowOff>
    </xdr:from>
    <xdr:to>
      <xdr:col>4</xdr:col>
      <xdr:colOff>29308</xdr:colOff>
      <xdr:row>70</xdr:row>
      <xdr:rowOff>168519</xdr:rowOff>
    </xdr:to>
    <xdr:cxnSp macro="">
      <xdr:nvCxnSpPr>
        <xdr:cNvPr id="72" name="Straight Connector 71"/>
        <xdr:cNvCxnSpPr/>
      </xdr:nvCxnSpPr>
      <xdr:spPr>
        <a:xfrm>
          <a:off x="2840831" y="13692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68</xdr:row>
      <xdr:rowOff>41673</xdr:rowOff>
    </xdr:from>
    <xdr:to>
      <xdr:col>4</xdr:col>
      <xdr:colOff>12211</xdr:colOff>
      <xdr:row>71</xdr:row>
      <xdr:rowOff>0</xdr:rowOff>
    </xdr:to>
    <xdr:cxnSp macro="">
      <xdr:nvCxnSpPr>
        <xdr:cNvPr id="73" name="Straight Connector 72"/>
        <xdr:cNvCxnSpPr/>
      </xdr:nvCxnSpPr>
      <xdr:spPr>
        <a:xfrm flipH="1" flipV="1">
          <a:off x="3495675" y="13186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68</xdr:row>
      <xdr:rowOff>32918</xdr:rowOff>
    </xdr:from>
    <xdr:to>
      <xdr:col>4</xdr:col>
      <xdr:colOff>17861</xdr:colOff>
      <xdr:row>68</xdr:row>
      <xdr:rowOff>35719</xdr:rowOff>
    </xdr:to>
    <xdr:cxnSp macro="">
      <xdr:nvCxnSpPr>
        <xdr:cNvPr id="74" name="Straight Connector 73"/>
        <xdr:cNvCxnSpPr/>
      </xdr:nvCxnSpPr>
      <xdr:spPr>
        <a:xfrm flipH="1">
          <a:off x="2840831" y="13177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77</xdr:row>
      <xdr:rowOff>124558</xdr:rowOff>
    </xdr:from>
    <xdr:to>
      <xdr:col>3</xdr:col>
      <xdr:colOff>381000</xdr:colOff>
      <xdr:row>80</xdr:row>
      <xdr:rowOff>124558</xdr:rowOff>
    </xdr:to>
    <xdr:cxnSp macro="">
      <xdr:nvCxnSpPr>
        <xdr:cNvPr id="75" name="Straight Connector 74"/>
        <xdr:cNvCxnSpPr/>
      </xdr:nvCxnSpPr>
      <xdr:spPr>
        <a:xfrm flipH="1">
          <a:off x="2713986" y="14983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77</xdr:row>
      <xdr:rowOff>139212</xdr:rowOff>
    </xdr:from>
    <xdr:to>
      <xdr:col>4</xdr:col>
      <xdr:colOff>116773</xdr:colOff>
      <xdr:row>80</xdr:row>
      <xdr:rowOff>117231</xdr:rowOff>
    </xdr:to>
    <xdr:cxnSp macro="">
      <xdr:nvCxnSpPr>
        <xdr:cNvPr id="76" name="Straight Connector 75"/>
        <xdr:cNvCxnSpPr/>
      </xdr:nvCxnSpPr>
      <xdr:spPr>
        <a:xfrm>
          <a:off x="3162300" y="14998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80</xdr:row>
      <xdr:rowOff>118956</xdr:rowOff>
    </xdr:from>
    <xdr:to>
      <xdr:col>4</xdr:col>
      <xdr:colOff>134902</xdr:colOff>
      <xdr:row>80</xdr:row>
      <xdr:rowOff>118956</xdr:rowOff>
    </xdr:to>
    <xdr:cxnSp macro="">
      <xdr:nvCxnSpPr>
        <xdr:cNvPr id="77" name="Straight Connector 76"/>
        <xdr:cNvCxnSpPr/>
      </xdr:nvCxnSpPr>
      <xdr:spPr>
        <a:xfrm>
          <a:off x="2706955" y="15549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78</xdr:row>
      <xdr:rowOff>36635</xdr:rowOff>
    </xdr:from>
    <xdr:to>
      <xdr:col>3</xdr:col>
      <xdr:colOff>300404</xdr:colOff>
      <xdr:row>79</xdr:row>
      <xdr:rowOff>45337</xdr:rowOff>
    </xdr:to>
    <xdr:cxnSp macro="">
      <xdr:nvCxnSpPr>
        <xdr:cNvPr id="78" name="Straight Connector 77"/>
        <xdr:cNvCxnSpPr/>
      </xdr:nvCxnSpPr>
      <xdr:spPr>
        <a:xfrm flipH="1">
          <a:off x="3076209" y="15086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78</xdr:row>
      <xdr:rowOff>25749</xdr:rowOff>
    </xdr:from>
    <xdr:to>
      <xdr:col>3</xdr:col>
      <xdr:colOff>472128</xdr:colOff>
      <xdr:row>79</xdr:row>
      <xdr:rowOff>36635</xdr:rowOff>
    </xdr:to>
    <xdr:cxnSp macro="">
      <xdr:nvCxnSpPr>
        <xdr:cNvPr id="79" name="Straight Connector 78"/>
        <xdr:cNvCxnSpPr/>
      </xdr:nvCxnSpPr>
      <xdr:spPr>
        <a:xfrm>
          <a:off x="3235569" y="15075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82</xdr:row>
      <xdr:rowOff>297027</xdr:rowOff>
    </xdr:from>
    <xdr:to>
      <xdr:col>3</xdr:col>
      <xdr:colOff>392907</xdr:colOff>
      <xdr:row>86</xdr:row>
      <xdr:rowOff>154781</xdr:rowOff>
    </xdr:to>
    <xdr:cxnSp macro="">
      <xdr:nvCxnSpPr>
        <xdr:cNvPr id="80" name="Straight Connector 79"/>
        <xdr:cNvCxnSpPr/>
      </xdr:nvCxnSpPr>
      <xdr:spPr>
        <a:xfrm>
          <a:off x="3166381" y="16003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86</xdr:row>
      <xdr:rowOff>142875</xdr:rowOff>
    </xdr:from>
    <xdr:to>
      <xdr:col>4</xdr:col>
      <xdr:colOff>11908</xdr:colOff>
      <xdr:row>86</xdr:row>
      <xdr:rowOff>154782</xdr:rowOff>
    </xdr:to>
    <xdr:cxnSp macro="">
      <xdr:nvCxnSpPr>
        <xdr:cNvPr id="81" name="Straight Connector 80"/>
        <xdr:cNvCxnSpPr/>
      </xdr:nvCxnSpPr>
      <xdr:spPr>
        <a:xfrm flipH="1" flipV="1">
          <a:off x="3150395" y="16716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82</xdr:row>
      <xdr:rowOff>305147</xdr:rowOff>
    </xdr:from>
    <xdr:to>
      <xdr:col>3</xdr:col>
      <xdr:colOff>130969</xdr:colOff>
      <xdr:row>84</xdr:row>
      <xdr:rowOff>11906</xdr:rowOff>
    </xdr:to>
    <xdr:cxnSp macro="">
      <xdr:nvCxnSpPr>
        <xdr:cNvPr id="82" name="Straight Arrow Connector 81"/>
        <xdr:cNvCxnSpPr/>
      </xdr:nvCxnSpPr>
      <xdr:spPr>
        <a:xfrm flipH="1" flipV="1">
          <a:off x="2904995" y="16002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85</xdr:row>
      <xdr:rowOff>11907</xdr:rowOff>
    </xdr:from>
    <xdr:to>
      <xdr:col>3</xdr:col>
      <xdr:colOff>130969</xdr:colOff>
      <xdr:row>86</xdr:row>
      <xdr:rowOff>154782</xdr:rowOff>
    </xdr:to>
    <xdr:cxnSp macro="">
      <xdr:nvCxnSpPr>
        <xdr:cNvPr id="83" name="Straight Arrow Connector 82"/>
        <xdr:cNvCxnSpPr/>
      </xdr:nvCxnSpPr>
      <xdr:spPr>
        <a:xfrm>
          <a:off x="2912269" y="16394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90</xdr:row>
      <xdr:rowOff>89297</xdr:rowOff>
    </xdr:from>
    <xdr:to>
      <xdr:col>3</xdr:col>
      <xdr:colOff>178594</xdr:colOff>
      <xdr:row>91</xdr:row>
      <xdr:rowOff>59531</xdr:rowOff>
    </xdr:to>
    <xdr:cxnSp macro="">
      <xdr:nvCxnSpPr>
        <xdr:cNvPr id="84" name="Straight Connector 83"/>
        <xdr:cNvCxnSpPr/>
      </xdr:nvCxnSpPr>
      <xdr:spPr>
        <a:xfrm>
          <a:off x="2840831" y="17424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90</xdr:row>
      <xdr:rowOff>35719</xdr:rowOff>
    </xdr:from>
    <xdr:to>
      <xdr:col>3</xdr:col>
      <xdr:colOff>285750</xdr:colOff>
      <xdr:row>90</xdr:row>
      <xdr:rowOff>154781</xdr:rowOff>
    </xdr:to>
    <xdr:cxnSp macro="">
      <xdr:nvCxnSpPr>
        <xdr:cNvPr id="85" name="Straight Connector 84"/>
        <xdr:cNvCxnSpPr/>
      </xdr:nvCxnSpPr>
      <xdr:spPr>
        <a:xfrm>
          <a:off x="2876550" y="17371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99</xdr:row>
      <xdr:rowOff>124558</xdr:rowOff>
    </xdr:from>
    <xdr:to>
      <xdr:col>3</xdr:col>
      <xdr:colOff>381000</xdr:colOff>
      <xdr:row>102</xdr:row>
      <xdr:rowOff>124558</xdr:rowOff>
    </xdr:to>
    <xdr:cxnSp macro="">
      <xdr:nvCxnSpPr>
        <xdr:cNvPr id="86" name="Straight Connector 85"/>
        <xdr:cNvCxnSpPr/>
      </xdr:nvCxnSpPr>
      <xdr:spPr>
        <a:xfrm flipH="1">
          <a:off x="2713986" y="19174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99</xdr:row>
      <xdr:rowOff>139212</xdr:rowOff>
    </xdr:from>
    <xdr:to>
      <xdr:col>4</xdr:col>
      <xdr:colOff>116773</xdr:colOff>
      <xdr:row>102</xdr:row>
      <xdr:rowOff>117231</xdr:rowOff>
    </xdr:to>
    <xdr:cxnSp macro="">
      <xdr:nvCxnSpPr>
        <xdr:cNvPr id="87" name="Straight Connector 86"/>
        <xdr:cNvCxnSpPr/>
      </xdr:nvCxnSpPr>
      <xdr:spPr>
        <a:xfrm>
          <a:off x="3162300" y="19189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102</xdr:row>
      <xdr:rowOff>118956</xdr:rowOff>
    </xdr:from>
    <xdr:to>
      <xdr:col>4</xdr:col>
      <xdr:colOff>134902</xdr:colOff>
      <xdr:row>102</xdr:row>
      <xdr:rowOff>118956</xdr:rowOff>
    </xdr:to>
    <xdr:cxnSp macro="">
      <xdr:nvCxnSpPr>
        <xdr:cNvPr id="88" name="Straight Connector 87"/>
        <xdr:cNvCxnSpPr/>
      </xdr:nvCxnSpPr>
      <xdr:spPr>
        <a:xfrm>
          <a:off x="2706955" y="19740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100</xdr:row>
      <xdr:rowOff>36635</xdr:rowOff>
    </xdr:from>
    <xdr:to>
      <xdr:col>3</xdr:col>
      <xdr:colOff>300404</xdr:colOff>
      <xdr:row>101</xdr:row>
      <xdr:rowOff>45337</xdr:rowOff>
    </xdr:to>
    <xdr:cxnSp macro="">
      <xdr:nvCxnSpPr>
        <xdr:cNvPr id="89" name="Straight Connector 88"/>
        <xdr:cNvCxnSpPr/>
      </xdr:nvCxnSpPr>
      <xdr:spPr>
        <a:xfrm flipH="1">
          <a:off x="3076209" y="19277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100</xdr:row>
      <xdr:rowOff>25749</xdr:rowOff>
    </xdr:from>
    <xdr:to>
      <xdr:col>3</xdr:col>
      <xdr:colOff>472128</xdr:colOff>
      <xdr:row>101</xdr:row>
      <xdr:rowOff>36635</xdr:rowOff>
    </xdr:to>
    <xdr:cxnSp macro="">
      <xdr:nvCxnSpPr>
        <xdr:cNvPr id="90" name="Straight Connector 89"/>
        <xdr:cNvCxnSpPr/>
      </xdr:nvCxnSpPr>
      <xdr:spPr>
        <a:xfrm>
          <a:off x="3235569" y="19266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90</xdr:row>
      <xdr:rowOff>44824</xdr:rowOff>
    </xdr:from>
    <xdr:to>
      <xdr:col>3</xdr:col>
      <xdr:colOff>67235</xdr:colOff>
      <xdr:row>92</xdr:row>
      <xdr:rowOff>156883</xdr:rowOff>
    </xdr:to>
    <xdr:cxnSp macro="">
      <xdr:nvCxnSpPr>
        <xdr:cNvPr id="91" name="Straight Connector 90"/>
        <xdr:cNvCxnSpPr/>
      </xdr:nvCxnSpPr>
      <xdr:spPr>
        <a:xfrm>
          <a:off x="2848535" y="17380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92</xdr:row>
      <xdr:rowOff>166690</xdr:rowOff>
    </xdr:from>
    <xdr:to>
      <xdr:col>4</xdr:col>
      <xdr:colOff>29308</xdr:colOff>
      <xdr:row>92</xdr:row>
      <xdr:rowOff>168519</xdr:rowOff>
    </xdr:to>
    <xdr:cxnSp macro="">
      <xdr:nvCxnSpPr>
        <xdr:cNvPr id="92" name="Straight Connector 91"/>
        <xdr:cNvCxnSpPr/>
      </xdr:nvCxnSpPr>
      <xdr:spPr>
        <a:xfrm>
          <a:off x="2840831" y="17883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90</xdr:row>
      <xdr:rowOff>41673</xdr:rowOff>
    </xdr:from>
    <xdr:to>
      <xdr:col>4</xdr:col>
      <xdr:colOff>12211</xdr:colOff>
      <xdr:row>93</xdr:row>
      <xdr:rowOff>0</xdr:rowOff>
    </xdr:to>
    <xdr:cxnSp macro="">
      <xdr:nvCxnSpPr>
        <xdr:cNvPr id="93" name="Straight Connector 92"/>
        <xdr:cNvCxnSpPr/>
      </xdr:nvCxnSpPr>
      <xdr:spPr>
        <a:xfrm flipH="1" flipV="1">
          <a:off x="3495675" y="17377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90</xdr:row>
      <xdr:rowOff>32918</xdr:rowOff>
    </xdr:from>
    <xdr:to>
      <xdr:col>4</xdr:col>
      <xdr:colOff>17861</xdr:colOff>
      <xdr:row>90</xdr:row>
      <xdr:rowOff>35719</xdr:rowOff>
    </xdr:to>
    <xdr:cxnSp macro="">
      <xdr:nvCxnSpPr>
        <xdr:cNvPr id="94" name="Straight Connector 93"/>
        <xdr:cNvCxnSpPr/>
      </xdr:nvCxnSpPr>
      <xdr:spPr>
        <a:xfrm flipH="1">
          <a:off x="2840831" y="17368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95</xdr:row>
      <xdr:rowOff>89297</xdr:rowOff>
    </xdr:from>
    <xdr:to>
      <xdr:col>3</xdr:col>
      <xdr:colOff>178594</xdr:colOff>
      <xdr:row>96</xdr:row>
      <xdr:rowOff>59531</xdr:rowOff>
    </xdr:to>
    <xdr:cxnSp macro="">
      <xdr:nvCxnSpPr>
        <xdr:cNvPr id="95" name="Straight Connector 94"/>
        <xdr:cNvCxnSpPr/>
      </xdr:nvCxnSpPr>
      <xdr:spPr>
        <a:xfrm>
          <a:off x="2840831" y="1837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95</xdr:row>
      <xdr:rowOff>35719</xdr:rowOff>
    </xdr:from>
    <xdr:to>
      <xdr:col>3</xdr:col>
      <xdr:colOff>285750</xdr:colOff>
      <xdr:row>95</xdr:row>
      <xdr:rowOff>154781</xdr:rowOff>
    </xdr:to>
    <xdr:cxnSp macro="">
      <xdr:nvCxnSpPr>
        <xdr:cNvPr id="96" name="Straight Connector 95"/>
        <xdr:cNvCxnSpPr/>
      </xdr:nvCxnSpPr>
      <xdr:spPr>
        <a:xfrm>
          <a:off x="2876550" y="1832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95</xdr:row>
      <xdr:rowOff>44824</xdr:rowOff>
    </xdr:from>
    <xdr:to>
      <xdr:col>3</xdr:col>
      <xdr:colOff>67235</xdr:colOff>
      <xdr:row>97</xdr:row>
      <xdr:rowOff>156883</xdr:rowOff>
    </xdr:to>
    <xdr:cxnSp macro="">
      <xdr:nvCxnSpPr>
        <xdr:cNvPr id="97" name="Straight Connector 96"/>
        <xdr:cNvCxnSpPr/>
      </xdr:nvCxnSpPr>
      <xdr:spPr>
        <a:xfrm>
          <a:off x="2848535" y="1833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97</xdr:row>
      <xdr:rowOff>166690</xdr:rowOff>
    </xdr:from>
    <xdr:to>
      <xdr:col>4</xdr:col>
      <xdr:colOff>29308</xdr:colOff>
      <xdr:row>97</xdr:row>
      <xdr:rowOff>168519</xdr:rowOff>
    </xdr:to>
    <xdr:cxnSp macro="">
      <xdr:nvCxnSpPr>
        <xdr:cNvPr id="98" name="Straight Connector 97"/>
        <xdr:cNvCxnSpPr/>
      </xdr:nvCxnSpPr>
      <xdr:spPr>
        <a:xfrm>
          <a:off x="2840831" y="1883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95</xdr:row>
      <xdr:rowOff>41673</xdr:rowOff>
    </xdr:from>
    <xdr:to>
      <xdr:col>4</xdr:col>
      <xdr:colOff>12211</xdr:colOff>
      <xdr:row>98</xdr:row>
      <xdr:rowOff>0</xdr:rowOff>
    </xdr:to>
    <xdr:cxnSp macro="">
      <xdr:nvCxnSpPr>
        <xdr:cNvPr id="99" name="Straight Connector 98"/>
        <xdr:cNvCxnSpPr/>
      </xdr:nvCxnSpPr>
      <xdr:spPr>
        <a:xfrm flipH="1" flipV="1">
          <a:off x="3495675" y="1832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95</xdr:row>
      <xdr:rowOff>32918</xdr:rowOff>
    </xdr:from>
    <xdr:to>
      <xdr:col>4</xdr:col>
      <xdr:colOff>17861</xdr:colOff>
      <xdr:row>95</xdr:row>
      <xdr:rowOff>35719</xdr:rowOff>
    </xdr:to>
    <xdr:cxnSp macro="">
      <xdr:nvCxnSpPr>
        <xdr:cNvPr id="100" name="Straight Connector 99"/>
        <xdr:cNvCxnSpPr/>
      </xdr:nvCxnSpPr>
      <xdr:spPr>
        <a:xfrm flipH="1">
          <a:off x="2840831" y="1832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104</xdr:row>
      <xdr:rowOff>124558</xdr:rowOff>
    </xdr:from>
    <xdr:to>
      <xdr:col>3</xdr:col>
      <xdr:colOff>381000</xdr:colOff>
      <xdr:row>107</xdr:row>
      <xdr:rowOff>124558</xdr:rowOff>
    </xdr:to>
    <xdr:cxnSp macro="">
      <xdr:nvCxnSpPr>
        <xdr:cNvPr id="101" name="Straight Connector 100"/>
        <xdr:cNvCxnSpPr/>
      </xdr:nvCxnSpPr>
      <xdr:spPr>
        <a:xfrm flipH="1">
          <a:off x="2713986" y="20127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104</xdr:row>
      <xdr:rowOff>139212</xdr:rowOff>
    </xdr:from>
    <xdr:to>
      <xdr:col>4</xdr:col>
      <xdr:colOff>116773</xdr:colOff>
      <xdr:row>107</xdr:row>
      <xdr:rowOff>117231</xdr:rowOff>
    </xdr:to>
    <xdr:cxnSp macro="">
      <xdr:nvCxnSpPr>
        <xdr:cNvPr id="102" name="Straight Connector 101"/>
        <xdr:cNvCxnSpPr/>
      </xdr:nvCxnSpPr>
      <xdr:spPr>
        <a:xfrm>
          <a:off x="3162300" y="20141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107</xdr:row>
      <xdr:rowOff>118956</xdr:rowOff>
    </xdr:from>
    <xdr:to>
      <xdr:col>4</xdr:col>
      <xdr:colOff>134902</xdr:colOff>
      <xdr:row>107</xdr:row>
      <xdr:rowOff>118956</xdr:rowOff>
    </xdr:to>
    <xdr:cxnSp macro="">
      <xdr:nvCxnSpPr>
        <xdr:cNvPr id="103" name="Straight Connector 102"/>
        <xdr:cNvCxnSpPr/>
      </xdr:nvCxnSpPr>
      <xdr:spPr>
        <a:xfrm>
          <a:off x="2706955" y="20692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105</xdr:row>
      <xdr:rowOff>36635</xdr:rowOff>
    </xdr:from>
    <xdr:to>
      <xdr:col>3</xdr:col>
      <xdr:colOff>300404</xdr:colOff>
      <xdr:row>106</xdr:row>
      <xdr:rowOff>45337</xdr:rowOff>
    </xdr:to>
    <xdr:cxnSp macro="">
      <xdr:nvCxnSpPr>
        <xdr:cNvPr id="104" name="Straight Connector 103"/>
        <xdr:cNvCxnSpPr/>
      </xdr:nvCxnSpPr>
      <xdr:spPr>
        <a:xfrm flipH="1">
          <a:off x="3076209" y="20229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105</xdr:row>
      <xdr:rowOff>25749</xdr:rowOff>
    </xdr:from>
    <xdr:to>
      <xdr:col>3</xdr:col>
      <xdr:colOff>472128</xdr:colOff>
      <xdr:row>106</xdr:row>
      <xdr:rowOff>36635</xdr:rowOff>
    </xdr:to>
    <xdr:cxnSp macro="">
      <xdr:nvCxnSpPr>
        <xdr:cNvPr id="105" name="Straight Connector 104"/>
        <xdr:cNvCxnSpPr/>
      </xdr:nvCxnSpPr>
      <xdr:spPr>
        <a:xfrm>
          <a:off x="3235569" y="20218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110</xdr:row>
      <xdr:rowOff>35719</xdr:rowOff>
    </xdr:from>
    <xdr:to>
      <xdr:col>3</xdr:col>
      <xdr:colOff>428625</xdr:colOff>
      <xdr:row>112</xdr:row>
      <xdr:rowOff>178594</xdr:rowOff>
    </xdr:to>
    <xdr:cxnSp macro="">
      <xdr:nvCxnSpPr>
        <xdr:cNvPr id="106" name="Straight Connector 105"/>
        <xdr:cNvCxnSpPr/>
      </xdr:nvCxnSpPr>
      <xdr:spPr>
        <a:xfrm>
          <a:off x="3209925" y="21181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112</xdr:row>
      <xdr:rowOff>95249</xdr:rowOff>
    </xdr:from>
    <xdr:to>
      <xdr:col>3</xdr:col>
      <xdr:colOff>571500</xdr:colOff>
      <xdr:row>112</xdr:row>
      <xdr:rowOff>154780</xdr:rowOff>
    </xdr:to>
    <xdr:cxnSp macro="">
      <xdr:nvCxnSpPr>
        <xdr:cNvPr id="107" name="Straight Connector 106"/>
        <xdr:cNvCxnSpPr/>
      </xdr:nvCxnSpPr>
      <xdr:spPr>
        <a:xfrm flipH="1">
          <a:off x="3209925" y="21621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110</xdr:row>
      <xdr:rowOff>47625</xdr:rowOff>
    </xdr:from>
    <xdr:to>
      <xdr:col>3</xdr:col>
      <xdr:colOff>595313</xdr:colOff>
      <xdr:row>110</xdr:row>
      <xdr:rowOff>119062</xdr:rowOff>
    </xdr:to>
    <xdr:cxnSp macro="">
      <xdr:nvCxnSpPr>
        <xdr:cNvPr id="108" name="Straight Connector 107"/>
        <xdr:cNvCxnSpPr/>
      </xdr:nvCxnSpPr>
      <xdr:spPr>
        <a:xfrm>
          <a:off x="3209925" y="21193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114</xdr:row>
      <xdr:rowOff>297027</xdr:rowOff>
    </xdr:from>
    <xdr:to>
      <xdr:col>3</xdr:col>
      <xdr:colOff>392907</xdr:colOff>
      <xdr:row>118</xdr:row>
      <xdr:rowOff>154781</xdr:rowOff>
    </xdr:to>
    <xdr:cxnSp macro="">
      <xdr:nvCxnSpPr>
        <xdr:cNvPr id="109" name="Straight Connector 108"/>
        <xdr:cNvCxnSpPr/>
      </xdr:nvCxnSpPr>
      <xdr:spPr>
        <a:xfrm>
          <a:off x="3166381" y="2209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118</xdr:row>
      <xdr:rowOff>142875</xdr:rowOff>
    </xdr:from>
    <xdr:to>
      <xdr:col>4</xdr:col>
      <xdr:colOff>11908</xdr:colOff>
      <xdr:row>118</xdr:row>
      <xdr:rowOff>154782</xdr:rowOff>
    </xdr:to>
    <xdr:cxnSp macro="">
      <xdr:nvCxnSpPr>
        <xdr:cNvPr id="110" name="Straight Connector 109"/>
        <xdr:cNvCxnSpPr/>
      </xdr:nvCxnSpPr>
      <xdr:spPr>
        <a:xfrm flipH="1" flipV="1">
          <a:off x="3150395" y="22812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114</xdr:row>
      <xdr:rowOff>305147</xdr:rowOff>
    </xdr:from>
    <xdr:to>
      <xdr:col>3</xdr:col>
      <xdr:colOff>130969</xdr:colOff>
      <xdr:row>116</xdr:row>
      <xdr:rowOff>11906</xdr:rowOff>
    </xdr:to>
    <xdr:cxnSp macro="">
      <xdr:nvCxnSpPr>
        <xdr:cNvPr id="111" name="Straight Arrow Connector 110"/>
        <xdr:cNvCxnSpPr/>
      </xdr:nvCxnSpPr>
      <xdr:spPr>
        <a:xfrm flipH="1" flipV="1">
          <a:off x="2904995" y="2209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117</xdr:row>
      <xdr:rowOff>11907</xdr:rowOff>
    </xdr:from>
    <xdr:to>
      <xdr:col>3</xdr:col>
      <xdr:colOff>130969</xdr:colOff>
      <xdr:row>118</xdr:row>
      <xdr:rowOff>154782</xdr:rowOff>
    </xdr:to>
    <xdr:cxnSp macro="">
      <xdr:nvCxnSpPr>
        <xdr:cNvPr id="112" name="Straight Arrow Connector 111"/>
        <xdr:cNvCxnSpPr/>
      </xdr:nvCxnSpPr>
      <xdr:spPr>
        <a:xfrm>
          <a:off x="2912269" y="2249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122</xdr:row>
      <xdr:rowOff>89297</xdr:rowOff>
    </xdr:from>
    <xdr:to>
      <xdr:col>3</xdr:col>
      <xdr:colOff>178594</xdr:colOff>
      <xdr:row>123</xdr:row>
      <xdr:rowOff>59531</xdr:rowOff>
    </xdr:to>
    <xdr:cxnSp macro="">
      <xdr:nvCxnSpPr>
        <xdr:cNvPr id="113" name="Straight Connector 112"/>
        <xdr:cNvCxnSpPr/>
      </xdr:nvCxnSpPr>
      <xdr:spPr>
        <a:xfrm>
          <a:off x="2840831" y="2352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122</xdr:row>
      <xdr:rowOff>35719</xdr:rowOff>
    </xdr:from>
    <xdr:to>
      <xdr:col>3</xdr:col>
      <xdr:colOff>285750</xdr:colOff>
      <xdr:row>122</xdr:row>
      <xdr:rowOff>154781</xdr:rowOff>
    </xdr:to>
    <xdr:cxnSp macro="">
      <xdr:nvCxnSpPr>
        <xdr:cNvPr id="114" name="Straight Connector 113"/>
        <xdr:cNvCxnSpPr/>
      </xdr:nvCxnSpPr>
      <xdr:spPr>
        <a:xfrm>
          <a:off x="2876550" y="2346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131</xdr:row>
      <xdr:rowOff>124558</xdr:rowOff>
    </xdr:from>
    <xdr:to>
      <xdr:col>3</xdr:col>
      <xdr:colOff>381000</xdr:colOff>
      <xdr:row>134</xdr:row>
      <xdr:rowOff>124558</xdr:rowOff>
    </xdr:to>
    <xdr:cxnSp macro="">
      <xdr:nvCxnSpPr>
        <xdr:cNvPr id="115" name="Straight Connector 114"/>
        <xdr:cNvCxnSpPr/>
      </xdr:nvCxnSpPr>
      <xdr:spPr>
        <a:xfrm flipH="1">
          <a:off x="2713986" y="25270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131</xdr:row>
      <xdr:rowOff>139212</xdr:rowOff>
    </xdr:from>
    <xdr:to>
      <xdr:col>4</xdr:col>
      <xdr:colOff>116773</xdr:colOff>
      <xdr:row>134</xdr:row>
      <xdr:rowOff>117231</xdr:rowOff>
    </xdr:to>
    <xdr:cxnSp macro="">
      <xdr:nvCxnSpPr>
        <xdr:cNvPr id="116" name="Straight Connector 115"/>
        <xdr:cNvCxnSpPr/>
      </xdr:nvCxnSpPr>
      <xdr:spPr>
        <a:xfrm>
          <a:off x="3162300" y="25285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134</xdr:row>
      <xdr:rowOff>118956</xdr:rowOff>
    </xdr:from>
    <xdr:to>
      <xdr:col>4</xdr:col>
      <xdr:colOff>134902</xdr:colOff>
      <xdr:row>134</xdr:row>
      <xdr:rowOff>118956</xdr:rowOff>
    </xdr:to>
    <xdr:cxnSp macro="">
      <xdr:nvCxnSpPr>
        <xdr:cNvPr id="117" name="Straight Connector 116"/>
        <xdr:cNvCxnSpPr/>
      </xdr:nvCxnSpPr>
      <xdr:spPr>
        <a:xfrm>
          <a:off x="2706955" y="25836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132</xdr:row>
      <xdr:rowOff>36635</xdr:rowOff>
    </xdr:from>
    <xdr:to>
      <xdr:col>3</xdr:col>
      <xdr:colOff>300404</xdr:colOff>
      <xdr:row>133</xdr:row>
      <xdr:rowOff>45337</xdr:rowOff>
    </xdr:to>
    <xdr:cxnSp macro="">
      <xdr:nvCxnSpPr>
        <xdr:cNvPr id="118" name="Straight Connector 117"/>
        <xdr:cNvCxnSpPr/>
      </xdr:nvCxnSpPr>
      <xdr:spPr>
        <a:xfrm flipH="1">
          <a:off x="3076209" y="25373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132</xdr:row>
      <xdr:rowOff>25749</xdr:rowOff>
    </xdr:from>
    <xdr:to>
      <xdr:col>3</xdr:col>
      <xdr:colOff>472128</xdr:colOff>
      <xdr:row>133</xdr:row>
      <xdr:rowOff>36635</xdr:rowOff>
    </xdr:to>
    <xdr:cxnSp macro="">
      <xdr:nvCxnSpPr>
        <xdr:cNvPr id="119" name="Straight Connector 118"/>
        <xdr:cNvCxnSpPr/>
      </xdr:nvCxnSpPr>
      <xdr:spPr>
        <a:xfrm>
          <a:off x="3235569" y="25362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122</xdr:row>
      <xdr:rowOff>44824</xdr:rowOff>
    </xdr:from>
    <xdr:to>
      <xdr:col>3</xdr:col>
      <xdr:colOff>67235</xdr:colOff>
      <xdr:row>124</xdr:row>
      <xdr:rowOff>156883</xdr:rowOff>
    </xdr:to>
    <xdr:cxnSp macro="">
      <xdr:nvCxnSpPr>
        <xdr:cNvPr id="120" name="Straight Connector 119"/>
        <xdr:cNvCxnSpPr/>
      </xdr:nvCxnSpPr>
      <xdr:spPr>
        <a:xfrm>
          <a:off x="2848535" y="2347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124</xdr:row>
      <xdr:rowOff>166690</xdr:rowOff>
    </xdr:from>
    <xdr:to>
      <xdr:col>4</xdr:col>
      <xdr:colOff>29308</xdr:colOff>
      <xdr:row>124</xdr:row>
      <xdr:rowOff>168519</xdr:rowOff>
    </xdr:to>
    <xdr:cxnSp macro="">
      <xdr:nvCxnSpPr>
        <xdr:cNvPr id="121" name="Straight Connector 120"/>
        <xdr:cNvCxnSpPr/>
      </xdr:nvCxnSpPr>
      <xdr:spPr>
        <a:xfrm>
          <a:off x="2840831" y="23979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122</xdr:row>
      <xdr:rowOff>41673</xdr:rowOff>
    </xdr:from>
    <xdr:to>
      <xdr:col>4</xdr:col>
      <xdr:colOff>12211</xdr:colOff>
      <xdr:row>125</xdr:row>
      <xdr:rowOff>0</xdr:rowOff>
    </xdr:to>
    <xdr:cxnSp macro="">
      <xdr:nvCxnSpPr>
        <xdr:cNvPr id="122" name="Straight Connector 121"/>
        <xdr:cNvCxnSpPr/>
      </xdr:nvCxnSpPr>
      <xdr:spPr>
        <a:xfrm flipH="1" flipV="1">
          <a:off x="3495675" y="2347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122</xdr:row>
      <xdr:rowOff>32918</xdr:rowOff>
    </xdr:from>
    <xdr:to>
      <xdr:col>4</xdr:col>
      <xdr:colOff>17861</xdr:colOff>
      <xdr:row>122</xdr:row>
      <xdr:rowOff>35719</xdr:rowOff>
    </xdr:to>
    <xdr:cxnSp macro="">
      <xdr:nvCxnSpPr>
        <xdr:cNvPr id="123" name="Straight Connector 122"/>
        <xdr:cNvCxnSpPr/>
      </xdr:nvCxnSpPr>
      <xdr:spPr>
        <a:xfrm flipH="1">
          <a:off x="2840831" y="23464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127</xdr:row>
      <xdr:rowOff>89297</xdr:rowOff>
    </xdr:from>
    <xdr:to>
      <xdr:col>3</xdr:col>
      <xdr:colOff>178594</xdr:colOff>
      <xdr:row>128</xdr:row>
      <xdr:rowOff>59531</xdr:rowOff>
    </xdr:to>
    <xdr:cxnSp macro="">
      <xdr:nvCxnSpPr>
        <xdr:cNvPr id="124" name="Straight Connector 123"/>
        <xdr:cNvCxnSpPr/>
      </xdr:nvCxnSpPr>
      <xdr:spPr>
        <a:xfrm>
          <a:off x="2840831" y="24473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127</xdr:row>
      <xdr:rowOff>35719</xdr:rowOff>
    </xdr:from>
    <xdr:to>
      <xdr:col>3</xdr:col>
      <xdr:colOff>285750</xdr:colOff>
      <xdr:row>127</xdr:row>
      <xdr:rowOff>154781</xdr:rowOff>
    </xdr:to>
    <xdr:cxnSp macro="">
      <xdr:nvCxnSpPr>
        <xdr:cNvPr id="125" name="Straight Connector 124"/>
        <xdr:cNvCxnSpPr/>
      </xdr:nvCxnSpPr>
      <xdr:spPr>
        <a:xfrm>
          <a:off x="2876550" y="24419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127</xdr:row>
      <xdr:rowOff>44824</xdr:rowOff>
    </xdr:from>
    <xdr:to>
      <xdr:col>3</xdr:col>
      <xdr:colOff>67235</xdr:colOff>
      <xdr:row>129</xdr:row>
      <xdr:rowOff>156883</xdr:rowOff>
    </xdr:to>
    <xdr:cxnSp macro="">
      <xdr:nvCxnSpPr>
        <xdr:cNvPr id="126" name="Straight Connector 125"/>
        <xdr:cNvCxnSpPr/>
      </xdr:nvCxnSpPr>
      <xdr:spPr>
        <a:xfrm>
          <a:off x="2848535" y="24428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129</xdr:row>
      <xdr:rowOff>166690</xdr:rowOff>
    </xdr:from>
    <xdr:to>
      <xdr:col>4</xdr:col>
      <xdr:colOff>29308</xdr:colOff>
      <xdr:row>129</xdr:row>
      <xdr:rowOff>168519</xdr:rowOff>
    </xdr:to>
    <xdr:cxnSp macro="">
      <xdr:nvCxnSpPr>
        <xdr:cNvPr id="127" name="Straight Connector 126"/>
        <xdr:cNvCxnSpPr/>
      </xdr:nvCxnSpPr>
      <xdr:spPr>
        <a:xfrm>
          <a:off x="2840831" y="24931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127</xdr:row>
      <xdr:rowOff>41673</xdr:rowOff>
    </xdr:from>
    <xdr:to>
      <xdr:col>4</xdr:col>
      <xdr:colOff>12211</xdr:colOff>
      <xdr:row>130</xdr:row>
      <xdr:rowOff>0</xdr:rowOff>
    </xdr:to>
    <xdr:cxnSp macro="">
      <xdr:nvCxnSpPr>
        <xdr:cNvPr id="128" name="Straight Connector 127"/>
        <xdr:cNvCxnSpPr/>
      </xdr:nvCxnSpPr>
      <xdr:spPr>
        <a:xfrm flipH="1" flipV="1">
          <a:off x="3495675" y="24425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127</xdr:row>
      <xdr:rowOff>32918</xdr:rowOff>
    </xdr:from>
    <xdr:to>
      <xdr:col>4</xdr:col>
      <xdr:colOff>17861</xdr:colOff>
      <xdr:row>127</xdr:row>
      <xdr:rowOff>35719</xdr:rowOff>
    </xdr:to>
    <xdr:cxnSp macro="">
      <xdr:nvCxnSpPr>
        <xdr:cNvPr id="129" name="Straight Connector 128"/>
        <xdr:cNvCxnSpPr/>
      </xdr:nvCxnSpPr>
      <xdr:spPr>
        <a:xfrm flipH="1">
          <a:off x="2840831" y="24416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136</xdr:row>
      <xdr:rowOff>124558</xdr:rowOff>
    </xdr:from>
    <xdr:to>
      <xdr:col>3</xdr:col>
      <xdr:colOff>381000</xdr:colOff>
      <xdr:row>139</xdr:row>
      <xdr:rowOff>124558</xdr:rowOff>
    </xdr:to>
    <xdr:cxnSp macro="">
      <xdr:nvCxnSpPr>
        <xdr:cNvPr id="130" name="Straight Connector 129"/>
        <xdr:cNvCxnSpPr/>
      </xdr:nvCxnSpPr>
      <xdr:spPr>
        <a:xfrm flipH="1">
          <a:off x="2713986" y="26223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136</xdr:row>
      <xdr:rowOff>139212</xdr:rowOff>
    </xdr:from>
    <xdr:to>
      <xdr:col>4</xdr:col>
      <xdr:colOff>116773</xdr:colOff>
      <xdr:row>139</xdr:row>
      <xdr:rowOff>117231</xdr:rowOff>
    </xdr:to>
    <xdr:cxnSp macro="">
      <xdr:nvCxnSpPr>
        <xdr:cNvPr id="131" name="Straight Connector 130"/>
        <xdr:cNvCxnSpPr/>
      </xdr:nvCxnSpPr>
      <xdr:spPr>
        <a:xfrm>
          <a:off x="3162300" y="26237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139</xdr:row>
      <xdr:rowOff>118956</xdr:rowOff>
    </xdr:from>
    <xdr:to>
      <xdr:col>4</xdr:col>
      <xdr:colOff>134902</xdr:colOff>
      <xdr:row>139</xdr:row>
      <xdr:rowOff>118956</xdr:rowOff>
    </xdr:to>
    <xdr:cxnSp macro="">
      <xdr:nvCxnSpPr>
        <xdr:cNvPr id="132" name="Straight Connector 131"/>
        <xdr:cNvCxnSpPr/>
      </xdr:nvCxnSpPr>
      <xdr:spPr>
        <a:xfrm>
          <a:off x="2706955" y="26788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137</xdr:row>
      <xdr:rowOff>36635</xdr:rowOff>
    </xdr:from>
    <xdr:to>
      <xdr:col>3</xdr:col>
      <xdr:colOff>300404</xdr:colOff>
      <xdr:row>138</xdr:row>
      <xdr:rowOff>45337</xdr:rowOff>
    </xdr:to>
    <xdr:cxnSp macro="">
      <xdr:nvCxnSpPr>
        <xdr:cNvPr id="133" name="Straight Connector 132"/>
        <xdr:cNvCxnSpPr/>
      </xdr:nvCxnSpPr>
      <xdr:spPr>
        <a:xfrm flipH="1">
          <a:off x="3076209" y="26325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137</xdr:row>
      <xdr:rowOff>25749</xdr:rowOff>
    </xdr:from>
    <xdr:to>
      <xdr:col>3</xdr:col>
      <xdr:colOff>472128</xdr:colOff>
      <xdr:row>138</xdr:row>
      <xdr:rowOff>36635</xdr:rowOff>
    </xdr:to>
    <xdr:cxnSp macro="">
      <xdr:nvCxnSpPr>
        <xdr:cNvPr id="134" name="Straight Connector 133"/>
        <xdr:cNvCxnSpPr/>
      </xdr:nvCxnSpPr>
      <xdr:spPr>
        <a:xfrm>
          <a:off x="3235569" y="26314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142</xdr:row>
      <xdr:rowOff>35719</xdr:rowOff>
    </xdr:from>
    <xdr:to>
      <xdr:col>3</xdr:col>
      <xdr:colOff>428625</xdr:colOff>
      <xdr:row>144</xdr:row>
      <xdr:rowOff>178594</xdr:rowOff>
    </xdr:to>
    <xdr:cxnSp macro="">
      <xdr:nvCxnSpPr>
        <xdr:cNvPr id="135" name="Straight Connector 134"/>
        <xdr:cNvCxnSpPr/>
      </xdr:nvCxnSpPr>
      <xdr:spPr>
        <a:xfrm>
          <a:off x="3209925" y="27277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144</xdr:row>
      <xdr:rowOff>95249</xdr:rowOff>
    </xdr:from>
    <xdr:to>
      <xdr:col>3</xdr:col>
      <xdr:colOff>571500</xdr:colOff>
      <xdr:row>144</xdr:row>
      <xdr:rowOff>154780</xdr:rowOff>
    </xdr:to>
    <xdr:cxnSp macro="">
      <xdr:nvCxnSpPr>
        <xdr:cNvPr id="136" name="Straight Connector 135"/>
        <xdr:cNvCxnSpPr/>
      </xdr:nvCxnSpPr>
      <xdr:spPr>
        <a:xfrm flipH="1">
          <a:off x="3209925" y="27717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142</xdr:row>
      <xdr:rowOff>47625</xdr:rowOff>
    </xdr:from>
    <xdr:to>
      <xdr:col>3</xdr:col>
      <xdr:colOff>595313</xdr:colOff>
      <xdr:row>142</xdr:row>
      <xdr:rowOff>119062</xdr:rowOff>
    </xdr:to>
    <xdr:cxnSp macro="">
      <xdr:nvCxnSpPr>
        <xdr:cNvPr id="137" name="Straight Connector 136"/>
        <xdr:cNvCxnSpPr/>
      </xdr:nvCxnSpPr>
      <xdr:spPr>
        <a:xfrm>
          <a:off x="3209925" y="27289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145</xdr:row>
      <xdr:rowOff>297027</xdr:rowOff>
    </xdr:from>
    <xdr:to>
      <xdr:col>3</xdr:col>
      <xdr:colOff>392907</xdr:colOff>
      <xdr:row>149</xdr:row>
      <xdr:rowOff>154781</xdr:rowOff>
    </xdr:to>
    <xdr:cxnSp macro="">
      <xdr:nvCxnSpPr>
        <xdr:cNvPr id="138" name="Straight Connector 137"/>
        <xdr:cNvCxnSpPr/>
      </xdr:nvCxnSpPr>
      <xdr:spPr>
        <a:xfrm>
          <a:off x="3166381" y="280052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149</xdr:row>
      <xdr:rowOff>142875</xdr:rowOff>
    </xdr:from>
    <xdr:to>
      <xdr:col>4</xdr:col>
      <xdr:colOff>11908</xdr:colOff>
      <xdr:row>149</xdr:row>
      <xdr:rowOff>154782</xdr:rowOff>
    </xdr:to>
    <xdr:cxnSp macro="">
      <xdr:nvCxnSpPr>
        <xdr:cNvPr id="139" name="Straight Connector 138"/>
        <xdr:cNvCxnSpPr/>
      </xdr:nvCxnSpPr>
      <xdr:spPr>
        <a:xfrm flipH="1" flipV="1">
          <a:off x="3150395" y="287178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145</xdr:row>
      <xdr:rowOff>305147</xdr:rowOff>
    </xdr:from>
    <xdr:to>
      <xdr:col>3</xdr:col>
      <xdr:colOff>130969</xdr:colOff>
      <xdr:row>147</xdr:row>
      <xdr:rowOff>11906</xdr:rowOff>
    </xdr:to>
    <xdr:cxnSp macro="">
      <xdr:nvCxnSpPr>
        <xdr:cNvPr id="140" name="Straight Arrow Connector 139"/>
        <xdr:cNvCxnSpPr/>
      </xdr:nvCxnSpPr>
      <xdr:spPr>
        <a:xfrm flipH="1" flipV="1">
          <a:off x="2904995" y="280038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148</xdr:row>
      <xdr:rowOff>11907</xdr:rowOff>
    </xdr:from>
    <xdr:to>
      <xdr:col>3</xdr:col>
      <xdr:colOff>130969</xdr:colOff>
      <xdr:row>149</xdr:row>
      <xdr:rowOff>154782</xdr:rowOff>
    </xdr:to>
    <xdr:cxnSp macro="">
      <xdr:nvCxnSpPr>
        <xdr:cNvPr id="141" name="Straight Arrow Connector 140"/>
        <xdr:cNvCxnSpPr/>
      </xdr:nvCxnSpPr>
      <xdr:spPr>
        <a:xfrm>
          <a:off x="2912269" y="283964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153</xdr:row>
      <xdr:rowOff>89297</xdr:rowOff>
    </xdr:from>
    <xdr:to>
      <xdr:col>3</xdr:col>
      <xdr:colOff>178594</xdr:colOff>
      <xdr:row>154</xdr:row>
      <xdr:rowOff>59531</xdr:rowOff>
    </xdr:to>
    <xdr:cxnSp macro="">
      <xdr:nvCxnSpPr>
        <xdr:cNvPr id="142" name="Straight Connector 141"/>
        <xdr:cNvCxnSpPr/>
      </xdr:nvCxnSpPr>
      <xdr:spPr>
        <a:xfrm>
          <a:off x="2840831" y="29426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153</xdr:row>
      <xdr:rowOff>35719</xdr:rowOff>
    </xdr:from>
    <xdr:to>
      <xdr:col>3</xdr:col>
      <xdr:colOff>285750</xdr:colOff>
      <xdr:row>153</xdr:row>
      <xdr:rowOff>154781</xdr:rowOff>
    </xdr:to>
    <xdr:cxnSp macro="">
      <xdr:nvCxnSpPr>
        <xdr:cNvPr id="143" name="Straight Connector 142"/>
        <xdr:cNvCxnSpPr/>
      </xdr:nvCxnSpPr>
      <xdr:spPr>
        <a:xfrm>
          <a:off x="2876550" y="29372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162</xdr:row>
      <xdr:rowOff>124558</xdr:rowOff>
    </xdr:from>
    <xdr:to>
      <xdr:col>3</xdr:col>
      <xdr:colOff>381000</xdr:colOff>
      <xdr:row>165</xdr:row>
      <xdr:rowOff>124558</xdr:rowOff>
    </xdr:to>
    <xdr:cxnSp macro="">
      <xdr:nvCxnSpPr>
        <xdr:cNvPr id="144" name="Straight Connector 143"/>
        <xdr:cNvCxnSpPr/>
      </xdr:nvCxnSpPr>
      <xdr:spPr>
        <a:xfrm flipH="1">
          <a:off x="2713986" y="31176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162</xdr:row>
      <xdr:rowOff>139212</xdr:rowOff>
    </xdr:from>
    <xdr:to>
      <xdr:col>4</xdr:col>
      <xdr:colOff>116773</xdr:colOff>
      <xdr:row>165</xdr:row>
      <xdr:rowOff>117231</xdr:rowOff>
    </xdr:to>
    <xdr:cxnSp macro="">
      <xdr:nvCxnSpPr>
        <xdr:cNvPr id="145" name="Straight Connector 144"/>
        <xdr:cNvCxnSpPr/>
      </xdr:nvCxnSpPr>
      <xdr:spPr>
        <a:xfrm>
          <a:off x="3162300" y="31190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165</xdr:row>
      <xdr:rowOff>118956</xdr:rowOff>
    </xdr:from>
    <xdr:to>
      <xdr:col>4</xdr:col>
      <xdr:colOff>134902</xdr:colOff>
      <xdr:row>165</xdr:row>
      <xdr:rowOff>118956</xdr:rowOff>
    </xdr:to>
    <xdr:cxnSp macro="">
      <xdr:nvCxnSpPr>
        <xdr:cNvPr id="146" name="Straight Connector 145"/>
        <xdr:cNvCxnSpPr/>
      </xdr:nvCxnSpPr>
      <xdr:spPr>
        <a:xfrm>
          <a:off x="2706955" y="31741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163</xdr:row>
      <xdr:rowOff>36635</xdr:rowOff>
    </xdr:from>
    <xdr:to>
      <xdr:col>3</xdr:col>
      <xdr:colOff>300404</xdr:colOff>
      <xdr:row>164</xdr:row>
      <xdr:rowOff>45337</xdr:rowOff>
    </xdr:to>
    <xdr:cxnSp macro="">
      <xdr:nvCxnSpPr>
        <xdr:cNvPr id="147" name="Straight Connector 146"/>
        <xdr:cNvCxnSpPr/>
      </xdr:nvCxnSpPr>
      <xdr:spPr>
        <a:xfrm flipH="1">
          <a:off x="3076209" y="31278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163</xdr:row>
      <xdr:rowOff>25749</xdr:rowOff>
    </xdr:from>
    <xdr:to>
      <xdr:col>3</xdr:col>
      <xdr:colOff>472128</xdr:colOff>
      <xdr:row>164</xdr:row>
      <xdr:rowOff>36635</xdr:rowOff>
    </xdr:to>
    <xdr:cxnSp macro="">
      <xdr:nvCxnSpPr>
        <xdr:cNvPr id="148" name="Straight Connector 147"/>
        <xdr:cNvCxnSpPr/>
      </xdr:nvCxnSpPr>
      <xdr:spPr>
        <a:xfrm>
          <a:off x="3235569" y="31267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153</xdr:row>
      <xdr:rowOff>44824</xdr:rowOff>
    </xdr:from>
    <xdr:to>
      <xdr:col>3</xdr:col>
      <xdr:colOff>67235</xdr:colOff>
      <xdr:row>155</xdr:row>
      <xdr:rowOff>156883</xdr:rowOff>
    </xdr:to>
    <xdr:cxnSp macro="">
      <xdr:nvCxnSpPr>
        <xdr:cNvPr id="149" name="Straight Connector 148"/>
        <xdr:cNvCxnSpPr/>
      </xdr:nvCxnSpPr>
      <xdr:spPr>
        <a:xfrm>
          <a:off x="2848535" y="29381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155</xdr:row>
      <xdr:rowOff>166690</xdr:rowOff>
    </xdr:from>
    <xdr:to>
      <xdr:col>4</xdr:col>
      <xdr:colOff>29308</xdr:colOff>
      <xdr:row>155</xdr:row>
      <xdr:rowOff>168519</xdr:rowOff>
    </xdr:to>
    <xdr:cxnSp macro="">
      <xdr:nvCxnSpPr>
        <xdr:cNvPr id="150" name="Straight Connector 149"/>
        <xdr:cNvCxnSpPr/>
      </xdr:nvCxnSpPr>
      <xdr:spPr>
        <a:xfrm>
          <a:off x="2840831" y="29884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153</xdr:row>
      <xdr:rowOff>41673</xdr:rowOff>
    </xdr:from>
    <xdr:to>
      <xdr:col>4</xdr:col>
      <xdr:colOff>12211</xdr:colOff>
      <xdr:row>156</xdr:row>
      <xdr:rowOff>0</xdr:rowOff>
    </xdr:to>
    <xdr:cxnSp macro="">
      <xdr:nvCxnSpPr>
        <xdr:cNvPr id="151" name="Straight Connector 150"/>
        <xdr:cNvCxnSpPr/>
      </xdr:nvCxnSpPr>
      <xdr:spPr>
        <a:xfrm flipH="1" flipV="1">
          <a:off x="3495675" y="29378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153</xdr:row>
      <xdr:rowOff>32918</xdr:rowOff>
    </xdr:from>
    <xdr:to>
      <xdr:col>4</xdr:col>
      <xdr:colOff>17861</xdr:colOff>
      <xdr:row>153</xdr:row>
      <xdr:rowOff>35719</xdr:rowOff>
    </xdr:to>
    <xdr:cxnSp macro="">
      <xdr:nvCxnSpPr>
        <xdr:cNvPr id="152" name="Straight Connector 151"/>
        <xdr:cNvCxnSpPr/>
      </xdr:nvCxnSpPr>
      <xdr:spPr>
        <a:xfrm flipH="1">
          <a:off x="2840831" y="29369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158</xdr:row>
      <xdr:rowOff>89297</xdr:rowOff>
    </xdr:from>
    <xdr:to>
      <xdr:col>3</xdr:col>
      <xdr:colOff>178594</xdr:colOff>
      <xdr:row>159</xdr:row>
      <xdr:rowOff>59531</xdr:rowOff>
    </xdr:to>
    <xdr:cxnSp macro="">
      <xdr:nvCxnSpPr>
        <xdr:cNvPr id="153" name="Straight Connector 152"/>
        <xdr:cNvCxnSpPr/>
      </xdr:nvCxnSpPr>
      <xdr:spPr>
        <a:xfrm>
          <a:off x="2840831" y="3037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158</xdr:row>
      <xdr:rowOff>35719</xdr:rowOff>
    </xdr:from>
    <xdr:to>
      <xdr:col>3</xdr:col>
      <xdr:colOff>285750</xdr:colOff>
      <xdr:row>158</xdr:row>
      <xdr:rowOff>154781</xdr:rowOff>
    </xdr:to>
    <xdr:cxnSp macro="">
      <xdr:nvCxnSpPr>
        <xdr:cNvPr id="154" name="Straight Connector 153"/>
        <xdr:cNvCxnSpPr/>
      </xdr:nvCxnSpPr>
      <xdr:spPr>
        <a:xfrm>
          <a:off x="2876550" y="3032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158</xdr:row>
      <xdr:rowOff>44824</xdr:rowOff>
    </xdr:from>
    <xdr:to>
      <xdr:col>3</xdr:col>
      <xdr:colOff>67235</xdr:colOff>
      <xdr:row>160</xdr:row>
      <xdr:rowOff>156883</xdr:rowOff>
    </xdr:to>
    <xdr:cxnSp macro="">
      <xdr:nvCxnSpPr>
        <xdr:cNvPr id="155" name="Straight Connector 154"/>
        <xdr:cNvCxnSpPr/>
      </xdr:nvCxnSpPr>
      <xdr:spPr>
        <a:xfrm>
          <a:off x="2848535" y="3033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160</xdr:row>
      <xdr:rowOff>166690</xdr:rowOff>
    </xdr:from>
    <xdr:to>
      <xdr:col>4</xdr:col>
      <xdr:colOff>29308</xdr:colOff>
      <xdr:row>160</xdr:row>
      <xdr:rowOff>168519</xdr:rowOff>
    </xdr:to>
    <xdr:cxnSp macro="">
      <xdr:nvCxnSpPr>
        <xdr:cNvPr id="156" name="Straight Connector 155"/>
        <xdr:cNvCxnSpPr/>
      </xdr:nvCxnSpPr>
      <xdr:spPr>
        <a:xfrm>
          <a:off x="2840831" y="30837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41673</xdr:rowOff>
    </xdr:from>
    <xdr:to>
      <xdr:col>4</xdr:col>
      <xdr:colOff>12211</xdr:colOff>
      <xdr:row>161</xdr:row>
      <xdr:rowOff>0</xdr:rowOff>
    </xdr:to>
    <xdr:cxnSp macro="">
      <xdr:nvCxnSpPr>
        <xdr:cNvPr id="157" name="Straight Connector 156"/>
        <xdr:cNvCxnSpPr/>
      </xdr:nvCxnSpPr>
      <xdr:spPr>
        <a:xfrm flipH="1" flipV="1">
          <a:off x="3495675" y="3033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158</xdr:row>
      <xdr:rowOff>32918</xdr:rowOff>
    </xdr:from>
    <xdr:to>
      <xdr:col>4</xdr:col>
      <xdr:colOff>17861</xdr:colOff>
      <xdr:row>158</xdr:row>
      <xdr:rowOff>35719</xdr:rowOff>
    </xdr:to>
    <xdr:cxnSp macro="">
      <xdr:nvCxnSpPr>
        <xdr:cNvPr id="158" name="Straight Connector 157"/>
        <xdr:cNvCxnSpPr/>
      </xdr:nvCxnSpPr>
      <xdr:spPr>
        <a:xfrm flipH="1">
          <a:off x="2840831" y="30322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167</xdr:row>
      <xdr:rowOff>124558</xdr:rowOff>
    </xdr:from>
    <xdr:to>
      <xdr:col>3</xdr:col>
      <xdr:colOff>381000</xdr:colOff>
      <xdr:row>170</xdr:row>
      <xdr:rowOff>124558</xdr:rowOff>
    </xdr:to>
    <xdr:cxnSp macro="">
      <xdr:nvCxnSpPr>
        <xdr:cNvPr id="159" name="Straight Connector 158"/>
        <xdr:cNvCxnSpPr/>
      </xdr:nvCxnSpPr>
      <xdr:spPr>
        <a:xfrm flipH="1">
          <a:off x="2713986" y="32128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167</xdr:row>
      <xdr:rowOff>139212</xdr:rowOff>
    </xdr:from>
    <xdr:to>
      <xdr:col>4</xdr:col>
      <xdr:colOff>116773</xdr:colOff>
      <xdr:row>170</xdr:row>
      <xdr:rowOff>117231</xdr:rowOff>
    </xdr:to>
    <xdr:cxnSp macro="">
      <xdr:nvCxnSpPr>
        <xdr:cNvPr id="160" name="Straight Connector 159"/>
        <xdr:cNvCxnSpPr/>
      </xdr:nvCxnSpPr>
      <xdr:spPr>
        <a:xfrm>
          <a:off x="3162300" y="32143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170</xdr:row>
      <xdr:rowOff>118956</xdr:rowOff>
    </xdr:from>
    <xdr:to>
      <xdr:col>4</xdr:col>
      <xdr:colOff>134902</xdr:colOff>
      <xdr:row>170</xdr:row>
      <xdr:rowOff>118956</xdr:rowOff>
    </xdr:to>
    <xdr:cxnSp macro="">
      <xdr:nvCxnSpPr>
        <xdr:cNvPr id="161" name="Straight Connector 160"/>
        <xdr:cNvCxnSpPr/>
      </xdr:nvCxnSpPr>
      <xdr:spPr>
        <a:xfrm>
          <a:off x="2706955" y="32694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168</xdr:row>
      <xdr:rowOff>36635</xdr:rowOff>
    </xdr:from>
    <xdr:to>
      <xdr:col>3</xdr:col>
      <xdr:colOff>300404</xdr:colOff>
      <xdr:row>169</xdr:row>
      <xdr:rowOff>45337</xdr:rowOff>
    </xdr:to>
    <xdr:cxnSp macro="">
      <xdr:nvCxnSpPr>
        <xdr:cNvPr id="162" name="Straight Connector 161"/>
        <xdr:cNvCxnSpPr/>
      </xdr:nvCxnSpPr>
      <xdr:spPr>
        <a:xfrm flipH="1">
          <a:off x="3076209" y="32231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168</xdr:row>
      <xdr:rowOff>25749</xdr:rowOff>
    </xdr:from>
    <xdr:to>
      <xdr:col>3</xdr:col>
      <xdr:colOff>472128</xdr:colOff>
      <xdr:row>169</xdr:row>
      <xdr:rowOff>36635</xdr:rowOff>
    </xdr:to>
    <xdr:cxnSp macro="">
      <xdr:nvCxnSpPr>
        <xdr:cNvPr id="163" name="Straight Connector 162"/>
        <xdr:cNvCxnSpPr/>
      </xdr:nvCxnSpPr>
      <xdr:spPr>
        <a:xfrm>
          <a:off x="3235569" y="32220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173</xdr:row>
      <xdr:rowOff>35719</xdr:rowOff>
    </xdr:from>
    <xdr:to>
      <xdr:col>3</xdr:col>
      <xdr:colOff>428625</xdr:colOff>
      <xdr:row>175</xdr:row>
      <xdr:rowOff>178594</xdr:rowOff>
    </xdr:to>
    <xdr:cxnSp macro="">
      <xdr:nvCxnSpPr>
        <xdr:cNvPr id="164" name="Straight Connector 163"/>
        <xdr:cNvCxnSpPr/>
      </xdr:nvCxnSpPr>
      <xdr:spPr>
        <a:xfrm>
          <a:off x="3209925" y="33182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175</xdr:row>
      <xdr:rowOff>95249</xdr:rowOff>
    </xdr:from>
    <xdr:to>
      <xdr:col>3</xdr:col>
      <xdr:colOff>571500</xdr:colOff>
      <xdr:row>175</xdr:row>
      <xdr:rowOff>154780</xdr:rowOff>
    </xdr:to>
    <xdr:cxnSp macro="">
      <xdr:nvCxnSpPr>
        <xdr:cNvPr id="165" name="Straight Connector 164"/>
        <xdr:cNvCxnSpPr/>
      </xdr:nvCxnSpPr>
      <xdr:spPr>
        <a:xfrm flipH="1">
          <a:off x="3209925" y="33623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173</xdr:row>
      <xdr:rowOff>47625</xdr:rowOff>
    </xdr:from>
    <xdr:to>
      <xdr:col>3</xdr:col>
      <xdr:colOff>595313</xdr:colOff>
      <xdr:row>173</xdr:row>
      <xdr:rowOff>119062</xdr:rowOff>
    </xdr:to>
    <xdr:cxnSp macro="">
      <xdr:nvCxnSpPr>
        <xdr:cNvPr id="166" name="Straight Connector 165"/>
        <xdr:cNvCxnSpPr/>
      </xdr:nvCxnSpPr>
      <xdr:spPr>
        <a:xfrm>
          <a:off x="3209925" y="33194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176</xdr:row>
      <xdr:rowOff>297027</xdr:rowOff>
    </xdr:from>
    <xdr:to>
      <xdr:col>3</xdr:col>
      <xdr:colOff>392907</xdr:colOff>
      <xdr:row>180</xdr:row>
      <xdr:rowOff>154781</xdr:rowOff>
    </xdr:to>
    <xdr:cxnSp macro="">
      <xdr:nvCxnSpPr>
        <xdr:cNvPr id="167" name="Straight Connector 166"/>
        <xdr:cNvCxnSpPr/>
      </xdr:nvCxnSpPr>
      <xdr:spPr>
        <a:xfrm>
          <a:off x="3166381" y="33910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180</xdr:row>
      <xdr:rowOff>142875</xdr:rowOff>
    </xdr:from>
    <xdr:to>
      <xdr:col>4</xdr:col>
      <xdr:colOff>11908</xdr:colOff>
      <xdr:row>180</xdr:row>
      <xdr:rowOff>154782</xdr:rowOff>
    </xdr:to>
    <xdr:cxnSp macro="">
      <xdr:nvCxnSpPr>
        <xdr:cNvPr id="168" name="Straight Connector 167"/>
        <xdr:cNvCxnSpPr/>
      </xdr:nvCxnSpPr>
      <xdr:spPr>
        <a:xfrm flipH="1" flipV="1">
          <a:off x="3150395" y="34623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176</xdr:row>
      <xdr:rowOff>305147</xdr:rowOff>
    </xdr:from>
    <xdr:to>
      <xdr:col>3</xdr:col>
      <xdr:colOff>130969</xdr:colOff>
      <xdr:row>178</xdr:row>
      <xdr:rowOff>11906</xdr:rowOff>
    </xdr:to>
    <xdr:cxnSp macro="">
      <xdr:nvCxnSpPr>
        <xdr:cNvPr id="169" name="Straight Arrow Connector 168"/>
        <xdr:cNvCxnSpPr/>
      </xdr:nvCxnSpPr>
      <xdr:spPr>
        <a:xfrm flipH="1" flipV="1">
          <a:off x="2904995" y="3390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179</xdr:row>
      <xdr:rowOff>11907</xdr:rowOff>
    </xdr:from>
    <xdr:to>
      <xdr:col>3</xdr:col>
      <xdr:colOff>130969</xdr:colOff>
      <xdr:row>180</xdr:row>
      <xdr:rowOff>154782</xdr:rowOff>
    </xdr:to>
    <xdr:cxnSp macro="">
      <xdr:nvCxnSpPr>
        <xdr:cNvPr id="170" name="Straight Arrow Connector 169"/>
        <xdr:cNvCxnSpPr/>
      </xdr:nvCxnSpPr>
      <xdr:spPr>
        <a:xfrm>
          <a:off x="2912269" y="34301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184</xdr:row>
      <xdr:rowOff>89297</xdr:rowOff>
    </xdr:from>
    <xdr:to>
      <xdr:col>3</xdr:col>
      <xdr:colOff>178594</xdr:colOff>
      <xdr:row>185</xdr:row>
      <xdr:rowOff>59531</xdr:rowOff>
    </xdr:to>
    <xdr:cxnSp macro="">
      <xdr:nvCxnSpPr>
        <xdr:cNvPr id="171" name="Straight Connector 170"/>
        <xdr:cNvCxnSpPr/>
      </xdr:nvCxnSpPr>
      <xdr:spPr>
        <a:xfrm>
          <a:off x="2840831" y="35331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184</xdr:row>
      <xdr:rowOff>35719</xdr:rowOff>
    </xdr:from>
    <xdr:to>
      <xdr:col>3</xdr:col>
      <xdr:colOff>285750</xdr:colOff>
      <xdr:row>184</xdr:row>
      <xdr:rowOff>154781</xdr:rowOff>
    </xdr:to>
    <xdr:cxnSp macro="">
      <xdr:nvCxnSpPr>
        <xdr:cNvPr id="172" name="Straight Connector 171"/>
        <xdr:cNvCxnSpPr/>
      </xdr:nvCxnSpPr>
      <xdr:spPr>
        <a:xfrm>
          <a:off x="2876550" y="35278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198</xdr:row>
      <xdr:rowOff>124558</xdr:rowOff>
    </xdr:from>
    <xdr:to>
      <xdr:col>3</xdr:col>
      <xdr:colOff>381000</xdr:colOff>
      <xdr:row>201</xdr:row>
      <xdr:rowOff>124558</xdr:rowOff>
    </xdr:to>
    <xdr:cxnSp macro="">
      <xdr:nvCxnSpPr>
        <xdr:cNvPr id="173" name="Straight Connector 172"/>
        <xdr:cNvCxnSpPr/>
      </xdr:nvCxnSpPr>
      <xdr:spPr>
        <a:xfrm flipH="1">
          <a:off x="2713986" y="38034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198</xdr:row>
      <xdr:rowOff>139212</xdr:rowOff>
    </xdr:from>
    <xdr:to>
      <xdr:col>4</xdr:col>
      <xdr:colOff>116773</xdr:colOff>
      <xdr:row>201</xdr:row>
      <xdr:rowOff>117231</xdr:rowOff>
    </xdr:to>
    <xdr:cxnSp macro="">
      <xdr:nvCxnSpPr>
        <xdr:cNvPr id="174" name="Straight Connector 173"/>
        <xdr:cNvCxnSpPr/>
      </xdr:nvCxnSpPr>
      <xdr:spPr>
        <a:xfrm>
          <a:off x="3162300" y="38048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201</xdr:row>
      <xdr:rowOff>118956</xdr:rowOff>
    </xdr:from>
    <xdr:to>
      <xdr:col>4</xdr:col>
      <xdr:colOff>134902</xdr:colOff>
      <xdr:row>201</xdr:row>
      <xdr:rowOff>118956</xdr:rowOff>
    </xdr:to>
    <xdr:cxnSp macro="">
      <xdr:nvCxnSpPr>
        <xdr:cNvPr id="175" name="Straight Connector 174"/>
        <xdr:cNvCxnSpPr/>
      </xdr:nvCxnSpPr>
      <xdr:spPr>
        <a:xfrm>
          <a:off x="2706955" y="38599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199</xdr:row>
      <xdr:rowOff>36635</xdr:rowOff>
    </xdr:from>
    <xdr:to>
      <xdr:col>3</xdr:col>
      <xdr:colOff>300404</xdr:colOff>
      <xdr:row>200</xdr:row>
      <xdr:rowOff>45337</xdr:rowOff>
    </xdr:to>
    <xdr:cxnSp macro="">
      <xdr:nvCxnSpPr>
        <xdr:cNvPr id="176" name="Straight Connector 175"/>
        <xdr:cNvCxnSpPr/>
      </xdr:nvCxnSpPr>
      <xdr:spPr>
        <a:xfrm flipH="1">
          <a:off x="3076209" y="38136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199</xdr:row>
      <xdr:rowOff>25749</xdr:rowOff>
    </xdr:from>
    <xdr:to>
      <xdr:col>3</xdr:col>
      <xdr:colOff>472128</xdr:colOff>
      <xdr:row>200</xdr:row>
      <xdr:rowOff>36635</xdr:rowOff>
    </xdr:to>
    <xdr:cxnSp macro="">
      <xdr:nvCxnSpPr>
        <xdr:cNvPr id="177" name="Straight Connector 176"/>
        <xdr:cNvCxnSpPr/>
      </xdr:nvCxnSpPr>
      <xdr:spPr>
        <a:xfrm>
          <a:off x="3235569" y="38125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184</xdr:row>
      <xdr:rowOff>44824</xdr:rowOff>
    </xdr:from>
    <xdr:to>
      <xdr:col>3</xdr:col>
      <xdr:colOff>67235</xdr:colOff>
      <xdr:row>186</xdr:row>
      <xdr:rowOff>156883</xdr:rowOff>
    </xdr:to>
    <xdr:cxnSp macro="">
      <xdr:nvCxnSpPr>
        <xdr:cNvPr id="178" name="Straight Connector 177"/>
        <xdr:cNvCxnSpPr/>
      </xdr:nvCxnSpPr>
      <xdr:spPr>
        <a:xfrm>
          <a:off x="2848535" y="35287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186</xdr:row>
      <xdr:rowOff>166690</xdr:rowOff>
    </xdr:from>
    <xdr:to>
      <xdr:col>4</xdr:col>
      <xdr:colOff>29308</xdr:colOff>
      <xdr:row>186</xdr:row>
      <xdr:rowOff>168519</xdr:rowOff>
    </xdr:to>
    <xdr:cxnSp macro="">
      <xdr:nvCxnSpPr>
        <xdr:cNvPr id="179" name="Straight Connector 178"/>
        <xdr:cNvCxnSpPr/>
      </xdr:nvCxnSpPr>
      <xdr:spPr>
        <a:xfrm>
          <a:off x="2840831" y="35790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41673</xdr:rowOff>
    </xdr:from>
    <xdr:to>
      <xdr:col>4</xdr:col>
      <xdr:colOff>12211</xdr:colOff>
      <xdr:row>187</xdr:row>
      <xdr:rowOff>0</xdr:rowOff>
    </xdr:to>
    <xdr:cxnSp macro="">
      <xdr:nvCxnSpPr>
        <xdr:cNvPr id="180" name="Straight Connector 179"/>
        <xdr:cNvCxnSpPr/>
      </xdr:nvCxnSpPr>
      <xdr:spPr>
        <a:xfrm flipH="1" flipV="1">
          <a:off x="3495675" y="35284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184</xdr:row>
      <xdr:rowOff>32918</xdr:rowOff>
    </xdr:from>
    <xdr:to>
      <xdr:col>4</xdr:col>
      <xdr:colOff>17861</xdr:colOff>
      <xdr:row>184</xdr:row>
      <xdr:rowOff>35719</xdr:rowOff>
    </xdr:to>
    <xdr:cxnSp macro="">
      <xdr:nvCxnSpPr>
        <xdr:cNvPr id="181" name="Straight Connector 180"/>
        <xdr:cNvCxnSpPr/>
      </xdr:nvCxnSpPr>
      <xdr:spPr>
        <a:xfrm flipH="1">
          <a:off x="2840831" y="35275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189</xdr:row>
      <xdr:rowOff>89297</xdr:rowOff>
    </xdr:from>
    <xdr:to>
      <xdr:col>3</xdr:col>
      <xdr:colOff>178594</xdr:colOff>
      <xdr:row>190</xdr:row>
      <xdr:rowOff>59531</xdr:rowOff>
    </xdr:to>
    <xdr:cxnSp macro="">
      <xdr:nvCxnSpPr>
        <xdr:cNvPr id="182" name="Straight Connector 181"/>
        <xdr:cNvCxnSpPr/>
      </xdr:nvCxnSpPr>
      <xdr:spPr>
        <a:xfrm>
          <a:off x="2840831" y="36284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189</xdr:row>
      <xdr:rowOff>35719</xdr:rowOff>
    </xdr:from>
    <xdr:to>
      <xdr:col>3</xdr:col>
      <xdr:colOff>285750</xdr:colOff>
      <xdr:row>189</xdr:row>
      <xdr:rowOff>154781</xdr:rowOff>
    </xdr:to>
    <xdr:cxnSp macro="">
      <xdr:nvCxnSpPr>
        <xdr:cNvPr id="183" name="Straight Connector 182"/>
        <xdr:cNvCxnSpPr/>
      </xdr:nvCxnSpPr>
      <xdr:spPr>
        <a:xfrm>
          <a:off x="2876550" y="36230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189</xdr:row>
      <xdr:rowOff>44824</xdr:rowOff>
    </xdr:from>
    <xdr:to>
      <xdr:col>3</xdr:col>
      <xdr:colOff>67235</xdr:colOff>
      <xdr:row>191</xdr:row>
      <xdr:rowOff>156883</xdr:rowOff>
    </xdr:to>
    <xdr:cxnSp macro="">
      <xdr:nvCxnSpPr>
        <xdr:cNvPr id="184" name="Straight Connector 183"/>
        <xdr:cNvCxnSpPr/>
      </xdr:nvCxnSpPr>
      <xdr:spPr>
        <a:xfrm>
          <a:off x="2848535" y="36239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191</xdr:row>
      <xdr:rowOff>166690</xdr:rowOff>
    </xdr:from>
    <xdr:to>
      <xdr:col>4</xdr:col>
      <xdr:colOff>29308</xdr:colOff>
      <xdr:row>191</xdr:row>
      <xdr:rowOff>168519</xdr:rowOff>
    </xdr:to>
    <xdr:cxnSp macro="">
      <xdr:nvCxnSpPr>
        <xdr:cNvPr id="185" name="Straight Connector 184"/>
        <xdr:cNvCxnSpPr/>
      </xdr:nvCxnSpPr>
      <xdr:spPr>
        <a:xfrm>
          <a:off x="2840831" y="36742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189</xdr:row>
      <xdr:rowOff>41673</xdr:rowOff>
    </xdr:from>
    <xdr:to>
      <xdr:col>4</xdr:col>
      <xdr:colOff>12211</xdr:colOff>
      <xdr:row>192</xdr:row>
      <xdr:rowOff>0</xdr:rowOff>
    </xdr:to>
    <xdr:cxnSp macro="">
      <xdr:nvCxnSpPr>
        <xdr:cNvPr id="186" name="Straight Connector 185"/>
        <xdr:cNvCxnSpPr/>
      </xdr:nvCxnSpPr>
      <xdr:spPr>
        <a:xfrm flipH="1" flipV="1">
          <a:off x="3495675" y="36236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189</xdr:row>
      <xdr:rowOff>32918</xdr:rowOff>
    </xdr:from>
    <xdr:to>
      <xdr:col>4</xdr:col>
      <xdr:colOff>17861</xdr:colOff>
      <xdr:row>189</xdr:row>
      <xdr:rowOff>35719</xdr:rowOff>
    </xdr:to>
    <xdr:cxnSp macro="">
      <xdr:nvCxnSpPr>
        <xdr:cNvPr id="187" name="Straight Connector 186"/>
        <xdr:cNvCxnSpPr/>
      </xdr:nvCxnSpPr>
      <xdr:spPr>
        <a:xfrm flipH="1">
          <a:off x="2840831" y="36227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203</xdr:row>
      <xdr:rowOff>124558</xdr:rowOff>
    </xdr:from>
    <xdr:to>
      <xdr:col>3</xdr:col>
      <xdr:colOff>381000</xdr:colOff>
      <xdr:row>206</xdr:row>
      <xdr:rowOff>124558</xdr:rowOff>
    </xdr:to>
    <xdr:cxnSp macro="">
      <xdr:nvCxnSpPr>
        <xdr:cNvPr id="188" name="Straight Connector 187"/>
        <xdr:cNvCxnSpPr/>
      </xdr:nvCxnSpPr>
      <xdr:spPr>
        <a:xfrm flipH="1">
          <a:off x="2713986" y="38986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203</xdr:row>
      <xdr:rowOff>139212</xdr:rowOff>
    </xdr:from>
    <xdr:to>
      <xdr:col>4</xdr:col>
      <xdr:colOff>116773</xdr:colOff>
      <xdr:row>206</xdr:row>
      <xdr:rowOff>117231</xdr:rowOff>
    </xdr:to>
    <xdr:cxnSp macro="">
      <xdr:nvCxnSpPr>
        <xdr:cNvPr id="189" name="Straight Connector 188"/>
        <xdr:cNvCxnSpPr/>
      </xdr:nvCxnSpPr>
      <xdr:spPr>
        <a:xfrm>
          <a:off x="3162300" y="39001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206</xdr:row>
      <xdr:rowOff>118956</xdr:rowOff>
    </xdr:from>
    <xdr:to>
      <xdr:col>4</xdr:col>
      <xdr:colOff>134902</xdr:colOff>
      <xdr:row>206</xdr:row>
      <xdr:rowOff>118956</xdr:rowOff>
    </xdr:to>
    <xdr:cxnSp macro="">
      <xdr:nvCxnSpPr>
        <xdr:cNvPr id="190" name="Straight Connector 189"/>
        <xdr:cNvCxnSpPr/>
      </xdr:nvCxnSpPr>
      <xdr:spPr>
        <a:xfrm>
          <a:off x="2706955" y="39552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204</xdr:row>
      <xdr:rowOff>36635</xdr:rowOff>
    </xdr:from>
    <xdr:to>
      <xdr:col>3</xdr:col>
      <xdr:colOff>300404</xdr:colOff>
      <xdr:row>205</xdr:row>
      <xdr:rowOff>45337</xdr:rowOff>
    </xdr:to>
    <xdr:cxnSp macro="">
      <xdr:nvCxnSpPr>
        <xdr:cNvPr id="191" name="Straight Connector 190"/>
        <xdr:cNvCxnSpPr/>
      </xdr:nvCxnSpPr>
      <xdr:spPr>
        <a:xfrm flipH="1">
          <a:off x="3076209" y="39089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204</xdr:row>
      <xdr:rowOff>25749</xdr:rowOff>
    </xdr:from>
    <xdr:to>
      <xdr:col>3</xdr:col>
      <xdr:colOff>472128</xdr:colOff>
      <xdr:row>205</xdr:row>
      <xdr:rowOff>36635</xdr:rowOff>
    </xdr:to>
    <xdr:cxnSp macro="">
      <xdr:nvCxnSpPr>
        <xdr:cNvPr id="192" name="Straight Connector 191"/>
        <xdr:cNvCxnSpPr/>
      </xdr:nvCxnSpPr>
      <xdr:spPr>
        <a:xfrm>
          <a:off x="3235569" y="39078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194</xdr:row>
      <xdr:rowOff>89297</xdr:rowOff>
    </xdr:from>
    <xdr:to>
      <xdr:col>3</xdr:col>
      <xdr:colOff>178594</xdr:colOff>
      <xdr:row>195</xdr:row>
      <xdr:rowOff>59531</xdr:rowOff>
    </xdr:to>
    <xdr:cxnSp macro="">
      <xdr:nvCxnSpPr>
        <xdr:cNvPr id="193" name="Straight Connector 192"/>
        <xdr:cNvCxnSpPr/>
      </xdr:nvCxnSpPr>
      <xdr:spPr>
        <a:xfrm>
          <a:off x="2840831" y="37236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194</xdr:row>
      <xdr:rowOff>35719</xdr:rowOff>
    </xdr:from>
    <xdr:to>
      <xdr:col>3</xdr:col>
      <xdr:colOff>285750</xdr:colOff>
      <xdr:row>194</xdr:row>
      <xdr:rowOff>154781</xdr:rowOff>
    </xdr:to>
    <xdr:cxnSp macro="">
      <xdr:nvCxnSpPr>
        <xdr:cNvPr id="194" name="Straight Connector 193"/>
        <xdr:cNvCxnSpPr/>
      </xdr:nvCxnSpPr>
      <xdr:spPr>
        <a:xfrm>
          <a:off x="2876550" y="37183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194</xdr:row>
      <xdr:rowOff>44824</xdr:rowOff>
    </xdr:from>
    <xdr:to>
      <xdr:col>3</xdr:col>
      <xdr:colOff>67235</xdr:colOff>
      <xdr:row>196</xdr:row>
      <xdr:rowOff>156883</xdr:rowOff>
    </xdr:to>
    <xdr:cxnSp macro="">
      <xdr:nvCxnSpPr>
        <xdr:cNvPr id="195" name="Straight Connector 194"/>
        <xdr:cNvCxnSpPr/>
      </xdr:nvCxnSpPr>
      <xdr:spPr>
        <a:xfrm>
          <a:off x="2848535" y="37192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196</xdr:row>
      <xdr:rowOff>166690</xdr:rowOff>
    </xdr:from>
    <xdr:to>
      <xdr:col>4</xdr:col>
      <xdr:colOff>29308</xdr:colOff>
      <xdr:row>196</xdr:row>
      <xdr:rowOff>168519</xdr:rowOff>
    </xdr:to>
    <xdr:cxnSp macro="">
      <xdr:nvCxnSpPr>
        <xdr:cNvPr id="196" name="Straight Connector 195"/>
        <xdr:cNvCxnSpPr/>
      </xdr:nvCxnSpPr>
      <xdr:spPr>
        <a:xfrm>
          <a:off x="2840831" y="37695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194</xdr:row>
      <xdr:rowOff>41673</xdr:rowOff>
    </xdr:from>
    <xdr:to>
      <xdr:col>4</xdr:col>
      <xdr:colOff>12211</xdr:colOff>
      <xdr:row>197</xdr:row>
      <xdr:rowOff>0</xdr:rowOff>
    </xdr:to>
    <xdr:cxnSp macro="">
      <xdr:nvCxnSpPr>
        <xdr:cNvPr id="197" name="Straight Connector 196"/>
        <xdr:cNvCxnSpPr/>
      </xdr:nvCxnSpPr>
      <xdr:spPr>
        <a:xfrm flipH="1" flipV="1">
          <a:off x="3495675" y="37189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194</xdr:row>
      <xdr:rowOff>32918</xdr:rowOff>
    </xdr:from>
    <xdr:to>
      <xdr:col>4</xdr:col>
      <xdr:colOff>17861</xdr:colOff>
      <xdr:row>194</xdr:row>
      <xdr:rowOff>35719</xdr:rowOff>
    </xdr:to>
    <xdr:cxnSp macro="">
      <xdr:nvCxnSpPr>
        <xdr:cNvPr id="198" name="Straight Connector 197"/>
        <xdr:cNvCxnSpPr/>
      </xdr:nvCxnSpPr>
      <xdr:spPr>
        <a:xfrm flipH="1">
          <a:off x="2840831" y="37180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208</xdr:row>
      <xdr:rowOff>297027</xdr:rowOff>
    </xdr:from>
    <xdr:to>
      <xdr:col>3</xdr:col>
      <xdr:colOff>392907</xdr:colOff>
      <xdr:row>212</xdr:row>
      <xdr:rowOff>154781</xdr:rowOff>
    </xdr:to>
    <xdr:cxnSp macro="">
      <xdr:nvCxnSpPr>
        <xdr:cNvPr id="199" name="Straight Connector 198"/>
        <xdr:cNvCxnSpPr/>
      </xdr:nvCxnSpPr>
      <xdr:spPr>
        <a:xfrm>
          <a:off x="3166381" y="40006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212</xdr:row>
      <xdr:rowOff>142875</xdr:rowOff>
    </xdr:from>
    <xdr:to>
      <xdr:col>4</xdr:col>
      <xdr:colOff>11908</xdr:colOff>
      <xdr:row>212</xdr:row>
      <xdr:rowOff>154782</xdr:rowOff>
    </xdr:to>
    <xdr:cxnSp macro="">
      <xdr:nvCxnSpPr>
        <xdr:cNvPr id="200" name="Straight Connector 199"/>
        <xdr:cNvCxnSpPr/>
      </xdr:nvCxnSpPr>
      <xdr:spPr>
        <a:xfrm flipH="1" flipV="1">
          <a:off x="3150395" y="40719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208</xdr:row>
      <xdr:rowOff>305147</xdr:rowOff>
    </xdr:from>
    <xdr:to>
      <xdr:col>3</xdr:col>
      <xdr:colOff>130969</xdr:colOff>
      <xdr:row>210</xdr:row>
      <xdr:rowOff>11906</xdr:rowOff>
    </xdr:to>
    <xdr:cxnSp macro="">
      <xdr:nvCxnSpPr>
        <xdr:cNvPr id="201" name="Straight Arrow Connector 200"/>
        <xdr:cNvCxnSpPr/>
      </xdr:nvCxnSpPr>
      <xdr:spPr>
        <a:xfrm flipH="1" flipV="1">
          <a:off x="2904995" y="40005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211</xdr:row>
      <xdr:rowOff>11907</xdr:rowOff>
    </xdr:from>
    <xdr:to>
      <xdr:col>3</xdr:col>
      <xdr:colOff>130969</xdr:colOff>
      <xdr:row>212</xdr:row>
      <xdr:rowOff>154782</xdr:rowOff>
    </xdr:to>
    <xdr:cxnSp macro="">
      <xdr:nvCxnSpPr>
        <xdr:cNvPr id="202" name="Straight Arrow Connector 201"/>
        <xdr:cNvCxnSpPr/>
      </xdr:nvCxnSpPr>
      <xdr:spPr>
        <a:xfrm>
          <a:off x="2912269" y="40397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215</xdr:row>
      <xdr:rowOff>89297</xdr:rowOff>
    </xdr:from>
    <xdr:to>
      <xdr:col>3</xdr:col>
      <xdr:colOff>178594</xdr:colOff>
      <xdr:row>216</xdr:row>
      <xdr:rowOff>59531</xdr:rowOff>
    </xdr:to>
    <xdr:cxnSp macro="">
      <xdr:nvCxnSpPr>
        <xdr:cNvPr id="203" name="Straight Connector 202"/>
        <xdr:cNvCxnSpPr/>
      </xdr:nvCxnSpPr>
      <xdr:spPr>
        <a:xfrm>
          <a:off x="2840831" y="41237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215</xdr:row>
      <xdr:rowOff>35719</xdr:rowOff>
    </xdr:from>
    <xdr:to>
      <xdr:col>3</xdr:col>
      <xdr:colOff>285750</xdr:colOff>
      <xdr:row>215</xdr:row>
      <xdr:rowOff>154781</xdr:rowOff>
    </xdr:to>
    <xdr:cxnSp macro="">
      <xdr:nvCxnSpPr>
        <xdr:cNvPr id="204" name="Straight Connector 203"/>
        <xdr:cNvCxnSpPr/>
      </xdr:nvCxnSpPr>
      <xdr:spPr>
        <a:xfrm>
          <a:off x="2876550" y="41183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224</xdr:row>
      <xdr:rowOff>124558</xdr:rowOff>
    </xdr:from>
    <xdr:to>
      <xdr:col>3</xdr:col>
      <xdr:colOff>381000</xdr:colOff>
      <xdr:row>227</xdr:row>
      <xdr:rowOff>124558</xdr:rowOff>
    </xdr:to>
    <xdr:cxnSp macro="">
      <xdr:nvCxnSpPr>
        <xdr:cNvPr id="205" name="Straight Connector 204"/>
        <xdr:cNvCxnSpPr/>
      </xdr:nvCxnSpPr>
      <xdr:spPr>
        <a:xfrm flipH="1">
          <a:off x="2713986" y="429870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224</xdr:row>
      <xdr:rowOff>139212</xdr:rowOff>
    </xdr:from>
    <xdr:to>
      <xdr:col>4</xdr:col>
      <xdr:colOff>116773</xdr:colOff>
      <xdr:row>227</xdr:row>
      <xdr:rowOff>117231</xdr:rowOff>
    </xdr:to>
    <xdr:cxnSp macro="">
      <xdr:nvCxnSpPr>
        <xdr:cNvPr id="206" name="Straight Connector 205"/>
        <xdr:cNvCxnSpPr/>
      </xdr:nvCxnSpPr>
      <xdr:spPr>
        <a:xfrm>
          <a:off x="3162300" y="430017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227</xdr:row>
      <xdr:rowOff>118956</xdr:rowOff>
    </xdr:from>
    <xdr:to>
      <xdr:col>4</xdr:col>
      <xdr:colOff>134902</xdr:colOff>
      <xdr:row>227</xdr:row>
      <xdr:rowOff>118956</xdr:rowOff>
    </xdr:to>
    <xdr:cxnSp macro="">
      <xdr:nvCxnSpPr>
        <xdr:cNvPr id="207" name="Straight Connector 206"/>
        <xdr:cNvCxnSpPr/>
      </xdr:nvCxnSpPr>
      <xdr:spPr>
        <a:xfrm>
          <a:off x="2706955" y="435529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225</xdr:row>
      <xdr:rowOff>36635</xdr:rowOff>
    </xdr:from>
    <xdr:to>
      <xdr:col>3</xdr:col>
      <xdr:colOff>300404</xdr:colOff>
      <xdr:row>226</xdr:row>
      <xdr:rowOff>45337</xdr:rowOff>
    </xdr:to>
    <xdr:cxnSp macro="">
      <xdr:nvCxnSpPr>
        <xdr:cNvPr id="208" name="Straight Connector 207"/>
        <xdr:cNvCxnSpPr/>
      </xdr:nvCxnSpPr>
      <xdr:spPr>
        <a:xfrm flipH="1">
          <a:off x="3076209" y="430896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225</xdr:row>
      <xdr:rowOff>25749</xdr:rowOff>
    </xdr:from>
    <xdr:to>
      <xdr:col>3</xdr:col>
      <xdr:colOff>472128</xdr:colOff>
      <xdr:row>226</xdr:row>
      <xdr:rowOff>36635</xdr:rowOff>
    </xdr:to>
    <xdr:cxnSp macro="">
      <xdr:nvCxnSpPr>
        <xdr:cNvPr id="209" name="Straight Connector 208"/>
        <xdr:cNvCxnSpPr/>
      </xdr:nvCxnSpPr>
      <xdr:spPr>
        <a:xfrm>
          <a:off x="3235569" y="430787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215</xdr:row>
      <xdr:rowOff>44824</xdr:rowOff>
    </xdr:from>
    <xdr:to>
      <xdr:col>3</xdr:col>
      <xdr:colOff>67235</xdr:colOff>
      <xdr:row>217</xdr:row>
      <xdr:rowOff>156883</xdr:rowOff>
    </xdr:to>
    <xdr:cxnSp macro="">
      <xdr:nvCxnSpPr>
        <xdr:cNvPr id="210" name="Straight Connector 209"/>
        <xdr:cNvCxnSpPr/>
      </xdr:nvCxnSpPr>
      <xdr:spPr>
        <a:xfrm>
          <a:off x="2848535" y="41192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217</xdr:row>
      <xdr:rowOff>166690</xdr:rowOff>
    </xdr:from>
    <xdr:to>
      <xdr:col>4</xdr:col>
      <xdr:colOff>29308</xdr:colOff>
      <xdr:row>217</xdr:row>
      <xdr:rowOff>168519</xdr:rowOff>
    </xdr:to>
    <xdr:cxnSp macro="">
      <xdr:nvCxnSpPr>
        <xdr:cNvPr id="211" name="Straight Connector 210"/>
        <xdr:cNvCxnSpPr/>
      </xdr:nvCxnSpPr>
      <xdr:spPr>
        <a:xfrm>
          <a:off x="2840831" y="41695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215</xdr:row>
      <xdr:rowOff>41673</xdr:rowOff>
    </xdr:from>
    <xdr:to>
      <xdr:col>4</xdr:col>
      <xdr:colOff>12211</xdr:colOff>
      <xdr:row>218</xdr:row>
      <xdr:rowOff>0</xdr:rowOff>
    </xdr:to>
    <xdr:cxnSp macro="">
      <xdr:nvCxnSpPr>
        <xdr:cNvPr id="212" name="Straight Connector 211"/>
        <xdr:cNvCxnSpPr/>
      </xdr:nvCxnSpPr>
      <xdr:spPr>
        <a:xfrm flipH="1" flipV="1">
          <a:off x="3495675" y="41189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215</xdr:row>
      <xdr:rowOff>32918</xdr:rowOff>
    </xdr:from>
    <xdr:to>
      <xdr:col>4</xdr:col>
      <xdr:colOff>17861</xdr:colOff>
      <xdr:row>215</xdr:row>
      <xdr:rowOff>35719</xdr:rowOff>
    </xdr:to>
    <xdr:cxnSp macro="">
      <xdr:nvCxnSpPr>
        <xdr:cNvPr id="213" name="Straight Connector 212"/>
        <xdr:cNvCxnSpPr/>
      </xdr:nvCxnSpPr>
      <xdr:spPr>
        <a:xfrm flipH="1">
          <a:off x="2840831" y="41180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220</xdr:row>
      <xdr:rowOff>89297</xdr:rowOff>
    </xdr:from>
    <xdr:to>
      <xdr:col>3</xdr:col>
      <xdr:colOff>178594</xdr:colOff>
      <xdr:row>221</xdr:row>
      <xdr:rowOff>59531</xdr:rowOff>
    </xdr:to>
    <xdr:cxnSp macro="">
      <xdr:nvCxnSpPr>
        <xdr:cNvPr id="214" name="Straight Connector 213"/>
        <xdr:cNvCxnSpPr/>
      </xdr:nvCxnSpPr>
      <xdr:spPr>
        <a:xfrm>
          <a:off x="2840831" y="42189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220</xdr:row>
      <xdr:rowOff>35719</xdr:rowOff>
    </xdr:from>
    <xdr:to>
      <xdr:col>3</xdr:col>
      <xdr:colOff>285750</xdr:colOff>
      <xdr:row>220</xdr:row>
      <xdr:rowOff>154781</xdr:rowOff>
    </xdr:to>
    <xdr:cxnSp macro="">
      <xdr:nvCxnSpPr>
        <xdr:cNvPr id="215" name="Straight Connector 214"/>
        <xdr:cNvCxnSpPr/>
      </xdr:nvCxnSpPr>
      <xdr:spPr>
        <a:xfrm>
          <a:off x="2876550" y="42136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220</xdr:row>
      <xdr:rowOff>44824</xdr:rowOff>
    </xdr:from>
    <xdr:to>
      <xdr:col>3</xdr:col>
      <xdr:colOff>67235</xdr:colOff>
      <xdr:row>222</xdr:row>
      <xdr:rowOff>156883</xdr:rowOff>
    </xdr:to>
    <xdr:cxnSp macro="">
      <xdr:nvCxnSpPr>
        <xdr:cNvPr id="216" name="Straight Connector 215"/>
        <xdr:cNvCxnSpPr/>
      </xdr:nvCxnSpPr>
      <xdr:spPr>
        <a:xfrm>
          <a:off x="2848535" y="42145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222</xdr:row>
      <xdr:rowOff>166690</xdr:rowOff>
    </xdr:from>
    <xdr:to>
      <xdr:col>4</xdr:col>
      <xdr:colOff>29308</xdr:colOff>
      <xdr:row>222</xdr:row>
      <xdr:rowOff>168519</xdr:rowOff>
    </xdr:to>
    <xdr:cxnSp macro="">
      <xdr:nvCxnSpPr>
        <xdr:cNvPr id="217" name="Straight Connector 216"/>
        <xdr:cNvCxnSpPr/>
      </xdr:nvCxnSpPr>
      <xdr:spPr>
        <a:xfrm>
          <a:off x="2840831" y="42648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220</xdr:row>
      <xdr:rowOff>41673</xdr:rowOff>
    </xdr:from>
    <xdr:to>
      <xdr:col>4</xdr:col>
      <xdr:colOff>12211</xdr:colOff>
      <xdr:row>223</xdr:row>
      <xdr:rowOff>0</xdr:rowOff>
    </xdr:to>
    <xdr:cxnSp macro="">
      <xdr:nvCxnSpPr>
        <xdr:cNvPr id="218" name="Straight Connector 217"/>
        <xdr:cNvCxnSpPr/>
      </xdr:nvCxnSpPr>
      <xdr:spPr>
        <a:xfrm flipH="1" flipV="1">
          <a:off x="3495675" y="42142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220</xdr:row>
      <xdr:rowOff>32918</xdr:rowOff>
    </xdr:from>
    <xdr:to>
      <xdr:col>4</xdr:col>
      <xdr:colOff>17861</xdr:colOff>
      <xdr:row>220</xdr:row>
      <xdr:rowOff>35719</xdr:rowOff>
    </xdr:to>
    <xdr:cxnSp macro="">
      <xdr:nvCxnSpPr>
        <xdr:cNvPr id="219" name="Straight Connector 218"/>
        <xdr:cNvCxnSpPr/>
      </xdr:nvCxnSpPr>
      <xdr:spPr>
        <a:xfrm flipH="1">
          <a:off x="2840831" y="42133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647061</xdr:colOff>
      <xdr:row>229</xdr:row>
      <xdr:rowOff>124558</xdr:rowOff>
    </xdr:from>
    <xdr:to>
      <xdr:col>3</xdr:col>
      <xdr:colOff>381000</xdr:colOff>
      <xdr:row>232</xdr:row>
      <xdr:rowOff>124558</xdr:rowOff>
    </xdr:to>
    <xdr:cxnSp macro="">
      <xdr:nvCxnSpPr>
        <xdr:cNvPr id="220" name="Straight Connector 219"/>
        <xdr:cNvCxnSpPr/>
      </xdr:nvCxnSpPr>
      <xdr:spPr>
        <a:xfrm flipH="1">
          <a:off x="2713986" y="43939558"/>
          <a:ext cx="448314" cy="57150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229</xdr:row>
      <xdr:rowOff>139212</xdr:rowOff>
    </xdr:from>
    <xdr:to>
      <xdr:col>4</xdr:col>
      <xdr:colOff>116773</xdr:colOff>
      <xdr:row>232</xdr:row>
      <xdr:rowOff>117231</xdr:rowOff>
    </xdr:to>
    <xdr:cxnSp macro="">
      <xdr:nvCxnSpPr>
        <xdr:cNvPr id="221" name="Straight Connector 220"/>
        <xdr:cNvCxnSpPr/>
      </xdr:nvCxnSpPr>
      <xdr:spPr>
        <a:xfrm>
          <a:off x="3162300" y="43954212"/>
          <a:ext cx="450148" cy="549519"/>
        </a:xfrm>
        <a:prstGeom prst="line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640030</xdr:colOff>
      <xdr:row>232</xdr:row>
      <xdr:rowOff>118956</xdr:rowOff>
    </xdr:from>
    <xdr:to>
      <xdr:col>4</xdr:col>
      <xdr:colOff>134902</xdr:colOff>
      <xdr:row>232</xdr:row>
      <xdr:rowOff>118956</xdr:rowOff>
    </xdr:to>
    <xdr:cxnSp macro="">
      <xdr:nvCxnSpPr>
        <xdr:cNvPr id="222" name="Straight Connector 221"/>
        <xdr:cNvCxnSpPr/>
      </xdr:nvCxnSpPr>
      <xdr:spPr>
        <a:xfrm>
          <a:off x="2706955" y="44505456"/>
          <a:ext cx="923622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294909</xdr:colOff>
      <xdr:row>230</xdr:row>
      <xdr:rowOff>36635</xdr:rowOff>
    </xdr:from>
    <xdr:to>
      <xdr:col>3</xdr:col>
      <xdr:colOff>300404</xdr:colOff>
      <xdr:row>231</xdr:row>
      <xdr:rowOff>45337</xdr:rowOff>
    </xdr:to>
    <xdr:cxnSp macro="">
      <xdr:nvCxnSpPr>
        <xdr:cNvPr id="223" name="Straight Connector 222"/>
        <xdr:cNvCxnSpPr/>
      </xdr:nvCxnSpPr>
      <xdr:spPr>
        <a:xfrm flipH="1">
          <a:off x="3076209" y="44042135"/>
          <a:ext cx="5495" cy="19920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454269</xdr:colOff>
      <xdr:row>230</xdr:row>
      <xdr:rowOff>25749</xdr:rowOff>
    </xdr:from>
    <xdr:to>
      <xdr:col>3</xdr:col>
      <xdr:colOff>472128</xdr:colOff>
      <xdr:row>231</xdr:row>
      <xdr:rowOff>36635</xdr:rowOff>
    </xdr:to>
    <xdr:cxnSp macro="">
      <xdr:nvCxnSpPr>
        <xdr:cNvPr id="224" name="Straight Connector 223"/>
        <xdr:cNvCxnSpPr/>
      </xdr:nvCxnSpPr>
      <xdr:spPr>
        <a:xfrm>
          <a:off x="3235569" y="44031249"/>
          <a:ext cx="17859" cy="20138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176</xdr:row>
      <xdr:rowOff>305147</xdr:rowOff>
    </xdr:from>
    <xdr:to>
      <xdr:col>3</xdr:col>
      <xdr:colOff>130969</xdr:colOff>
      <xdr:row>178</xdr:row>
      <xdr:rowOff>11906</xdr:rowOff>
    </xdr:to>
    <xdr:cxnSp macro="">
      <xdr:nvCxnSpPr>
        <xdr:cNvPr id="225" name="Straight Arrow Connector 224"/>
        <xdr:cNvCxnSpPr/>
      </xdr:nvCxnSpPr>
      <xdr:spPr>
        <a:xfrm flipH="1" flipV="1">
          <a:off x="2904995" y="3390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145</xdr:row>
      <xdr:rowOff>305147</xdr:rowOff>
    </xdr:from>
    <xdr:to>
      <xdr:col>3</xdr:col>
      <xdr:colOff>130969</xdr:colOff>
      <xdr:row>147</xdr:row>
      <xdr:rowOff>11906</xdr:rowOff>
    </xdr:to>
    <xdr:cxnSp macro="">
      <xdr:nvCxnSpPr>
        <xdr:cNvPr id="226" name="Straight Arrow Connector 225"/>
        <xdr:cNvCxnSpPr/>
      </xdr:nvCxnSpPr>
      <xdr:spPr>
        <a:xfrm flipH="1" flipV="1">
          <a:off x="2904995" y="280038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114</xdr:row>
      <xdr:rowOff>305147</xdr:rowOff>
    </xdr:from>
    <xdr:to>
      <xdr:col>3</xdr:col>
      <xdr:colOff>130969</xdr:colOff>
      <xdr:row>116</xdr:row>
      <xdr:rowOff>11906</xdr:rowOff>
    </xdr:to>
    <xdr:cxnSp macro="">
      <xdr:nvCxnSpPr>
        <xdr:cNvPr id="227" name="Straight Arrow Connector 226"/>
        <xdr:cNvCxnSpPr/>
      </xdr:nvCxnSpPr>
      <xdr:spPr>
        <a:xfrm flipH="1" flipV="1">
          <a:off x="2904995" y="2209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228" name="Straight Arrow Connector 227"/>
        <xdr:cNvCxnSpPr/>
      </xdr:nvCxnSpPr>
      <xdr:spPr>
        <a:xfrm flipH="1" flipV="1">
          <a:off x="2904995" y="1124297"/>
          <a:ext cx="7274" cy="22110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</xdr:row>
      <xdr:rowOff>305147</xdr:rowOff>
    </xdr:from>
    <xdr:to>
      <xdr:col>3</xdr:col>
      <xdr:colOff>130969</xdr:colOff>
      <xdr:row>6</xdr:row>
      <xdr:rowOff>11906</xdr:rowOff>
    </xdr:to>
    <xdr:cxnSp macro="">
      <xdr:nvCxnSpPr>
        <xdr:cNvPr id="229" name="Straight Arrow Connector 228"/>
        <xdr:cNvCxnSpPr/>
      </xdr:nvCxnSpPr>
      <xdr:spPr>
        <a:xfrm flipH="1" flipV="1">
          <a:off x="2904995" y="1124297"/>
          <a:ext cx="7274" cy="22110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30</xdr:row>
      <xdr:rowOff>305147</xdr:rowOff>
    </xdr:from>
    <xdr:to>
      <xdr:col>3</xdr:col>
      <xdr:colOff>130969</xdr:colOff>
      <xdr:row>32</xdr:row>
      <xdr:rowOff>11906</xdr:rowOff>
    </xdr:to>
    <xdr:cxnSp macro="">
      <xdr:nvCxnSpPr>
        <xdr:cNvPr id="230" name="Straight Arrow Connector 229"/>
        <xdr:cNvCxnSpPr/>
      </xdr:nvCxnSpPr>
      <xdr:spPr>
        <a:xfrm flipH="1" flipV="1">
          <a:off x="2904995" y="6096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56</xdr:row>
      <xdr:rowOff>305147</xdr:rowOff>
    </xdr:from>
    <xdr:to>
      <xdr:col>3</xdr:col>
      <xdr:colOff>130969</xdr:colOff>
      <xdr:row>58</xdr:row>
      <xdr:rowOff>11906</xdr:rowOff>
    </xdr:to>
    <xdr:cxnSp macro="">
      <xdr:nvCxnSpPr>
        <xdr:cNvPr id="231" name="Straight Arrow Connector 230"/>
        <xdr:cNvCxnSpPr/>
      </xdr:nvCxnSpPr>
      <xdr:spPr>
        <a:xfrm flipH="1" flipV="1">
          <a:off x="2904995" y="11049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82</xdr:row>
      <xdr:rowOff>305147</xdr:rowOff>
    </xdr:from>
    <xdr:to>
      <xdr:col>3</xdr:col>
      <xdr:colOff>130969</xdr:colOff>
      <xdr:row>84</xdr:row>
      <xdr:rowOff>11906</xdr:rowOff>
    </xdr:to>
    <xdr:cxnSp macro="">
      <xdr:nvCxnSpPr>
        <xdr:cNvPr id="232" name="Straight Arrow Connector 231"/>
        <xdr:cNvCxnSpPr/>
      </xdr:nvCxnSpPr>
      <xdr:spPr>
        <a:xfrm flipH="1" flipV="1">
          <a:off x="2904995" y="16002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234</xdr:row>
      <xdr:rowOff>297027</xdr:rowOff>
    </xdr:from>
    <xdr:to>
      <xdr:col>3</xdr:col>
      <xdr:colOff>392907</xdr:colOff>
      <xdr:row>238</xdr:row>
      <xdr:rowOff>154781</xdr:rowOff>
    </xdr:to>
    <xdr:cxnSp macro="">
      <xdr:nvCxnSpPr>
        <xdr:cNvPr id="233" name="Straight Connector 232"/>
        <xdr:cNvCxnSpPr/>
      </xdr:nvCxnSpPr>
      <xdr:spPr>
        <a:xfrm>
          <a:off x="3166381" y="4495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238</xdr:row>
      <xdr:rowOff>142875</xdr:rowOff>
    </xdr:from>
    <xdr:to>
      <xdr:col>4</xdr:col>
      <xdr:colOff>11908</xdr:colOff>
      <xdr:row>238</xdr:row>
      <xdr:rowOff>154782</xdr:rowOff>
    </xdr:to>
    <xdr:cxnSp macro="">
      <xdr:nvCxnSpPr>
        <xdr:cNvPr id="234" name="Straight Connector 233"/>
        <xdr:cNvCxnSpPr/>
      </xdr:nvCxnSpPr>
      <xdr:spPr>
        <a:xfrm flipH="1" flipV="1">
          <a:off x="3150395" y="45672375"/>
          <a:ext cx="357188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234</xdr:row>
      <xdr:rowOff>305147</xdr:rowOff>
    </xdr:from>
    <xdr:to>
      <xdr:col>3</xdr:col>
      <xdr:colOff>130969</xdr:colOff>
      <xdr:row>236</xdr:row>
      <xdr:rowOff>11906</xdr:rowOff>
    </xdr:to>
    <xdr:cxnSp macro="">
      <xdr:nvCxnSpPr>
        <xdr:cNvPr id="235" name="Straight Arrow Connector 234"/>
        <xdr:cNvCxnSpPr/>
      </xdr:nvCxnSpPr>
      <xdr:spPr>
        <a:xfrm flipH="1" flipV="1">
          <a:off x="2904995" y="4495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237</xdr:row>
      <xdr:rowOff>11907</xdr:rowOff>
    </xdr:from>
    <xdr:to>
      <xdr:col>3</xdr:col>
      <xdr:colOff>130969</xdr:colOff>
      <xdr:row>238</xdr:row>
      <xdr:rowOff>154782</xdr:rowOff>
    </xdr:to>
    <xdr:cxnSp macro="">
      <xdr:nvCxnSpPr>
        <xdr:cNvPr id="236" name="Straight Arrow Connector 235"/>
        <xdr:cNvCxnSpPr/>
      </xdr:nvCxnSpPr>
      <xdr:spPr>
        <a:xfrm>
          <a:off x="2912269" y="4535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241</xdr:row>
      <xdr:rowOff>89297</xdr:rowOff>
    </xdr:from>
    <xdr:to>
      <xdr:col>3</xdr:col>
      <xdr:colOff>178594</xdr:colOff>
      <xdr:row>242</xdr:row>
      <xdr:rowOff>59531</xdr:rowOff>
    </xdr:to>
    <xdr:cxnSp macro="">
      <xdr:nvCxnSpPr>
        <xdr:cNvPr id="237" name="Straight Connector 236"/>
        <xdr:cNvCxnSpPr/>
      </xdr:nvCxnSpPr>
      <xdr:spPr>
        <a:xfrm>
          <a:off x="2840831" y="4619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241</xdr:row>
      <xdr:rowOff>35719</xdr:rowOff>
    </xdr:from>
    <xdr:to>
      <xdr:col>3</xdr:col>
      <xdr:colOff>285750</xdr:colOff>
      <xdr:row>241</xdr:row>
      <xdr:rowOff>154781</xdr:rowOff>
    </xdr:to>
    <xdr:cxnSp macro="">
      <xdr:nvCxnSpPr>
        <xdr:cNvPr id="238" name="Straight Connector 237"/>
        <xdr:cNvCxnSpPr/>
      </xdr:nvCxnSpPr>
      <xdr:spPr>
        <a:xfrm>
          <a:off x="2876550" y="4613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241</xdr:row>
      <xdr:rowOff>44824</xdr:rowOff>
    </xdr:from>
    <xdr:to>
      <xdr:col>3</xdr:col>
      <xdr:colOff>67235</xdr:colOff>
      <xdr:row>243</xdr:row>
      <xdr:rowOff>156883</xdr:rowOff>
    </xdr:to>
    <xdr:cxnSp macro="">
      <xdr:nvCxnSpPr>
        <xdr:cNvPr id="244" name="Straight Connector 243"/>
        <xdr:cNvCxnSpPr/>
      </xdr:nvCxnSpPr>
      <xdr:spPr>
        <a:xfrm>
          <a:off x="2848535" y="4614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243</xdr:row>
      <xdr:rowOff>166690</xdr:rowOff>
    </xdr:from>
    <xdr:to>
      <xdr:col>4</xdr:col>
      <xdr:colOff>29308</xdr:colOff>
      <xdr:row>243</xdr:row>
      <xdr:rowOff>168519</xdr:rowOff>
    </xdr:to>
    <xdr:cxnSp macro="">
      <xdr:nvCxnSpPr>
        <xdr:cNvPr id="245" name="Straight Connector 244"/>
        <xdr:cNvCxnSpPr/>
      </xdr:nvCxnSpPr>
      <xdr:spPr>
        <a:xfrm>
          <a:off x="2840831" y="466486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241</xdr:row>
      <xdr:rowOff>41673</xdr:rowOff>
    </xdr:from>
    <xdr:to>
      <xdr:col>4</xdr:col>
      <xdr:colOff>12211</xdr:colOff>
      <xdr:row>244</xdr:row>
      <xdr:rowOff>0</xdr:rowOff>
    </xdr:to>
    <xdr:cxnSp macro="">
      <xdr:nvCxnSpPr>
        <xdr:cNvPr id="246" name="Straight Connector 245"/>
        <xdr:cNvCxnSpPr/>
      </xdr:nvCxnSpPr>
      <xdr:spPr>
        <a:xfrm flipH="1" flipV="1">
          <a:off x="3495675" y="4614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241</xdr:row>
      <xdr:rowOff>32918</xdr:rowOff>
    </xdr:from>
    <xdr:to>
      <xdr:col>4</xdr:col>
      <xdr:colOff>17861</xdr:colOff>
      <xdr:row>241</xdr:row>
      <xdr:rowOff>35719</xdr:rowOff>
    </xdr:to>
    <xdr:cxnSp macro="">
      <xdr:nvCxnSpPr>
        <xdr:cNvPr id="247" name="Straight Connector 246"/>
        <xdr:cNvCxnSpPr/>
      </xdr:nvCxnSpPr>
      <xdr:spPr>
        <a:xfrm flipH="1">
          <a:off x="2840831" y="461339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251</xdr:row>
      <xdr:rowOff>89297</xdr:rowOff>
    </xdr:from>
    <xdr:to>
      <xdr:col>3</xdr:col>
      <xdr:colOff>178594</xdr:colOff>
      <xdr:row>252</xdr:row>
      <xdr:rowOff>59531</xdr:rowOff>
    </xdr:to>
    <xdr:cxnSp macro="">
      <xdr:nvCxnSpPr>
        <xdr:cNvPr id="248" name="Straight Connector 247"/>
        <xdr:cNvCxnSpPr/>
      </xdr:nvCxnSpPr>
      <xdr:spPr>
        <a:xfrm>
          <a:off x="2840831" y="4714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251</xdr:row>
      <xdr:rowOff>35719</xdr:rowOff>
    </xdr:from>
    <xdr:to>
      <xdr:col>3</xdr:col>
      <xdr:colOff>285750</xdr:colOff>
      <xdr:row>251</xdr:row>
      <xdr:rowOff>154781</xdr:rowOff>
    </xdr:to>
    <xdr:cxnSp macro="">
      <xdr:nvCxnSpPr>
        <xdr:cNvPr id="249" name="Straight Connector 248"/>
        <xdr:cNvCxnSpPr/>
      </xdr:nvCxnSpPr>
      <xdr:spPr>
        <a:xfrm>
          <a:off x="2876550" y="4708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251</xdr:row>
      <xdr:rowOff>44824</xdr:rowOff>
    </xdr:from>
    <xdr:to>
      <xdr:col>3</xdr:col>
      <xdr:colOff>67235</xdr:colOff>
      <xdr:row>253</xdr:row>
      <xdr:rowOff>156883</xdr:rowOff>
    </xdr:to>
    <xdr:cxnSp macro="">
      <xdr:nvCxnSpPr>
        <xdr:cNvPr id="250" name="Straight Connector 249"/>
        <xdr:cNvCxnSpPr/>
      </xdr:nvCxnSpPr>
      <xdr:spPr>
        <a:xfrm>
          <a:off x="2848535" y="4709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253</xdr:row>
      <xdr:rowOff>166690</xdr:rowOff>
    </xdr:from>
    <xdr:to>
      <xdr:col>4</xdr:col>
      <xdr:colOff>29308</xdr:colOff>
      <xdr:row>253</xdr:row>
      <xdr:rowOff>168519</xdr:rowOff>
    </xdr:to>
    <xdr:cxnSp macro="">
      <xdr:nvCxnSpPr>
        <xdr:cNvPr id="251" name="Straight Connector 250"/>
        <xdr:cNvCxnSpPr/>
      </xdr:nvCxnSpPr>
      <xdr:spPr>
        <a:xfrm>
          <a:off x="2840831" y="47601190"/>
          <a:ext cx="684152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251</xdr:row>
      <xdr:rowOff>41673</xdr:rowOff>
    </xdr:from>
    <xdr:to>
      <xdr:col>4</xdr:col>
      <xdr:colOff>12211</xdr:colOff>
      <xdr:row>254</xdr:row>
      <xdr:rowOff>0</xdr:rowOff>
    </xdr:to>
    <xdr:cxnSp macro="">
      <xdr:nvCxnSpPr>
        <xdr:cNvPr id="252" name="Straight Connector 251"/>
        <xdr:cNvCxnSpPr/>
      </xdr:nvCxnSpPr>
      <xdr:spPr>
        <a:xfrm flipH="1" flipV="1">
          <a:off x="3495675" y="4709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251</xdr:row>
      <xdr:rowOff>32918</xdr:rowOff>
    </xdr:from>
    <xdr:to>
      <xdr:col>4</xdr:col>
      <xdr:colOff>17861</xdr:colOff>
      <xdr:row>251</xdr:row>
      <xdr:rowOff>35719</xdr:rowOff>
    </xdr:to>
    <xdr:cxnSp macro="">
      <xdr:nvCxnSpPr>
        <xdr:cNvPr id="253" name="Straight Connector 252"/>
        <xdr:cNvCxnSpPr/>
      </xdr:nvCxnSpPr>
      <xdr:spPr>
        <a:xfrm flipH="1">
          <a:off x="2840831" y="47086418"/>
          <a:ext cx="672705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234</xdr:row>
      <xdr:rowOff>171450</xdr:rowOff>
    </xdr:from>
    <xdr:to>
      <xdr:col>3</xdr:col>
      <xdr:colOff>504825</xdr:colOff>
      <xdr:row>239</xdr:row>
      <xdr:rowOff>47625</xdr:rowOff>
    </xdr:to>
    <xdr:pic>
      <xdr:nvPicPr>
        <xdr:cNvPr id="259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4493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208</xdr:row>
      <xdr:rowOff>171450</xdr:rowOff>
    </xdr:from>
    <xdr:to>
      <xdr:col>3</xdr:col>
      <xdr:colOff>495300</xdr:colOff>
      <xdr:row>213</xdr:row>
      <xdr:rowOff>47625</xdr:rowOff>
    </xdr:to>
    <xdr:pic>
      <xdr:nvPicPr>
        <xdr:cNvPr id="260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9985950"/>
          <a:ext cx="1524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246</xdr:row>
      <xdr:rowOff>89297</xdr:rowOff>
    </xdr:from>
    <xdr:to>
      <xdr:col>3</xdr:col>
      <xdr:colOff>178594</xdr:colOff>
      <xdr:row>247</xdr:row>
      <xdr:rowOff>59531</xdr:rowOff>
    </xdr:to>
    <xdr:cxnSp macro="">
      <xdr:nvCxnSpPr>
        <xdr:cNvPr id="261" name="Straight Connector 260"/>
        <xdr:cNvCxnSpPr/>
      </xdr:nvCxnSpPr>
      <xdr:spPr>
        <a:xfrm>
          <a:off x="2849796" y="4619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246</xdr:row>
      <xdr:rowOff>35719</xdr:rowOff>
    </xdr:from>
    <xdr:to>
      <xdr:col>3</xdr:col>
      <xdr:colOff>285750</xdr:colOff>
      <xdr:row>246</xdr:row>
      <xdr:rowOff>154781</xdr:rowOff>
    </xdr:to>
    <xdr:cxnSp macro="">
      <xdr:nvCxnSpPr>
        <xdr:cNvPr id="262" name="Straight Connector 261"/>
        <xdr:cNvCxnSpPr/>
      </xdr:nvCxnSpPr>
      <xdr:spPr>
        <a:xfrm>
          <a:off x="2885515" y="4613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246</xdr:row>
      <xdr:rowOff>44824</xdr:rowOff>
    </xdr:from>
    <xdr:to>
      <xdr:col>3</xdr:col>
      <xdr:colOff>67235</xdr:colOff>
      <xdr:row>248</xdr:row>
      <xdr:rowOff>156883</xdr:rowOff>
    </xdr:to>
    <xdr:cxnSp macro="">
      <xdr:nvCxnSpPr>
        <xdr:cNvPr id="263" name="Straight Connector 262"/>
        <xdr:cNvCxnSpPr/>
      </xdr:nvCxnSpPr>
      <xdr:spPr>
        <a:xfrm>
          <a:off x="2857500" y="4614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248</xdr:row>
      <xdr:rowOff>166690</xdr:rowOff>
    </xdr:from>
    <xdr:to>
      <xdr:col>4</xdr:col>
      <xdr:colOff>29308</xdr:colOff>
      <xdr:row>248</xdr:row>
      <xdr:rowOff>168519</xdr:rowOff>
    </xdr:to>
    <xdr:cxnSp macro="">
      <xdr:nvCxnSpPr>
        <xdr:cNvPr id="264" name="Straight Connector 263"/>
        <xdr:cNvCxnSpPr/>
      </xdr:nvCxnSpPr>
      <xdr:spPr>
        <a:xfrm>
          <a:off x="2849796" y="4664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246</xdr:row>
      <xdr:rowOff>41673</xdr:rowOff>
    </xdr:from>
    <xdr:to>
      <xdr:col>4</xdr:col>
      <xdr:colOff>12211</xdr:colOff>
      <xdr:row>249</xdr:row>
      <xdr:rowOff>0</xdr:rowOff>
    </xdr:to>
    <xdr:cxnSp macro="">
      <xdr:nvCxnSpPr>
        <xdr:cNvPr id="265" name="Straight Connector 264"/>
        <xdr:cNvCxnSpPr/>
      </xdr:nvCxnSpPr>
      <xdr:spPr>
        <a:xfrm flipH="1" flipV="1">
          <a:off x="3507441" y="4614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246</xdr:row>
      <xdr:rowOff>32918</xdr:rowOff>
    </xdr:from>
    <xdr:to>
      <xdr:col>4</xdr:col>
      <xdr:colOff>17861</xdr:colOff>
      <xdr:row>246</xdr:row>
      <xdr:rowOff>35719</xdr:rowOff>
    </xdr:to>
    <xdr:cxnSp macro="">
      <xdr:nvCxnSpPr>
        <xdr:cNvPr id="266" name="Straight Connector 265"/>
        <xdr:cNvCxnSpPr/>
      </xdr:nvCxnSpPr>
      <xdr:spPr>
        <a:xfrm flipH="1">
          <a:off x="2849796" y="4613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256</xdr:row>
      <xdr:rowOff>89297</xdr:rowOff>
    </xdr:from>
    <xdr:to>
      <xdr:col>3</xdr:col>
      <xdr:colOff>178594</xdr:colOff>
      <xdr:row>257</xdr:row>
      <xdr:rowOff>59531</xdr:rowOff>
    </xdr:to>
    <xdr:cxnSp macro="">
      <xdr:nvCxnSpPr>
        <xdr:cNvPr id="270" name="Straight Connector 269"/>
        <xdr:cNvCxnSpPr/>
      </xdr:nvCxnSpPr>
      <xdr:spPr>
        <a:xfrm>
          <a:off x="2849796" y="4714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256</xdr:row>
      <xdr:rowOff>35719</xdr:rowOff>
    </xdr:from>
    <xdr:to>
      <xdr:col>3</xdr:col>
      <xdr:colOff>285750</xdr:colOff>
      <xdr:row>256</xdr:row>
      <xdr:rowOff>154781</xdr:rowOff>
    </xdr:to>
    <xdr:cxnSp macro="">
      <xdr:nvCxnSpPr>
        <xdr:cNvPr id="271" name="Straight Connector 270"/>
        <xdr:cNvCxnSpPr/>
      </xdr:nvCxnSpPr>
      <xdr:spPr>
        <a:xfrm>
          <a:off x="2885515" y="4708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256</xdr:row>
      <xdr:rowOff>44824</xdr:rowOff>
    </xdr:from>
    <xdr:to>
      <xdr:col>3</xdr:col>
      <xdr:colOff>67235</xdr:colOff>
      <xdr:row>258</xdr:row>
      <xdr:rowOff>156883</xdr:rowOff>
    </xdr:to>
    <xdr:cxnSp macro="">
      <xdr:nvCxnSpPr>
        <xdr:cNvPr id="272" name="Straight Connector 271"/>
        <xdr:cNvCxnSpPr/>
      </xdr:nvCxnSpPr>
      <xdr:spPr>
        <a:xfrm>
          <a:off x="2857500" y="4709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258</xdr:row>
      <xdr:rowOff>166690</xdr:rowOff>
    </xdr:from>
    <xdr:to>
      <xdr:col>4</xdr:col>
      <xdr:colOff>29308</xdr:colOff>
      <xdr:row>258</xdr:row>
      <xdr:rowOff>168519</xdr:rowOff>
    </xdr:to>
    <xdr:cxnSp macro="">
      <xdr:nvCxnSpPr>
        <xdr:cNvPr id="273" name="Straight Connector 272"/>
        <xdr:cNvCxnSpPr/>
      </xdr:nvCxnSpPr>
      <xdr:spPr>
        <a:xfrm>
          <a:off x="2849796" y="4760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256</xdr:row>
      <xdr:rowOff>41673</xdr:rowOff>
    </xdr:from>
    <xdr:to>
      <xdr:col>4</xdr:col>
      <xdr:colOff>12211</xdr:colOff>
      <xdr:row>259</xdr:row>
      <xdr:rowOff>0</xdr:rowOff>
    </xdr:to>
    <xdr:cxnSp macro="">
      <xdr:nvCxnSpPr>
        <xdr:cNvPr id="274" name="Straight Connector 273"/>
        <xdr:cNvCxnSpPr/>
      </xdr:nvCxnSpPr>
      <xdr:spPr>
        <a:xfrm flipH="1" flipV="1">
          <a:off x="3507441" y="4709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256</xdr:row>
      <xdr:rowOff>32918</xdr:rowOff>
    </xdr:from>
    <xdr:to>
      <xdr:col>4</xdr:col>
      <xdr:colOff>17861</xdr:colOff>
      <xdr:row>256</xdr:row>
      <xdr:rowOff>35719</xdr:rowOff>
    </xdr:to>
    <xdr:cxnSp macro="">
      <xdr:nvCxnSpPr>
        <xdr:cNvPr id="275" name="Straight Connector 274"/>
        <xdr:cNvCxnSpPr/>
      </xdr:nvCxnSpPr>
      <xdr:spPr>
        <a:xfrm flipH="1">
          <a:off x="2849796" y="4708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261</xdr:row>
      <xdr:rowOff>89297</xdr:rowOff>
    </xdr:from>
    <xdr:to>
      <xdr:col>3</xdr:col>
      <xdr:colOff>178594</xdr:colOff>
      <xdr:row>262</xdr:row>
      <xdr:rowOff>59531</xdr:rowOff>
    </xdr:to>
    <xdr:cxnSp macro="">
      <xdr:nvCxnSpPr>
        <xdr:cNvPr id="277" name="Straight Connector 276"/>
        <xdr:cNvCxnSpPr/>
      </xdr:nvCxnSpPr>
      <xdr:spPr>
        <a:xfrm>
          <a:off x="2849796" y="49809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261</xdr:row>
      <xdr:rowOff>35719</xdr:rowOff>
    </xdr:from>
    <xdr:to>
      <xdr:col>3</xdr:col>
      <xdr:colOff>285750</xdr:colOff>
      <xdr:row>261</xdr:row>
      <xdr:rowOff>154781</xdr:rowOff>
    </xdr:to>
    <xdr:cxnSp macro="">
      <xdr:nvCxnSpPr>
        <xdr:cNvPr id="278" name="Straight Connector 277"/>
        <xdr:cNvCxnSpPr/>
      </xdr:nvCxnSpPr>
      <xdr:spPr>
        <a:xfrm>
          <a:off x="2885515" y="49756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261</xdr:row>
      <xdr:rowOff>44824</xdr:rowOff>
    </xdr:from>
    <xdr:to>
      <xdr:col>3</xdr:col>
      <xdr:colOff>67235</xdr:colOff>
      <xdr:row>263</xdr:row>
      <xdr:rowOff>156883</xdr:rowOff>
    </xdr:to>
    <xdr:cxnSp macro="">
      <xdr:nvCxnSpPr>
        <xdr:cNvPr id="279" name="Straight Connector 278"/>
        <xdr:cNvCxnSpPr/>
      </xdr:nvCxnSpPr>
      <xdr:spPr>
        <a:xfrm>
          <a:off x="2857500" y="49765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263</xdr:row>
      <xdr:rowOff>166690</xdr:rowOff>
    </xdr:from>
    <xdr:to>
      <xdr:col>4</xdr:col>
      <xdr:colOff>29308</xdr:colOff>
      <xdr:row>263</xdr:row>
      <xdr:rowOff>168519</xdr:rowOff>
    </xdr:to>
    <xdr:cxnSp macro="">
      <xdr:nvCxnSpPr>
        <xdr:cNvPr id="280" name="Straight Connector 279"/>
        <xdr:cNvCxnSpPr/>
      </xdr:nvCxnSpPr>
      <xdr:spPr>
        <a:xfrm>
          <a:off x="2849796" y="50268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261</xdr:row>
      <xdr:rowOff>41673</xdr:rowOff>
    </xdr:from>
    <xdr:to>
      <xdr:col>4</xdr:col>
      <xdr:colOff>12211</xdr:colOff>
      <xdr:row>264</xdr:row>
      <xdr:rowOff>0</xdr:rowOff>
    </xdr:to>
    <xdr:cxnSp macro="">
      <xdr:nvCxnSpPr>
        <xdr:cNvPr id="281" name="Straight Connector 280"/>
        <xdr:cNvCxnSpPr/>
      </xdr:nvCxnSpPr>
      <xdr:spPr>
        <a:xfrm flipH="1" flipV="1">
          <a:off x="3507441" y="49762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261</xdr:row>
      <xdr:rowOff>32918</xdr:rowOff>
    </xdr:from>
    <xdr:to>
      <xdr:col>4</xdr:col>
      <xdr:colOff>17861</xdr:colOff>
      <xdr:row>261</xdr:row>
      <xdr:rowOff>35719</xdr:rowOff>
    </xdr:to>
    <xdr:cxnSp macro="">
      <xdr:nvCxnSpPr>
        <xdr:cNvPr id="282" name="Straight Connector 281"/>
        <xdr:cNvCxnSpPr/>
      </xdr:nvCxnSpPr>
      <xdr:spPr>
        <a:xfrm flipH="1">
          <a:off x="2849796" y="49753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266</xdr:row>
      <xdr:rowOff>89297</xdr:rowOff>
    </xdr:from>
    <xdr:to>
      <xdr:col>3</xdr:col>
      <xdr:colOff>178594</xdr:colOff>
      <xdr:row>267</xdr:row>
      <xdr:rowOff>59531</xdr:rowOff>
    </xdr:to>
    <xdr:cxnSp macro="">
      <xdr:nvCxnSpPr>
        <xdr:cNvPr id="283" name="Straight Connector 282"/>
        <xdr:cNvCxnSpPr/>
      </xdr:nvCxnSpPr>
      <xdr:spPr>
        <a:xfrm>
          <a:off x="2849796" y="50762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266</xdr:row>
      <xdr:rowOff>35719</xdr:rowOff>
    </xdr:from>
    <xdr:to>
      <xdr:col>3</xdr:col>
      <xdr:colOff>285750</xdr:colOff>
      <xdr:row>266</xdr:row>
      <xdr:rowOff>154781</xdr:rowOff>
    </xdr:to>
    <xdr:cxnSp macro="">
      <xdr:nvCxnSpPr>
        <xdr:cNvPr id="284" name="Straight Connector 283"/>
        <xdr:cNvCxnSpPr/>
      </xdr:nvCxnSpPr>
      <xdr:spPr>
        <a:xfrm>
          <a:off x="2885515" y="50708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266</xdr:row>
      <xdr:rowOff>44824</xdr:rowOff>
    </xdr:from>
    <xdr:to>
      <xdr:col>3</xdr:col>
      <xdr:colOff>67235</xdr:colOff>
      <xdr:row>268</xdr:row>
      <xdr:rowOff>156883</xdr:rowOff>
    </xdr:to>
    <xdr:cxnSp macro="">
      <xdr:nvCxnSpPr>
        <xdr:cNvPr id="285" name="Straight Connector 284"/>
        <xdr:cNvCxnSpPr/>
      </xdr:nvCxnSpPr>
      <xdr:spPr>
        <a:xfrm>
          <a:off x="2857500" y="50717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268</xdr:row>
      <xdr:rowOff>166690</xdr:rowOff>
    </xdr:from>
    <xdr:to>
      <xdr:col>4</xdr:col>
      <xdr:colOff>29308</xdr:colOff>
      <xdr:row>268</xdr:row>
      <xdr:rowOff>168519</xdr:rowOff>
    </xdr:to>
    <xdr:cxnSp macro="">
      <xdr:nvCxnSpPr>
        <xdr:cNvPr id="286" name="Straight Connector 285"/>
        <xdr:cNvCxnSpPr/>
      </xdr:nvCxnSpPr>
      <xdr:spPr>
        <a:xfrm>
          <a:off x="2849796" y="51220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266</xdr:row>
      <xdr:rowOff>41673</xdr:rowOff>
    </xdr:from>
    <xdr:to>
      <xdr:col>4</xdr:col>
      <xdr:colOff>12211</xdr:colOff>
      <xdr:row>269</xdr:row>
      <xdr:rowOff>0</xdr:rowOff>
    </xdr:to>
    <xdr:cxnSp macro="">
      <xdr:nvCxnSpPr>
        <xdr:cNvPr id="287" name="Straight Connector 286"/>
        <xdr:cNvCxnSpPr/>
      </xdr:nvCxnSpPr>
      <xdr:spPr>
        <a:xfrm flipH="1" flipV="1">
          <a:off x="3507441" y="50714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266</xdr:row>
      <xdr:rowOff>32918</xdr:rowOff>
    </xdr:from>
    <xdr:to>
      <xdr:col>4</xdr:col>
      <xdr:colOff>17861</xdr:colOff>
      <xdr:row>266</xdr:row>
      <xdr:rowOff>35719</xdr:rowOff>
    </xdr:to>
    <xdr:cxnSp macro="">
      <xdr:nvCxnSpPr>
        <xdr:cNvPr id="288" name="Straight Connector 287"/>
        <xdr:cNvCxnSpPr/>
      </xdr:nvCxnSpPr>
      <xdr:spPr>
        <a:xfrm flipH="1">
          <a:off x="2849796" y="50705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271</xdr:row>
      <xdr:rowOff>35719</xdr:rowOff>
    </xdr:from>
    <xdr:to>
      <xdr:col>3</xdr:col>
      <xdr:colOff>428625</xdr:colOff>
      <xdr:row>273</xdr:row>
      <xdr:rowOff>178594</xdr:rowOff>
    </xdr:to>
    <xdr:cxnSp macro="">
      <xdr:nvCxnSpPr>
        <xdr:cNvPr id="289" name="Straight Connector 288"/>
        <xdr:cNvCxnSpPr/>
      </xdr:nvCxnSpPr>
      <xdr:spPr>
        <a:xfrm>
          <a:off x="3218890" y="48994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273</xdr:row>
      <xdr:rowOff>95249</xdr:rowOff>
    </xdr:from>
    <xdr:to>
      <xdr:col>3</xdr:col>
      <xdr:colOff>571500</xdr:colOff>
      <xdr:row>273</xdr:row>
      <xdr:rowOff>154780</xdr:rowOff>
    </xdr:to>
    <xdr:cxnSp macro="">
      <xdr:nvCxnSpPr>
        <xdr:cNvPr id="290" name="Straight Connector 289"/>
        <xdr:cNvCxnSpPr/>
      </xdr:nvCxnSpPr>
      <xdr:spPr>
        <a:xfrm flipH="1">
          <a:off x="3218890" y="49434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271</xdr:row>
      <xdr:rowOff>47625</xdr:rowOff>
    </xdr:from>
    <xdr:to>
      <xdr:col>3</xdr:col>
      <xdr:colOff>595313</xdr:colOff>
      <xdr:row>271</xdr:row>
      <xdr:rowOff>119062</xdr:rowOff>
    </xdr:to>
    <xdr:cxnSp macro="">
      <xdr:nvCxnSpPr>
        <xdr:cNvPr id="291" name="Straight Connector 290"/>
        <xdr:cNvCxnSpPr/>
      </xdr:nvCxnSpPr>
      <xdr:spPr>
        <a:xfrm>
          <a:off x="3218890" y="49006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274</xdr:row>
      <xdr:rowOff>297027</xdr:rowOff>
    </xdr:from>
    <xdr:to>
      <xdr:col>3</xdr:col>
      <xdr:colOff>392907</xdr:colOff>
      <xdr:row>278</xdr:row>
      <xdr:rowOff>154781</xdr:rowOff>
    </xdr:to>
    <xdr:cxnSp macro="">
      <xdr:nvCxnSpPr>
        <xdr:cNvPr id="292" name="Straight Connector 291"/>
        <xdr:cNvCxnSpPr/>
      </xdr:nvCxnSpPr>
      <xdr:spPr>
        <a:xfrm>
          <a:off x="3175346" y="4495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278</xdr:row>
      <xdr:rowOff>142875</xdr:rowOff>
    </xdr:from>
    <xdr:to>
      <xdr:col>4</xdr:col>
      <xdr:colOff>11908</xdr:colOff>
      <xdr:row>278</xdr:row>
      <xdr:rowOff>154782</xdr:rowOff>
    </xdr:to>
    <xdr:cxnSp macro="">
      <xdr:nvCxnSpPr>
        <xdr:cNvPr id="293" name="Straight Connector 292"/>
        <xdr:cNvCxnSpPr/>
      </xdr:nvCxnSpPr>
      <xdr:spPr>
        <a:xfrm flipH="1" flipV="1">
          <a:off x="3159360" y="45672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274</xdr:row>
      <xdr:rowOff>305147</xdr:rowOff>
    </xdr:from>
    <xdr:to>
      <xdr:col>3</xdr:col>
      <xdr:colOff>130969</xdr:colOff>
      <xdr:row>276</xdr:row>
      <xdr:rowOff>11906</xdr:rowOff>
    </xdr:to>
    <xdr:cxnSp macro="">
      <xdr:nvCxnSpPr>
        <xdr:cNvPr id="294" name="Straight Arrow Connector 293"/>
        <xdr:cNvCxnSpPr/>
      </xdr:nvCxnSpPr>
      <xdr:spPr>
        <a:xfrm flipH="1" flipV="1">
          <a:off x="2913960" y="4495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277</xdr:row>
      <xdr:rowOff>11907</xdr:rowOff>
    </xdr:from>
    <xdr:to>
      <xdr:col>3</xdr:col>
      <xdr:colOff>130969</xdr:colOff>
      <xdr:row>278</xdr:row>
      <xdr:rowOff>154782</xdr:rowOff>
    </xdr:to>
    <xdr:cxnSp macro="">
      <xdr:nvCxnSpPr>
        <xdr:cNvPr id="295" name="Straight Arrow Connector 294"/>
        <xdr:cNvCxnSpPr/>
      </xdr:nvCxnSpPr>
      <xdr:spPr>
        <a:xfrm>
          <a:off x="2921234" y="4535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281</xdr:row>
      <xdr:rowOff>89297</xdr:rowOff>
    </xdr:from>
    <xdr:to>
      <xdr:col>3</xdr:col>
      <xdr:colOff>178594</xdr:colOff>
      <xdr:row>282</xdr:row>
      <xdr:rowOff>59531</xdr:rowOff>
    </xdr:to>
    <xdr:cxnSp macro="">
      <xdr:nvCxnSpPr>
        <xdr:cNvPr id="296" name="Straight Connector 295"/>
        <xdr:cNvCxnSpPr/>
      </xdr:nvCxnSpPr>
      <xdr:spPr>
        <a:xfrm>
          <a:off x="2849796" y="4619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281</xdr:row>
      <xdr:rowOff>35719</xdr:rowOff>
    </xdr:from>
    <xdr:to>
      <xdr:col>3</xdr:col>
      <xdr:colOff>285750</xdr:colOff>
      <xdr:row>281</xdr:row>
      <xdr:rowOff>154781</xdr:rowOff>
    </xdr:to>
    <xdr:cxnSp macro="">
      <xdr:nvCxnSpPr>
        <xdr:cNvPr id="297" name="Straight Connector 296"/>
        <xdr:cNvCxnSpPr/>
      </xdr:nvCxnSpPr>
      <xdr:spPr>
        <a:xfrm>
          <a:off x="2885515" y="4613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281</xdr:row>
      <xdr:rowOff>44824</xdr:rowOff>
    </xdr:from>
    <xdr:to>
      <xdr:col>3</xdr:col>
      <xdr:colOff>67235</xdr:colOff>
      <xdr:row>283</xdr:row>
      <xdr:rowOff>156883</xdr:rowOff>
    </xdr:to>
    <xdr:cxnSp macro="">
      <xdr:nvCxnSpPr>
        <xdr:cNvPr id="298" name="Straight Connector 297"/>
        <xdr:cNvCxnSpPr/>
      </xdr:nvCxnSpPr>
      <xdr:spPr>
        <a:xfrm>
          <a:off x="2857500" y="4614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283</xdr:row>
      <xdr:rowOff>166690</xdr:rowOff>
    </xdr:from>
    <xdr:to>
      <xdr:col>4</xdr:col>
      <xdr:colOff>29308</xdr:colOff>
      <xdr:row>283</xdr:row>
      <xdr:rowOff>168519</xdr:rowOff>
    </xdr:to>
    <xdr:cxnSp macro="">
      <xdr:nvCxnSpPr>
        <xdr:cNvPr id="299" name="Straight Connector 298"/>
        <xdr:cNvCxnSpPr/>
      </xdr:nvCxnSpPr>
      <xdr:spPr>
        <a:xfrm>
          <a:off x="2849796" y="4664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281</xdr:row>
      <xdr:rowOff>41673</xdr:rowOff>
    </xdr:from>
    <xdr:to>
      <xdr:col>4</xdr:col>
      <xdr:colOff>12211</xdr:colOff>
      <xdr:row>284</xdr:row>
      <xdr:rowOff>0</xdr:rowOff>
    </xdr:to>
    <xdr:cxnSp macro="">
      <xdr:nvCxnSpPr>
        <xdr:cNvPr id="300" name="Straight Connector 299"/>
        <xdr:cNvCxnSpPr/>
      </xdr:nvCxnSpPr>
      <xdr:spPr>
        <a:xfrm flipH="1" flipV="1">
          <a:off x="3507441" y="4614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281</xdr:row>
      <xdr:rowOff>32918</xdr:rowOff>
    </xdr:from>
    <xdr:to>
      <xdr:col>4</xdr:col>
      <xdr:colOff>17861</xdr:colOff>
      <xdr:row>281</xdr:row>
      <xdr:rowOff>35719</xdr:rowOff>
    </xdr:to>
    <xdr:cxnSp macro="">
      <xdr:nvCxnSpPr>
        <xdr:cNvPr id="301" name="Straight Connector 300"/>
        <xdr:cNvCxnSpPr/>
      </xdr:nvCxnSpPr>
      <xdr:spPr>
        <a:xfrm flipH="1">
          <a:off x="2849796" y="4613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291</xdr:row>
      <xdr:rowOff>89297</xdr:rowOff>
    </xdr:from>
    <xdr:to>
      <xdr:col>3</xdr:col>
      <xdr:colOff>178594</xdr:colOff>
      <xdr:row>292</xdr:row>
      <xdr:rowOff>59531</xdr:rowOff>
    </xdr:to>
    <xdr:cxnSp macro="">
      <xdr:nvCxnSpPr>
        <xdr:cNvPr id="302" name="Straight Connector 301"/>
        <xdr:cNvCxnSpPr/>
      </xdr:nvCxnSpPr>
      <xdr:spPr>
        <a:xfrm>
          <a:off x="2849796" y="4809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291</xdr:row>
      <xdr:rowOff>35719</xdr:rowOff>
    </xdr:from>
    <xdr:to>
      <xdr:col>3</xdr:col>
      <xdr:colOff>285750</xdr:colOff>
      <xdr:row>291</xdr:row>
      <xdr:rowOff>154781</xdr:rowOff>
    </xdr:to>
    <xdr:cxnSp macro="">
      <xdr:nvCxnSpPr>
        <xdr:cNvPr id="303" name="Straight Connector 302"/>
        <xdr:cNvCxnSpPr/>
      </xdr:nvCxnSpPr>
      <xdr:spPr>
        <a:xfrm>
          <a:off x="2885515" y="4804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291</xdr:row>
      <xdr:rowOff>44824</xdr:rowOff>
    </xdr:from>
    <xdr:to>
      <xdr:col>3</xdr:col>
      <xdr:colOff>67235</xdr:colOff>
      <xdr:row>293</xdr:row>
      <xdr:rowOff>156883</xdr:rowOff>
    </xdr:to>
    <xdr:cxnSp macro="">
      <xdr:nvCxnSpPr>
        <xdr:cNvPr id="304" name="Straight Connector 303"/>
        <xdr:cNvCxnSpPr/>
      </xdr:nvCxnSpPr>
      <xdr:spPr>
        <a:xfrm>
          <a:off x="2857500" y="4805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293</xdr:row>
      <xdr:rowOff>166690</xdr:rowOff>
    </xdr:from>
    <xdr:to>
      <xdr:col>4</xdr:col>
      <xdr:colOff>29308</xdr:colOff>
      <xdr:row>293</xdr:row>
      <xdr:rowOff>168519</xdr:rowOff>
    </xdr:to>
    <xdr:cxnSp macro="">
      <xdr:nvCxnSpPr>
        <xdr:cNvPr id="305" name="Straight Connector 304"/>
        <xdr:cNvCxnSpPr/>
      </xdr:nvCxnSpPr>
      <xdr:spPr>
        <a:xfrm>
          <a:off x="2849796" y="48553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291</xdr:row>
      <xdr:rowOff>41673</xdr:rowOff>
    </xdr:from>
    <xdr:to>
      <xdr:col>4</xdr:col>
      <xdr:colOff>12211</xdr:colOff>
      <xdr:row>294</xdr:row>
      <xdr:rowOff>0</xdr:rowOff>
    </xdr:to>
    <xdr:cxnSp macro="">
      <xdr:nvCxnSpPr>
        <xdr:cNvPr id="306" name="Straight Connector 305"/>
        <xdr:cNvCxnSpPr/>
      </xdr:nvCxnSpPr>
      <xdr:spPr>
        <a:xfrm flipH="1" flipV="1">
          <a:off x="3507441" y="4804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291</xdr:row>
      <xdr:rowOff>32918</xdr:rowOff>
    </xdr:from>
    <xdr:to>
      <xdr:col>4</xdr:col>
      <xdr:colOff>17861</xdr:colOff>
      <xdr:row>291</xdr:row>
      <xdr:rowOff>35719</xdr:rowOff>
    </xdr:to>
    <xdr:cxnSp macro="">
      <xdr:nvCxnSpPr>
        <xdr:cNvPr id="307" name="Straight Connector 306"/>
        <xdr:cNvCxnSpPr/>
      </xdr:nvCxnSpPr>
      <xdr:spPr>
        <a:xfrm flipH="1">
          <a:off x="2849796" y="48038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274</xdr:row>
      <xdr:rowOff>171450</xdr:rowOff>
    </xdr:from>
    <xdr:to>
      <xdr:col>3</xdr:col>
      <xdr:colOff>504825</xdr:colOff>
      <xdr:row>279</xdr:row>
      <xdr:rowOff>47625</xdr:rowOff>
    </xdr:to>
    <xdr:pic>
      <xdr:nvPicPr>
        <xdr:cNvPr id="308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4493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286</xdr:row>
      <xdr:rowOff>89297</xdr:rowOff>
    </xdr:from>
    <xdr:to>
      <xdr:col>3</xdr:col>
      <xdr:colOff>178594</xdr:colOff>
      <xdr:row>287</xdr:row>
      <xdr:rowOff>59531</xdr:rowOff>
    </xdr:to>
    <xdr:cxnSp macro="">
      <xdr:nvCxnSpPr>
        <xdr:cNvPr id="309" name="Straight Connector 308"/>
        <xdr:cNvCxnSpPr/>
      </xdr:nvCxnSpPr>
      <xdr:spPr>
        <a:xfrm>
          <a:off x="2849796" y="4714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286</xdr:row>
      <xdr:rowOff>35719</xdr:rowOff>
    </xdr:from>
    <xdr:to>
      <xdr:col>3</xdr:col>
      <xdr:colOff>285750</xdr:colOff>
      <xdr:row>286</xdr:row>
      <xdr:rowOff>154781</xdr:rowOff>
    </xdr:to>
    <xdr:cxnSp macro="">
      <xdr:nvCxnSpPr>
        <xdr:cNvPr id="310" name="Straight Connector 309"/>
        <xdr:cNvCxnSpPr/>
      </xdr:nvCxnSpPr>
      <xdr:spPr>
        <a:xfrm>
          <a:off x="2885515" y="4708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286</xdr:row>
      <xdr:rowOff>44824</xdr:rowOff>
    </xdr:from>
    <xdr:to>
      <xdr:col>3</xdr:col>
      <xdr:colOff>67235</xdr:colOff>
      <xdr:row>288</xdr:row>
      <xdr:rowOff>156883</xdr:rowOff>
    </xdr:to>
    <xdr:cxnSp macro="">
      <xdr:nvCxnSpPr>
        <xdr:cNvPr id="311" name="Straight Connector 310"/>
        <xdr:cNvCxnSpPr/>
      </xdr:nvCxnSpPr>
      <xdr:spPr>
        <a:xfrm>
          <a:off x="2857500" y="4709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288</xdr:row>
      <xdr:rowOff>166690</xdr:rowOff>
    </xdr:from>
    <xdr:to>
      <xdr:col>4</xdr:col>
      <xdr:colOff>29308</xdr:colOff>
      <xdr:row>288</xdr:row>
      <xdr:rowOff>168519</xdr:rowOff>
    </xdr:to>
    <xdr:cxnSp macro="">
      <xdr:nvCxnSpPr>
        <xdr:cNvPr id="312" name="Straight Connector 311"/>
        <xdr:cNvCxnSpPr/>
      </xdr:nvCxnSpPr>
      <xdr:spPr>
        <a:xfrm>
          <a:off x="2849796" y="4760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286</xdr:row>
      <xdr:rowOff>41673</xdr:rowOff>
    </xdr:from>
    <xdr:to>
      <xdr:col>4</xdr:col>
      <xdr:colOff>12211</xdr:colOff>
      <xdr:row>289</xdr:row>
      <xdr:rowOff>0</xdr:rowOff>
    </xdr:to>
    <xdr:cxnSp macro="">
      <xdr:nvCxnSpPr>
        <xdr:cNvPr id="313" name="Straight Connector 312"/>
        <xdr:cNvCxnSpPr/>
      </xdr:nvCxnSpPr>
      <xdr:spPr>
        <a:xfrm flipH="1" flipV="1">
          <a:off x="3507441" y="4709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286</xdr:row>
      <xdr:rowOff>32918</xdr:rowOff>
    </xdr:from>
    <xdr:to>
      <xdr:col>4</xdr:col>
      <xdr:colOff>17861</xdr:colOff>
      <xdr:row>286</xdr:row>
      <xdr:rowOff>35719</xdr:rowOff>
    </xdr:to>
    <xdr:cxnSp macro="">
      <xdr:nvCxnSpPr>
        <xdr:cNvPr id="314" name="Straight Connector 313"/>
        <xdr:cNvCxnSpPr/>
      </xdr:nvCxnSpPr>
      <xdr:spPr>
        <a:xfrm flipH="1">
          <a:off x="2849796" y="4708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296</xdr:row>
      <xdr:rowOff>89297</xdr:rowOff>
    </xdr:from>
    <xdr:to>
      <xdr:col>3</xdr:col>
      <xdr:colOff>178594</xdr:colOff>
      <xdr:row>297</xdr:row>
      <xdr:rowOff>59531</xdr:rowOff>
    </xdr:to>
    <xdr:cxnSp macro="">
      <xdr:nvCxnSpPr>
        <xdr:cNvPr id="315" name="Straight Connector 314"/>
        <xdr:cNvCxnSpPr/>
      </xdr:nvCxnSpPr>
      <xdr:spPr>
        <a:xfrm>
          <a:off x="2849796" y="4904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296</xdr:row>
      <xdr:rowOff>35719</xdr:rowOff>
    </xdr:from>
    <xdr:to>
      <xdr:col>3</xdr:col>
      <xdr:colOff>285750</xdr:colOff>
      <xdr:row>296</xdr:row>
      <xdr:rowOff>154781</xdr:rowOff>
    </xdr:to>
    <xdr:cxnSp macro="">
      <xdr:nvCxnSpPr>
        <xdr:cNvPr id="316" name="Straight Connector 315"/>
        <xdr:cNvCxnSpPr/>
      </xdr:nvCxnSpPr>
      <xdr:spPr>
        <a:xfrm>
          <a:off x="2885515" y="4899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296</xdr:row>
      <xdr:rowOff>44824</xdr:rowOff>
    </xdr:from>
    <xdr:to>
      <xdr:col>3</xdr:col>
      <xdr:colOff>67235</xdr:colOff>
      <xdr:row>298</xdr:row>
      <xdr:rowOff>156883</xdr:rowOff>
    </xdr:to>
    <xdr:cxnSp macro="">
      <xdr:nvCxnSpPr>
        <xdr:cNvPr id="317" name="Straight Connector 316"/>
        <xdr:cNvCxnSpPr/>
      </xdr:nvCxnSpPr>
      <xdr:spPr>
        <a:xfrm>
          <a:off x="2857500" y="4900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298</xdr:row>
      <xdr:rowOff>166690</xdr:rowOff>
    </xdr:from>
    <xdr:to>
      <xdr:col>4</xdr:col>
      <xdr:colOff>29308</xdr:colOff>
      <xdr:row>298</xdr:row>
      <xdr:rowOff>168519</xdr:rowOff>
    </xdr:to>
    <xdr:cxnSp macro="">
      <xdr:nvCxnSpPr>
        <xdr:cNvPr id="318" name="Straight Connector 317"/>
        <xdr:cNvCxnSpPr/>
      </xdr:nvCxnSpPr>
      <xdr:spPr>
        <a:xfrm>
          <a:off x="2849796" y="49506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296</xdr:row>
      <xdr:rowOff>41673</xdr:rowOff>
    </xdr:from>
    <xdr:to>
      <xdr:col>4</xdr:col>
      <xdr:colOff>12211</xdr:colOff>
      <xdr:row>299</xdr:row>
      <xdr:rowOff>0</xdr:rowOff>
    </xdr:to>
    <xdr:cxnSp macro="">
      <xdr:nvCxnSpPr>
        <xdr:cNvPr id="319" name="Straight Connector 318"/>
        <xdr:cNvCxnSpPr/>
      </xdr:nvCxnSpPr>
      <xdr:spPr>
        <a:xfrm flipH="1" flipV="1">
          <a:off x="3507441" y="4900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296</xdr:row>
      <xdr:rowOff>32918</xdr:rowOff>
    </xdr:from>
    <xdr:to>
      <xdr:col>4</xdr:col>
      <xdr:colOff>17861</xdr:colOff>
      <xdr:row>296</xdr:row>
      <xdr:rowOff>35719</xdr:rowOff>
    </xdr:to>
    <xdr:cxnSp macro="">
      <xdr:nvCxnSpPr>
        <xdr:cNvPr id="320" name="Straight Connector 319"/>
        <xdr:cNvCxnSpPr/>
      </xdr:nvCxnSpPr>
      <xdr:spPr>
        <a:xfrm flipH="1">
          <a:off x="2849796" y="48991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301</xdr:row>
      <xdr:rowOff>89297</xdr:rowOff>
    </xdr:from>
    <xdr:to>
      <xdr:col>3</xdr:col>
      <xdr:colOff>178594</xdr:colOff>
      <xdr:row>302</xdr:row>
      <xdr:rowOff>59531</xdr:rowOff>
    </xdr:to>
    <xdr:cxnSp macro="">
      <xdr:nvCxnSpPr>
        <xdr:cNvPr id="321" name="Straight Connector 320"/>
        <xdr:cNvCxnSpPr/>
      </xdr:nvCxnSpPr>
      <xdr:spPr>
        <a:xfrm>
          <a:off x="2849796" y="5000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301</xdr:row>
      <xdr:rowOff>35719</xdr:rowOff>
    </xdr:from>
    <xdr:to>
      <xdr:col>3</xdr:col>
      <xdr:colOff>285750</xdr:colOff>
      <xdr:row>301</xdr:row>
      <xdr:rowOff>154781</xdr:rowOff>
    </xdr:to>
    <xdr:cxnSp macro="">
      <xdr:nvCxnSpPr>
        <xdr:cNvPr id="322" name="Straight Connector 321"/>
        <xdr:cNvCxnSpPr/>
      </xdr:nvCxnSpPr>
      <xdr:spPr>
        <a:xfrm>
          <a:off x="2885515" y="4994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301</xdr:row>
      <xdr:rowOff>44824</xdr:rowOff>
    </xdr:from>
    <xdr:to>
      <xdr:col>3</xdr:col>
      <xdr:colOff>67235</xdr:colOff>
      <xdr:row>303</xdr:row>
      <xdr:rowOff>156883</xdr:rowOff>
    </xdr:to>
    <xdr:cxnSp macro="">
      <xdr:nvCxnSpPr>
        <xdr:cNvPr id="323" name="Straight Connector 322"/>
        <xdr:cNvCxnSpPr/>
      </xdr:nvCxnSpPr>
      <xdr:spPr>
        <a:xfrm>
          <a:off x="2857500" y="4995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303</xdr:row>
      <xdr:rowOff>166690</xdr:rowOff>
    </xdr:from>
    <xdr:to>
      <xdr:col>4</xdr:col>
      <xdr:colOff>29308</xdr:colOff>
      <xdr:row>303</xdr:row>
      <xdr:rowOff>168519</xdr:rowOff>
    </xdr:to>
    <xdr:cxnSp macro="">
      <xdr:nvCxnSpPr>
        <xdr:cNvPr id="324" name="Straight Connector 323"/>
        <xdr:cNvCxnSpPr/>
      </xdr:nvCxnSpPr>
      <xdr:spPr>
        <a:xfrm>
          <a:off x="2849796" y="5045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301</xdr:row>
      <xdr:rowOff>41673</xdr:rowOff>
    </xdr:from>
    <xdr:to>
      <xdr:col>4</xdr:col>
      <xdr:colOff>12211</xdr:colOff>
      <xdr:row>304</xdr:row>
      <xdr:rowOff>0</xdr:rowOff>
    </xdr:to>
    <xdr:cxnSp macro="">
      <xdr:nvCxnSpPr>
        <xdr:cNvPr id="325" name="Straight Connector 324"/>
        <xdr:cNvCxnSpPr/>
      </xdr:nvCxnSpPr>
      <xdr:spPr>
        <a:xfrm flipH="1" flipV="1">
          <a:off x="3507441" y="4995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301</xdr:row>
      <xdr:rowOff>32918</xdr:rowOff>
    </xdr:from>
    <xdr:to>
      <xdr:col>4</xdr:col>
      <xdr:colOff>17861</xdr:colOff>
      <xdr:row>301</xdr:row>
      <xdr:rowOff>35719</xdr:rowOff>
    </xdr:to>
    <xdr:cxnSp macro="">
      <xdr:nvCxnSpPr>
        <xdr:cNvPr id="326" name="Straight Connector 325"/>
        <xdr:cNvCxnSpPr/>
      </xdr:nvCxnSpPr>
      <xdr:spPr>
        <a:xfrm flipH="1">
          <a:off x="2849796" y="4994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306</xdr:row>
      <xdr:rowOff>89297</xdr:rowOff>
    </xdr:from>
    <xdr:to>
      <xdr:col>3</xdr:col>
      <xdr:colOff>178594</xdr:colOff>
      <xdr:row>307</xdr:row>
      <xdr:rowOff>59531</xdr:rowOff>
    </xdr:to>
    <xdr:cxnSp macro="">
      <xdr:nvCxnSpPr>
        <xdr:cNvPr id="327" name="Straight Connector 326"/>
        <xdr:cNvCxnSpPr/>
      </xdr:nvCxnSpPr>
      <xdr:spPr>
        <a:xfrm>
          <a:off x="2849796" y="5095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306</xdr:row>
      <xdr:rowOff>35719</xdr:rowOff>
    </xdr:from>
    <xdr:to>
      <xdr:col>3</xdr:col>
      <xdr:colOff>285750</xdr:colOff>
      <xdr:row>306</xdr:row>
      <xdr:rowOff>154781</xdr:rowOff>
    </xdr:to>
    <xdr:cxnSp macro="">
      <xdr:nvCxnSpPr>
        <xdr:cNvPr id="328" name="Straight Connector 327"/>
        <xdr:cNvCxnSpPr/>
      </xdr:nvCxnSpPr>
      <xdr:spPr>
        <a:xfrm>
          <a:off x="2885515" y="5089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306</xdr:row>
      <xdr:rowOff>44824</xdr:rowOff>
    </xdr:from>
    <xdr:to>
      <xdr:col>3</xdr:col>
      <xdr:colOff>67235</xdr:colOff>
      <xdr:row>308</xdr:row>
      <xdr:rowOff>156883</xdr:rowOff>
    </xdr:to>
    <xdr:cxnSp macro="">
      <xdr:nvCxnSpPr>
        <xdr:cNvPr id="329" name="Straight Connector 328"/>
        <xdr:cNvCxnSpPr/>
      </xdr:nvCxnSpPr>
      <xdr:spPr>
        <a:xfrm>
          <a:off x="2857500" y="5090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308</xdr:row>
      <xdr:rowOff>166690</xdr:rowOff>
    </xdr:from>
    <xdr:to>
      <xdr:col>4</xdr:col>
      <xdr:colOff>29308</xdr:colOff>
      <xdr:row>308</xdr:row>
      <xdr:rowOff>168519</xdr:rowOff>
    </xdr:to>
    <xdr:cxnSp macro="">
      <xdr:nvCxnSpPr>
        <xdr:cNvPr id="330" name="Straight Connector 329"/>
        <xdr:cNvCxnSpPr/>
      </xdr:nvCxnSpPr>
      <xdr:spPr>
        <a:xfrm>
          <a:off x="2849796" y="5141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306</xdr:row>
      <xdr:rowOff>41673</xdr:rowOff>
    </xdr:from>
    <xdr:to>
      <xdr:col>4</xdr:col>
      <xdr:colOff>12211</xdr:colOff>
      <xdr:row>309</xdr:row>
      <xdr:rowOff>0</xdr:rowOff>
    </xdr:to>
    <xdr:cxnSp macro="">
      <xdr:nvCxnSpPr>
        <xdr:cNvPr id="331" name="Straight Connector 330"/>
        <xdr:cNvCxnSpPr/>
      </xdr:nvCxnSpPr>
      <xdr:spPr>
        <a:xfrm flipH="1" flipV="1">
          <a:off x="3507441" y="5090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306</xdr:row>
      <xdr:rowOff>32918</xdr:rowOff>
    </xdr:from>
    <xdr:to>
      <xdr:col>4</xdr:col>
      <xdr:colOff>17861</xdr:colOff>
      <xdr:row>306</xdr:row>
      <xdr:rowOff>35719</xdr:rowOff>
    </xdr:to>
    <xdr:cxnSp macro="">
      <xdr:nvCxnSpPr>
        <xdr:cNvPr id="332" name="Straight Connector 331"/>
        <xdr:cNvCxnSpPr/>
      </xdr:nvCxnSpPr>
      <xdr:spPr>
        <a:xfrm flipH="1">
          <a:off x="2849796" y="5089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311</xdr:row>
      <xdr:rowOff>35719</xdr:rowOff>
    </xdr:from>
    <xdr:to>
      <xdr:col>3</xdr:col>
      <xdr:colOff>428625</xdr:colOff>
      <xdr:row>313</xdr:row>
      <xdr:rowOff>178594</xdr:rowOff>
    </xdr:to>
    <xdr:cxnSp macro="">
      <xdr:nvCxnSpPr>
        <xdr:cNvPr id="333" name="Straight Connector 332"/>
        <xdr:cNvCxnSpPr/>
      </xdr:nvCxnSpPr>
      <xdr:spPr>
        <a:xfrm>
          <a:off x="3218890" y="51851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313</xdr:row>
      <xdr:rowOff>95249</xdr:rowOff>
    </xdr:from>
    <xdr:to>
      <xdr:col>3</xdr:col>
      <xdr:colOff>571500</xdr:colOff>
      <xdr:row>313</xdr:row>
      <xdr:rowOff>154780</xdr:rowOff>
    </xdr:to>
    <xdr:cxnSp macro="">
      <xdr:nvCxnSpPr>
        <xdr:cNvPr id="334" name="Straight Connector 333"/>
        <xdr:cNvCxnSpPr/>
      </xdr:nvCxnSpPr>
      <xdr:spPr>
        <a:xfrm flipH="1">
          <a:off x="3218890" y="52292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311</xdr:row>
      <xdr:rowOff>47625</xdr:rowOff>
    </xdr:from>
    <xdr:to>
      <xdr:col>3</xdr:col>
      <xdr:colOff>595313</xdr:colOff>
      <xdr:row>311</xdr:row>
      <xdr:rowOff>119062</xdr:rowOff>
    </xdr:to>
    <xdr:cxnSp macro="">
      <xdr:nvCxnSpPr>
        <xdr:cNvPr id="335" name="Straight Connector 334"/>
        <xdr:cNvCxnSpPr/>
      </xdr:nvCxnSpPr>
      <xdr:spPr>
        <a:xfrm>
          <a:off x="3218890" y="51863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314</xdr:row>
      <xdr:rowOff>297027</xdr:rowOff>
    </xdr:from>
    <xdr:to>
      <xdr:col>3</xdr:col>
      <xdr:colOff>392907</xdr:colOff>
      <xdr:row>318</xdr:row>
      <xdr:rowOff>154781</xdr:rowOff>
    </xdr:to>
    <xdr:cxnSp macro="">
      <xdr:nvCxnSpPr>
        <xdr:cNvPr id="336" name="Straight Connector 335"/>
        <xdr:cNvCxnSpPr/>
      </xdr:nvCxnSpPr>
      <xdr:spPr>
        <a:xfrm>
          <a:off x="3175346" y="5257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318</xdr:row>
      <xdr:rowOff>142875</xdr:rowOff>
    </xdr:from>
    <xdr:to>
      <xdr:col>4</xdr:col>
      <xdr:colOff>11908</xdr:colOff>
      <xdr:row>318</xdr:row>
      <xdr:rowOff>154782</xdr:rowOff>
    </xdr:to>
    <xdr:cxnSp macro="">
      <xdr:nvCxnSpPr>
        <xdr:cNvPr id="337" name="Straight Connector 336"/>
        <xdr:cNvCxnSpPr/>
      </xdr:nvCxnSpPr>
      <xdr:spPr>
        <a:xfrm flipH="1" flipV="1">
          <a:off x="3159360" y="53292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314</xdr:row>
      <xdr:rowOff>305147</xdr:rowOff>
    </xdr:from>
    <xdr:to>
      <xdr:col>3</xdr:col>
      <xdr:colOff>130969</xdr:colOff>
      <xdr:row>316</xdr:row>
      <xdr:rowOff>11906</xdr:rowOff>
    </xdr:to>
    <xdr:cxnSp macro="">
      <xdr:nvCxnSpPr>
        <xdr:cNvPr id="338" name="Straight Arrow Connector 337"/>
        <xdr:cNvCxnSpPr/>
      </xdr:nvCxnSpPr>
      <xdr:spPr>
        <a:xfrm flipH="1" flipV="1">
          <a:off x="2913960" y="5257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317</xdr:row>
      <xdr:rowOff>11907</xdr:rowOff>
    </xdr:from>
    <xdr:to>
      <xdr:col>3</xdr:col>
      <xdr:colOff>130969</xdr:colOff>
      <xdr:row>318</xdr:row>
      <xdr:rowOff>154782</xdr:rowOff>
    </xdr:to>
    <xdr:cxnSp macro="">
      <xdr:nvCxnSpPr>
        <xdr:cNvPr id="339" name="Straight Arrow Connector 338"/>
        <xdr:cNvCxnSpPr/>
      </xdr:nvCxnSpPr>
      <xdr:spPr>
        <a:xfrm>
          <a:off x="2921234" y="5297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321</xdr:row>
      <xdr:rowOff>89297</xdr:rowOff>
    </xdr:from>
    <xdr:to>
      <xdr:col>3</xdr:col>
      <xdr:colOff>178594</xdr:colOff>
      <xdr:row>322</xdr:row>
      <xdr:rowOff>59531</xdr:rowOff>
    </xdr:to>
    <xdr:cxnSp macro="">
      <xdr:nvCxnSpPr>
        <xdr:cNvPr id="340" name="Straight Connector 339"/>
        <xdr:cNvCxnSpPr/>
      </xdr:nvCxnSpPr>
      <xdr:spPr>
        <a:xfrm>
          <a:off x="2849796" y="5381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321</xdr:row>
      <xdr:rowOff>35719</xdr:rowOff>
    </xdr:from>
    <xdr:to>
      <xdr:col>3</xdr:col>
      <xdr:colOff>285750</xdr:colOff>
      <xdr:row>321</xdr:row>
      <xdr:rowOff>154781</xdr:rowOff>
    </xdr:to>
    <xdr:cxnSp macro="">
      <xdr:nvCxnSpPr>
        <xdr:cNvPr id="341" name="Straight Connector 340"/>
        <xdr:cNvCxnSpPr/>
      </xdr:nvCxnSpPr>
      <xdr:spPr>
        <a:xfrm>
          <a:off x="2885515" y="5375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321</xdr:row>
      <xdr:rowOff>44824</xdr:rowOff>
    </xdr:from>
    <xdr:to>
      <xdr:col>3</xdr:col>
      <xdr:colOff>67235</xdr:colOff>
      <xdr:row>323</xdr:row>
      <xdr:rowOff>156883</xdr:rowOff>
    </xdr:to>
    <xdr:cxnSp macro="">
      <xdr:nvCxnSpPr>
        <xdr:cNvPr id="342" name="Straight Connector 341"/>
        <xdr:cNvCxnSpPr/>
      </xdr:nvCxnSpPr>
      <xdr:spPr>
        <a:xfrm>
          <a:off x="2857500" y="5376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323</xdr:row>
      <xdr:rowOff>166690</xdr:rowOff>
    </xdr:from>
    <xdr:to>
      <xdr:col>4</xdr:col>
      <xdr:colOff>29308</xdr:colOff>
      <xdr:row>323</xdr:row>
      <xdr:rowOff>168519</xdr:rowOff>
    </xdr:to>
    <xdr:cxnSp macro="">
      <xdr:nvCxnSpPr>
        <xdr:cNvPr id="343" name="Straight Connector 342"/>
        <xdr:cNvCxnSpPr/>
      </xdr:nvCxnSpPr>
      <xdr:spPr>
        <a:xfrm>
          <a:off x="2849796" y="5426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321</xdr:row>
      <xdr:rowOff>41673</xdr:rowOff>
    </xdr:from>
    <xdr:to>
      <xdr:col>4</xdr:col>
      <xdr:colOff>12211</xdr:colOff>
      <xdr:row>324</xdr:row>
      <xdr:rowOff>0</xdr:rowOff>
    </xdr:to>
    <xdr:cxnSp macro="">
      <xdr:nvCxnSpPr>
        <xdr:cNvPr id="344" name="Straight Connector 343"/>
        <xdr:cNvCxnSpPr/>
      </xdr:nvCxnSpPr>
      <xdr:spPr>
        <a:xfrm flipH="1" flipV="1">
          <a:off x="3507441" y="5376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321</xdr:row>
      <xdr:rowOff>32918</xdr:rowOff>
    </xdr:from>
    <xdr:to>
      <xdr:col>4</xdr:col>
      <xdr:colOff>17861</xdr:colOff>
      <xdr:row>321</xdr:row>
      <xdr:rowOff>35719</xdr:rowOff>
    </xdr:to>
    <xdr:cxnSp macro="">
      <xdr:nvCxnSpPr>
        <xdr:cNvPr id="345" name="Straight Connector 344"/>
        <xdr:cNvCxnSpPr/>
      </xdr:nvCxnSpPr>
      <xdr:spPr>
        <a:xfrm flipH="1">
          <a:off x="2849796" y="5375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326</xdr:row>
      <xdr:rowOff>89297</xdr:rowOff>
    </xdr:from>
    <xdr:to>
      <xdr:col>3</xdr:col>
      <xdr:colOff>178594</xdr:colOff>
      <xdr:row>327</xdr:row>
      <xdr:rowOff>59531</xdr:rowOff>
    </xdr:to>
    <xdr:cxnSp macro="">
      <xdr:nvCxnSpPr>
        <xdr:cNvPr id="346" name="Straight Connector 345"/>
        <xdr:cNvCxnSpPr/>
      </xdr:nvCxnSpPr>
      <xdr:spPr>
        <a:xfrm>
          <a:off x="2849796" y="5571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326</xdr:row>
      <xdr:rowOff>35719</xdr:rowOff>
    </xdr:from>
    <xdr:to>
      <xdr:col>3</xdr:col>
      <xdr:colOff>285750</xdr:colOff>
      <xdr:row>326</xdr:row>
      <xdr:rowOff>154781</xdr:rowOff>
    </xdr:to>
    <xdr:cxnSp macro="">
      <xdr:nvCxnSpPr>
        <xdr:cNvPr id="347" name="Straight Connector 346"/>
        <xdr:cNvCxnSpPr/>
      </xdr:nvCxnSpPr>
      <xdr:spPr>
        <a:xfrm>
          <a:off x="2885515" y="5566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326</xdr:row>
      <xdr:rowOff>44824</xdr:rowOff>
    </xdr:from>
    <xdr:to>
      <xdr:col>3</xdr:col>
      <xdr:colOff>67235</xdr:colOff>
      <xdr:row>328</xdr:row>
      <xdr:rowOff>156883</xdr:rowOff>
    </xdr:to>
    <xdr:cxnSp macro="">
      <xdr:nvCxnSpPr>
        <xdr:cNvPr id="348" name="Straight Connector 347"/>
        <xdr:cNvCxnSpPr/>
      </xdr:nvCxnSpPr>
      <xdr:spPr>
        <a:xfrm>
          <a:off x="2857500" y="5567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328</xdr:row>
      <xdr:rowOff>166690</xdr:rowOff>
    </xdr:from>
    <xdr:to>
      <xdr:col>4</xdr:col>
      <xdr:colOff>29308</xdr:colOff>
      <xdr:row>328</xdr:row>
      <xdr:rowOff>168519</xdr:rowOff>
    </xdr:to>
    <xdr:cxnSp macro="">
      <xdr:nvCxnSpPr>
        <xdr:cNvPr id="349" name="Straight Connector 348"/>
        <xdr:cNvCxnSpPr/>
      </xdr:nvCxnSpPr>
      <xdr:spPr>
        <a:xfrm>
          <a:off x="2849796" y="56173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326</xdr:row>
      <xdr:rowOff>41673</xdr:rowOff>
    </xdr:from>
    <xdr:to>
      <xdr:col>4</xdr:col>
      <xdr:colOff>12211</xdr:colOff>
      <xdr:row>329</xdr:row>
      <xdr:rowOff>0</xdr:rowOff>
    </xdr:to>
    <xdr:cxnSp macro="">
      <xdr:nvCxnSpPr>
        <xdr:cNvPr id="350" name="Straight Connector 349"/>
        <xdr:cNvCxnSpPr/>
      </xdr:nvCxnSpPr>
      <xdr:spPr>
        <a:xfrm flipH="1" flipV="1">
          <a:off x="3507441" y="5566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326</xdr:row>
      <xdr:rowOff>32918</xdr:rowOff>
    </xdr:from>
    <xdr:to>
      <xdr:col>4</xdr:col>
      <xdr:colOff>17861</xdr:colOff>
      <xdr:row>326</xdr:row>
      <xdr:rowOff>35719</xdr:rowOff>
    </xdr:to>
    <xdr:cxnSp macro="">
      <xdr:nvCxnSpPr>
        <xdr:cNvPr id="351" name="Straight Connector 350"/>
        <xdr:cNvCxnSpPr/>
      </xdr:nvCxnSpPr>
      <xdr:spPr>
        <a:xfrm flipH="1">
          <a:off x="2849796" y="55658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314</xdr:row>
      <xdr:rowOff>171450</xdr:rowOff>
    </xdr:from>
    <xdr:to>
      <xdr:col>3</xdr:col>
      <xdr:colOff>504825</xdr:colOff>
      <xdr:row>319</xdr:row>
      <xdr:rowOff>47625</xdr:rowOff>
    </xdr:to>
    <xdr:pic>
      <xdr:nvPicPr>
        <xdr:cNvPr id="352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5255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385081</xdr:colOff>
      <xdr:row>330</xdr:row>
      <xdr:rowOff>297027</xdr:rowOff>
    </xdr:from>
    <xdr:to>
      <xdr:col>3</xdr:col>
      <xdr:colOff>392907</xdr:colOff>
      <xdr:row>334</xdr:row>
      <xdr:rowOff>154781</xdr:rowOff>
    </xdr:to>
    <xdr:cxnSp macro="">
      <xdr:nvCxnSpPr>
        <xdr:cNvPr id="365" name="Straight Connector 364"/>
        <xdr:cNvCxnSpPr/>
      </xdr:nvCxnSpPr>
      <xdr:spPr>
        <a:xfrm>
          <a:off x="3175346" y="6019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334</xdr:row>
      <xdr:rowOff>142875</xdr:rowOff>
    </xdr:from>
    <xdr:to>
      <xdr:col>4</xdr:col>
      <xdr:colOff>11908</xdr:colOff>
      <xdr:row>334</xdr:row>
      <xdr:rowOff>154782</xdr:rowOff>
    </xdr:to>
    <xdr:cxnSp macro="">
      <xdr:nvCxnSpPr>
        <xdr:cNvPr id="366" name="Straight Connector 365"/>
        <xdr:cNvCxnSpPr/>
      </xdr:nvCxnSpPr>
      <xdr:spPr>
        <a:xfrm flipH="1" flipV="1">
          <a:off x="3159360" y="60912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330</xdr:row>
      <xdr:rowOff>305147</xdr:rowOff>
    </xdr:from>
    <xdr:to>
      <xdr:col>3</xdr:col>
      <xdr:colOff>130969</xdr:colOff>
      <xdr:row>332</xdr:row>
      <xdr:rowOff>11906</xdr:rowOff>
    </xdr:to>
    <xdr:cxnSp macro="">
      <xdr:nvCxnSpPr>
        <xdr:cNvPr id="367" name="Straight Arrow Connector 366"/>
        <xdr:cNvCxnSpPr/>
      </xdr:nvCxnSpPr>
      <xdr:spPr>
        <a:xfrm flipH="1" flipV="1">
          <a:off x="2913960" y="6019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333</xdr:row>
      <xdr:rowOff>11907</xdr:rowOff>
    </xdr:from>
    <xdr:to>
      <xdr:col>3</xdr:col>
      <xdr:colOff>130969</xdr:colOff>
      <xdr:row>334</xdr:row>
      <xdr:rowOff>154782</xdr:rowOff>
    </xdr:to>
    <xdr:cxnSp macro="">
      <xdr:nvCxnSpPr>
        <xdr:cNvPr id="368" name="Straight Arrow Connector 367"/>
        <xdr:cNvCxnSpPr/>
      </xdr:nvCxnSpPr>
      <xdr:spPr>
        <a:xfrm>
          <a:off x="2921234" y="6059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339</xdr:row>
      <xdr:rowOff>89297</xdr:rowOff>
    </xdr:from>
    <xdr:to>
      <xdr:col>3</xdr:col>
      <xdr:colOff>178594</xdr:colOff>
      <xdr:row>340</xdr:row>
      <xdr:rowOff>59531</xdr:rowOff>
    </xdr:to>
    <xdr:cxnSp macro="">
      <xdr:nvCxnSpPr>
        <xdr:cNvPr id="369" name="Straight Connector 368"/>
        <xdr:cNvCxnSpPr/>
      </xdr:nvCxnSpPr>
      <xdr:spPr>
        <a:xfrm>
          <a:off x="2849796" y="6143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339</xdr:row>
      <xdr:rowOff>35719</xdr:rowOff>
    </xdr:from>
    <xdr:to>
      <xdr:col>3</xdr:col>
      <xdr:colOff>285750</xdr:colOff>
      <xdr:row>339</xdr:row>
      <xdr:rowOff>154781</xdr:rowOff>
    </xdr:to>
    <xdr:cxnSp macro="">
      <xdr:nvCxnSpPr>
        <xdr:cNvPr id="370" name="Straight Connector 369"/>
        <xdr:cNvCxnSpPr/>
      </xdr:nvCxnSpPr>
      <xdr:spPr>
        <a:xfrm>
          <a:off x="2885515" y="6137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339</xdr:row>
      <xdr:rowOff>44824</xdr:rowOff>
    </xdr:from>
    <xdr:to>
      <xdr:col>3</xdr:col>
      <xdr:colOff>67235</xdr:colOff>
      <xdr:row>341</xdr:row>
      <xdr:rowOff>156883</xdr:rowOff>
    </xdr:to>
    <xdr:cxnSp macro="">
      <xdr:nvCxnSpPr>
        <xdr:cNvPr id="371" name="Straight Connector 370"/>
        <xdr:cNvCxnSpPr/>
      </xdr:nvCxnSpPr>
      <xdr:spPr>
        <a:xfrm>
          <a:off x="2857500" y="6138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341</xdr:row>
      <xdr:rowOff>166690</xdr:rowOff>
    </xdr:from>
    <xdr:to>
      <xdr:col>4</xdr:col>
      <xdr:colOff>29308</xdr:colOff>
      <xdr:row>341</xdr:row>
      <xdr:rowOff>168519</xdr:rowOff>
    </xdr:to>
    <xdr:cxnSp macro="">
      <xdr:nvCxnSpPr>
        <xdr:cNvPr id="372" name="Straight Connector 371"/>
        <xdr:cNvCxnSpPr/>
      </xdr:nvCxnSpPr>
      <xdr:spPr>
        <a:xfrm>
          <a:off x="2849796" y="6188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339</xdr:row>
      <xdr:rowOff>41673</xdr:rowOff>
    </xdr:from>
    <xdr:to>
      <xdr:col>4</xdr:col>
      <xdr:colOff>12211</xdr:colOff>
      <xdr:row>342</xdr:row>
      <xdr:rowOff>0</xdr:rowOff>
    </xdr:to>
    <xdr:cxnSp macro="">
      <xdr:nvCxnSpPr>
        <xdr:cNvPr id="373" name="Straight Connector 372"/>
        <xdr:cNvCxnSpPr/>
      </xdr:nvCxnSpPr>
      <xdr:spPr>
        <a:xfrm flipH="1" flipV="1">
          <a:off x="3507441" y="6138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339</xdr:row>
      <xdr:rowOff>32918</xdr:rowOff>
    </xdr:from>
    <xdr:to>
      <xdr:col>4</xdr:col>
      <xdr:colOff>17861</xdr:colOff>
      <xdr:row>339</xdr:row>
      <xdr:rowOff>35719</xdr:rowOff>
    </xdr:to>
    <xdr:cxnSp macro="">
      <xdr:nvCxnSpPr>
        <xdr:cNvPr id="374" name="Straight Connector 373"/>
        <xdr:cNvCxnSpPr/>
      </xdr:nvCxnSpPr>
      <xdr:spPr>
        <a:xfrm flipH="1">
          <a:off x="2849796" y="6137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344</xdr:row>
      <xdr:rowOff>89297</xdr:rowOff>
    </xdr:from>
    <xdr:to>
      <xdr:col>3</xdr:col>
      <xdr:colOff>178594</xdr:colOff>
      <xdr:row>345</xdr:row>
      <xdr:rowOff>59531</xdr:rowOff>
    </xdr:to>
    <xdr:cxnSp macro="">
      <xdr:nvCxnSpPr>
        <xdr:cNvPr id="375" name="Straight Connector 374"/>
        <xdr:cNvCxnSpPr/>
      </xdr:nvCxnSpPr>
      <xdr:spPr>
        <a:xfrm>
          <a:off x="2849796" y="6238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344</xdr:row>
      <xdr:rowOff>35719</xdr:rowOff>
    </xdr:from>
    <xdr:to>
      <xdr:col>3</xdr:col>
      <xdr:colOff>285750</xdr:colOff>
      <xdr:row>344</xdr:row>
      <xdr:rowOff>154781</xdr:rowOff>
    </xdr:to>
    <xdr:cxnSp macro="">
      <xdr:nvCxnSpPr>
        <xdr:cNvPr id="376" name="Straight Connector 375"/>
        <xdr:cNvCxnSpPr/>
      </xdr:nvCxnSpPr>
      <xdr:spPr>
        <a:xfrm>
          <a:off x="2885515" y="6232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344</xdr:row>
      <xdr:rowOff>44824</xdr:rowOff>
    </xdr:from>
    <xdr:to>
      <xdr:col>3</xdr:col>
      <xdr:colOff>67235</xdr:colOff>
      <xdr:row>346</xdr:row>
      <xdr:rowOff>156883</xdr:rowOff>
    </xdr:to>
    <xdr:cxnSp macro="">
      <xdr:nvCxnSpPr>
        <xdr:cNvPr id="377" name="Straight Connector 376"/>
        <xdr:cNvCxnSpPr/>
      </xdr:nvCxnSpPr>
      <xdr:spPr>
        <a:xfrm>
          <a:off x="2857500" y="6233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346</xdr:row>
      <xdr:rowOff>166690</xdr:rowOff>
    </xdr:from>
    <xdr:to>
      <xdr:col>4</xdr:col>
      <xdr:colOff>29308</xdr:colOff>
      <xdr:row>346</xdr:row>
      <xdr:rowOff>168519</xdr:rowOff>
    </xdr:to>
    <xdr:cxnSp macro="">
      <xdr:nvCxnSpPr>
        <xdr:cNvPr id="378" name="Straight Connector 377"/>
        <xdr:cNvCxnSpPr/>
      </xdr:nvCxnSpPr>
      <xdr:spPr>
        <a:xfrm>
          <a:off x="2849796" y="6284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344</xdr:row>
      <xdr:rowOff>41673</xdr:rowOff>
    </xdr:from>
    <xdr:to>
      <xdr:col>4</xdr:col>
      <xdr:colOff>12211</xdr:colOff>
      <xdr:row>347</xdr:row>
      <xdr:rowOff>0</xdr:rowOff>
    </xdr:to>
    <xdr:cxnSp macro="">
      <xdr:nvCxnSpPr>
        <xdr:cNvPr id="379" name="Straight Connector 378"/>
        <xdr:cNvCxnSpPr/>
      </xdr:nvCxnSpPr>
      <xdr:spPr>
        <a:xfrm flipH="1" flipV="1">
          <a:off x="3507441" y="6233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344</xdr:row>
      <xdr:rowOff>32918</xdr:rowOff>
    </xdr:from>
    <xdr:to>
      <xdr:col>4</xdr:col>
      <xdr:colOff>17861</xdr:colOff>
      <xdr:row>344</xdr:row>
      <xdr:rowOff>35719</xdr:rowOff>
    </xdr:to>
    <xdr:cxnSp macro="">
      <xdr:nvCxnSpPr>
        <xdr:cNvPr id="380" name="Straight Connector 379"/>
        <xdr:cNvCxnSpPr/>
      </xdr:nvCxnSpPr>
      <xdr:spPr>
        <a:xfrm flipH="1">
          <a:off x="2849796" y="6232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330</xdr:row>
      <xdr:rowOff>171450</xdr:rowOff>
    </xdr:from>
    <xdr:to>
      <xdr:col>3</xdr:col>
      <xdr:colOff>504825</xdr:colOff>
      <xdr:row>335</xdr:row>
      <xdr:rowOff>47625</xdr:rowOff>
    </xdr:to>
    <xdr:pic>
      <xdr:nvPicPr>
        <xdr:cNvPr id="381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6017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349</xdr:row>
      <xdr:rowOff>35719</xdr:rowOff>
    </xdr:from>
    <xdr:to>
      <xdr:col>3</xdr:col>
      <xdr:colOff>428625</xdr:colOff>
      <xdr:row>351</xdr:row>
      <xdr:rowOff>178594</xdr:rowOff>
    </xdr:to>
    <xdr:cxnSp macro="">
      <xdr:nvCxnSpPr>
        <xdr:cNvPr id="382" name="Straight Connector 381"/>
        <xdr:cNvCxnSpPr/>
      </xdr:nvCxnSpPr>
      <xdr:spPr>
        <a:xfrm>
          <a:off x="3218890" y="59471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351</xdr:row>
      <xdr:rowOff>95249</xdr:rowOff>
    </xdr:from>
    <xdr:to>
      <xdr:col>3</xdr:col>
      <xdr:colOff>571500</xdr:colOff>
      <xdr:row>351</xdr:row>
      <xdr:rowOff>154780</xdr:rowOff>
    </xdr:to>
    <xdr:cxnSp macro="">
      <xdr:nvCxnSpPr>
        <xdr:cNvPr id="383" name="Straight Connector 382"/>
        <xdr:cNvCxnSpPr/>
      </xdr:nvCxnSpPr>
      <xdr:spPr>
        <a:xfrm flipH="1">
          <a:off x="3218890" y="59912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349</xdr:row>
      <xdr:rowOff>47625</xdr:rowOff>
    </xdr:from>
    <xdr:to>
      <xdr:col>3</xdr:col>
      <xdr:colOff>595313</xdr:colOff>
      <xdr:row>349</xdr:row>
      <xdr:rowOff>119062</xdr:rowOff>
    </xdr:to>
    <xdr:cxnSp macro="">
      <xdr:nvCxnSpPr>
        <xdr:cNvPr id="384" name="Straight Connector 383"/>
        <xdr:cNvCxnSpPr/>
      </xdr:nvCxnSpPr>
      <xdr:spPr>
        <a:xfrm>
          <a:off x="3218890" y="59483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352</xdr:row>
      <xdr:rowOff>297027</xdr:rowOff>
    </xdr:from>
    <xdr:to>
      <xdr:col>3</xdr:col>
      <xdr:colOff>392907</xdr:colOff>
      <xdr:row>356</xdr:row>
      <xdr:rowOff>154781</xdr:rowOff>
    </xdr:to>
    <xdr:cxnSp macro="">
      <xdr:nvCxnSpPr>
        <xdr:cNvPr id="359" name="Straight Connector 358"/>
        <xdr:cNvCxnSpPr/>
      </xdr:nvCxnSpPr>
      <xdr:spPr>
        <a:xfrm>
          <a:off x="3175346" y="63247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356</xdr:row>
      <xdr:rowOff>142875</xdr:rowOff>
    </xdr:from>
    <xdr:to>
      <xdr:col>4</xdr:col>
      <xdr:colOff>11908</xdr:colOff>
      <xdr:row>356</xdr:row>
      <xdr:rowOff>154782</xdr:rowOff>
    </xdr:to>
    <xdr:cxnSp macro="">
      <xdr:nvCxnSpPr>
        <xdr:cNvPr id="360" name="Straight Connector 359"/>
        <xdr:cNvCxnSpPr/>
      </xdr:nvCxnSpPr>
      <xdr:spPr>
        <a:xfrm flipH="1" flipV="1">
          <a:off x="3159360" y="63960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352</xdr:row>
      <xdr:rowOff>305147</xdr:rowOff>
    </xdr:from>
    <xdr:to>
      <xdr:col>3</xdr:col>
      <xdr:colOff>130969</xdr:colOff>
      <xdr:row>354</xdr:row>
      <xdr:rowOff>11906</xdr:rowOff>
    </xdr:to>
    <xdr:cxnSp macro="">
      <xdr:nvCxnSpPr>
        <xdr:cNvPr id="361" name="Straight Arrow Connector 360"/>
        <xdr:cNvCxnSpPr/>
      </xdr:nvCxnSpPr>
      <xdr:spPr>
        <a:xfrm flipH="1" flipV="1">
          <a:off x="2913960" y="63246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355</xdr:row>
      <xdr:rowOff>11907</xdr:rowOff>
    </xdr:from>
    <xdr:to>
      <xdr:col>3</xdr:col>
      <xdr:colOff>130969</xdr:colOff>
      <xdr:row>356</xdr:row>
      <xdr:rowOff>154782</xdr:rowOff>
    </xdr:to>
    <xdr:cxnSp macro="">
      <xdr:nvCxnSpPr>
        <xdr:cNvPr id="362" name="Straight Arrow Connector 361"/>
        <xdr:cNvCxnSpPr/>
      </xdr:nvCxnSpPr>
      <xdr:spPr>
        <a:xfrm>
          <a:off x="2921234" y="63638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362</xdr:row>
      <xdr:rowOff>89297</xdr:rowOff>
    </xdr:from>
    <xdr:to>
      <xdr:col>3</xdr:col>
      <xdr:colOff>178594</xdr:colOff>
      <xdr:row>363</xdr:row>
      <xdr:rowOff>59531</xdr:rowOff>
    </xdr:to>
    <xdr:cxnSp macro="">
      <xdr:nvCxnSpPr>
        <xdr:cNvPr id="363" name="Straight Connector 362"/>
        <xdr:cNvCxnSpPr/>
      </xdr:nvCxnSpPr>
      <xdr:spPr>
        <a:xfrm>
          <a:off x="2849796" y="64859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362</xdr:row>
      <xdr:rowOff>35719</xdr:rowOff>
    </xdr:from>
    <xdr:to>
      <xdr:col>3</xdr:col>
      <xdr:colOff>285750</xdr:colOff>
      <xdr:row>362</xdr:row>
      <xdr:rowOff>154781</xdr:rowOff>
    </xdr:to>
    <xdr:cxnSp macro="">
      <xdr:nvCxnSpPr>
        <xdr:cNvPr id="364" name="Straight Connector 363"/>
        <xdr:cNvCxnSpPr/>
      </xdr:nvCxnSpPr>
      <xdr:spPr>
        <a:xfrm>
          <a:off x="2885515" y="64805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362</xdr:row>
      <xdr:rowOff>44824</xdr:rowOff>
    </xdr:from>
    <xdr:to>
      <xdr:col>3</xdr:col>
      <xdr:colOff>67235</xdr:colOff>
      <xdr:row>364</xdr:row>
      <xdr:rowOff>156883</xdr:rowOff>
    </xdr:to>
    <xdr:cxnSp macro="">
      <xdr:nvCxnSpPr>
        <xdr:cNvPr id="385" name="Straight Connector 384"/>
        <xdr:cNvCxnSpPr/>
      </xdr:nvCxnSpPr>
      <xdr:spPr>
        <a:xfrm>
          <a:off x="2857500" y="64814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364</xdr:row>
      <xdr:rowOff>166690</xdr:rowOff>
    </xdr:from>
    <xdr:to>
      <xdr:col>4</xdr:col>
      <xdr:colOff>29308</xdr:colOff>
      <xdr:row>364</xdr:row>
      <xdr:rowOff>168519</xdr:rowOff>
    </xdr:to>
    <xdr:cxnSp macro="">
      <xdr:nvCxnSpPr>
        <xdr:cNvPr id="386" name="Straight Connector 385"/>
        <xdr:cNvCxnSpPr/>
      </xdr:nvCxnSpPr>
      <xdr:spPr>
        <a:xfrm>
          <a:off x="2849796" y="65317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362</xdr:row>
      <xdr:rowOff>41673</xdr:rowOff>
    </xdr:from>
    <xdr:to>
      <xdr:col>4</xdr:col>
      <xdr:colOff>12211</xdr:colOff>
      <xdr:row>365</xdr:row>
      <xdr:rowOff>0</xdr:rowOff>
    </xdr:to>
    <xdr:cxnSp macro="">
      <xdr:nvCxnSpPr>
        <xdr:cNvPr id="387" name="Straight Connector 386"/>
        <xdr:cNvCxnSpPr/>
      </xdr:nvCxnSpPr>
      <xdr:spPr>
        <a:xfrm flipH="1" flipV="1">
          <a:off x="3507441" y="64811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362</xdr:row>
      <xdr:rowOff>32918</xdr:rowOff>
    </xdr:from>
    <xdr:to>
      <xdr:col>4</xdr:col>
      <xdr:colOff>17861</xdr:colOff>
      <xdr:row>362</xdr:row>
      <xdr:rowOff>35719</xdr:rowOff>
    </xdr:to>
    <xdr:cxnSp macro="">
      <xdr:nvCxnSpPr>
        <xdr:cNvPr id="388" name="Straight Connector 387"/>
        <xdr:cNvCxnSpPr/>
      </xdr:nvCxnSpPr>
      <xdr:spPr>
        <a:xfrm flipH="1">
          <a:off x="2849796" y="64802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367</xdr:row>
      <xdr:rowOff>89297</xdr:rowOff>
    </xdr:from>
    <xdr:to>
      <xdr:col>3</xdr:col>
      <xdr:colOff>178594</xdr:colOff>
      <xdr:row>368</xdr:row>
      <xdr:rowOff>59531</xdr:rowOff>
    </xdr:to>
    <xdr:cxnSp macro="">
      <xdr:nvCxnSpPr>
        <xdr:cNvPr id="389" name="Straight Connector 388"/>
        <xdr:cNvCxnSpPr/>
      </xdr:nvCxnSpPr>
      <xdr:spPr>
        <a:xfrm>
          <a:off x="2849796" y="65811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367</xdr:row>
      <xdr:rowOff>35719</xdr:rowOff>
    </xdr:from>
    <xdr:to>
      <xdr:col>3</xdr:col>
      <xdr:colOff>285750</xdr:colOff>
      <xdr:row>367</xdr:row>
      <xdr:rowOff>154781</xdr:rowOff>
    </xdr:to>
    <xdr:cxnSp macro="">
      <xdr:nvCxnSpPr>
        <xdr:cNvPr id="390" name="Straight Connector 389"/>
        <xdr:cNvCxnSpPr/>
      </xdr:nvCxnSpPr>
      <xdr:spPr>
        <a:xfrm>
          <a:off x="2885515" y="65758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367</xdr:row>
      <xdr:rowOff>44824</xdr:rowOff>
    </xdr:from>
    <xdr:to>
      <xdr:col>3</xdr:col>
      <xdr:colOff>67235</xdr:colOff>
      <xdr:row>369</xdr:row>
      <xdr:rowOff>156883</xdr:rowOff>
    </xdr:to>
    <xdr:cxnSp macro="">
      <xdr:nvCxnSpPr>
        <xdr:cNvPr id="391" name="Straight Connector 390"/>
        <xdr:cNvCxnSpPr/>
      </xdr:nvCxnSpPr>
      <xdr:spPr>
        <a:xfrm>
          <a:off x="2857500" y="65767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369</xdr:row>
      <xdr:rowOff>166690</xdr:rowOff>
    </xdr:from>
    <xdr:to>
      <xdr:col>4</xdr:col>
      <xdr:colOff>29308</xdr:colOff>
      <xdr:row>369</xdr:row>
      <xdr:rowOff>168519</xdr:rowOff>
    </xdr:to>
    <xdr:cxnSp macro="">
      <xdr:nvCxnSpPr>
        <xdr:cNvPr id="392" name="Straight Connector 391"/>
        <xdr:cNvCxnSpPr/>
      </xdr:nvCxnSpPr>
      <xdr:spPr>
        <a:xfrm>
          <a:off x="2849796" y="66270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367</xdr:row>
      <xdr:rowOff>41673</xdr:rowOff>
    </xdr:from>
    <xdr:to>
      <xdr:col>4</xdr:col>
      <xdr:colOff>12211</xdr:colOff>
      <xdr:row>370</xdr:row>
      <xdr:rowOff>0</xdr:rowOff>
    </xdr:to>
    <xdr:cxnSp macro="">
      <xdr:nvCxnSpPr>
        <xdr:cNvPr id="393" name="Straight Connector 392"/>
        <xdr:cNvCxnSpPr/>
      </xdr:nvCxnSpPr>
      <xdr:spPr>
        <a:xfrm flipH="1" flipV="1">
          <a:off x="3507441" y="65764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367</xdr:row>
      <xdr:rowOff>32918</xdr:rowOff>
    </xdr:from>
    <xdr:to>
      <xdr:col>4</xdr:col>
      <xdr:colOff>17861</xdr:colOff>
      <xdr:row>367</xdr:row>
      <xdr:rowOff>35719</xdr:rowOff>
    </xdr:to>
    <xdr:cxnSp macro="">
      <xdr:nvCxnSpPr>
        <xdr:cNvPr id="394" name="Straight Connector 393"/>
        <xdr:cNvCxnSpPr/>
      </xdr:nvCxnSpPr>
      <xdr:spPr>
        <a:xfrm flipH="1">
          <a:off x="2849796" y="65755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352</xdr:row>
      <xdr:rowOff>171450</xdr:rowOff>
    </xdr:from>
    <xdr:to>
      <xdr:col>3</xdr:col>
      <xdr:colOff>504825</xdr:colOff>
      <xdr:row>357</xdr:row>
      <xdr:rowOff>47625</xdr:rowOff>
    </xdr:to>
    <xdr:pic>
      <xdr:nvPicPr>
        <xdr:cNvPr id="395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63226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428625</xdr:colOff>
      <xdr:row>377</xdr:row>
      <xdr:rowOff>35719</xdr:rowOff>
    </xdr:from>
    <xdr:to>
      <xdr:col>3</xdr:col>
      <xdr:colOff>428625</xdr:colOff>
      <xdr:row>379</xdr:row>
      <xdr:rowOff>178594</xdr:rowOff>
    </xdr:to>
    <xdr:cxnSp macro="">
      <xdr:nvCxnSpPr>
        <xdr:cNvPr id="396" name="Straight Connector 395"/>
        <xdr:cNvCxnSpPr/>
      </xdr:nvCxnSpPr>
      <xdr:spPr>
        <a:xfrm>
          <a:off x="3218890" y="66710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379</xdr:row>
      <xdr:rowOff>95249</xdr:rowOff>
    </xdr:from>
    <xdr:to>
      <xdr:col>3</xdr:col>
      <xdr:colOff>571500</xdr:colOff>
      <xdr:row>379</xdr:row>
      <xdr:rowOff>154780</xdr:rowOff>
    </xdr:to>
    <xdr:cxnSp macro="">
      <xdr:nvCxnSpPr>
        <xdr:cNvPr id="397" name="Straight Connector 396"/>
        <xdr:cNvCxnSpPr/>
      </xdr:nvCxnSpPr>
      <xdr:spPr>
        <a:xfrm flipH="1">
          <a:off x="3218890" y="67151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377</xdr:row>
      <xdr:rowOff>47625</xdr:rowOff>
    </xdr:from>
    <xdr:to>
      <xdr:col>3</xdr:col>
      <xdr:colOff>595313</xdr:colOff>
      <xdr:row>377</xdr:row>
      <xdr:rowOff>119062</xdr:rowOff>
    </xdr:to>
    <xdr:cxnSp macro="">
      <xdr:nvCxnSpPr>
        <xdr:cNvPr id="398" name="Straight Connector 397"/>
        <xdr:cNvCxnSpPr/>
      </xdr:nvCxnSpPr>
      <xdr:spPr>
        <a:xfrm>
          <a:off x="3218890" y="66722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372</xdr:row>
      <xdr:rowOff>89297</xdr:rowOff>
    </xdr:from>
    <xdr:to>
      <xdr:col>3</xdr:col>
      <xdr:colOff>178594</xdr:colOff>
      <xdr:row>373</xdr:row>
      <xdr:rowOff>59531</xdr:rowOff>
    </xdr:to>
    <xdr:cxnSp macro="">
      <xdr:nvCxnSpPr>
        <xdr:cNvPr id="399" name="Straight Connector 398"/>
        <xdr:cNvCxnSpPr/>
      </xdr:nvCxnSpPr>
      <xdr:spPr>
        <a:xfrm>
          <a:off x="2849796" y="70193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372</xdr:row>
      <xdr:rowOff>35719</xdr:rowOff>
    </xdr:from>
    <xdr:to>
      <xdr:col>3</xdr:col>
      <xdr:colOff>285750</xdr:colOff>
      <xdr:row>372</xdr:row>
      <xdr:rowOff>154781</xdr:rowOff>
    </xdr:to>
    <xdr:cxnSp macro="">
      <xdr:nvCxnSpPr>
        <xdr:cNvPr id="400" name="Straight Connector 399"/>
        <xdr:cNvCxnSpPr/>
      </xdr:nvCxnSpPr>
      <xdr:spPr>
        <a:xfrm>
          <a:off x="2885515" y="70139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372</xdr:row>
      <xdr:rowOff>44824</xdr:rowOff>
    </xdr:from>
    <xdr:to>
      <xdr:col>3</xdr:col>
      <xdr:colOff>67235</xdr:colOff>
      <xdr:row>374</xdr:row>
      <xdr:rowOff>156883</xdr:rowOff>
    </xdr:to>
    <xdr:cxnSp macro="">
      <xdr:nvCxnSpPr>
        <xdr:cNvPr id="401" name="Straight Connector 400"/>
        <xdr:cNvCxnSpPr/>
      </xdr:nvCxnSpPr>
      <xdr:spPr>
        <a:xfrm>
          <a:off x="2857500" y="70148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374</xdr:row>
      <xdr:rowOff>166690</xdr:rowOff>
    </xdr:from>
    <xdr:to>
      <xdr:col>4</xdr:col>
      <xdr:colOff>29308</xdr:colOff>
      <xdr:row>374</xdr:row>
      <xdr:rowOff>168519</xdr:rowOff>
    </xdr:to>
    <xdr:cxnSp macro="">
      <xdr:nvCxnSpPr>
        <xdr:cNvPr id="402" name="Straight Connector 401"/>
        <xdr:cNvCxnSpPr/>
      </xdr:nvCxnSpPr>
      <xdr:spPr>
        <a:xfrm>
          <a:off x="2849796" y="70651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372</xdr:row>
      <xdr:rowOff>41673</xdr:rowOff>
    </xdr:from>
    <xdr:to>
      <xdr:col>4</xdr:col>
      <xdr:colOff>12211</xdr:colOff>
      <xdr:row>375</xdr:row>
      <xdr:rowOff>0</xdr:rowOff>
    </xdr:to>
    <xdr:cxnSp macro="">
      <xdr:nvCxnSpPr>
        <xdr:cNvPr id="403" name="Straight Connector 402"/>
        <xdr:cNvCxnSpPr/>
      </xdr:nvCxnSpPr>
      <xdr:spPr>
        <a:xfrm flipH="1" flipV="1">
          <a:off x="3507441" y="70145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372</xdr:row>
      <xdr:rowOff>32918</xdr:rowOff>
    </xdr:from>
    <xdr:to>
      <xdr:col>4</xdr:col>
      <xdr:colOff>17861</xdr:colOff>
      <xdr:row>372</xdr:row>
      <xdr:rowOff>35719</xdr:rowOff>
    </xdr:to>
    <xdr:cxnSp macro="">
      <xdr:nvCxnSpPr>
        <xdr:cNvPr id="404" name="Straight Connector 403"/>
        <xdr:cNvCxnSpPr/>
      </xdr:nvCxnSpPr>
      <xdr:spPr>
        <a:xfrm flipH="1">
          <a:off x="2849796" y="70136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380</xdr:row>
      <xdr:rowOff>297027</xdr:rowOff>
    </xdr:from>
    <xdr:to>
      <xdr:col>3</xdr:col>
      <xdr:colOff>392907</xdr:colOff>
      <xdr:row>384</xdr:row>
      <xdr:rowOff>154781</xdr:rowOff>
    </xdr:to>
    <xdr:cxnSp macro="">
      <xdr:nvCxnSpPr>
        <xdr:cNvPr id="405" name="Straight Connector 404"/>
        <xdr:cNvCxnSpPr/>
      </xdr:nvCxnSpPr>
      <xdr:spPr>
        <a:xfrm>
          <a:off x="3175346" y="67438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384</xdr:row>
      <xdr:rowOff>142875</xdr:rowOff>
    </xdr:from>
    <xdr:to>
      <xdr:col>4</xdr:col>
      <xdr:colOff>11908</xdr:colOff>
      <xdr:row>384</xdr:row>
      <xdr:rowOff>154782</xdr:rowOff>
    </xdr:to>
    <xdr:cxnSp macro="">
      <xdr:nvCxnSpPr>
        <xdr:cNvPr id="406" name="Straight Connector 405"/>
        <xdr:cNvCxnSpPr/>
      </xdr:nvCxnSpPr>
      <xdr:spPr>
        <a:xfrm flipH="1" flipV="1">
          <a:off x="3159360" y="68151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380</xdr:row>
      <xdr:rowOff>305147</xdr:rowOff>
    </xdr:from>
    <xdr:to>
      <xdr:col>3</xdr:col>
      <xdr:colOff>130969</xdr:colOff>
      <xdr:row>382</xdr:row>
      <xdr:rowOff>11906</xdr:rowOff>
    </xdr:to>
    <xdr:cxnSp macro="">
      <xdr:nvCxnSpPr>
        <xdr:cNvPr id="407" name="Straight Arrow Connector 406"/>
        <xdr:cNvCxnSpPr/>
      </xdr:nvCxnSpPr>
      <xdr:spPr>
        <a:xfrm flipH="1" flipV="1">
          <a:off x="2913960" y="67437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383</xdr:row>
      <xdr:rowOff>11907</xdr:rowOff>
    </xdr:from>
    <xdr:to>
      <xdr:col>3</xdr:col>
      <xdr:colOff>130969</xdr:colOff>
      <xdr:row>384</xdr:row>
      <xdr:rowOff>154782</xdr:rowOff>
    </xdr:to>
    <xdr:cxnSp macro="">
      <xdr:nvCxnSpPr>
        <xdr:cNvPr id="408" name="Straight Arrow Connector 407"/>
        <xdr:cNvCxnSpPr/>
      </xdr:nvCxnSpPr>
      <xdr:spPr>
        <a:xfrm>
          <a:off x="2921234" y="67829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389</xdr:row>
      <xdr:rowOff>89297</xdr:rowOff>
    </xdr:from>
    <xdr:to>
      <xdr:col>3</xdr:col>
      <xdr:colOff>178594</xdr:colOff>
      <xdr:row>390</xdr:row>
      <xdr:rowOff>59531</xdr:rowOff>
    </xdr:to>
    <xdr:cxnSp macro="">
      <xdr:nvCxnSpPr>
        <xdr:cNvPr id="409" name="Straight Connector 408"/>
        <xdr:cNvCxnSpPr/>
      </xdr:nvCxnSpPr>
      <xdr:spPr>
        <a:xfrm>
          <a:off x="2849796" y="69240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389</xdr:row>
      <xdr:rowOff>35719</xdr:rowOff>
    </xdr:from>
    <xdr:to>
      <xdr:col>3</xdr:col>
      <xdr:colOff>285750</xdr:colOff>
      <xdr:row>389</xdr:row>
      <xdr:rowOff>154781</xdr:rowOff>
    </xdr:to>
    <xdr:cxnSp macro="">
      <xdr:nvCxnSpPr>
        <xdr:cNvPr id="410" name="Straight Connector 409"/>
        <xdr:cNvCxnSpPr/>
      </xdr:nvCxnSpPr>
      <xdr:spPr>
        <a:xfrm>
          <a:off x="2885515" y="69187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389</xdr:row>
      <xdr:rowOff>44824</xdr:rowOff>
    </xdr:from>
    <xdr:to>
      <xdr:col>3</xdr:col>
      <xdr:colOff>67235</xdr:colOff>
      <xdr:row>391</xdr:row>
      <xdr:rowOff>156883</xdr:rowOff>
    </xdr:to>
    <xdr:cxnSp macro="">
      <xdr:nvCxnSpPr>
        <xdr:cNvPr id="411" name="Straight Connector 410"/>
        <xdr:cNvCxnSpPr/>
      </xdr:nvCxnSpPr>
      <xdr:spPr>
        <a:xfrm>
          <a:off x="2857500" y="69196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391</xdr:row>
      <xdr:rowOff>166690</xdr:rowOff>
    </xdr:from>
    <xdr:to>
      <xdr:col>4</xdr:col>
      <xdr:colOff>29308</xdr:colOff>
      <xdr:row>391</xdr:row>
      <xdr:rowOff>168519</xdr:rowOff>
    </xdr:to>
    <xdr:cxnSp macro="">
      <xdr:nvCxnSpPr>
        <xdr:cNvPr id="412" name="Straight Connector 411"/>
        <xdr:cNvCxnSpPr/>
      </xdr:nvCxnSpPr>
      <xdr:spPr>
        <a:xfrm>
          <a:off x="2849796" y="69699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389</xdr:row>
      <xdr:rowOff>41673</xdr:rowOff>
    </xdr:from>
    <xdr:to>
      <xdr:col>4</xdr:col>
      <xdr:colOff>12211</xdr:colOff>
      <xdr:row>392</xdr:row>
      <xdr:rowOff>0</xdr:rowOff>
    </xdr:to>
    <xdr:cxnSp macro="">
      <xdr:nvCxnSpPr>
        <xdr:cNvPr id="413" name="Straight Connector 412"/>
        <xdr:cNvCxnSpPr/>
      </xdr:nvCxnSpPr>
      <xdr:spPr>
        <a:xfrm flipH="1" flipV="1">
          <a:off x="3507441" y="69193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389</xdr:row>
      <xdr:rowOff>32918</xdr:rowOff>
    </xdr:from>
    <xdr:to>
      <xdr:col>4</xdr:col>
      <xdr:colOff>17861</xdr:colOff>
      <xdr:row>389</xdr:row>
      <xdr:rowOff>35719</xdr:rowOff>
    </xdr:to>
    <xdr:cxnSp macro="">
      <xdr:nvCxnSpPr>
        <xdr:cNvPr id="414" name="Straight Connector 413"/>
        <xdr:cNvCxnSpPr/>
      </xdr:nvCxnSpPr>
      <xdr:spPr>
        <a:xfrm flipH="1">
          <a:off x="2849796" y="69184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394</xdr:row>
      <xdr:rowOff>89297</xdr:rowOff>
    </xdr:from>
    <xdr:to>
      <xdr:col>3</xdr:col>
      <xdr:colOff>178594</xdr:colOff>
      <xdr:row>395</xdr:row>
      <xdr:rowOff>59531</xdr:rowOff>
    </xdr:to>
    <xdr:cxnSp macro="">
      <xdr:nvCxnSpPr>
        <xdr:cNvPr id="415" name="Straight Connector 414"/>
        <xdr:cNvCxnSpPr/>
      </xdr:nvCxnSpPr>
      <xdr:spPr>
        <a:xfrm>
          <a:off x="2849796" y="70193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394</xdr:row>
      <xdr:rowOff>35719</xdr:rowOff>
    </xdr:from>
    <xdr:to>
      <xdr:col>3</xdr:col>
      <xdr:colOff>285750</xdr:colOff>
      <xdr:row>394</xdr:row>
      <xdr:rowOff>154781</xdr:rowOff>
    </xdr:to>
    <xdr:cxnSp macro="">
      <xdr:nvCxnSpPr>
        <xdr:cNvPr id="416" name="Straight Connector 415"/>
        <xdr:cNvCxnSpPr/>
      </xdr:nvCxnSpPr>
      <xdr:spPr>
        <a:xfrm>
          <a:off x="2885515" y="70139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394</xdr:row>
      <xdr:rowOff>44824</xdr:rowOff>
    </xdr:from>
    <xdr:to>
      <xdr:col>3</xdr:col>
      <xdr:colOff>67235</xdr:colOff>
      <xdr:row>396</xdr:row>
      <xdr:rowOff>156883</xdr:rowOff>
    </xdr:to>
    <xdr:cxnSp macro="">
      <xdr:nvCxnSpPr>
        <xdr:cNvPr id="417" name="Straight Connector 416"/>
        <xdr:cNvCxnSpPr/>
      </xdr:nvCxnSpPr>
      <xdr:spPr>
        <a:xfrm>
          <a:off x="2857500" y="70148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396</xdr:row>
      <xdr:rowOff>166690</xdr:rowOff>
    </xdr:from>
    <xdr:to>
      <xdr:col>4</xdr:col>
      <xdr:colOff>29308</xdr:colOff>
      <xdr:row>396</xdr:row>
      <xdr:rowOff>168519</xdr:rowOff>
    </xdr:to>
    <xdr:cxnSp macro="">
      <xdr:nvCxnSpPr>
        <xdr:cNvPr id="418" name="Straight Connector 417"/>
        <xdr:cNvCxnSpPr/>
      </xdr:nvCxnSpPr>
      <xdr:spPr>
        <a:xfrm>
          <a:off x="2849796" y="70651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394</xdr:row>
      <xdr:rowOff>41673</xdr:rowOff>
    </xdr:from>
    <xdr:to>
      <xdr:col>4</xdr:col>
      <xdr:colOff>12211</xdr:colOff>
      <xdr:row>397</xdr:row>
      <xdr:rowOff>0</xdr:rowOff>
    </xdr:to>
    <xdr:cxnSp macro="">
      <xdr:nvCxnSpPr>
        <xdr:cNvPr id="419" name="Straight Connector 418"/>
        <xdr:cNvCxnSpPr/>
      </xdr:nvCxnSpPr>
      <xdr:spPr>
        <a:xfrm flipH="1" flipV="1">
          <a:off x="3507441" y="70145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394</xdr:row>
      <xdr:rowOff>32918</xdr:rowOff>
    </xdr:from>
    <xdr:to>
      <xdr:col>4</xdr:col>
      <xdr:colOff>17861</xdr:colOff>
      <xdr:row>394</xdr:row>
      <xdr:rowOff>35719</xdr:rowOff>
    </xdr:to>
    <xdr:cxnSp macro="">
      <xdr:nvCxnSpPr>
        <xdr:cNvPr id="420" name="Straight Connector 419"/>
        <xdr:cNvCxnSpPr/>
      </xdr:nvCxnSpPr>
      <xdr:spPr>
        <a:xfrm flipH="1">
          <a:off x="2849796" y="70136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380</xdr:row>
      <xdr:rowOff>171450</xdr:rowOff>
    </xdr:from>
    <xdr:to>
      <xdr:col>3</xdr:col>
      <xdr:colOff>504825</xdr:colOff>
      <xdr:row>385</xdr:row>
      <xdr:rowOff>47625</xdr:rowOff>
    </xdr:to>
    <xdr:pic>
      <xdr:nvPicPr>
        <xdr:cNvPr id="421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67417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385081</xdr:colOff>
      <xdr:row>398</xdr:row>
      <xdr:rowOff>297027</xdr:rowOff>
    </xdr:from>
    <xdr:to>
      <xdr:col>3</xdr:col>
      <xdr:colOff>392907</xdr:colOff>
      <xdr:row>402</xdr:row>
      <xdr:rowOff>154781</xdr:rowOff>
    </xdr:to>
    <xdr:cxnSp macro="">
      <xdr:nvCxnSpPr>
        <xdr:cNvPr id="431" name="Straight Connector 430"/>
        <xdr:cNvCxnSpPr/>
      </xdr:nvCxnSpPr>
      <xdr:spPr>
        <a:xfrm>
          <a:off x="3175346" y="72772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402</xdr:row>
      <xdr:rowOff>142875</xdr:rowOff>
    </xdr:from>
    <xdr:to>
      <xdr:col>4</xdr:col>
      <xdr:colOff>11908</xdr:colOff>
      <xdr:row>402</xdr:row>
      <xdr:rowOff>154782</xdr:rowOff>
    </xdr:to>
    <xdr:cxnSp macro="">
      <xdr:nvCxnSpPr>
        <xdr:cNvPr id="432" name="Straight Connector 431"/>
        <xdr:cNvCxnSpPr/>
      </xdr:nvCxnSpPr>
      <xdr:spPr>
        <a:xfrm flipH="1" flipV="1">
          <a:off x="3159360" y="73485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398</xdr:row>
      <xdr:rowOff>305147</xdr:rowOff>
    </xdr:from>
    <xdr:to>
      <xdr:col>3</xdr:col>
      <xdr:colOff>130969</xdr:colOff>
      <xdr:row>400</xdr:row>
      <xdr:rowOff>11906</xdr:rowOff>
    </xdr:to>
    <xdr:cxnSp macro="">
      <xdr:nvCxnSpPr>
        <xdr:cNvPr id="433" name="Straight Arrow Connector 432"/>
        <xdr:cNvCxnSpPr/>
      </xdr:nvCxnSpPr>
      <xdr:spPr>
        <a:xfrm flipH="1" flipV="1">
          <a:off x="2913960" y="72771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401</xdr:row>
      <xdr:rowOff>11907</xdr:rowOff>
    </xdr:from>
    <xdr:to>
      <xdr:col>3</xdr:col>
      <xdr:colOff>130969</xdr:colOff>
      <xdr:row>402</xdr:row>
      <xdr:rowOff>154782</xdr:rowOff>
    </xdr:to>
    <xdr:cxnSp macro="">
      <xdr:nvCxnSpPr>
        <xdr:cNvPr id="434" name="Straight Arrow Connector 433"/>
        <xdr:cNvCxnSpPr/>
      </xdr:nvCxnSpPr>
      <xdr:spPr>
        <a:xfrm>
          <a:off x="2921234" y="73163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409</xdr:row>
      <xdr:rowOff>89297</xdr:rowOff>
    </xdr:from>
    <xdr:to>
      <xdr:col>3</xdr:col>
      <xdr:colOff>178594</xdr:colOff>
      <xdr:row>410</xdr:row>
      <xdr:rowOff>59531</xdr:rowOff>
    </xdr:to>
    <xdr:cxnSp macro="">
      <xdr:nvCxnSpPr>
        <xdr:cNvPr id="435" name="Straight Connector 434"/>
        <xdr:cNvCxnSpPr/>
      </xdr:nvCxnSpPr>
      <xdr:spPr>
        <a:xfrm>
          <a:off x="2849796" y="74384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409</xdr:row>
      <xdr:rowOff>35719</xdr:rowOff>
    </xdr:from>
    <xdr:to>
      <xdr:col>3</xdr:col>
      <xdr:colOff>285750</xdr:colOff>
      <xdr:row>409</xdr:row>
      <xdr:rowOff>154781</xdr:rowOff>
    </xdr:to>
    <xdr:cxnSp macro="">
      <xdr:nvCxnSpPr>
        <xdr:cNvPr id="436" name="Straight Connector 435"/>
        <xdr:cNvCxnSpPr/>
      </xdr:nvCxnSpPr>
      <xdr:spPr>
        <a:xfrm>
          <a:off x="2885515" y="74330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409</xdr:row>
      <xdr:rowOff>44824</xdr:rowOff>
    </xdr:from>
    <xdr:to>
      <xdr:col>3</xdr:col>
      <xdr:colOff>67235</xdr:colOff>
      <xdr:row>411</xdr:row>
      <xdr:rowOff>156883</xdr:rowOff>
    </xdr:to>
    <xdr:cxnSp macro="">
      <xdr:nvCxnSpPr>
        <xdr:cNvPr id="437" name="Straight Connector 436"/>
        <xdr:cNvCxnSpPr/>
      </xdr:nvCxnSpPr>
      <xdr:spPr>
        <a:xfrm>
          <a:off x="2857500" y="74339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411</xdr:row>
      <xdr:rowOff>166690</xdr:rowOff>
    </xdr:from>
    <xdr:to>
      <xdr:col>4</xdr:col>
      <xdr:colOff>29308</xdr:colOff>
      <xdr:row>411</xdr:row>
      <xdr:rowOff>168519</xdr:rowOff>
    </xdr:to>
    <xdr:cxnSp macro="">
      <xdr:nvCxnSpPr>
        <xdr:cNvPr id="438" name="Straight Connector 437"/>
        <xdr:cNvCxnSpPr/>
      </xdr:nvCxnSpPr>
      <xdr:spPr>
        <a:xfrm>
          <a:off x="2849796" y="74842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409</xdr:row>
      <xdr:rowOff>41673</xdr:rowOff>
    </xdr:from>
    <xdr:to>
      <xdr:col>4</xdr:col>
      <xdr:colOff>12211</xdr:colOff>
      <xdr:row>412</xdr:row>
      <xdr:rowOff>0</xdr:rowOff>
    </xdr:to>
    <xdr:cxnSp macro="">
      <xdr:nvCxnSpPr>
        <xdr:cNvPr id="439" name="Straight Connector 438"/>
        <xdr:cNvCxnSpPr/>
      </xdr:nvCxnSpPr>
      <xdr:spPr>
        <a:xfrm flipH="1" flipV="1">
          <a:off x="3507441" y="74336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409</xdr:row>
      <xdr:rowOff>32918</xdr:rowOff>
    </xdr:from>
    <xdr:to>
      <xdr:col>4</xdr:col>
      <xdr:colOff>17861</xdr:colOff>
      <xdr:row>409</xdr:row>
      <xdr:rowOff>35719</xdr:rowOff>
    </xdr:to>
    <xdr:cxnSp macro="">
      <xdr:nvCxnSpPr>
        <xdr:cNvPr id="440" name="Straight Connector 439"/>
        <xdr:cNvCxnSpPr/>
      </xdr:nvCxnSpPr>
      <xdr:spPr>
        <a:xfrm flipH="1">
          <a:off x="2849796" y="74327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414</xdr:row>
      <xdr:rowOff>89297</xdr:rowOff>
    </xdr:from>
    <xdr:to>
      <xdr:col>3</xdr:col>
      <xdr:colOff>178594</xdr:colOff>
      <xdr:row>415</xdr:row>
      <xdr:rowOff>59531</xdr:rowOff>
    </xdr:to>
    <xdr:cxnSp macro="">
      <xdr:nvCxnSpPr>
        <xdr:cNvPr id="441" name="Straight Connector 440"/>
        <xdr:cNvCxnSpPr/>
      </xdr:nvCxnSpPr>
      <xdr:spPr>
        <a:xfrm>
          <a:off x="2849796" y="75336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414</xdr:row>
      <xdr:rowOff>35719</xdr:rowOff>
    </xdr:from>
    <xdr:to>
      <xdr:col>3</xdr:col>
      <xdr:colOff>285750</xdr:colOff>
      <xdr:row>414</xdr:row>
      <xdr:rowOff>154781</xdr:rowOff>
    </xdr:to>
    <xdr:cxnSp macro="">
      <xdr:nvCxnSpPr>
        <xdr:cNvPr id="442" name="Straight Connector 441"/>
        <xdr:cNvCxnSpPr/>
      </xdr:nvCxnSpPr>
      <xdr:spPr>
        <a:xfrm>
          <a:off x="2885515" y="75283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414</xdr:row>
      <xdr:rowOff>44824</xdr:rowOff>
    </xdr:from>
    <xdr:to>
      <xdr:col>3</xdr:col>
      <xdr:colOff>67235</xdr:colOff>
      <xdr:row>416</xdr:row>
      <xdr:rowOff>156883</xdr:rowOff>
    </xdr:to>
    <xdr:cxnSp macro="">
      <xdr:nvCxnSpPr>
        <xdr:cNvPr id="443" name="Straight Connector 442"/>
        <xdr:cNvCxnSpPr/>
      </xdr:nvCxnSpPr>
      <xdr:spPr>
        <a:xfrm>
          <a:off x="2857500" y="75292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416</xdr:row>
      <xdr:rowOff>166690</xdr:rowOff>
    </xdr:from>
    <xdr:to>
      <xdr:col>4</xdr:col>
      <xdr:colOff>29308</xdr:colOff>
      <xdr:row>416</xdr:row>
      <xdr:rowOff>168519</xdr:rowOff>
    </xdr:to>
    <xdr:cxnSp macro="">
      <xdr:nvCxnSpPr>
        <xdr:cNvPr id="444" name="Straight Connector 443"/>
        <xdr:cNvCxnSpPr/>
      </xdr:nvCxnSpPr>
      <xdr:spPr>
        <a:xfrm>
          <a:off x="2849796" y="75795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414</xdr:row>
      <xdr:rowOff>41673</xdr:rowOff>
    </xdr:from>
    <xdr:to>
      <xdr:col>4</xdr:col>
      <xdr:colOff>12211</xdr:colOff>
      <xdr:row>417</xdr:row>
      <xdr:rowOff>0</xdr:rowOff>
    </xdr:to>
    <xdr:cxnSp macro="">
      <xdr:nvCxnSpPr>
        <xdr:cNvPr id="445" name="Straight Connector 444"/>
        <xdr:cNvCxnSpPr/>
      </xdr:nvCxnSpPr>
      <xdr:spPr>
        <a:xfrm flipH="1" flipV="1">
          <a:off x="3507441" y="75289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414</xdr:row>
      <xdr:rowOff>32918</xdr:rowOff>
    </xdr:from>
    <xdr:to>
      <xdr:col>4</xdr:col>
      <xdr:colOff>17861</xdr:colOff>
      <xdr:row>414</xdr:row>
      <xdr:rowOff>35719</xdr:rowOff>
    </xdr:to>
    <xdr:cxnSp macro="">
      <xdr:nvCxnSpPr>
        <xdr:cNvPr id="446" name="Straight Connector 445"/>
        <xdr:cNvCxnSpPr/>
      </xdr:nvCxnSpPr>
      <xdr:spPr>
        <a:xfrm flipH="1">
          <a:off x="2849796" y="75280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398</xdr:row>
      <xdr:rowOff>171450</xdr:rowOff>
    </xdr:from>
    <xdr:to>
      <xdr:col>3</xdr:col>
      <xdr:colOff>504825</xdr:colOff>
      <xdr:row>403</xdr:row>
      <xdr:rowOff>47625</xdr:rowOff>
    </xdr:to>
    <xdr:pic>
      <xdr:nvPicPr>
        <xdr:cNvPr id="447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72751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385081</xdr:colOff>
      <xdr:row>418</xdr:row>
      <xdr:rowOff>297027</xdr:rowOff>
    </xdr:from>
    <xdr:to>
      <xdr:col>3</xdr:col>
      <xdr:colOff>392907</xdr:colOff>
      <xdr:row>422</xdr:row>
      <xdr:rowOff>154781</xdr:rowOff>
    </xdr:to>
    <xdr:cxnSp macro="">
      <xdr:nvCxnSpPr>
        <xdr:cNvPr id="466" name="Straight Connector 465"/>
        <xdr:cNvCxnSpPr/>
      </xdr:nvCxnSpPr>
      <xdr:spPr>
        <a:xfrm>
          <a:off x="3175346" y="4495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422</xdr:row>
      <xdr:rowOff>142875</xdr:rowOff>
    </xdr:from>
    <xdr:to>
      <xdr:col>4</xdr:col>
      <xdr:colOff>11908</xdr:colOff>
      <xdr:row>422</xdr:row>
      <xdr:rowOff>154782</xdr:rowOff>
    </xdr:to>
    <xdr:cxnSp macro="">
      <xdr:nvCxnSpPr>
        <xdr:cNvPr id="467" name="Straight Connector 466"/>
        <xdr:cNvCxnSpPr/>
      </xdr:nvCxnSpPr>
      <xdr:spPr>
        <a:xfrm flipH="1" flipV="1">
          <a:off x="3159360" y="45672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418</xdr:row>
      <xdr:rowOff>305147</xdr:rowOff>
    </xdr:from>
    <xdr:to>
      <xdr:col>3</xdr:col>
      <xdr:colOff>130969</xdr:colOff>
      <xdr:row>420</xdr:row>
      <xdr:rowOff>11906</xdr:rowOff>
    </xdr:to>
    <xdr:cxnSp macro="">
      <xdr:nvCxnSpPr>
        <xdr:cNvPr id="468" name="Straight Arrow Connector 467"/>
        <xdr:cNvCxnSpPr/>
      </xdr:nvCxnSpPr>
      <xdr:spPr>
        <a:xfrm flipH="1" flipV="1">
          <a:off x="2913960" y="4495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421</xdr:row>
      <xdr:rowOff>11907</xdr:rowOff>
    </xdr:from>
    <xdr:to>
      <xdr:col>3</xdr:col>
      <xdr:colOff>130969</xdr:colOff>
      <xdr:row>422</xdr:row>
      <xdr:rowOff>154782</xdr:rowOff>
    </xdr:to>
    <xdr:cxnSp macro="">
      <xdr:nvCxnSpPr>
        <xdr:cNvPr id="469" name="Straight Arrow Connector 468"/>
        <xdr:cNvCxnSpPr/>
      </xdr:nvCxnSpPr>
      <xdr:spPr>
        <a:xfrm>
          <a:off x="2921234" y="4535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89297</xdr:rowOff>
    </xdr:from>
    <xdr:to>
      <xdr:col>3</xdr:col>
      <xdr:colOff>178594</xdr:colOff>
      <xdr:row>426</xdr:row>
      <xdr:rowOff>59531</xdr:rowOff>
    </xdr:to>
    <xdr:cxnSp macro="">
      <xdr:nvCxnSpPr>
        <xdr:cNvPr id="470" name="Straight Connector 469"/>
        <xdr:cNvCxnSpPr/>
      </xdr:nvCxnSpPr>
      <xdr:spPr>
        <a:xfrm>
          <a:off x="2849796" y="4619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425</xdr:row>
      <xdr:rowOff>35719</xdr:rowOff>
    </xdr:from>
    <xdr:to>
      <xdr:col>3</xdr:col>
      <xdr:colOff>285750</xdr:colOff>
      <xdr:row>425</xdr:row>
      <xdr:rowOff>154781</xdr:rowOff>
    </xdr:to>
    <xdr:cxnSp macro="">
      <xdr:nvCxnSpPr>
        <xdr:cNvPr id="471" name="Straight Connector 470"/>
        <xdr:cNvCxnSpPr/>
      </xdr:nvCxnSpPr>
      <xdr:spPr>
        <a:xfrm>
          <a:off x="2885515" y="4613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425</xdr:row>
      <xdr:rowOff>44824</xdr:rowOff>
    </xdr:from>
    <xdr:to>
      <xdr:col>3</xdr:col>
      <xdr:colOff>67235</xdr:colOff>
      <xdr:row>427</xdr:row>
      <xdr:rowOff>156883</xdr:rowOff>
    </xdr:to>
    <xdr:cxnSp macro="">
      <xdr:nvCxnSpPr>
        <xdr:cNvPr id="472" name="Straight Connector 471"/>
        <xdr:cNvCxnSpPr/>
      </xdr:nvCxnSpPr>
      <xdr:spPr>
        <a:xfrm>
          <a:off x="2857500" y="4614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427</xdr:row>
      <xdr:rowOff>166690</xdr:rowOff>
    </xdr:from>
    <xdr:to>
      <xdr:col>4</xdr:col>
      <xdr:colOff>29308</xdr:colOff>
      <xdr:row>427</xdr:row>
      <xdr:rowOff>168519</xdr:rowOff>
    </xdr:to>
    <xdr:cxnSp macro="">
      <xdr:nvCxnSpPr>
        <xdr:cNvPr id="473" name="Straight Connector 472"/>
        <xdr:cNvCxnSpPr/>
      </xdr:nvCxnSpPr>
      <xdr:spPr>
        <a:xfrm>
          <a:off x="2849796" y="4664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425</xdr:row>
      <xdr:rowOff>41673</xdr:rowOff>
    </xdr:from>
    <xdr:to>
      <xdr:col>4</xdr:col>
      <xdr:colOff>12211</xdr:colOff>
      <xdr:row>428</xdr:row>
      <xdr:rowOff>0</xdr:rowOff>
    </xdr:to>
    <xdr:cxnSp macro="">
      <xdr:nvCxnSpPr>
        <xdr:cNvPr id="474" name="Straight Connector 473"/>
        <xdr:cNvCxnSpPr/>
      </xdr:nvCxnSpPr>
      <xdr:spPr>
        <a:xfrm flipH="1" flipV="1">
          <a:off x="3507441" y="4614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32918</xdr:rowOff>
    </xdr:from>
    <xdr:to>
      <xdr:col>4</xdr:col>
      <xdr:colOff>17861</xdr:colOff>
      <xdr:row>425</xdr:row>
      <xdr:rowOff>35719</xdr:rowOff>
    </xdr:to>
    <xdr:cxnSp macro="">
      <xdr:nvCxnSpPr>
        <xdr:cNvPr id="475" name="Straight Connector 474"/>
        <xdr:cNvCxnSpPr/>
      </xdr:nvCxnSpPr>
      <xdr:spPr>
        <a:xfrm flipH="1">
          <a:off x="2849796" y="4613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89297</xdr:rowOff>
    </xdr:from>
    <xdr:to>
      <xdr:col>3</xdr:col>
      <xdr:colOff>178594</xdr:colOff>
      <xdr:row>436</xdr:row>
      <xdr:rowOff>59531</xdr:rowOff>
    </xdr:to>
    <xdr:cxnSp macro="">
      <xdr:nvCxnSpPr>
        <xdr:cNvPr id="476" name="Straight Connector 475"/>
        <xdr:cNvCxnSpPr/>
      </xdr:nvCxnSpPr>
      <xdr:spPr>
        <a:xfrm>
          <a:off x="2849796" y="4809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435</xdr:row>
      <xdr:rowOff>35719</xdr:rowOff>
    </xdr:from>
    <xdr:to>
      <xdr:col>3</xdr:col>
      <xdr:colOff>285750</xdr:colOff>
      <xdr:row>435</xdr:row>
      <xdr:rowOff>154781</xdr:rowOff>
    </xdr:to>
    <xdr:cxnSp macro="">
      <xdr:nvCxnSpPr>
        <xdr:cNvPr id="477" name="Straight Connector 476"/>
        <xdr:cNvCxnSpPr/>
      </xdr:nvCxnSpPr>
      <xdr:spPr>
        <a:xfrm>
          <a:off x="2885515" y="4804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435</xdr:row>
      <xdr:rowOff>44824</xdr:rowOff>
    </xdr:from>
    <xdr:to>
      <xdr:col>3</xdr:col>
      <xdr:colOff>67235</xdr:colOff>
      <xdr:row>437</xdr:row>
      <xdr:rowOff>156883</xdr:rowOff>
    </xdr:to>
    <xdr:cxnSp macro="">
      <xdr:nvCxnSpPr>
        <xdr:cNvPr id="478" name="Straight Connector 477"/>
        <xdr:cNvCxnSpPr/>
      </xdr:nvCxnSpPr>
      <xdr:spPr>
        <a:xfrm>
          <a:off x="2857500" y="4805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437</xdr:row>
      <xdr:rowOff>166690</xdr:rowOff>
    </xdr:from>
    <xdr:to>
      <xdr:col>4</xdr:col>
      <xdr:colOff>29308</xdr:colOff>
      <xdr:row>437</xdr:row>
      <xdr:rowOff>168519</xdr:rowOff>
    </xdr:to>
    <xdr:cxnSp macro="">
      <xdr:nvCxnSpPr>
        <xdr:cNvPr id="479" name="Straight Connector 478"/>
        <xdr:cNvCxnSpPr/>
      </xdr:nvCxnSpPr>
      <xdr:spPr>
        <a:xfrm>
          <a:off x="2849796" y="48553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435</xdr:row>
      <xdr:rowOff>41673</xdr:rowOff>
    </xdr:from>
    <xdr:to>
      <xdr:col>4</xdr:col>
      <xdr:colOff>12211</xdr:colOff>
      <xdr:row>438</xdr:row>
      <xdr:rowOff>0</xdr:rowOff>
    </xdr:to>
    <xdr:cxnSp macro="">
      <xdr:nvCxnSpPr>
        <xdr:cNvPr id="480" name="Straight Connector 479"/>
        <xdr:cNvCxnSpPr/>
      </xdr:nvCxnSpPr>
      <xdr:spPr>
        <a:xfrm flipH="1" flipV="1">
          <a:off x="3507441" y="4804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32918</xdr:rowOff>
    </xdr:from>
    <xdr:to>
      <xdr:col>4</xdr:col>
      <xdr:colOff>17861</xdr:colOff>
      <xdr:row>435</xdr:row>
      <xdr:rowOff>35719</xdr:rowOff>
    </xdr:to>
    <xdr:cxnSp macro="">
      <xdr:nvCxnSpPr>
        <xdr:cNvPr id="481" name="Straight Connector 480"/>
        <xdr:cNvCxnSpPr/>
      </xdr:nvCxnSpPr>
      <xdr:spPr>
        <a:xfrm flipH="1">
          <a:off x="2849796" y="48038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418</xdr:row>
      <xdr:rowOff>171450</xdr:rowOff>
    </xdr:from>
    <xdr:to>
      <xdr:col>3</xdr:col>
      <xdr:colOff>504825</xdr:colOff>
      <xdr:row>423</xdr:row>
      <xdr:rowOff>47625</xdr:rowOff>
    </xdr:to>
    <xdr:pic>
      <xdr:nvPicPr>
        <xdr:cNvPr id="482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4493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430</xdr:row>
      <xdr:rowOff>89297</xdr:rowOff>
    </xdr:from>
    <xdr:to>
      <xdr:col>3</xdr:col>
      <xdr:colOff>178594</xdr:colOff>
      <xdr:row>431</xdr:row>
      <xdr:rowOff>59531</xdr:rowOff>
    </xdr:to>
    <xdr:cxnSp macro="">
      <xdr:nvCxnSpPr>
        <xdr:cNvPr id="483" name="Straight Connector 482"/>
        <xdr:cNvCxnSpPr/>
      </xdr:nvCxnSpPr>
      <xdr:spPr>
        <a:xfrm>
          <a:off x="2849796" y="4714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430</xdr:row>
      <xdr:rowOff>35719</xdr:rowOff>
    </xdr:from>
    <xdr:to>
      <xdr:col>3</xdr:col>
      <xdr:colOff>285750</xdr:colOff>
      <xdr:row>430</xdr:row>
      <xdr:rowOff>154781</xdr:rowOff>
    </xdr:to>
    <xdr:cxnSp macro="">
      <xdr:nvCxnSpPr>
        <xdr:cNvPr id="484" name="Straight Connector 483"/>
        <xdr:cNvCxnSpPr/>
      </xdr:nvCxnSpPr>
      <xdr:spPr>
        <a:xfrm>
          <a:off x="2885515" y="4708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430</xdr:row>
      <xdr:rowOff>44824</xdr:rowOff>
    </xdr:from>
    <xdr:to>
      <xdr:col>3</xdr:col>
      <xdr:colOff>67235</xdr:colOff>
      <xdr:row>432</xdr:row>
      <xdr:rowOff>156883</xdr:rowOff>
    </xdr:to>
    <xdr:cxnSp macro="">
      <xdr:nvCxnSpPr>
        <xdr:cNvPr id="485" name="Straight Connector 484"/>
        <xdr:cNvCxnSpPr/>
      </xdr:nvCxnSpPr>
      <xdr:spPr>
        <a:xfrm>
          <a:off x="2857500" y="4709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432</xdr:row>
      <xdr:rowOff>166690</xdr:rowOff>
    </xdr:from>
    <xdr:to>
      <xdr:col>4</xdr:col>
      <xdr:colOff>29308</xdr:colOff>
      <xdr:row>432</xdr:row>
      <xdr:rowOff>168519</xdr:rowOff>
    </xdr:to>
    <xdr:cxnSp macro="">
      <xdr:nvCxnSpPr>
        <xdr:cNvPr id="486" name="Straight Connector 485"/>
        <xdr:cNvCxnSpPr/>
      </xdr:nvCxnSpPr>
      <xdr:spPr>
        <a:xfrm>
          <a:off x="2849796" y="4760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430</xdr:row>
      <xdr:rowOff>41673</xdr:rowOff>
    </xdr:from>
    <xdr:to>
      <xdr:col>4</xdr:col>
      <xdr:colOff>12211</xdr:colOff>
      <xdr:row>433</xdr:row>
      <xdr:rowOff>0</xdr:rowOff>
    </xdr:to>
    <xdr:cxnSp macro="">
      <xdr:nvCxnSpPr>
        <xdr:cNvPr id="487" name="Straight Connector 486"/>
        <xdr:cNvCxnSpPr/>
      </xdr:nvCxnSpPr>
      <xdr:spPr>
        <a:xfrm flipH="1" flipV="1">
          <a:off x="3507441" y="4709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430</xdr:row>
      <xdr:rowOff>32918</xdr:rowOff>
    </xdr:from>
    <xdr:to>
      <xdr:col>4</xdr:col>
      <xdr:colOff>17861</xdr:colOff>
      <xdr:row>430</xdr:row>
      <xdr:rowOff>35719</xdr:rowOff>
    </xdr:to>
    <xdr:cxnSp macro="">
      <xdr:nvCxnSpPr>
        <xdr:cNvPr id="488" name="Straight Connector 487"/>
        <xdr:cNvCxnSpPr/>
      </xdr:nvCxnSpPr>
      <xdr:spPr>
        <a:xfrm flipH="1">
          <a:off x="2849796" y="4708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89297</xdr:rowOff>
    </xdr:from>
    <xdr:to>
      <xdr:col>3</xdr:col>
      <xdr:colOff>178594</xdr:colOff>
      <xdr:row>441</xdr:row>
      <xdr:rowOff>59531</xdr:rowOff>
    </xdr:to>
    <xdr:cxnSp macro="">
      <xdr:nvCxnSpPr>
        <xdr:cNvPr id="489" name="Straight Connector 488"/>
        <xdr:cNvCxnSpPr/>
      </xdr:nvCxnSpPr>
      <xdr:spPr>
        <a:xfrm>
          <a:off x="2849796" y="4904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440</xdr:row>
      <xdr:rowOff>35719</xdr:rowOff>
    </xdr:from>
    <xdr:to>
      <xdr:col>3</xdr:col>
      <xdr:colOff>285750</xdr:colOff>
      <xdr:row>440</xdr:row>
      <xdr:rowOff>154781</xdr:rowOff>
    </xdr:to>
    <xdr:cxnSp macro="">
      <xdr:nvCxnSpPr>
        <xdr:cNvPr id="490" name="Straight Connector 489"/>
        <xdr:cNvCxnSpPr/>
      </xdr:nvCxnSpPr>
      <xdr:spPr>
        <a:xfrm>
          <a:off x="2885515" y="4899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440</xdr:row>
      <xdr:rowOff>44824</xdr:rowOff>
    </xdr:from>
    <xdr:to>
      <xdr:col>3</xdr:col>
      <xdr:colOff>67235</xdr:colOff>
      <xdr:row>442</xdr:row>
      <xdr:rowOff>156883</xdr:rowOff>
    </xdr:to>
    <xdr:cxnSp macro="">
      <xdr:nvCxnSpPr>
        <xdr:cNvPr id="491" name="Straight Connector 490"/>
        <xdr:cNvCxnSpPr/>
      </xdr:nvCxnSpPr>
      <xdr:spPr>
        <a:xfrm>
          <a:off x="2857500" y="4900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442</xdr:row>
      <xdr:rowOff>166690</xdr:rowOff>
    </xdr:from>
    <xdr:to>
      <xdr:col>4</xdr:col>
      <xdr:colOff>29308</xdr:colOff>
      <xdr:row>442</xdr:row>
      <xdr:rowOff>168519</xdr:rowOff>
    </xdr:to>
    <xdr:cxnSp macro="">
      <xdr:nvCxnSpPr>
        <xdr:cNvPr id="492" name="Straight Connector 491"/>
        <xdr:cNvCxnSpPr/>
      </xdr:nvCxnSpPr>
      <xdr:spPr>
        <a:xfrm>
          <a:off x="2849796" y="49506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440</xdr:row>
      <xdr:rowOff>41673</xdr:rowOff>
    </xdr:from>
    <xdr:to>
      <xdr:col>4</xdr:col>
      <xdr:colOff>12211</xdr:colOff>
      <xdr:row>443</xdr:row>
      <xdr:rowOff>0</xdr:rowOff>
    </xdr:to>
    <xdr:cxnSp macro="">
      <xdr:nvCxnSpPr>
        <xdr:cNvPr id="493" name="Straight Connector 492"/>
        <xdr:cNvCxnSpPr/>
      </xdr:nvCxnSpPr>
      <xdr:spPr>
        <a:xfrm flipH="1" flipV="1">
          <a:off x="3507441" y="4900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32918</xdr:rowOff>
    </xdr:from>
    <xdr:to>
      <xdr:col>4</xdr:col>
      <xdr:colOff>17861</xdr:colOff>
      <xdr:row>440</xdr:row>
      <xdr:rowOff>35719</xdr:rowOff>
    </xdr:to>
    <xdr:cxnSp macro="">
      <xdr:nvCxnSpPr>
        <xdr:cNvPr id="494" name="Straight Connector 493"/>
        <xdr:cNvCxnSpPr/>
      </xdr:nvCxnSpPr>
      <xdr:spPr>
        <a:xfrm flipH="1">
          <a:off x="2849796" y="48991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89297</xdr:rowOff>
    </xdr:from>
    <xdr:to>
      <xdr:col>3</xdr:col>
      <xdr:colOff>178594</xdr:colOff>
      <xdr:row>446</xdr:row>
      <xdr:rowOff>59531</xdr:rowOff>
    </xdr:to>
    <xdr:cxnSp macro="">
      <xdr:nvCxnSpPr>
        <xdr:cNvPr id="495" name="Straight Connector 494"/>
        <xdr:cNvCxnSpPr/>
      </xdr:nvCxnSpPr>
      <xdr:spPr>
        <a:xfrm>
          <a:off x="2849796" y="5000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445</xdr:row>
      <xdr:rowOff>35719</xdr:rowOff>
    </xdr:from>
    <xdr:to>
      <xdr:col>3</xdr:col>
      <xdr:colOff>285750</xdr:colOff>
      <xdr:row>445</xdr:row>
      <xdr:rowOff>154781</xdr:rowOff>
    </xdr:to>
    <xdr:cxnSp macro="">
      <xdr:nvCxnSpPr>
        <xdr:cNvPr id="496" name="Straight Connector 495"/>
        <xdr:cNvCxnSpPr/>
      </xdr:nvCxnSpPr>
      <xdr:spPr>
        <a:xfrm>
          <a:off x="2885515" y="4994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445</xdr:row>
      <xdr:rowOff>44824</xdr:rowOff>
    </xdr:from>
    <xdr:to>
      <xdr:col>3</xdr:col>
      <xdr:colOff>67235</xdr:colOff>
      <xdr:row>447</xdr:row>
      <xdr:rowOff>156883</xdr:rowOff>
    </xdr:to>
    <xdr:cxnSp macro="">
      <xdr:nvCxnSpPr>
        <xdr:cNvPr id="497" name="Straight Connector 496"/>
        <xdr:cNvCxnSpPr/>
      </xdr:nvCxnSpPr>
      <xdr:spPr>
        <a:xfrm>
          <a:off x="2857500" y="4995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447</xdr:row>
      <xdr:rowOff>166690</xdr:rowOff>
    </xdr:from>
    <xdr:to>
      <xdr:col>4</xdr:col>
      <xdr:colOff>29308</xdr:colOff>
      <xdr:row>447</xdr:row>
      <xdr:rowOff>168519</xdr:rowOff>
    </xdr:to>
    <xdr:cxnSp macro="">
      <xdr:nvCxnSpPr>
        <xdr:cNvPr id="498" name="Straight Connector 497"/>
        <xdr:cNvCxnSpPr/>
      </xdr:nvCxnSpPr>
      <xdr:spPr>
        <a:xfrm>
          <a:off x="2849796" y="5045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445</xdr:row>
      <xdr:rowOff>41673</xdr:rowOff>
    </xdr:from>
    <xdr:to>
      <xdr:col>4</xdr:col>
      <xdr:colOff>12211</xdr:colOff>
      <xdr:row>448</xdr:row>
      <xdr:rowOff>0</xdr:rowOff>
    </xdr:to>
    <xdr:cxnSp macro="">
      <xdr:nvCxnSpPr>
        <xdr:cNvPr id="499" name="Straight Connector 498"/>
        <xdr:cNvCxnSpPr/>
      </xdr:nvCxnSpPr>
      <xdr:spPr>
        <a:xfrm flipH="1" flipV="1">
          <a:off x="3507441" y="4995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32918</xdr:rowOff>
    </xdr:from>
    <xdr:to>
      <xdr:col>4</xdr:col>
      <xdr:colOff>17861</xdr:colOff>
      <xdr:row>445</xdr:row>
      <xdr:rowOff>35719</xdr:rowOff>
    </xdr:to>
    <xdr:cxnSp macro="">
      <xdr:nvCxnSpPr>
        <xdr:cNvPr id="500" name="Straight Connector 499"/>
        <xdr:cNvCxnSpPr/>
      </xdr:nvCxnSpPr>
      <xdr:spPr>
        <a:xfrm flipH="1">
          <a:off x="2849796" y="4994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89297</xdr:rowOff>
    </xdr:from>
    <xdr:to>
      <xdr:col>3</xdr:col>
      <xdr:colOff>178594</xdr:colOff>
      <xdr:row>451</xdr:row>
      <xdr:rowOff>59531</xdr:rowOff>
    </xdr:to>
    <xdr:cxnSp macro="">
      <xdr:nvCxnSpPr>
        <xdr:cNvPr id="501" name="Straight Connector 500"/>
        <xdr:cNvCxnSpPr/>
      </xdr:nvCxnSpPr>
      <xdr:spPr>
        <a:xfrm>
          <a:off x="2849796" y="5095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450</xdr:row>
      <xdr:rowOff>35719</xdr:rowOff>
    </xdr:from>
    <xdr:to>
      <xdr:col>3</xdr:col>
      <xdr:colOff>285750</xdr:colOff>
      <xdr:row>450</xdr:row>
      <xdr:rowOff>154781</xdr:rowOff>
    </xdr:to>
    <xdr:cxnSp macro="">
      <xdr:nvCxnSpPr>
        <xdr:cNvPr id="502" name="Straight Connector 501"/>
        <xdr:cNvCxnSpPr/>
      </xdr:nvCxnSpPr>
      <xdr:spPr>
        <a:xfrm>
          <a:off x="2885515" y="5089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450</xdr:row>
      <xdr:rowOff>44824</xdr:rowOff>
    </xdr:from>
    <xdr:to>
      <xdr:col>3</xdr:col>
      <xdr:colOff>67235</xdr:colOff>
      <xdr:row>452</xdr:row>
      <xdr:rowOff>156883</xdr:rowOff>
    </xdr:to>
    <xdr:cxnSp macro="">
      <xdr:nvCxnSpPr>
        <xdr:cNvPr id="503" name="Straight Connector 502"/>
        <xdr:cNvCxnSpPr/>
      </xdr:nvCxnSpPr>
      <xdr:spPr>
        <a:xfrm>
          <a:off x="2857500" y="5090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452</xdr:row>
      <xdr:rowOff>166690</xdr:rowOff>
    </xdr:from>
    <xdr:to>
      <xdr:col>4</xdr:col>
      <xdr:colOff>29308</xdr:colOff>
      <xdr:row>452</xdr:row>
      <xdr:rowOff>168519</xdr:rowOff>
    </xdr:to>
    <xdr:cxnSp macro="">
      <xdr:nvCxnSpPr>
        <xdr:cNvPr id="504" name="Straight Connector 503"/>
        <xdr:cNvCxnSpPr/>
      </xdr:nvCxnSpPr>
      <xdr:spPr>
        <a:xfrm>
          <a:off x="2849796" y="5141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450</xdr:row>
      <xdr:rowOff>41673</xdr:rowOff>
    </xdr:from>
    <xdr:to>
      <xdr:col>4</xdr:col>
      <xdr:colOff>12211</xdr:colOff>
      <xdr:row>453</xdr:row>
      <xdr:rowOff>0</xdr:rowOff>
    </xdr:to>
    <xdr:cxnSp macro="">
      <xdr:nvCxnSpPr>
        <xdr:cNvPr id="505" name="Straight Connector 504"/>
        <xdr:cNvCxnSpPr/>
      </xdr:nvCxnSpPr>
      <xdr:spPr>
        <a:xfrm flipH="1" flipV="1">
          <a:off x="3507441" y="5090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32918</xdr:rowOff>
    </xdr:from>
    <xdr:to>
      <xdr:col>4</xdr:col>
      <xdr:colOff>17861</xdr:colOff>
      <xdr:row>450</xdr:row>
      <xdr:rowOff>35719</xdr:rowOff>
    </xdr:to>
    <xdr:cxnSp macro="">
      <xdr:nvCxnSpPr>
        <xdr:cNvPr id="506" name="Straight Connector 505"/>
        <xdr:cNvCxnSpPr/>
      </xdr:nvCxnSpPr>
      <xdr:spPr>
        <a:xfrm flipH="1">
          <a:off x="2849796" y="5089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35719</xdr:rowOff>
    </xdr:from>
    <xdr:to>
      <xdr:col>3</xdr:col>
      <xdr:colOff>428625</xdr:colOff>
      <xdr:row>457</xdr:row>
      <xdr:rowOff>178594</xdr:rowOff>
    </xdr:to>
    <xdr:cxnSp macro="">
      <xdr:nvCxnSpPr>
        <xdr:cNvPr id="507" name="Straight Connector 506"/>
        <xdr:cNvCxnSpPr/>
      </xdr:nvCxnSpPr>
      <xdr:spPr>
        <a:xfrm>
          <a:off x="3218890" y="51851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457</xdr:row>
      <xdr:rowOff>95249</xdr:rowOff>
    </xdr:from>
    <xdr:to>
      <xdr:col>3</xdr:col>
      <xdr:colOff>571500</xdr:colOff>
      <xdr:row>457</xdr:row>
      <xdr:rowOff>154780</xdr:rowOff>
    </xdr:to>
    <xdr:cxnSp macro="">
      <xdr:nvCxnSpPr>
        <xdr:cNvPr id="508" name="Straight Connector 507"/>
        <xdr:cNvCxnSpPr/>
      </xdr:nvCxnSpPr>
      <xdr:spPr>
        <a:xfrm flipH="1">
          <a:off x="3218890" y="52292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47625</xdr:rowOff>
    </xdr:from>
    <xdr:to>
      <xdr:col>3</xdr:col>
      <xdr:colOff>595313</xdr:colOff>
      <xdr:row>455</xdr:row>
      <xdr:rowOff>119062</xdr:rowOff>
    </xdr:to>
    <xdr:cxnSp macro="">
      <xdr:nvCxnSpPr>
        <xdr:cNvPr id="509" name="Straight Connector 508"/>
        <xdr:cNvCxnSpPr/>
      </xdr:nvCxnSpPr>
      <xdr:spPr>
        <a:xfrm>
          <a:off x="3218890" y="51863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418</xdr:row>
      <xdr:rowOff>297027</xdr:rowOff>
    </xdr:from>
    <xdr:to>
      <xdr:col>3</xdr:col>
      <xdr:colOff>392907</xdr:colOff>
      <xdr:row>422</xdr:row>
      <xdr:rowOff>154781</xdr:rowOff>
    </xdr:to>
    <xdr:cxnSp macro="">
      <xdr:nvCxnSpPr>
        <xdr:cNvPr id="510" name="Straight Connector 509"/>
        <xdr:cNvCxnSpPr/>
      </xdr:nvCxnSpPr>
      <xdr:spPr>
        <a:xfrm>
          <a:off x="3175346" y="5257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422</xdr:row>
      <xdr:rowOff>142875</xdr:rowOff>
    </xdr:from>
    <xdr:to>
      <xdr:col>4</xdr:col>
      <xdr:colOff>11908</xdr:colOff>
      <xdr:row>422</xdr:row>
      <xdr:rowOff>154782</xdr:rowOff>
    </xdr:to>
    <xdr:cxnSp macro="">
      <xdr:nvCxnSpPr>
        <xdr:cNvPr id="511" name="Straight Connector 510"/>
        <xdr:cNvCxnSpPr/>
      </xdr:nvCxnSpPr>
      <xdr:spPr>
        <a:xfrm flipH="1" flipV="1">
          <a:off x="3159360" y="53292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418</xdr:row>
      <xdr:rowOff>305147</xdr:rowOff>
    </xdr:from>
    <xdr:to>
      <xdr:col>3</xdr:col>
      <xdr:colOff>130969</xdr:colOff>
      <xdr:row>420</xdr:row>
      <xdr:rowOff>11906</xdr:rowOff>
    </xdr:to>
    <xdr:cxnSp macro="">
      <xdr:nvCxnSpPr>
        <xdr:cNvPr id="512" name="Straight Arrow Connector 511"/>
        <xdr:cNvCxnSpPr/>
      </xdr:nvCxnSpPr>
      <xdr:spPr>
        <a:xfrm flipH="1" flipV="1">
          <a:off x="2913960" y="5257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421</xdr:row>
      <xdr:rowOff>11907</xdr:rowOff>
    </xdr:from>
    <xdr:to>
      <xdr:col>3</xdr:col>
      <xdr:colOff>130969</xdr:colOff>
      <xdr:row>422</xdr:row>
      <xdr:rowOff>154782</xdr:rowOff>
    </xdr:to>
    <xdr:cxnSp macro="">
      <xdr:nvCxnSpPr>
        <xdr:cNvPr id="513" name="Straight Arrow Connector 512"/>
        <xdr:cNvCxnSpPr/>
      </xdr:nvCxnSpPr>
      <xdr:spPr>
        <a:xfrm>
          <a:off x="2921234" y="5297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89297</xdr:rowOff>
    </xdr:from>
    <xdr:to>
      <xdr:col>3</xdr:col>
      <xdr:colOff>178594</xdr:colOff>
      <xdr:row>426</xdr:row>
      <xdr:rowOff>59531</xdr:rowOff>
    </xdr:to>
    <xdr:cxnSp macro="">
      <xdr:nvCxnSpPr>
        <xdr:cNvPr id="514" name="Straight Connector 513"/>
        <xdr:cNvCxnSpPr/>
      </xdr:nvCxnSpPr>
      <xdr:spPr>
        <a:xfrm>
          <a:off x="2849796" y="5381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425</xdr:row>
      <xdr:rowOff>35719</xdr:rowOff>
    </xdr:from>
    <xdr:to>
      <xdr:col>3</xdr:col>
      <xdr:colOff>285750</xdr:colOff>
      <xdr:row>425</xdr:row>
      <xdr:rowOff>154781</xdr:rowOff>
    </xdr:to>
    <xdr:cxnSp macro="">
      <xdr:nvCxnSpPr>
        <xdr:cNvPr id="515" name="Straight Connector 514"/>
        <xdr:cNvCxnSpPr/>
      </xdr:nvCxnSpPr>
      <xdr:spPr>
        <a:xfrm>
          <a:off x="2885515" y="5375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425</xdr:row>
      <xdr:rowOff>44824</xdr:rowOff>
    </xdr:from>
    <xdr:to>
      <xdr:col>3</xdr:col>
      <xdr:colOff>67235</xdr:colOff>
      <xdr:row>427</xdr:row>
      <xdr:rowOff>156883</xdr:rowOff>
    </xdr:to>
    <xdr:cxnSp macro="">
      <xdr:nvCxnSpPr>
        <xdr:cNvPr id="516" name="Straight Connector 515"/>
        <xdr:cNvCxnSpPr/>
      </xdr:nvCxnSpPr>
      <xdr:spPr>
        <a:xfrm>
          <a:off x="2857500" y="5376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427</xdr:row>
      <xdr:rowOff>166690</xdr:rowOff>
    </xdr:from>
    <xdr:to>
      <xdr:col>4</xdr:col>
      <xdr:colOff>29308</xdr:colOff>
      <xdr:row>427</xdr:row>
      <xdr:rowOff>168519</xdr:rowOff>
    </xdr:to>
    <xdr:cxnSp macro="">
      <xdr:nvCxnSpPr>
        <xdr:cNvPr id="517" name="Straight Connector 516"/>
        <xdr:cNvCxnSpPr/>
      </xdr:nvCxnSpPr>
      <xdr:spPr>
        <a:xfrm>
          <a:off x="2849796" y="5426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425</xdr:row>
      <xdr:rowOff>41673</xdr:rowOff>
    </xdr:from>
    <xdr:to>
      <xdr:col>4</xdr:col>
      <xdr:colOff>12211</xdr:colOff>
      <xdr:row>428</xdr:row>
      <xdr:rowOff>0</xdr:rowOff>
    </xdr:to>
    <xdr:cxnSp macro="">
      <xdr:nvCxnSpPr>
        <xdr:cNvPr id="518" name="Straight Connector 517"/>
        <xdr:cNvCxnSpPr/>
      </xdr:nvCxnSpPr>
      <xdr:spPr>
        <a:xfrm flipH="1" flipV="1">
          <a:off x="3507441" y="5376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425</xdr:row>
      <xdr:rowOff>32918</xdr:rowOff>
    </xdr:from>
    <xdr:to>
      <xdr:col>4</xdr:col>
      <xdr:colOff>17861</xdr:colOff>
      <xdr:row>425</xdr:row>
      <xdr:rowOff>35719</xdr:rowOff>
    </xdr:to>
    <xdr:cxnSp macro="">
      <xdr:nvCxnSpPr>
        <xdr:cNvPr id="519" name="Straight Connector 518"/>
        <xdr:cNvCxnSpPr/>
      </xdr:nvCxnSpPr>
      <xdr:spPr>
        <a:xfrm flipH="1">
          <a:off x="2849796" y="5375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89297</xdr:rowOff>
    </xdr:from>
    <xdr:to>
      <xdr:col>3</xdr:col>
      <xdr:colOff>178594</xdr:colOff>
      <xdr:row>436</xdr:row>
      <xdr:rowOff>59531</xdr:rowOff>
    </xdr:to>
    <xdr:cxnSp macro="">
      <xdr:nvCxnSpPr>
        <xdr:cNvPr id="520" name="Straight Connector 519"/>
        <xdr:cNvCxnSpPr/>
      </xdr:nvCxnSpPr>
      <xdr:spPr>
        <a:xfrm>
          <a:off x="2849796" y="5571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435</xdr:row>
      <xdr:rowOff>35719</xdr:rowOff>
    </xdr:from>
    <xdr:to>
      <xdr:col>3</xdr:col>
      <xdr:colOff>285750</xdr:colOff>
      <xdr:row>435</xdr:row>
      <xdr:rowOff>154781</xdr:rowOff>
    </xdr:to>
    <xdr:cxnSp macro="">
      <xdr:nvCxnSpPr>
        <xdr:cNvPr id="521" name="Straight Connector 520"/>
        <xdr:cNvCxnSpPr/>
      </xdr:nvCxnSpPr>
      <xdr:spPr>
        <a:xfrm>
          <a:off x="2885515" y="5566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435</xdr:row>
      <xdr:rowOff>44824</xdr:rowOff>
    </xdr:from>
    <xdr:to>
      <xdr:col>3</xdr:col>
      <xdr:colOff>67235</xdr:colOff>
      <xdr:row>437</xdr:row>
      <xdr:rowOff>156883</xdr:rowOff>
    </xdr:to>
    <xdr:cxnSp macro="">
      <xdr:nvCxnSpPr>
        <xdr:cNvPr id="522" name="Straight Connector 521"/>
        <xdr:cNvCxnSpPr/>
      </xdr:nvCxnSpPr>
      <xdr:spPr>
        <a:xfrm>
          <a:off x="2857500" y="5567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437</xdr:row>
      <xdr:rowOff>166690</xdr:rowOff>
    </xdr:from>
    <xdr:to>
      <xdr:col>4</xdr:col>
      <xdr:colOff>29308</xdr:colOff>
      <xdr:row>437</xdr:row>
      <xdr:rowOff>168519</xdr:rowOff>
    </xdr:to>
    <xdr:cxnSp macro="">
      <xdr:nvCxnSpPr>
        <xdr:cNvPr id="523" name="Straight Connector 522"/>
        <xdr:cNvCxnSpPr/>
      </xdr:nvCxnSpPr>
      <xdr:spPr>
        <a:xfrm>
          <a:off x="2849796" y="56173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435</xdr:row>
      <xdr:rowOff>41673</xdr:rowOff>
    </xdr:from>
    <xdr:to>
      <xdr:col>4</xdr:col>
      <xdr:colOff>12211</xdr:colOff>
      <xdr:row>438</xdr:row>
      <xdr:rowOff>0</xdr:rowOff>
    </xdr:to>
    <xdr:cxnSp macro="">
      <xdr:nvCxnSpPr>
        <xdr:cNvPr id="524" name="Straight Connector 523"/>
        <xdr:cNvCxnSpPr/>
      </xdr:nvCxnSpPr>
      <xdr:spPr>
        <a:xfrm flipH="1" flipV="1">
          <a:off x="3507441" y="5566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435</xdr:row>
      <xdr:rowOff>32918</xdr:rowOff>
    </xdr:from>
    <xdr:to>
      <xdr:col>4</xdr:col>
      <xdr:colOff>17861</xdr:colOff>
      <xdr:row>435</xdr:row>
      <xdr:rowOff>35719</xdr:rowOff>
    </xdr:to>
    <xdr:cxnSp macro="">
      <xdr:nvCxnSpPr>
        <xdr:cNvPr id="525" name="Straight Connector 524"/>
        <xdr:cNvCxnSpPr/>
      </xdr:nvCxnSpPr>
      <xdr:spPr>
        <a:xfrm flipH="1">
          <a:off x="2849796" y="55658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418</xdr:row>
      <xdr:rowOff>171450</xdr:rowOff>
    </xdr:from>
    <xdr:to>
      <xdr:col>3</xdr:col>
      <xdr:colOff>504825</xdr:colOff>
      <xdr:row>423</xdr:row>
      <xdr:rowOff>47625</xdr:rowOff>
    </xdr:to>
    <xdr:pic>
      <xdr:nvPicPr>
        <xdr:cNvPr id="526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5255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430</xdr:row>
      <xdr:rowOff>89297</xdr:rowOff>
    </xdr:from>
    <xdr:to>
      <xdr:col>3</xdr:col>
      <xdr:colOff>178594</xdr:colOff>
      <xdr:row>431</xdr:row>
      <xdr:rowOff>59531</xdr:rowOff>
    </xdr:to>
    <xdr:cxnSp macro="">
      <xdr:nvCxnSpPr>
        <xdr:cNvPr id="527" name="Straight Connector 526"/>
        <xdr:cNvCxnSpPr/>
      </xdr:nvCxnSpPr>
      <xdr:spPr>
        <a:xfrm>
          <a:off x="2849796" y="5476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430</xdr:row>
      <xdr:rowOff>35719</xdr:rowOff>
    </xdr:from>
    <xdr:to>
      <xdr:col>3</xdr:col>
      <xdr:colOff>285750</xdr:colOff>
      <xdr:row>430</xdr:row>
      <xdr:rowOff>154781</xdr:rowOff>
    </xdr:to>
    <xdr:cxnSp macro="">
      <xdr:nvCxnSpPr>
        <xdr:cNvPr id="528" name="Straight Connector 527"/>
        <xdr:cNvCxnSpPr/>
      </xdr:nvCxnSpPr>
      <xdr:spPr>
        <a:xfrm>
          <a:off x="2885515" y="5470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430</xdr:row>
      <xdr:rowOff>44824</xdr:rowOff>
    </xdr:from>
    <xdr:to>
      <xdr:col>3</xdr:col>
      <xdr:colOff>67235</xdr:colOff>
      <xdr:row>432</xdr:row>
      <xdr:rowOff>156883</xdr:rowOff>
    </xdr:to>
    <xdr:cxnSp macro="">
      <xdr:nvCxnSpPr>
        <xdr:cNvPr id="529" name="Straight Connector 528"/>
        <xdr:cNvCxnSpPr/>
      </xdr:nvCxnSpPr>
      <xdr:spPr>
        <a:xfrm>
          <a:off x="2857500" y="5471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432</xdr:row>
      <xdr:rowOff>166690</xdr:rowOff>
    </xdr:from>
    <xdr:to>
      <xdr:col>4</xdr:col>
      <xdr:colOff>29308</xdr:colOff>
      <xdr:row>432</xdr:row>
      <xdr:rowOff>168519</xdr:rowOff>
    </xdr:to>
    <xdr:cxnSp macro="">
      <xdr:nvCxnSpPr>
        <xdr:cNvPr id="530" name="Straight Connector 529"/>
        <xdr:cNvCxnSpPr/>
      </xdr:nvCxnSpPr>
      <xdr:spPr>
        <a:xfrm>
          <a:off x="2849796" y="5522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430</xdr:row>
      <xdr:rowOff>41673</xdr:rowOff>
    </xdr:from>
    <xdr:to>
      <xdr:col>4</xdr:col>
      <xdr:colOff>12211</xdr:colOff>
      <xdr:row>433</xdr:row>
      <xdr:rowOff>0</xdr:rowOff>
    </xdr:to>
    <xdr:cxnSp macro="">
      <xdr:nvCxnSpPr>
        <xdr:cNvPr id="531" name="Straight Connector 530"/>
        <xdr:cNvCxnSpPr/>
      </xdr:nvCxnSpPr>
      <xdr:spPr>
        <a:xfrm flipH="1" flipV="1">
          <a:off x="3507441" y="5471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430</xdr:row>
      <xdr:rowOff>32918</xdr:rowOff>
    </xdr:from>
    <xdr:to>
      <xdr:col>4</xdr:col>
      <xdr:colOff>17861</xdr:colOff>
      <xdr:row>430</xdr:row>
      <xdr:rowOff>35719</xdr:rowOff>
    </xdr:to>
    <xdr:cxnSp macro="">
      <xdr:nvCxnSpPr>
        <xdr:cNvPr id="532" name="Straight Connector 531"/>
        <xdr:cNvCxnSpPr/>
      </xdr:nvCxnSpPr>
      <xdr:spPr>
        <a:xfrm flipH="1">
          <a:off x="2849796" y="5470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89297</xdr:rowOff>
    </xdr:from>
    <xdr:to>
      <xdr:col>3</xdr:col>
      <xdr:colOff>178594</xdr:colOff>
      <xdr:row>441</xdr:row>
      <xdr:rowOff>59531</xdr:rowOff>
    </xdr:to>
    <xdr:cxnSp macro="">
      <xdr:nvCxnSpPr>
        <xdr:cNvPr id="533" name="Straight Connector 532"/>
        <xdr:cNvCxnSpPr/>
      </xdr:nvCxnSpPr>
      <xdr:spPr>
        <a:xfrm>
          <a:off x="2849796" y="5666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440</xdr:row>
      <xdr:rowOff>35719</xdr:rowOff>
    </xdr:from>
    <xdr:to>
      <xdr:col>3</xdr:col>
      <xdr:colOff>285750</xdr:colOff>
      <xdr:row>440</xdr:row>
      <xdr:rowOff>154781</xdr:rowOff>
    </xdr:to>
    <xdr:cxnSp macro="">
      <xdr:nvCxnSpPr>
        <xdr:cNvPr id="534" name="Straight Connector 533"/>
        <xdr:cNvCxnSpPr/>
      </xdr:nvCxnSpPr>
      <xdr:spPr>
        <a:xfrm>
          <a:off x="2885515" y="5661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440</xdr:row>
      <xdr:rowOff>44824</xdr:rowOff>
    </xdr:from>
    <xdr:to>
      <xdr:col>3</xdr:col>
      <xdr:colOff>67235</xdr:colOff>
      <xdr:row>442</xdr:row>
      <xdr:rowOff>156883</xdr:rowOff>
    </xdr:to>
    <xdr:cxnSp macro="">
      <xdr:nvCxnSpPr>
        <xdr:cNvPr id="535" name="Straight Connector 534"/>
        <xdr:cNvCxnSpPr/>
      </xdr:nvCxnSpPr>
      <xdr:spPr>
        <a:xfrm>
          <a:off x="2857500" y="5662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442</xdr:row>
      <xdr:rowOff>166690</xdr:rowOff>
    </xdr:from>
    <xdr:to>
      <xdr:col>4</xdr:col>
      <xdr:colOff>29308</xdr:colOff>
      <xdr:row>442</xdr:row>
      <xdr:rowOff>168519</xdr:rowOff>
    </xdr:to>
    <xdr:cxnSp macro="">
      <xdr:nvCxnSpPr>
        <xdr:cNvPr id="536" name="Straight Connector 535"/>
        <xdr:cNvCxnSpPr/>
      </xdr:nvCxnSpPr>
      <xdr:spPr>
        <a:xfrm>
          <a:off x="2849796" y="57126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440</xdr:row>
      <xdr:rowOff>41673</xdr:rowOff>
    </xdr:from>
    <xdr:to>
      <xdr:col>4</xdr:col>
      <xdr:colOff>12211</xdr:colOff>
      <xdr:row>443</xdr:row>
      <xdr:rowOff>0</xdr:rowOff>
    </xdr:to>
    <xdr:cxnSp macro="">
      <xdr:nvCxnSpPr>
        <xdr:cNvPr id="537" name="Straight Connector 536"/>
        <xdr:cNvCxnSpPr/>
      </xdr:nvCxnSpPr>
      <xdr:spPr>
        <a:xfrm flipH="1" flipV="1">
          <a:off x="3507441" y="5662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440</xdr:row>
      <xdr:rowOff>32918</xdr:rowOff>
    </xdr:from>
    <xdr:to>
      <xdr:col>4</xdr:col>
      <xdr:colOff>17861</xdr:colOff>
      <xdr:row>440</xdr:row>
      <xdr:rowOff>35719</xdr:rowOff>
    </xdr:to>
    <xdr:cxnSp macro="">
      <xdr:nvCxnSpPr>
        <xdr:cNvPr id="538" name="Straight Connector 537"/>
        <xdr:cNvCxnSpPr/>
      </xdr:nvCxnSpPr>
      <xdr:spPr>
        <a:xfrm flipH="1">
          <a:off x="2849796" y="56611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89297</xdr:rowOff>
    </xdr:from>
    <xdr:to>
      <xdr:col>3</xdr:col>
      <xdr:colOff>178594</xdr:colOff>
      <xdr:row>446</xdr:row>
      <xdr:rowOff>59531</xdr:rowOff>
    </xdr:to>
    <xdr:cxnSp macro="">
      <xdr:nvCxnSpPr>
        <xdr:cNvPr id="539" name="Straight Connector 538"/>
        <xdr:cNvCxnSpPr/>
      </xdr:nvCxnSpPr>
      <xdr:spPr>
        <a:xfrm>
          <a:off x="2849796" y="5762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445</xdr:row>
      <xdr:rowOff>35719</xdr:rowOff>
    </xdr:from>
    <xdr:to>
      <xdr:col>3</xdr:col>
      <xdr:colOff>285750</xdr:colOff>
      <xdr:row>445</xdr:row>
      <xdr:rowOff>154781</xdr:rowOff>
    </xdr:to>
    <xdr:cxnSp macro="">
      <xdr:nvCxnSpPr>
        <xdr:cNvPr id="540" name="Straight Connector 539"/>
        <xdr:cNvCxnSpPr/>
      </xdr:nvCxnSpPr>
      <xdr:spPr>
        <a:xfrm>
          <a:off x="2885515" y="5756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445</xdr:row>
      <xdr:rowOff>44824</xdr:rowOff>
    </xdr:from>
    <xdr:to>
      <xdr:col>3</xdr:col>
      <xdr:colOff>67235</xdr:colOff>
      <xdr:row>447</xdr:row>
      <xdr:rowOff>156883</xdr:rowOff>
    </xdr:to>
    <xdr:cxnSp macro="">
      <xdr:nvCxnSpPr>
        <xdr:cNvPr id="541" name="Straight Connector 540"/>
        <xdr:cNvCxnSpPr/>
      </xdr:nvCxnSpPr>
      <xdr:spPr>
        <a:xfrm>
          <a:off x="2857500" y="5757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447</xdr:row>
      <xdr:rowOff>166690</xdr:rowOff>
    </xdr:from>
    <xdr:to>
      <xdr:col>4</xdr:col>
      <xdr:colOff>29308</xdr:colOff>
      <xdr:row>447</xdr:row>
      <xdr:rowOff>168519</xdr:rowOff>
    </xdr:to>
    <xdr:cxnSp macro="">
      <xdr:nvCxnSpPr>
        <xdr:cNvPr id="542" name="Straight Connector 541"/>
        <xdr:cNvCxnSpPr/>
      </xdr:nvCxnSpPr>
      <xdr:spPr>
        <a:xfrm>
          <a:off x="2849796" y="5807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445</xdr:row>
      <xdr:rowOff>41673</xdr:rowOff>
    </xdr:from>
    <xdr:to>
      <xdr:col>4</xdr:col>
      <xdr:colOff>12211</xdr:colOff>
      <xdr:row>448</xdr:row>
      <xdr:rowOff>0</xdr:rowOff>
    </xdr:to>
    <xdr:cxnSp macro="">
      <xdr:nvCxnSpPr>
        <xdr:cNvPr id="543" name="Straight Connector 542"/>
        <xdr:cNvCxnSpPr/>
      </xdr:nvCxnSpPr>
      <xdr:spPr>
        <a:xfrm flipH="1" flipV="1">
          <a:off x="3507441" y="5757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445</xdr:row>
      <xdr:rowOff>32918</xdr:rowOff>
    </xdr:from>
    <xdr:to>
      <xdr:col>4</xdr:col>
      <xdr:colOff>17861</xdr:colOff>
      <xdr:row>445</xdr:row>
      <xdr:rowOff>35719</xdr:rowOff>
    </xdr:to>
    <xdr:cxnSp macro="">
      <xdr:nvCxnSpPr>
        <xdr:cNvPr id="544" name="Straight Connector 543"/>
        <xdr:cNvCxnSpPr/>
      </xdr:nvCxnSpPr>
      <xdr:spPr>
        <a:xfrm flipH="1">
          <a:off x="2849796" y="5756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89297</xdr:rowOff>
    </xdr:from>
    <xdr:to>
      <xdr:col>3</xdr:col>
      <xdr:colOff>178594</xdr:colOff>
      <xdr:row>451</xdr:row>
      <xdr:rowOff>59531</xdr:rowOff>
    </xdr:to>
    <xdr:cxnSp macro="">
      <xdr:nvCxnSpPr>
        <xdr:cNvPr id="545" name="Straight Connector 544"/>
        <xdr:cNvCxnSpPr/>
      </xdr:nvCxnSpPr>
      <xdr:spPr>
        <a:xfrm>
          <a:off x="2849796" y="5857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450</xdr:row>
      <xdr:rowOff>35719</xdr:rowOff>
    </xdr:from>
    <xdr:to>
      <xdr:col>3</xdr:col>
      <xdr:colOff>285750</xdr:colOff>
      <xdr:row>450</xdr:row>
      <xdr:rowOff>154781</xdr:rowOff>
    </xdr:to>
    <xdr:cxnSp macro="">
      <xdr:nvCxnSpPr>
        <xdr:cNvPr id="546" name="Straight Connector 545"/>
        <xdr:cNvCxnSpPr/>
      </xdr:nvCxnSpPr>
      <xdr:spPr>
        <a:xfrm>
          <a:off x="2885515" y="5851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450</xdr:row>
      <xdr:rowOff>44824</xdr:rowOff>
    </xdr:from>
    <xdr:to>
      <xdr:col>3</xdr:col>
      <xdr:colOff>67235</xdr:colOff>
      <xdr:row>452</xdr:row>
      <xdr:rowOff>156883</xdr:rowOff>
    </xdr:to>
    <xdr:cxnSp macro="">
      <xdr:nvCxnSpPr>
        <xdr:cNvPr id="547" name="Straight Connector 546"/>
        <xdr:cNvCxnSpPr/>
      </xdr:nvCxnSpPr>
      <xdr:spPr>
        <a:xfrm>
          <a:off x="2857500" y="5852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452</xdr:row>
      <xdr:rowOff>166690</xdr:rowOff>
    </xdr:from>
    <xdr:to>
      <xdr:col>4</xdr:col>
      <xdr:colOff>29308</xdr:colOff>
      <xdr:row>452</xdr:row>
      <xdr:rowOff>168519</xdr:rowOff>
    </xdr:to>
    <xdr:cxnSp macro="">
      <xdr:nvCxnSpPr>
        <xdr:cNvPr id="548" name="Straight Connector 547"/>
        <xdr:cNvCxnSpPr/>
      </xdr:nvCxnSpPr>
      <xdr:spPr>
        <a:xfrm>
          <a:off x="2849796" y="5903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450</xdr:row>
      <xdr:rowOff>41673</xdr:rowOff>
    </xdr:from>
    <xdr:to>
      <xdr:col>4</xdr:col>
      <xdr:colOff>12211</xdr:colOff>
      <xdr:row>453</xdr:row>
      <xdr:rowOff>0</xdr:rowOff>
    </xdr:to>
    <xdr:cxnSp macro="">
      <xdr:nvCxnSpPr>
        <xdr:cNvPr id="549" name="Straight Connector 548"/>
        <xdr:cNvCxnSpPr/>
      </xdr:nvCxnSpPr>
      <xdr:spPr>
        <a:xfrm flipH="1" flipV="1">
          <a:off x="3507441" y="5852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450</xdr:row>
      <xdr:rowOff>32918</xdr:rowOff>
    </xdr:from>
    <xdr:to>
      <xdr:col>4</xdr:col>
      <xdr:colOff>17861</xdr:colOff>
      <xdr:row>450</xdr:row>
      <xdr:rowOff>35719</xdr:rowOff>
    </xdr:to>
    <xdr:cxnSp macro="">
      <xdr:nvCxnSpPr>
        <xdr:cNvPr id="550" name="Straight Connector 549"/>
        <xdr:cNvCxnSpPr/>
      </xdr:nvCxnSpPr>
      <xdr:spPr>
        <a:xfrm flipH="1">
          <a:off x="2849796" y="5851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35719</xdr:rowOff>
    </xdr:from>
    <xdr:to>
      <xdr:col>3</xdr:col>
      <xdr:colOff>428625</xdr:colOff>
      <xdr:row>457</xdr:row>
      <xdr:rowOff>178594</xdr:rowOff>
    </xdr:to>
    <xdr:cxnSp macro="">
      <xdr:nvCxnSpPr>
        <xdr:cNvPr id="551" name="Straight Connector 550"/>
        <xdr:cNvCxnSpPr/>
      </xdr:nvCxnSpPr>
      <xdr:spPr>
        <a:xfrm>
          <a:off x="3218890" y="59471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457</xdr:row>
      <xdr:rowOff>95249</xdr:rowOff>
    </xdr:from>
    <xdr:to>
      <xdr:col>3</xdr:col>
      <xdr:colOff>571500</xdr:colOff>
      <xdr:row>457</xdr:row>
      <xdr:rowOff>154780</xdr:rowOff>
    </xdr:to>
    <xdr:cxnSp macro="">
      <xdr:nvCxnSpPr>
        <xdr:cNvPr id="552" name="Straight Connector 551"/>
        <xdr:cNvCxnSpPr/>
      </xdr:nvCxnSpPr>
      <xdr:spPr>
        <a:xfrm flipH="1">
          <a:off x="3218890" y="59912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455</xdr:row>
      <xdr:rowOff>47625</xdr:rowOff>
    </xdr:from>
    <xdr:to>
      <xdr:col>3</xdr:col>
      <xdr:colOff>595313</xdr:colOff>
      <xdr:row>455</xdr:row>
      <xdr:rowOff>119062</xdr:rowOff>
    </xdr:to>
    <xdr:cxnSp macro="">
      <xdr:nvCxnSpPr>
        <xdr:cNvPr id="553" name="Straight Connector 552"/>
        <xdr:cNvCxnSpPr/>
      </xdr:nvCxnSpPr>
      <xdr:spPr>
        <a:xfrm>
          <a:off x="3218890" y="59483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458</xdr:row>
      <xdr:rowOff>297027</xdr:rowOff>
    </xdr:from>
    <xdr:to>
      <xdr:col>3</xdr:col>
      <xdr:colOff>392907</xdr:colOff>
      <xdr:row>462</xdr:row>
      <xdr:rowOff>154781</xdr:rowOff>
    </xdr:to>
    <xdr:cxnSp macro="">
      <xdr:nvCxnSpPr>
        <xdr:cNvPr id="554" name="Straight Connector 553"/>
        <xdr:cNvCxnSpPr/>
      </xdr:nvCxnSpPr>
      <xdr:spPr>
        <a:xfrm>
          <a:off x="3175346" y="76201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462</xdr:row>
      <xdr:rowOff>142875</xdr:rowOff>
    </xdr:from>
    <xdr:to>
      <xdr:col>4</xdr:col>
      <xdr:colOff>11908</xdr:colOff>
      <xdr:row>462</xdr:row>
      <xdr:rowOff>154782</xdr:rowOff>
    </xdr:to>
    <xdr:cxnSp macro="">
      <xdr:nvCxnSpPr>
        <xdr:cNvPr id="555" name="Straight Connector 554"/>
        <xdr:cNvCxnSpPr/>
      </xdr:nvCxnSpPr>
      <xdr:spPr>
        <a:xfrm flipH="1" flipV="1">
          <a:off x="3159360" y="76914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458</xdr:row>
      <xdr:rowOff>305147</xdr:rowOff>
    </xdr:from>
    <xdr:to>
      <xdr:col>3</xdr:col>
      <xdr:colOff>130969</xdr:colOff>
      <xdr:row>460</xdr:row>
      <xdr:rowOff>11906</xdr:rowOff>
    </xdr:to>
    <xdr:cxnSp macro="">
      <xdr:nvCxnSpPr>
        <xdr:cNvPr id="556" name="Straight Arrow Connector 555"/>
        <xdr:cNvCxnSpPr/>
      </xdr:nvCxnSpPr>
      <xdr:spPr>
        <a:xfrm flipH="1" flipV="1">
          <a:off x="2913960" y="76200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461</xdr:row>
      <xdr:rowOff>11907</xdr:rowOff>
    </xdr:from>
    <xdr:to>
      <xdr:col>3</xdr:col>
      <xdr:colOff>130969</xdr:colOff>
      <xdr:row>462</xdr:row>
      <xdr:rowOff>154782</xdr:rowOff>
    </xdr:to>
    <xdr:cxnSp macro="">
      <xdr:nvCxnSpPr>
        <xdr:cNvPr id="557" name="Straight Arrow Connector 556"/>
        <xdr:cNvCxnSpPr/>
      </xdr:nvCxnSpPr>
      <xdr:spPr>
        <a:xfrm>
          <a:off x="2921234" y="76592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466</xdr:row>
      <xdr:rowOff>89297</xdr:rowOff>
    </xdr:from>
    <xdr:to>
      <xdr:col>3</xdr:col>
      <xdr:colOff>178594</xdr:colOff>
      <xdr:row>467</xdr:row>
      <xdr:rowOff>59531</xdr:rowOff>
    </xdr:to>
    <xdr:cxnSp macro="">
      <xdr:nvCxnSpPr>
        <xdr:cNvPr id="558" name="Straight Connector 557"/>
        <xdr:cNvCxnSpPr/>
      </xdr:nvCxnSpPr>
      <xdr:spPr>
        <a:xfrm>
          <a:off x="2849796" y="78194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466</xdr:row>
      <xdr:rowOff>35719</xdr:rowOff>
    </xdr:from>
    <xdr:to>
      <xdr:col>3</xdr:col>
      <xdr:colOff>285750</xdr:colOff>
      <xdr:row>466</xdr:row>
      <xdr:rowOff>154781</xdr:rowOff>
    </xdr:to>
    <xdr:cxnSp macro="">
      <xdr:nvCxnSpPr>
        <xdr:cNvPr id="559" name="Straight Connector 558"/>
        <xdr:cNvCxnSpPr/>
      </xdr:nvCxnSpPr>
      <xdr:spPr>
        <a:xfrm>
          <a:off x="2885515" y="78140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466</xdr:row>
      <xdr:rowOff>44824</xdr:rowOff>
    </xdr:from>
    <xdr:to>
      <xdr:col>3</xdr:col>
      <xdr:colOff>67235</xdr:colOff>
      <xdr:row>468</xdr:row>
      <xdr:rowOff>156883</xdr:rowOff>
    </xdr:to>
    <xdr:cxnSp macro="">
      <xdr:nvCxnSpPr>
        <xdr:cNvPr id="560" name="Straight Connector 559"/>
        <xdr:cNvCxnSpPr/>
      </xdr:nvCxnSpPr>
      <xdr:spPr>
        <a:xfrm>
          <a:off x="2857500" y="78149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468</xdr:row>
      <xdr:rowOff>166690</xdr:rowOff>
    </xdr:from>
    <xdr:to>
      <xdr:col>4</xdr:col>
      <xdr:colOff>29308</xdr:colOff>
      <xdr:row>468</xdr:row>
      <xdr:rowOff>168519</xdr:rowOff>
    </xdr:to>
    <xdr:cxnSp macro="">
      <xdr:nvCxnSpPr>
        <xdr:cNvPr id="561" name="Straight Connector 560"/>
        <xdr:cNvCxnSpPr/>
      </xdr:nvCxnSpPr>
      <xdr:spPr>
        <a:xfrm>
          <a:off x="2849796" y="78652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466</xdr:row>
      <xdr:rowOff>41673</xdr:rowOff>
    </xdr:from>
    <xdr:to>
      <xdr:col>4</xdr:col>
      <xdr:colOff>12211</xdr:colOff>
      <xdr:row>469</xdr:row>
      <xdr:rowOff>0</xdr:rowOff>
    </xdr:to>
    <xdr:cxnSp macro="">
      <xdr:nvCxnSpPr>
        <xdr:cNvPr id="562" name="Straight Connector 561"/>
        <xdr:cNvCxnSpPr/>
      </xdr:nvCxnSpPr>
      <xdr:spPr>
        <a:xfrm flipH="1" flipV="1">
          <a:off x="3507441" y="78146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466</xdr:row>
      <xdr:rowOff>32918</xdr:rowOff>
    </xdr:from>
    <xdr:to>
      <xdr:col>4</xdr:col>
      <xdr:colOff>17861</xdr:colOff>
      <xdr:row>466</xdr:row>
      <xdr:rowOff>35719</xdr:rowOff>
    </xdr:to>
    <xdr:cxnSp macro="">
      <xdr:nvCxnSpPr>
        <xdr:cNvPr id="563" name="Straight Connector 562"/>
        <xdr:cNvCxnSpPr/>
      </xdr:nvCxnSpPr>
      <xdr:spPr>
        <a:xfrm flipH="1">
          <a:off x="2849796" y="78137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458</xdr:row>
      <xdr:rowOff>171450</xdr:rowOff>
    </xdr:from>
    <xdr:to>
      <xdr:col>3</xdr:col>
      <xdr:colOff>504825</xdr:colOff>
      <xdr:row>463</xdr:row>
      <xdr:rowOff>47625</xdr:rowOff>
    </xdr:to>
    <xdr:pic>
      <xdr:nvPicPr>
        <xdr:cNvPr id="570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76180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471</xdr:row>
      <xdr:rowOff>89297</xdr:rowOff>
    </xdr:from>
    <xdr:to>
      <xdr:col>3</xdr:col>
      <xdr:colOff>178594</xdr:colOff>
      <xdr:row>472</xdr:row>
      <xdr:rowOff>59531</xdr:rowOff>
    </xdr:to>
    <xdr:cxnSp macro="">
      <xdr:nvCxnSpPr>
        <xdr:cNvPr id="572" name="Straight Connector 571"/>
        <xdr:cNvCxnSpPr/>
      </xdr:nvCxnSpPr>
      <xdr:spPr>
        <a:xfrm>
          <a:off x="2849796" y="8905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471</xdr:row>
      <xdr:rowOff>35719</xdr:rowOff>
    </xdr:from>
    <xdr:to>
      <xdr:col>3</xdr:col>
      <xdr:colOff>285750</xdr:colOff>
      <xdr:row>471</xdr:row>
      <xdr:rowOff>154781</xdr:rowOff>
    </xdr:to>
    <xdr:cxnSp macro="">
      <xdr:nvCxnSpPr>
        <xdr:cNvPr id="573" name="Straight Connector 572"/>
        <xdr:cNvCxnSpPr/>
      </xdr:nvCxnSpPr>
      <xdr:spPr>
        <a:xfrm>
          <a:off x="2885515" y="8899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471</xdr:row>
      <xdr:rowOff>44824</xdr:rowOff>
    </xdr:from>
    <xdr:to>
      <xdr:col>3</xdr:col>
      <xdr:colOff>67235</xdr:colOff>
      <xdr:row>473</xdr:row>
      <xdr:rowOff>156883</xdr:rowOff>
    </xdr:to>
    <xdr:cxnSp macro="">
      <xdr:nvCxnSpPr>
        <xdr:cNvPr id="574" name="Straight Connector 573"/>
        <xdr:cNvCxnSpPr/>
      </xdr:nvCxnSpPr>
      <xdr:spPr>
        <a:xfrm>
          <a:off x="2857500" y="8900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473</xdr:row>
      <xdr:rowOff>166690</xdr:rowOff>
    </xdr:from>
    <xdr:to>
      <xdr:col>4</xdr:col>
      <xdr:colOff>29308</xdr:colOff>
      <xdr:row>473</xdr:row>
      <xdr:rowOff>168519</xdr:rowOff>
    </xdr:to>
    <xdr:cxnSp macro="">
      <xdr:nvCxnSpPr>
        <xdr:cNvPr id="575" name="Straight Connector 574"/>
        <xdr:cNvCxnSpPr/>
      </xdr:nvCxnSpPr>
      <xdr:spPr>
        <a:xfrm>
          <a:off x="2849796" y="8951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471</xdr:row>
      <xdr:rowOff>41673</xdr:rowOff>
    </xdr:from>
    <xdr:to>
      <xdr:col>4</xdr:col>
      <xdr:colOff>12211</xdr:colOff>
      <xdr:row>474</xdr:row>
      <xdr:rowOff>0</xdr:rowOff>
    </xdr:to>
    <xdr:cxnSp macro="">
      <xdr:nvCxnSpPr>
        <xdr:cNvPr id="576" name="Straight Connector 575"/>
        <xdr:cNvCxnSpPr/>
      </xdr:nvCxnSpPr>
      <xdr:spPr>
        <a:xfrm flipH="1" flipV="1">
          <a:off x="3507441" y="8900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471</xdr:row>
      <xdr:rowOff>32918</xdr:rowOff>
    </xdr:from>
    <xdr:to>
      <xdr:col>4</xdr:col>
      <xdr:colOff>17861</xdr:colOff>
      <xdr:row>471</xdr:row>
      <xdr:rowOff>35719</xdr:rowOff>
    </xdr:to>
    <xdr:cxnSp macro="">
      <xdr:nvCxnSpPr>
        <xdr:cNvPr id="577" name="Straight Connector 576"/>
        <xdr:cNvCxnSpPr/>
      </xdr:nvCxnSpPr>
      <xdr:spPr>
        <a:xfrm flipH="1">
          <a:off x="2849796" y="8899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476</xdr:row>
      <xdr:rowOff>89297</xdr:rowOff>
    </xdr:from>
    <xdr:to>
      <xdr:col>3</xdr:col>
      <xdr:colOff>178594</xdr:colOff>
      <xdr:row>477</xdr:row>
      <xdr:rowOff>59531</xdr:rowOff>
    </xdr:to>
    <xdr:cxnSp macro="">
      <xdr:nvCxnSpPr>
        <xdr:cNvPr id="578" name="Straight Connector 577"/>
        <xdr:cNvCxnSpPr/>
      </xdr:nvCxnSpPr>
      <xdr:spPr>
        <a:xfrm>
          <a:off x="2849796" y="9000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476</xdr:row>
      <xdr:rowOff>35719</xdr:rowOff>
    </xdr:from>
    <xdr:to>
      <xdr:col>3</xdr:col>
      <xdr:colOff>285750</xdr:colOff>
      <xdr:row>476</xdr:row>
      <xdr:rowOff>154781</xdr:rowOff>
    </xdr:to>
    <xdr:cxnSp macro="">
      <xdr:nvCxnSpPr>
        <xdr:cNvPr id="579" name="Straight Connector 578"/>
        <xdr:cNvCxnSpPr/>
      </xdr:nvCxnSpPr>
      <xdr:spPr>
        <a:xfrm>
          <a:off x="2885515" y="8995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476</xdr:row>
      <xdr:rowOff>44824</xdr:rowOff>
    </xdr:from>
    <xdr:to>
      <xdr:col>3</xdr:col>
      <xdr:colOff>67235</xdr:colOff>
      <xdr:row>478</xdr:row>
      <xdr:rowOff>156883</xdr:rowOff>
    </xdr:to>
    <xdr:cxnSp macro="">
      <xdr:nvCxnSpPr>
        <xdr:cNvPr id="580" name="Straight Connector 579"/>
        <xdr:cNvCxnSpPr/>
      </xdr:nvCxnSpPr>
      <xdr:spPr>
        <a:xfrm>
          <a:off x="2857500" y="8996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478</xdr:row>
      <xdr:rowOff>166690</xdr:rowOff>
    </xdr:from>
    <xdr:to>
      <xdr:col>4</xdr:col>
      <xdr:colOff>29308</xdr:colOff>
      <xdr:row>478</xdr:row>
      <xdr:rowOff>168519</xdr:rowOff>
    </xdr:to>
    <xdr:cxnSp macro="">
      <xdr:nvCxnSpPr>
        <xdr:cNvPr id="581" name="Straight Connector 580"/>
        <xdr:cNvCxnSpPr/>
      </xdr:nvCxnSpPr>
      <xdr:spPr>
        <a:xfrm>
          <a:off x="2849796" y="90463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476</xdr:row>
      <xdr:rowOff>41673</xdr:rowOff>
    </xdr:from>
    <xdr:to>
      <xdr:col>4</xdr:col>
      <xdr:colOff>12211</xdr:colOff>
      <xdr:row>479</xdr:row>
      <xdr:rowOff>0</xdr:rowOff>
    </xdr:to>
    <xdr:cxnSp macro="">
      <xdr:nvCxnSpPr>
        <xdr:cNvPr id="582" name="Straight Connector 581"/>
        <xdr:cNvCxnSpPr/>
      </xdr:nvCxnSpPr>
      <xdr:spPr>
        <a:xfrm flipH="1" flipV="1">
          <a:off x="3507441" y="8995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476</xdr:row>
      <xdr:rowOff>32918</xdr:rowOff>
    </xdr:from>
    <xdr:to>
      <xdr:col>4</xdr:col>
      <xdr:colOff>17861</xdr:colOff>
      <xdr:row>476</xdr:row>
      <xdr:rowOff>35719</xdr:rowOff>
    </xdr:to>
    <xdr:cxnSp macro="">
      <xdr:nvCxnSpPr>
        <xdr:cNvPr id="583" name="Straight Connector 582"/>
        <xdr:cNvCxnSpPr/>
      </xdr:nvCxnSpPr>
      <xdr:spPr>
        <a:xfrm flipH="1">
          <a:off x="2849796" y="89948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35719</xdr:rowOff>
    </xdr:from>
    <xdr:to>
      <xdr:col>3</xdr:col>
      <xdr:colOff>428625</xdr:colOff>
      <xdr:row>483</xdr:row>
      <xdr:rowOff>178594</xdr:rowOff>
    </xdr:to>
    <xdr:cxnSp macro="">
      <xdr:nvCxnSpPr>
        <xdr:cNvPr id="584" name="Straight Connector 583"/>
        <xdr:cNvCxnSpPr/>
      </xdr:nvCxnSpPr>
      <xdr:spPr>
        <a:xfrm>
          <a:off x="3218890" y="86903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483</xdr:row>
      <xdr:rowOff>95249</xdr:rowOff>
    </xdr:from>
    <xdr:to>
      <xdr:col>3</xdr:col>
      <xdr:colOff>571500</xdr:colOff>
      <xdr:row>483</xdr:row>
      <xdr:rowOff>154780</xdr:rowOff>
    </xdr:to>
    <xdr:cxnSp macro="">
      <xdr:nvCxnSpPr>
        <xdr:cNvPr id="585" name="Straight Connector 584"/>
        <xdr:cNvCxnSpPr/>
      </xdr:nvCxnSpPr>
      <xdr:spPr>
        <a:xfrm flipH="1">
          <a:off x="3218890" y="87344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47625</xdr:rowOff>
    </xdr:from>
    <xdr:to>
      <xdr:col>3</xdr:col>
      <xdr:colOff>595313</xdr:colOff>
      <xdr:row>481</xdr:row>
      <xdr:rowOff>119062</xdr:rowOff>
    </xdr:to>
    <xdr:cxnSp macro="">
      <xdr:nvCxnSpPr>
        <xdr:cNvPr id="586" name="Straight Connector 585"/>
        <xdr:cNvCxnSpPr/>
      </xdr:nvCxnSpPr>
      <xdr:spPr>
        <a:xfrm>
          <a:off x="3218890" y="86915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35719</xdr:rowOff>
    </xdr:from>
    <xdr:to>
      <xdr:col>3</xdr:col>
      <xdr:colOff>428625</xdr:colOff>
      <xdr:row>483</xdr:row>
      <xdr:rowOff>178594</xdr:rowOff>
    </xdr:to>
    <xdr:cxnSp macro="">
      <xdr:nvCxnSpPr>
        <xdr:cNvPr id="587" name="Straight Connector 586"/>
        <xdr:cNvCxnSpPr/>
      </xdr:nvCxnSpPr>
      <xdr:spPr>
        <a:xfrm>
          <a:off x="3218890" y="86903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483</xdr:row>
      <xdr:rowOff>95249</xdr:rowOff>
    </xdr:from>
    <xdr:to>
      <xdr:col>3</xdr:col>
      <xdr:colOff>571500</xdr:colOff>
      <xdr:row>483</xdr:row>
      <xdr:rowOff>154780</xdr:rowOff>
    </xdr:to>
    <xdr:cxnSp macro="">
      <xdr:nvCxnSpPr>
        <xdr:cNvPr id="588" name="Straight Connector 587"/>
        <xdr:cNvCxnSpPr/>
      </xdr:nvCxnSpPr>
      <xdr:spPr>
        <a:xfrm flipH="1">
          <a:off x="3218890" y="87344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481</xdr:row>
      <xdr:rowOff>47625</xdr:rowOff>
    </xdr:from>
    <xdr:to>
      <xdr:col>3</xdr:col>
      <xdr:colOff>595313</xdr:colOff>
      <xdr:row>481</xdr:row>
      <xdr:rowOff>119062</xdr:rowOff>
    </xdr:to>
    <xdr:cxnSp macro="">
      <xdr:nvCxnSpPr>
        <xdr:cNvPr id="589" name="Straight Connector 588"/>
        <xdr:cNvCxnSpPr/>
      </xdr:nvCxnSpPr>
      <xdr:spPr>
        <a:xfrm>
          <a:off x="3218890" y="86915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484</xdr:row>
      <xdr:rowOff>297027</xdr:rowOff>
    </xdr:from>
    <xdr:to>
      <xdr:col>3</xdr:col>
      <xdr:colOff>392907</xdr:colOff>
      <xdr:row>488</xdr:row>
      <xdr:rowOff>154781</xdr:rowOff>
    </xdr:to>
    <xdr:cxnSp macro="">
      <xdr:nvCxnSpPr>
        <xdr:cNvPr id="590" name="Straight Connector 589"/>
        <xdr:cNvCxnSpPr/>
      </xdr:nvCxnSpPr>
      <xdr:spPr>
        <a:xfrm>
          <a:off x="3175346" y="87631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488</xdr:row>
      <xdr:rowOff>142875</xdr:rowOff>
    </xdr:from>
    <xdr:to>
      <xdr:col>4</xdr:col>
      <xdr:colOff>11908</xdr:colOff>
      <xdr:row>488</xdr:row>
      <xdr:rowOff>154782</xdr:rowOff>
    </xdr:to>
    <xdr:cxnSp macro="">
      <xdr:nvCxnSpPr>
        <xdr:cNvPr id="591" name="Straight Connector 590"/>
        <xdr:cNvCxnSpPr/>
      </xdr:nvCxnSpPr>
      <xdr:spPr>
        <a:xfrm flipH="1" flipV="1">
          <a:off x="3159360" y="88344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484</xdr:row>
      <xdr:rowOff>305147</xdr:rowOff>
    </xdr:from>
    <xdr:to>
      <xdr:col>3</xdr:col>
      <xdr:colOff>130969</xdr:colOff>
      <xdr:row>486</xdr:row>
      <xdr:rowOff>11906</xdr:rowOff>
    </xdr:to>
    <xdr:cxnSp macro="">
      <xdr:nvCxnSpPr>
        <xdr:cNvPr id="592" name="Straight Arrow Connector 591"/>
        <xdr:cNvCxnSpPr/>
      </xdr:nvCxnSpPr>
      <xdr:spPr>
        <a:xfrm flipH="1" flipV="1">
          <a:off x="2913960" y="87630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487</xdr:row>
      <xdr:rowOff>11907</xdr:rowOff>
    </xdr:from>
    <xdr:to>
      <xdr:col>3</xdr:col>
      <xdr:colOff>130969</xdr:colOff>
      <xdr:row>488</xdr:row>
      <xdr:rowOff>154782</xdr:rowOff>
    </xdr:to>
    <xdr:cxnSp macro="">
      <xdr:nvCxnSpPr>
        <xdr:cNvPr id="593" name="Straight Arrow Connector 592"/>
        <xdr:cNvCxnSpPr/>
      </xdr:nvCxnSpPr>
      <xdr:spPr>
        <a:xfrm>
          <a:off x="2921234" y="88022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493</xdr:row>
      <xdr:rowOff>89297</xdr:rowOff>
    </xdr:from>
    <xdr:to>
      <xdr:col>3</xdr:col>
      <xdr:colOff>178594</xdr:colOff>
      <xdr:row>494</xdr:row>
      <xdr:rowOff>59531</xdr:rowOff>
    </xdr:to>
    <xdr:cxnSp macro="">
      <xdr:nvCxnSpPr>
        <xdr:cNvPr id="594" name="Straight Connector 593"/>
        <xdr:cNvCxnSpPr/>
      </xdr:nvCxnSpPr>
      <xdr:spPr>
        <a:xfrm>
          <a:off x="2849796" y="8905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493</xdr:row>
      <xdr:rowOff>35719</xdr:rowOff>
    </xdr:from>
    <xdr:to>
      <xdr:col>3</xdr:col>
      <xdr:colOff>285750</xdr:colOff>
      <xdr:row>493</xdr:row>
      <xdr:rowOff>154781</xdr:rowOff>
    </xdr:to>
    <xdr:cxnSp macro="">
      <xdr:nvCxnSpPr>
        <xdr:cNvPr id="595" name="Straight Connector 594"/>
        <xdr:cNvCxnSpPr/>
      </xdr:nvCxnSpPr>
      <xdr:spPr>
        <a:xfrm>
          <a:off x="2885515" y="8899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493</xdr:row>
      <xdr:rowOff>44824</xdr:rowOff>
    </xdr:from>
    <xdr:to>
      <xdr:col>3</xdr:col>
      <xdr:colOff>67235</xdr:colOff>
      <xdr:row>495</xdr:row>
      <xdr:rowOff>156883</xdr:rowOff>
    </xdr:to>
    <xdr:cxnSp macro="">
      <xdr:nvCxnSpPr>
        <xdr:cNvPr id="596" name="Straight Connector 595"/>
        <xdr:cNvCxnSpPr/>
      </xdr:nvCxnSpPr>
      <xdr:spPr>
        <a:xfrm>
          <a:off x="2857500" y="8900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495</xdr:row>
      <xdr:rowOff>166690</xdr:rowOff>
    </xdr:from>
    <xdr:to>
      <xdr:col>4</xdr:col>
      <xdr:colOff>29308</xdr:colOff>
      <xdr:row>495</xdr:row>
      <xdr:rowOff>168519</xdr:rowOff>
    </xdr:to>
    <xdr:cxnSp macro="">
      <xdr:nvCxnSpPr>
        <xdr:cNvPr id="597" name="Straight Connector 596"/>
        <xdr:cNvCxnSpPr/>
      </xdr:nvCxnSpPr>
      <xdr:spPr>
        <a:xfrm>
          <a:off x="2849796" y="8951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493</xdr:row>
      <xdr:rowOff>41673</xdr:rowOff>
    </xdr:from>
    <xdr:to>
      <xdr:col>4</xdr:col>
      <xdr:colOff>12211</xdr:colOff>
      <xdr:row>496</xdr:row>
      <xdr:rowOff>0</xdr:rowOff>
    </xdr:to>
    <xdr:cxnSp macro="">
      <xdr:nvCxnSpPr>
        <xdr:cNvPr id="598" name="Straight Connector 597"/>
        <xdr:cNvCxnSpPr/>
      </xdr:nvCxnSpPr>
      <xdr:spPr>
        <a:xfrm flipH="1" flipV="1">
          <a:off x="3507441" y="8900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493</xdr:row>
      <xdr:rowOff>32918</xdr:rowOff>
    </xdr:from>
    <xdr:to>
      <xdr:col>4</xdr:col>
      <xdr:colOff>17861</xdr:colOff>
      <xdr:row>493</xdr:row>
      <xdr:rowOff>35719</xdr:rowOff>
    </xdr:to>
    <xdr:cxnSp macro="">
      <xdr:nvCxnSpPr>
        <xdr:cNvPr id="599" name="Straight Connector 598"/>
        <xdr:cNvCxnSpPr/>
      </xdr:nvCxnSpPr>
      <xdr:spPr>
        <a:xfrm flipH="1">
          <a:off x="2849796" y="8899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484</xdr:row>
      <xdr:rowOff>171450</xdr:rowOff>
    </xdr:from>
    <xdr:to>
      <xdr:col>3</xdr:col>
      <xdr:colOff>504825</xdr:colOff>
      <xdr:row>489</xdr:row>
      <xdr:rowOff>47625</xdr:rowOff>
    </xdr:to>
    <xdr:pic>
      <xdr:nvPicPr>
        <xdr:cNvPr id="600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87610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498</xdr:row>
      <xdr:rowOff>89297</xdr:rowOff>
    </xdr:from>
    <xdr:to>
      <xdr:col>3</xdr:col>
      <xdr:colOff>178594</xdr:colOff>
      <xdr:row>499</xdr:row>
      <xdr:rowOff>59531</xdr:rowOff>
    </xdr:to>
    <xdr:cxnSp macro="">
      <xdr:nvCxnSpPr>
        <xdr:cNvPr id="601" name="Straight Connector 600"/>
        <xdr:cNvCxnSpPr/>
      </xdr:nvCxnSpPr>
      <xdr:spPr>
        <a:xfrm>
          <a:off x="2849796" y="9000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498</xdr:row>
      <xdr:rowOff>35719</xdr:rowOff>
    </xdr:from>
    <xdr:to>
      <xdr:col>3</xdr:col>
      <xdr:colOff>285750</xdr:colOff>
      <xdr:row>498</xdr:row>
      <xdr:rowOff>154781</xdr:rowOff>
    </xdr:to>
    <xdr:cxnSp macro="">
      <xdr:nvCxnSpPr>
        <xdr:cNvPr id="602" name="Straight Connector 601"/>
        <xdr:cNvCxnSpPr/>
      </xdr:nvCxnSpPr>
      <xdr:spPr>
        <a:xfrm>
          <a:off x="2885515" y="8995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498</xdr:row>
      <xdr:rowOff>44824</xdr:rowOff>
    </xdr:from>
    <xdr:to>
      <xdr:col>3</xdr:col>
      <xdr:colOff>67235</xdr:colOff>
      <xdr:row>500</xdr:row>
      <xdr:rowOff>156883</xdr:rowOff>
    </xdr:to>
    <xdr:cxnSp macro="">
      <xdr:nvCxnSpPr>
        <xdr:cNvPr id="603" name="Straight Connector 602"/>
        <xdr:cNvCxnSpPr/>
      </xdr:nvCxnSpPr>
      <xdr:spPr>
        <a:xfrm>
          <a:off x="2857500" y="8996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500</xdr:row>
      <xdr:rowOff>166690</xdr:rowOff>
    </xdr:from>
    <xdr:to>
      <xdr:col>4</xdr:col>
      <xdr:colOff>29308</xdr:colOff>
      <xdr:row>500</xdr:row>
      <xdr:rowOff>168519</xdr:rowOff>
    </xdr:to>
    <xdr:cxnSp macro="">
      <xdr:nvCxnSpPr>
        <xdr:cNvPr id="604" name="Straight Connector 603"/>
        <xdr:cNvCxnSpPr/>
      </xdr:nvCxnSpPr>
      <xdr:spPr>
        <a:xfrm>
          <a:off x="2849796" y="90463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498</xdr:row>
      <xdr:rowOff>41673</xdr:rowOff>
    </xdr:from>
    <xdr:to>
      <xdr:col>4</xdr:col>
      <xdr:colOff>12211</xdr:colOff>
      <xdr:row>501</xdr:row>
      <xdr:rowOff>0</xdr:rowOff>
    </xdr:to>
    <xdr:cxnSp macro="">
      <xdr:nvCxnSpPr>
        <xdr:cNvPr id="605" name="Straight Connector 604"/>
        <xdr:cNvCxnSpPr/>
      </xdr:nvCxnSpPr>
      <xdr:spPr>
        <a:xfrm flipH="1" flipV="1">
          <a:off x="3507441" y="8995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498</xdr:row>
      <xdr:rowOff>32918</xdr:rowOff>
    </xdr:from>
    <xdr:to>
      <xdr:col>4</xdr:col>
      <xdr:colOff>17861</xdr:colOff>
      <xdr:row>498</xdr:row>
      <xdr:rowOff>35719</xdr:rowOff>
    </xdr:to>
    <xdr:cxnSp macro="">
      <xdr:nvCxnSpPr>
        <xdr:cNvPr id="606" name="Straight Connector 605"/>
        <xdr:cNvCxnSpPr/>
      </xdr:nvCxnSpPr>
      <xdr:spPr>
        <a:xfrm flipH="1">
          <a:off x="2849796" y="89948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503</xdr:row>
      <xdr:rowOff>89297</xdr:rowOff>
    </xdr:from>
    <xdr:to>
      <xdr:col>3</xdr:col>
      <xdr:colOff>178594</xdr:colOff>
      <xdr:row>504</xdr:row>
      <xdr:rowOff>59531</xdr:rowOff>
    </xdr:to>
    <xdr:cxnSp macro="">
      <xdr:nvCxnSpPr>
        <xdr:cNvPr id="607" name="Straight Connector 606"/>
        <xdr:cNvCxnSpPr/>
      </xdr:nvCxnSpPr>
      <xdr:spPr>
        <a:xfrm>
          <a:off x="2849796" y="9095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503</xdr:row>
      <xdr:rowOff>35719</xdr:rowOff>
    </xdr:from>
    <xdr:to>
      <xdr:col>3</xdr:col>
      <xdr:colOff>285750</xdr:colOff>
      <xdr:row>503</xdr:row>
      <xdr:rowOff>154781</xdr:rowOff>
    </xdr:to>
    <xdr:cxnSp macro="">
      <xdr:nvCxnSpPr>
        <xdr:cNvPr id="608" name="Straight Connector 607"/>
        <xdr:cNvCxnSpPr/>
      </xdr:nvCxnSpPr>
      <xdr:spPr>
        <a:xfrm>
          <a:off x="2885515" y="9090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503</xdr:row>
      <xdr:rowOff>44824</xdr:rowOff>
    </xdr:from>
    <xdr:to>
      <xdr:col>3</xdr:col>
      <xdr:colOff>67235</xdr:colOff>
      <xdr:row>505</xdr:row>
      <xdr:rowOff>156883</xdr:rowOff>
    </xdr:to>
    <xdr:cxnSp macro="">
      <xdr:nvCxnSpPr>
        <xdr:cNvPr id="609" name="Straight Connector 608"/>
        <xdr:cNvCxnSpPr/>
      </xdr:nvCxnSpPr>
      <xdr:spPr>
        <a:xfrm>
          <a:off x="2857500" y="9091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505</xdr:row>
      <xdr:rowOff>166690</xdr:rowOff>
    </xdr:from>
    <xdr:to>
      <xdr:col>4</xdr:col>
      <xdr:colOff>29308</xdr:colOff>
      <xdr:row>505</xdr:row>
      <xdr:rowOff>168519</xdr:rowOff>
    </xdr:to>
    <xdr:cxnSp macro="">
      <xdr:nvCxnSpPr>
        <xdr:cNvPr id="610" name="Straight Connector 609"/>
        <xdr:cNvCxnSpPr/>
      </xdr:nvCxnSpPr>
      <xdr:spPr>
        <a:xfrm>
          <a:off x="2849796" y="91416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503</xdr:row>
      <xdr:rowOff>41673</xdr:rowOff>
    </xdr:from>
    <xdr:to>
      <xdr:col>4</xdr:col>
      <xdr:colOff>12211</xdr:colOff>
      <xdr:row>506</xdr:row>
      <xdr:rowOff>0</xdr:rowOff>
    </xdr:to>
    <xdr:cxnSp macro="">
      <xdr:nvCxnSpPr>
        <xdr:cNvPr id="611" name="Straight Connector 610"/>
        <xdr:cNvCxnSpPr/>
      </xdr:nvCxnSpPr>
      <xdr:spPr>
        <a:xfrm flipH="1" flipV="1">
          <a:off x="3507441" y="9091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503</xdr:row>
      <xdr:rowOff>32918</xdr:rowOff>
    </xdr:from>
    <xdr:to>
      <xdr:col>4</xdr:col>
      <xdr:colOff>17861</xdr:colOff>
      <xdr:row>503</xdr:row>
      <xdr:rowOff>35719</xdr:rowOff>
    </xdr:to>
    <xdr:cxnSp macro="">
      <xdr:nvCxnSpPr>
        <xdr:cNvPr id="612" name="Straight Connector 611"/>
        <xdr:cNvCxnSpPr/>
      </xdr:nvCxnSpPr>
      <xdr:spPr>
        <a:xfrm flipH="1">
          <a:off x="2849796" y="90901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35719</xdr:rowOff>
    </xdr:from>
    <xdr:to>
      <xdr:col>3</xdr:col>
      <xdr:colOff>428625</xdr:colOff>
      <xdr:row>510</xdr:row>
      <xdr:rowOff>178594</xdr:rowOff>
    </xdr:to>
    <xdr:cxnSp macro="">
      <xdr:nvCxnSpPr>
        <xdr:cNvPr id="613" name="Straight Connector 612"/>
        <xdr:cNvCxnSpPr/>
      </xdr:nvCxnSpPr>
      <xdr:spPr>
        <a:xfrm>
          <a:off x="3218890" y="91856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510</xdr:row>
      <xdr:rowOff>95249</xdr:rowOff>
    </xdr:from>
    <xdr:to>
      <xdr:col>3</xdr:col>
      <xdr:colOff>571500</xdr:colOff>
      <xdr:row>510</xdr:row>
      <xdr:rowOff>154780</xdr:rowOff>
    </xdr:to>
    <xdr:cxnSp macro="">
      <xdr:nvCxnSpPr>
        <xdr:cNvPr id="614" name="Straight Connector 613"/>
        <xdr:cNvCxnSpPr/>
      </xdr:nvCxnSpPr>
      <xdr:spPr>
        <a:xfrm flipH="1">
          <a:off x="3218890" y="92297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47625</xdr:rowOff>
    </xdr:from>
    <xdr:to>
      <xdr:col>3</xdr:col>
      <xdr:colOff>595313</xdr:colOff>
      <xdr:row>508</xdr:row>
      <xdr:rowOff>119062</xdr:rowOff>
    </xdr:to>
    <xdr:cxnSp macro="">
      <xdr:nvCxnSpPr>
        <xdr:cNvPr id="615" name="Straight Connector 614"/>
        <xdr:cNvCxnSpPr/>
      </xdr:nvCxnSpPr>
      <xdr:spPr>
        <a:xfrm>
          <a:off x="3218890" y="91868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35719</xdr:rowOff>
    </xdr:from>
    <xdr:to>
      <xdr:col>3</xdr:col>
      <xdr:colOff>428625</xdr:colOff>
      <xdr:row>510</xdr:row>
      <xdr:rowOff>178594</xdr:rowOff>
    </xdr:to>
    <xdr:cxnSp macro="">
      <xdr:nvCxnSpPr>
        <xdr:cNvPr id="616" name="Straight Connector 615"/>
        <xdr:cNvCxnSpPr/>
      </xdr:nvCxnSpPr>
      <xdr:spPr>
        <a:xfrm>
          <a:off x="3218890" y="91856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510</xdr:row>
      <xdr:rowOff>95249</xdr:rowOff>
    </xdr:from>
    <xdr:to>
      <xdr:col>3</xdr:col>
      <xdr:colOff>571500</xdr:colOff>
      <xdr:row>510</xdr:row>
      <xdr:rowOff>154780</xdr:rowOff>
    </xdr:to>
    <xdr:cxnSp macro="">
      <xdr:nvCxnSpPr>
        <xdr:cNvPr id="617" name="Straight Connector 616"/>
        <xdr:cNvCxnSpPr/>
      </xdr:nvCxnSpPr>
      <xdr:spPr>
        <a:xfrm flipH="1">
          <a:off x="3218890" y="92297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508</xdr:row>
      <xdr:rowOff>47625</xdr:rowOff>
    </xdr:from>
    <xdr:to>
      <xdr:col>3</xdr:col>
      <xdr:colOff>595313</xdr:colOff>
      <xdr:row>508</xdr:row>
      <xdr:rowOff>119062</xdr:rowOff>
    </xdr:to>
    <xdr:cxnSp macro="">
      <xdr:nvCxnSpPr>
        <xdr:cNvPr id="618" name="Straight Connector 617"/>
        <xdr:cNvCxnSpPr/>
      </xdr:nvCxnSpPr>
      <xdr:spPr>
        <a:xfrm>
          <a:off x="3218890" y="91868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551</xdr:row>
      <xdr:rowOff>297027</xdr:rowOff>
    </xdr:from>
    <xdr:to>
      <xdr:col>3</xdr:col>
      <xdr:colOff>392907</xdr:colOff>
      <xdr:row>555</xdr:row>
      <xdr:rowOff>154781</xdr:rowOff>
    </xdr:to>
    <xdr:cxnSp macro="">
      <xdr:nvCxnSpPr>
        <xdr:cNvPr id="619" name="Straight Connector 618"/>
        <xdr:cNvCxnSpPr/>
      </xdr:nvCxnSpPr>
      <xdr:spPr>
        <a:xfrm>
          <a:off x="3175346" y="92584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555</xdr:row>
      <xdr:rowOff>142875</xdr:rowOff>
    </xdr:from>
    <xdr:to>
      <xdr:col>4</xdr:col>
      <xdr:colOff>11908</xdr:colOff>
      <xdr:row>555</xdr:row>
      <xdr:rowOff>154782</xdr:rowOff>
    </xdr:to>
    <xdr:cxnSp macro="">
      <xdr:nvCxnSpPr>
        <xdr:cNvPr id="620" name="Straight Connector 619"/>
        <xdr:cNvCxnSpPr/>
      </xdr:nvCxnSpPr>
      <xdr:spPr>
        <a:xfrm flipH="1" flipV="1">
          <a:off x="3159360" y="93297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551</xdr:row>
      <xdr:rowOff>305147</xdr:rowOff>
    </xdr:from>
    <xdr:to>
      <xdr:col>3</xdr:col>
      <xdr:colOff>130969</xdr:colOff>
      <xdr:row>553</xdr:row>
      <xdr:rowOff>11906</xdr:rowOff>
    </xdr:to>
    <xdr:cxnSp macro="">
      <xdr:nvCxnSpPr>
        <xdr:cNvPr id="621" name="Straight Arrow Connector 620"/>
        <xdr:cNvCxnSpPr/>
      </xdr:nvCxnSpPr>
      <xdr:spPr>
        <a:xfrm flipH="1" flipV="1">
          <a:off x="2913960" y="92583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554</xdr:row>
      <xdr:rowOff>11907</xdr:rowOff>
    </xdr:from>
    <xdr:to>
      <xdr:col>3</xdr:col>
      <xdr:colOff>130969</xdr:colOff>
      <xdr:row>555</xdr:row>
      <xdr:rowOff>154782</xdr:rowOff>
    </xdr:to>
    <xdr:cxnSp macro="">
      <xdr:nvCxnSpPr>
        <xdr:cNvPr id="622" name="Straight Arrow Connector 621"/>
        <xdr:cNvCxnSpPr/>
      </xdr:nvCxnSpPr>
      <xdr:spPr>
        <a:xfrm>
          <a:off x="2921234" y="92975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558</xdr:row>
      <xdr:rowOff>89297</xdr:rowOff>
    </xdr:from>
    <xdr:to>
      <xdr:col>3</xdr:col>
      <xdr:colOff>178594</xdr:colOff>
      <xdr:row>559</xdr:row>
      <xdr:rowOff>59531</xdr:rowOff>
    </xdr:to>
    <xdr:cxnSp macro="">
      <xdr:nvCxnSpPr>
        <xdr:cNvPr id="623" name="Straight Connector 622"/>
        <xdr:cNvCxnSpPr/>
      </xdr:nvCxnSpPr>
      <xdr:spPr>
        <a:xfrm>
          <a:off x="2849796" y="94196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558</xdr:row>
      <xdr:rowOff>35719</xdr:rowOff>
    </xdr:from>
    <xdr:to>
      <xdr:col>3</xdr:col>
      <xdr:colOff>285750</xdr:colOff>
      <xdr:row>558</xdr:row>
      <xdr:rowOff>154781</xdr:rowOff>
    </xdr:to>
    <xdr:cxnSp macro="">
      <xdr:nvCxnSpPr>
        <xdr:cNvPr id="624" name="Straight Connector 623"/>
        <xdr:cNvCxnSpPr/>
      </xdr:nvCxnSpPr>
      <xdr:spPr>
        <a:xfrm>
          <a:off x="2885515" y="94142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558</xdr:row>
      <xdr:rowOff>44824</xdr:rowOff>
    </xdr:from>
    <xdr:to>
      <xdr:col>3</xdr:col>
      <xdr:colOff>67235</xdr:colOff>
      <xdr:row>560</xdr:row>
      <xdr:rowOff>156883</xdr:rowOff>
    </xdr:to>
    <xdr:cxnSp macro="">
      <xdr:nvCxnSpPr>
        <xdr:cNvPr id="625" name="Straight Connector 624"/>
        <xdr:cNvCxnSpPr/>
      </xdr:nvCxnSpPr>
      <xdr:spPr>
        <a:xfrm>
          <a:off x="2857500" y="94151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560</xdr:row>
      <xdr:rowOff>166690</xdr:rowOff>
    </xdr:from>
    <xdr:to>
      <xdr:col>4</xdr:col>
      <xdr:colOff>29308</xdr:colOff>
      <xdr:row>560</xdr:row>
      <xdr:rowOff>168519</xdr:rowOff>
    </xdr:to>
    <xdr:cxnSp macro="">
      <xdr:nvCxnSpPr>
        <xdr:cNvPr id="626" name="Straight Connector 625"/>
        <xdr:cNvCxnSpPr/>
      </xdr:nvCxnSpPr>
      <xdr:spPr>
        <a:xfrm>
          <a:off x="2849796" y="94654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558</xdr:row>
      <xdr:rowOff>41673</xdr:rowOff>
    </xdr:from>
    <xdr:to>
      <xdr:col>4</xdr:col>
      <xdr:colOff>12211</xdr:colOff>
      <xdr:row>561</xdr:row>
      <xdr:rowOff>0</xdr:rowOff>
    </xdr:to>
    <xdr:cxnSp macro="">
      <xdr:nvCxnSpPr>
        <xdr:cNvPr id="627" name="Straight Connector 626"/>
        <xdr:cNvCxnSpPr/>
      </xdr:nvCxnSpPr>
      <xdr:spPr>
        <a:xfrm flipH="1" flipV="1">
          <a:off x="3507441" y="94148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558</xdr:row>
      <xdr:rowOff>32918</xdr:rowOff>
    </xdr:from>
    <xdr:to>
      <xdr:col>4</xdr:col>
      <xdr:colOff>17861</xdr:colOff>
      <xdr:row>558</xdr:row>
      <xdr:rowOff>35719</xdr:rowOff>
    </xdr:to>
    <xdr:cxnSp macro="">
      <xdr:nvCxnSpPr>
        <xdr:cNvPr id="628" name="Straight Connector 627"/>
        <xdr:cNvCxnSpPr/>
      </xdr:nvCxnSpPr>
      <xdr:spPr>
        <a:xfrm flipH="1">
          <a:off x="2849796" y="94139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551</xdr:row>
      <xdr:rowOff>171450</xdr:rowOff>
    </xdr:from>
    <xdr:to>
      <xdr:col>3</xdr:col>
      <xdr:colOff>504825</xdr:colOff>
      <xdr:row>556</xdr:row>
      <xdr:rowOff>47625</xdr:rowOff>
    </xdr:to>
    <xdr:pic>
      <xdr:nvPicPr>
        <xdr:cNvPr id="629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92563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563</xdr:row>
      <xdr:rowOff>89297</xdr:rowOff>
    </xdr:from>
    <xdr:to>
      <xdr:col>3</xdr:col>
      <xdr:colOff>178594</xdr:colOff>
      <xdr:row>564</xdr:row>
      <xdr:rowOff>59531</xdr:rowOff>
    </xdr:to>
    <xdr:cxnSp macro="">
      <xdr:nvCxnSpPr>
        <xdr:cNvPr id="630" name="Straight Connector 629"/>
        <xdr:cNvCxnSpPr/>
      </xdr:nvCxnSpPr>
      <xdr:spPr>
        <a:xfrm>
          <a:off x="2849796" y="95148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563</xdr:row>
      <xdr:rowOff>35719</xdr:rowOff>
    </xdr:from>
    <xdr:to>
      <xdr:col>3</xdr:col>
      <xdr:colOff>285750</xdr:colOff>
      <xdr:row>563</xdr:row>
      <xdr:rowOff>154781</xdr:rowOff>
    </xdr:to>
    <xdr:cxnSp macro="">
      <xdr:nvCxnSpPr>
        <xdr:cNvPr id="631" name="Straight Connector 630"/>
        <xdr:cNvCxnSpPr/>
      </xdr:nvCxnSpPr>
      <xdr:spPr>
        <a:xfrm>
          <a:off x="2885515" y="95095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563</xdr:row>
      <xdr:rowOff>44824</xdr:rowOff>
    </xdr:from>
    <xdr:to>
      <xdr:col>3</xdr:col>
      <xdr:colOff>67235</xdr:colOff>
      <xdr:row>565</xdr:row>
      <xdr:rowOff>156883</xdr:rowOff>
    </xdr:to>
    <xdr:cxnSp macro="">
      <xdr:nvCxnSpPr>
        <xdr:cNvPr id="632" name="Straight Connector 631"/>
        <xdr:cNvCxnSpPr/>
      </xdr:nvCxnSpPr>
      <xdr:spPr>
        <a:xfrm>
          <a:off x="2857500" y="95104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565</xdr:row>
      <xdr:rowOff>166690</xdr:rowOff>
    </xdr:from>
    <xdr:to>
      <xdr:col>4</xdr:col>
      <xdr:colOff>29308</xdr:colOff>
      <xdr:row>565</xdr:row>
      <xdr:rowOff>168519</xdr:rowOff>
    </xdr:to>
    <xdr:cxnSp macro="">
      <xdr:nvCxnSpPr>
        <xdr:cNvPr id="633" name="Straight Connector 632"/>
        <xdr:cNvCxnSpPr/>
      </xdr:nvCxnSpPr>
      <xdr:spPr>
        <a:xfrm>
          <a:off x="2849796" y="95607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563</xdr:row>
      <xdr:rowOff>41673</xdr:rowOff>
    </xdr:from>
    <xdr:to>
      <xdr:col>4</xdr:col>
      <xdr:colOff>12211</xdr:colOff>
      <xdr:row>566</xdr:row>
      <xdr:rowOff>0</xdr:rowOff>
    </xdr:to>
    <xdr:cxnSp macro="">
      <xdr:nvCxnSpPr>
        <xdr:cNvPr id="634" name="Straight Connector 633"/>
        <xdr:cNvCxnSpPr/>
      </xdr:nvCxnSpPr>
      <xdr:spPr>
        <a:xfrm flipH="1" flipV="1">
          <a:off x="3507441" y="95101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563</xdr:row>
      <xdr:rowOff>32918</xdr:rowOff>
    </xdr:from>
    <xdr:to>
      <xdr:col>4</xdr:col>
      <xdr:colOff>17861</xdr:colOff>
      <xdr:row>563</xdr:row>
      <xdr:rowOff>35719</xdr:rowOff>
    </xdr:to>
    <xdr:cxnSp macro="">
      <xdr:nvCxnSpPr>
        <xdr:cNvPr id="635" name="Straight Connector 634"/>
        <xdr:cNvCxnSpPr/>
      </xdr:nvCxnSpPr>
      <xdr:spPr>
        <a:xfrm flipH="1">
          <a:off x="2849796" y="95092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568</xdr:row>
      <xdr:rowOff>89297</xdr:rowOff>
    </xdr:from>
    <xdr:to>
      <xdr:col>3</xdr:col>
      <xdr:colOff>178594</xdr:colOff>
      <xdr:row>569</xdr:row>
      <xdr:rowOff>59531</xdr:rowOff>
    </xdr:to>
    <xdr:cxnSp macro="">
      <xdr:nvCxnSpPr>
        <xdr:cNvPr id="636" name="Straight Connector 635"/>
        <xdr:cNvCxnSpPr/>
      </xdr:nvCxnSpPr>
      <xdr:spPr>
        <a:xfrm>
          <a:off x="2849796" y="96101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568</xdr:row>
      <xdr:rowOff>35719</xdr:rowOff>
    </xdr:from>
    <xdr:to>
      <xdr:col>3</xdr:col>
      <xdr:colOff>285750</xdr:colOff>
      <xdr:row>568</xdr:row>
      <xdr:rowOff>154781</xdr:rowOff>
    </xdr:to>
    <xdr:cxnSp macro="">
      <xdr:nvCxnSpPr>
        <xdr:cNvPr id="637" name="Straight Connector 636"/>
        <xdr:cNvCxnSpPr/>
      </xdr:nvCxnSpPr>
      <xdr:spPr>
        <a:xfrm>
          <a:off x="2885515" y="96047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568</xdr:row>
      <xdr:rowOff>44824</xdr:rowOff>
    </xdr:from>
    <xdr:to>
      <xdr:col>3</xdr:col>
      <xdr:colOff>67235</xdr:colOff>
      <xdr:row>570</xdr:row>
      <xdr:rowOff>156883</xdr:rowOff>
    </xdr:to>
    <xdr:cxnSp macro="">
      <xdr:nvCxnSpPr>
        <xdr:cNvPr id="638" name="Straight Connector 637"/>
        <xdr:cNvCxnSpPr/>
      </xdr:nvCxnSpPr>
      <xdr:spPr>
        <a:xfrm>
          <a:off x="2857500" y="96056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570</xdr:row>
      <xdr:rowOff>166690</xdr:rowOff>
    </xdr:from>
    <xdr:to>
      <xdr:col>4</xdr:col>
      <xdr:colOff>29308</xdr:colOff>
      <xdr:row>570</xdr:row>
      <xdr:rowOff>168519</xdr:rowOff>
    </xdr:to>
    <xdr:cxnSp macro="">
      <xdr:nvCxnSpPr>
        <xdr:cNvPr id="639" name="Straight Connector 638"/>
        <xdr:cNvCxnSpPr/>
      </xdr:nvCxnSpPr>
      <xdr:spPr>
        <a:xfrm>
          <a:off x="2849796" y="96559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568</xdr:row>
      <xdr:rowOff>41673</xdr:rowOff>
    </xdr:from>
    <xdr:to>
      <xdr:col>4</xdr:col>
      <xdr:colOff>12211</xdr:colOff>
      <xdr:row>571</xdr:row>
      <xdr:rowOff>0</xdr:rowOff>
    </xdr:to>
    <xdr:cxnSp macro="">
      <xdr:nvCxnSpPr>
        <xdr:cNvPr id="640" name="Straight Connector 639"/>
        <xdr:cNvCxnSpPr/>
      </xdr:nvCxnSpPr>
      <xdr:spPr>
        <a:xfrm flipH="1" flipV="1">
          <a:off x="3507441" y="96053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568</xdr:row>
      <xdr:rowOff>32918</xdr:rowOff>
    </xdr:from>
    <xdr:to>
      <xdr:col>4</xdr:col>
      <xdr:colOff>17861</xdr:colOff>
      <xdr:row>568</xdr:row>
      <xdr:rowOff>35719</xdr:rowOff>
    </xdr:to>
    <xdr:cxnSp macro="">
      <xdr:nvCxnSpPr>
        <xdr:cNvPr id="641" name="Straight Connector 640"/>
        <xdr:cNvCxnSpPr/>
      </xdr:nvCxnSpPr>
      <xdr:spPr>
        <a:xfrm flipH="1">
          <a:off x="2849796" y="96044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35719</xdr:rowOff>
    </xdr:from>
    <xdr:to>
      <xdr:col>3</xdr:col>
      <xdr:colOff>428625</xdr:colOff>
      <xdr:row>575</xdr:row>
      <xdr:rowOff>178594</xdr:rowOff>
    </xdr:to>
    <xdr:cxnSp macro="">
      <xdr:nvCxnSpPr>
        <xdr:cNvPr id="642" name="Straight Connector 641"/>
        <xdr:cNvCxnSpPr/>
      </xdr:nvCxnSpPr>
      <xdr:spPr>
        <a:xfrm>
          <a:off x="3218890" y="97000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575</xdr:row>
      <xdr:rowOff>95249</xdr:rowOff>
    </xdr:from>
    <xdr:to>
      <xdr:col>3</xdr:col>
      <xdr:colOff>571500</xdr:colOff>
      <xdr:row>575</xdr:row>
      <xdr:rowOff>154780</xdr:rowOff>
    </xdr:to>
    <xdr:cxnSp macro="">
      <xdr:nvCxnSpPr>
        <xdr:cNvPr id="643" name="Straight Connector 642"/>
        <xdr:cNvCxnSpPr/>
      </xdr:nvCxnSpPr>
      <xdr:spPr>
        <a:xfrm flipH="1">
          <a:off x="3218890" y="97440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47625</xdr:rowOff>
    </xdr:from>
    <xdr:to>
      <xdr:col>3</xdr:col>
      <xdr:colOff>595313</xdr:colOff>
      <xdr:row>573</xdr:row>
      <xdr:rowOff>119062</xdr:rowOff>
    </xdr:to>
    <xdr:cxnSp macro="">
      <xdr:nvCxnSpPr>
        <xdr:cNvPr id="644" name="Straight Connector 643"/>
        <xdr:cNvCxnSpPr/>
      </xdr:nvCxnSpPr>
      <xdr:spPr>
        <a:xfrm>
          <a:off x="3218890" y="97012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35719</xdr:rowOff>
    </xdr:from>
    <xdr:to>
      <xdr:col>3</xdr:col>
      <xdr:colOff>428625</xdr:colOff>
      <xdr:row>575</xdr:row>
      <xdr:rowOff>178594</xdr:rowOff>
    </xdr:to>
    <xdr:cxnSp macro="">
      <xdr:nvCxnSpPr>
        <xdr:cNvPr id="645" name="Straight Connector 644"/>
        <xdr:cNvCxnSpPr/>
      </xdr:nvCxnSpPr>
      <xdr:spPr>
        <a:xfrm>
          <a:off x="3218890" y="970002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575</xdr:row>
      <xdr:rowOff>95249</xdr:rowOff>
    </xdr:from>
    <xdr:to>
      <xdr:col>3</xdr:col>
      <xdr:colOff>571500</xdr:colOff>
      <xdr:row>575</xdr:row>
      <xdr:rowOff>154780</xdr:rowOff>
    </xdr:to>
    <xdr:cxnSp macro="">
      <xdr:nvCxnSpPr>
        <xdr:cNvPr id="646" name="Straight Connector 645"/>
        <xdr:cNvCxnSpPr/>
      </xdr:nvCxnSpPr>
      <xdr:spPr>
        <a:xfrm flipH="1">
          <a:off x="3218890" y="974407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573</xdr:row>
      <xdr:rowOff>47625</xdr:rowOff>
    </xdr:from>
    <xdr:to>
      <xdr:col>3</xdr:col>
      <xdr:colOff>595313</xdr:colOff>
      <xdr:row>573</xdr:row>
      <xdr:rowOff>119062</xdr:rowOff>
    </xdr:to>
    <xdr:cxnSp macro="">
      <xdr:nvCxnSpPr>
        <xdr:cNvPr id="647" name="Straight Connector 646"/>
        <xdr:cNvCxnSpPr/>
      </xdr:nvCxnSpPr>
      <xdr:spPr>
        <a:xfrm>
          <a:off x="3218890" y="970121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385081</xdr:colOff>
      <xdr:row>511</xdr:row>
      <xdr:rowOff>297027</xdr:rowOff>
    </xdr:from>
    <xdr:to>
      <xdr:col>3</xdr:col>
      <xdr:colOff>392907</xdr:colOff>
      <xdr:row>515</xdr:row>
      <xdr:rowOff>154781</xdr:rowOff>
    </xdr:to>
    <xdr:cxnSp macro="">
      <xdr:nvCxnSpPr>
        <xdr:cNvPr id="648" name="Straight Connector 647"/>
        <xdr:cNvCxnSpPr/>
      </xdr:nvCxnSpPr>
      <xdr:spPr>
        <a:xfrm>
          <a:off x="3175346" y="44959752"/>
          <a:ext cx="7826" cy="724529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515</xdr:row>
      <xdr:rowOff>142875</xdr:rowOff>
    </xdr:from>
    <xdr:to>
      <xdr:col>4</xdr:col>
      <xdr:colOff>11908</xdr:colOff>
      <xdr:row>515</xdr:row>
      <xdr:rowOff>154782</xdr:rowOff>
    </xdr:to>
    <xdr:cxnSp macro="">
      <xdr:nvCxnSpPr>
        <xdr:cNvPr id="649" name="Straight Connector 648"/>
        <xdr:cNvCxnSpPr/>
      </xdr:nvCxnSpPr>
      <xdr:spPr>
        <a:xfrm flipH="1" flipV="1">
          <a:off x="3159360" y="45672375"/>
          <a:ext cx="359989" cy="11907"/>
        </a:xfrm>
        <a:prstGeom prst="line">
          <a:avLst/>
        </a:prstGeom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123695</xdr:colOff>
      <xdr:row>511</xdr:row>
      <xdr:rowOff>305147</xdr:rowOff>
    </xdr:from>
    <xdr:to>
      <xdr:col>3</xdr:col>
      <xdr:colOff>130969</xdr:colOff>
      <xdr:row>513</xdr:row>
      <xdr:rowOff>11906</xdr:rowOff>
    </xdr:to>
    <xdr:cxnSp macro="">
      <xdr:nvCxnSpPr>
        <xdr:cNvPr id="650" name="Straight Arrow Connector 649"/>
        <xdr:cNvCxnSpPr/>
      </xdr:nvCxnSpPr>
      <xdr:spPr>
        <a:xfrm flipH="1" flipV="1">
          <a:off x="2913960" y="44958347"/>
          <a:ext cx="7274" cy="202059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130969</xdr:colOff>
      <xdr:row>514</xdr:row>
      <xdr:rowOff>11907</xdr:rowOff>
    </xdr:from>
    <xdr:to>
      <xdr:col>3</xdr:col>
      <xdr:colOff>130969</xdr:colOff>
      <xdr:row>515</xdr:row>
      <xdr:rowOff>154782</xdr:rowOff>
    </xdr:to>
    <xdr:cxnSp macro="">
      <xdr:nvCxnSpPr>
        <xdr:cNvPr id="651" name="Straight Arrow Connector 650"/>
        <xdr:cNvCxnSpPr/>
      </xdr:nvCxnSpPr>
      <xdr:spPr>
        <a:xfrm>
          <a:off x="2921234" y="45350907"/>
          <a:ext cx="0" cy="3333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518</xdr:row>
      <xdr:rowOff>89297</xdr:rowOff>
    </xdr:from>
    <xdr:to>
      <xdr:col>3</xdr:col>
      <xdr:colOff>178594</xdr:colOff>
      <xdr:row>519</xdr:row>
      <xdr:rowOff>59531</xdr:rowOff>
    </xdr:to>
    <xdr:cxnSp macro="">
      <xdr:nvCxnSpPr>
        <xdr:cNvPr id="652" name="Straight Connector 651"/>
        <xdr:cNvCxnSpPr/>
      </xdr:nvCxnSpPr>
      <xdr:spPr>
        <a:xfrm>
          <a:off x="2849796" y="4619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518</xdr:row>
      <xdr:rowOff>35719</xdr:rowOff>
    </xdr:from>
    <xdr:to>
      <xdr:col>3</xdr:col>
      <xdr:colOff>285750</xdr:colOff>
      <xdr:row>518</xdr:row>
      <xdr:rowOff>154781</xdr:rowOff>
    </xdr:to>
    <xdr:cxnSp macro="">
      <xdr:nvCxnSpPr>
        <xdr:cNvPr id="653" name="Straight Connector 652"/>
        <xdr:cNvCxnSpPr/>
      </xdr:nvCxnSpPr>
      <xdr:spPr>
        <a:xfrm>
          <a:off x="2885515" y="4613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518</xdr:row>
      <xdr:rowOff>44824</xdr:rowOff>
    </xdr:from>
    <xdr:to>
      <xdr:col>3</xdr:col>
      <xdr:colOff>67235</xdr:colOff>
      <xdr:row>520</xdr:row>
      <xdr:rowOff>156883</xdr:rowOff>
    </xdr:to>
    <xdr:cxnSp macro="">
      <xdr:nvCxnSpPr>
        <xdr:cNvPr id="654" name="Straight Connector 653"/>
        <xdr:cNvCxnSpPr/>
      </xdr:nvCxnSpPr>
      <xdr:spPr>
        <a:xfrm>
          <a:off x="2857500" y="4614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520</xdr:row>
      <xdr:rowOff>166690</xdr:rowOff>
    </xdr:from>
    <xdr:to>
      <xdr:col>4</xdr:col>
      <xdr:colOff>29308</xdr:colOff>
      <xdr:row>520</xdr:row>
      <xdr:rowOff>168519</xdr:rowOff>
    </xdr:to>
    <xdr:cxnSp macro="">
      <xdr:nvCxnSpPr>
        <xdr:cNvPr id="655" name="Straight Connector 654"/>
        <xdr:cNvCxnSpPr/>
      </xdr:nvCxnSpPr>
      <xdr:spPr>
        <a:xfrm>
          <a:off x="2849796" y="4664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518</xdr:row>
      <xdr:rowOff>41673</xdr:rowOff>
    </xdr:from>
    <xdr:to>
      <xdr:col>4</xdr:col>
      <xdr:colOff>12211</xdr:colOff>
      <xdr:row>521</xdr:row>
      <xdr:rowOff>0</xdr:rowOff>
    </xdr:to>
    <xdr:cxnSp macro="">
      <xdr:nvCxnSpPr>
        <xdr:cNvPr id="656" name="Straight Connector 655"/>
        <xdr:cNvCxnSpPr/>
      </xdr:nvCxnSpPr>
      <xdr:spPr>
        <a:xfrm flipH="1" flipV="1">
          <a:off x="3507441" y="4614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518</xdr:row>
      <xdr:rowOff>32918</xdr:rowOff>
    </xdr:from>
    <xdr:to>
      <xdr:col>4</xdr:col>
      <xdr:colOff>17861</xdr:colOff>
      <xdr:row>518</xdr:row>
      <xdr:rowOff>35719</xdr:rowOff>
    </xdr:to>
    <xdr:cxnSp macro="">
      <xdr:nvCxnSpPr>
        <xdr:cNvPr id="657" name="Straight Connector 656"/>
        <xdr:cNvCxnSpPr/>
      </xdr:nvCxnSpPr>
      <xdr:spPr>
        <a:xfrm flipH="1">
          <a:off x="2849796" y="4613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528</xdr:row>
      <xdr:rowOff>89297</xdr:rowOff>
    </xdr:from>
    <xdr:to>
      <xdr:col>3</xdr:col>
      <xdr:colOff>178594</xdr:colOff>
      <xdr:row>529</xdr:row>
      <xdr:rowOff>59531</xdr:rowOff>
    </xdr:to>
    <xdr:cxnSp macro="">
      <xdr:nvCxnSpPr>
        <xdr:cNvPr id="658" name="Straight Connector 657"/>
        <xdr:cNvCxnSpPr/>
      </xdr:nvCxnSpPr>
      <xdr:spPr>
        <a:xfrm>
          <a:off x="2849796" y="48095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528</xdr:row>
      <xdr:rowOff>35719</xdr:rowOff>
    </xdr:from>
    <xdr:to>
      <xdr:col>3</xdr:col>
      <xdr:colOff>285750</xdr:colOff>
      <xdr:row>528</xdr:row>
      <xdr:rowOff>154781</xdr:rowOff>
    </xdr:to>
    <xdr:cxnSp macro="">
      <xdr:nvCxnSpPr>
        <xdr:cNvPr id="659" name="Straight Connector 658"/>
        <xdr:cNvCxnSpPr/>
      </xdr:nvCxnSpPr>
      <xdr:spPr>
        <a:xfrm>
          <a:off x="2885515" y="48041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528</xdr:row>
      <xdr:rowOff>44824</xdr:rowOff>
    </xdr:from>
    <xdr:to>
      <xdr:col>3</xdr:col>
      <xdr:colOff>67235</xdr:colOff>
      <xdr:row>530</xdr:row>
      <xdr:rowOff>156883</xdr:rowOff>
    </xdr:to>
    <xdr:cxnSp macro="">
      <xdr:nvCxnSpPr>
        <xdr:cNvPr id="660" name="Straight Connector 659"/>
        <xdr:cNvCxnSpPr/>
      </xdr:nvCxnSpPr>
      <xdr:spPr>
        <a:xfrm>
          <a:off x="2857500" y="48050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530</xdr:row>
      <xdr:rowOff>166690</xdr:rowOff>
    </xdr:from>
    <xdr:to>
      <xdr:col>4</xdr:col>
      <xdr:colOff>29308</xdr:colOff>
      <xdr:row>530</xdr:row>
      <xdr:rowOff>168519</xdr:rowOff>
    </xdr:to>
    <xdr:cxnSp macro="">
      <xdr:nvCxnSpPr>
        <xdr:cNvPr id="661" name="Straight Connector 660"/>
        <xdr:cNvCxnSpPr/>
      </xdr:nvCxnSpPr>
      <xdr:spPr>
        <a:xfrm>
          <a:off x="2849796" y="48553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528</xdr:row>
      <xdr:rowOff>41673</xdr:rowOff>
    </xdr:from>
    <xdr:to>
      <xdr:col>4</xdr:col>
      <xdr:colOff>12211</xdr:colOff>
      <xdr:row>531</xdr:row>
      <xdr:rowOff>0</xdr:rowOff>
    </xdr:to>
    <xdr:cxnSp macro="">
      <xdr:nvCxnSpPr>
        <xdr:cNvPr id="662" name="Straight Connector 661"/>
        <xdr:cNvCxnSpPr/>
      </xdr:nvCxnSpPr>
      <xdr:spPr>
        <a:xfrm flipH="1" flipV="1">
          <a:off x="3507441" y="48047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528</xdr:row>
      <xdr:rowOff>32918</xdr:rowOff>
    </xdr:from>
    <xdr:to>
      <xdr:col>4</xdr:col>
      <xdr:colOff>17861</xdr:colOff>
      <xdr:row>528</xdr:row>
      <xdr:rowOff>35719</xdr:rowOff>
    </xdr:to>
    <xdr:cxnSp macro="">
      <xdr:nvCxnSpPr>
        <xdr:cNvPr id="663" name="Straight Connector 662"/>
        <xdr:cNvCxnSpPr/>
      </xdr:nvCxnSpPr>
      <xdr:spPr>
        <a:xfrm flipH="1">
          <a:off x="2849796" y="48038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342900</xdr:colOff>
      <xdr:row>511</xdr:row>
      <xdr:rowOff>171450</xdr:rowOff>
    </xdr:from>
    <xdr:to>
      <xdr:col>3</xdr:col>
      <xdr:colOff>504825</xdr:colOff>
      <xdr:row>516</xdr:row>
      <xdr:rowOff>47625</xdr:rowOff>
    </xdr:to>
    <xdr:pic>
      <xdr:nvPicPr>
        <xdr:cNvPr id="664" name="Straight Connector 71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165" y="44938950"/>
          <a:ext cx="1619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59531</xdr:colOff>
      <xdr:row>523</xdr:row>
      <xdr:rowOff>89297</xdr:rowOff>
    </xdr:from>
    <xdr:to>
      <xdr:col>3</xdr:col>
      <xdr:colOff>178594</xdr:colOff>
      <xdr:row>524</xdr:row>
      <xdr:rowOff>59531</xdr:rowOff>
    </xdr:to>
    <xdr:cxnSp macro="">
      <xdr:nvCxnSpPr>
        <xdr:cNvPr id="665" name="Straight Connector 664"/>
        <xdr:cNvCxnSpPr/>
      </xdr:nvCxnSpPr>
      <xdr:spPr>
        <a:xfrm>
          <a:off x="2849796" y="4714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523</xdr:row>
      <xdr:rowOff>35719</xdr:rowOff>
    </xdr:from>
    <xdr:to>
      <xdr:col>3</xdr:col>
      <xdr:colOff>285750</xdr:colOff>
      <xdr:row>523</xdr:row>
      <xdr:rowOff>154781</xdr:rowOff>
    </xdr:to>
    <xdr:cxnSp macro="">
      <xdr:nvCxnSpPr>
        <xdr:cNvPr id="666" name="Straight Connector 665"/>
        <xdr:cNvCxnSpPr/>
      </xdr:nvCxnSpPr>
      <xdr:spPr>
        <a:xfrm>
          <a:off x="2885515" y="4708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523</xdr:row>
      <xdr:rowOff>44824</xdr:rowOff>
    </xdr:from>
    <xdr:to>
      <xdr:col>3</xdr:col>
      <xdr:colOff>67235</xdr:colOff>
      <xdr:row>525</xdr:row>
      <xdr:rowOff>156883</xdr:rowOff>
    </xdr:to>
    <xdr:cxnSp macro="">
      <xdr:nvCxnSpPr>
        <xdr:cNvPr id="667" name="Straight Connector 666"/>
        <xdr:cNvCxnSpPr/>
      </xdr:nvCxnSpPr>
      <xdr:spPr>
        <a:xfrm>
          <a:off x="2857500" y="4709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525</xdr:row>
      <xdr:rowOff>166690</xdr:rowOff>
    </xdr:from>
    <xdr:to>
      <xdr:col>4</xdr:col>
      <xdr:colOff>29308</xdr:colOff>
      <xdr:row>525</xdr:row>
      <xdr:rowOff>168519</xdr:rowOff>
    </xdr:to>
    <xdr:cxnSp macro="">
      <xdr:nvCxnSpPr>
        <xdr:cNvPr id="668" name="Straight Connector 667"/>
        <xdr:cNvCxnSpPr/>
      </xdr:nvCxnSpPr>
      <xdr:spPr>
        <a:xfrm>
          <a:off x="2849796" y="4760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523</xdr:row>
      <xdr:rowOff>41673</xdr:rowOff>
    </xdr:from>
    <xdr:to>
      <xdr:col>4</xdr:col>
      <xdr:colOff>12211</xdr:colOff>
      <xdr:row>526</xdr:row>
      <xdr:rowOff>0</xdr:rowOff>
    </xdr:to>
    <xdr:cxnSp macro="">
      <xdr:nvCxnSpPr>
        <xdr:cNvPr id="669" name="Straight Connector 668"/>
        <xdr:cNvCxnSpPr/>
      </xdr:nvCxnSpPr>
      <xdr:spPr>
        <a:xfrm flipH="1" flipV="1">
          <a:off x="3507441" y="4709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523</xdr:row>
      <xdr:rowOff>32918</xdr:rowOff>
    </xdr:from>
    <xdr:to>
      <xdr:col>4</xdr:col>
      <xdr:colOff>17861</xdr:colOff>
      <xdr:row>523</xdr:row>
      <xdr:rowOff>35719</xdr:rowOff>
    </xdr:to>
    <xdr:cxnSp macro="">
      <xdr:nvCxnSpPr>
        <xdr:cNvPr id="670" name="Straight Connector 669"/>
        <xdr:cNvCxnSpPr/>
      </xdr:nvCxnSpPr>
      <xdr:spPr>
        <a:xfrm flipH="1">
          <a:off x="2849796" y="4708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533</xdr:row>
      <xdr:rowOff>89297</xdr:rowOff>
    </xdr:from>
    <xdr:to>
      <xdr:col>3</xdr:col>
      <xdr:colOff>178594</xdr:colOff>
      <xdr:row>534</xdr:row>
      <xdr:rowOff>59531</xdr:rowOff>
    </xdr:to>
    <xdr:cxnSp macro="">
      <xdr:nvCxnSpPr>
        <xdr:cNvPr id="671" name="Straight Connector 670"/>
        <xdr:cNvCxnSpPr/>
      </xdr:nvCxnSpPr>
      <xdr:spPr>
        <a:xfrm>
          <a:off x="2849796" y="49047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533</xdr:row>
      <xdr:rowOff>35719</xdr:rowOff>
    </xdr:from>
    <xdr:to>
      <xdr:col>3</xdr:col>
      <xdr:colOff>285750</xdr:colOff>
      <xdr:row>533</xdr:row>
      <xdr:rowOff>154781</xdr:rowOff>
    </xdr:to>
    <xdr:cxnSp macro="">
      <xdr:nvCxnSpPr>
        <xdr:cNvPr id="672" name="Straight Connector 671"/>
        <xdr:cNvCxnSpPr/>
      </xdr:nvCxnSpPr>
      <xdr:spPr>
        <a:xfrm>
          <a:off x="2885515" y="48994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533</xdr:row>
      <xdr:rowOff>44824</xdr:rowOff>
    </xdr:from>
    <xdr:to>
      <xdr:col>3</xdr:col>
      <xdr:colOff>67235</xdr:colOff>
      <xdr:row>535</xdr:row>
      <xdr:rowOff>156883</xdr:rowOff>
    </xdr:to>
    <xdr:cxnSp macro="">
      <xdr:nvCxnSpPr>
        <xdr:cNvPr id="673" name="Straight Connector 672"/>
        <xdr:cNvCxnSpPr/>
      </xdr:nvCxnSpPr>
      <xdr:spPr>
        <a:xfrm>
          <a:off x="2857500" y="49003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535</xdr:row>
      <xdr:rowOff>166690</xdr:rowOff>
    </xdr:from>
    <xdr:to>
      <xdr:col>4</xdr:col>
      <xdr:colOff>29308</xdr:colOff>
      <xdr:row>535</xdr:row>
      <xdr:rowOff>168519</xdr:rowOff>
    </xdr:to>
    <xdr:cxnSp macro="">
      <xdr:nvCxnSpPr>
        <xdr:cNvPr id="674" name="Straight Connector 673"/>
        <xdr:cNvCxnSpPr/>
      </xdr:nvCxnSpPr>
      <xdr:spPr>
        <a:xfrm>
          <a:off x="2849796" y="49506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533</xdr:row>
      <xdr:rowOff>41673</xdr:rowOff>
    </xdr:from>
    <xdr:to>
      <xdr:col>4</xdr:col>
      <xdr:colOff>12211</xdr:colOff>
      <xdr:row>536</xdr:row>
      <xdr:rowOff>0</xdr:rowOff>
    </xdr:to>
    <xdr:cxnSp macro="">
      <xdr:nvCxnSpPr>
        <xdr:cNvPr id="675" name="Straight Connector 674"/>
        <xdr:cNvCxnSpPr/>
      </xdr:nvCxnSpPr>
      <xdr:spPr>
        <a:xfrm flipH="1" flipV="1">
          <a:off x="3507441" y="49000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533</xdr:row>
      <xdr:rowOff>32918</xdr:rowOff>
    </xdr:from>
    <xdr:to>
      <xdr:col>4</xdr:col>
      <xdr:colOff>17861</xdr:colOff>
      <xdr:row>533</xdr:row>
      <xdr:rowOff>35719</xdr:rowOff>
    </xdr:to>
    <xdr:cxnSp macro="">
      <xdr:nvCxnSpPr>
        <xdr:cNvPr id="676" name="Straight Connector 675"/>
        <xdr:cNvCxnSpPr/>
      </xdr:nvCxnSpPr>
      <xdr:spPr>
        <a:xfrm flipH="1">
          <a:off x="2849796" y="48991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538</xdr:row>
      <xdr:rowOff>89297</xdr:rowOff>
    </xdr:from>
    <xdr:to>
      <xdr:col>3</xdr:col>
      <xdr:colOff>178594</xdr:colOff>
      <xdr:row>539</xdr:row>
      <xdr:rowOff>59531</xdr:rowOff>
    </xdr:to>
    <xdr:cxnSp macro="">
      <xdr:nvCxnSpPr>
        <xdr:cNvPr id="677" name="Straight Connector 676"/>
        <xdr:cNvCxnSpPr/>
      </xdr:nvCxnSpPr>
      <xdr:spPr>
        <a:xfrm>
          <a:off x="2849796" y="500002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538</xdr:row>
      <xdr:rowOff>35719</xdr:rowOff>
    </xdr:from>
    <xdr:to>
      <xdr:col>3</xdr:col>
      <xdr:colOff>285750</xdr:colOff>
      <xdr:row>538</xdr:row>
      <xdr:rowOff>154781</xdr:rowOff>
    </xdr:to>
    <xdr:cxnSp macro="">
      <xdr:nvCxnSpPr>
        <xdr:cNvPr id="678" name="Straight Connector 677"/>
        <xdr:cNvCxnSpPr/>
      </xdr:nvCxnSpPr>
      <xdr:spPr>
        <a:xfrm>
          <a:off x="2885515" y="499467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538</xdr:row>
      <xdr:rowOff>44824</xdr:rowOff>
    </xdr:from>
    <xdr:to>
      <xdr:col>3</xdr:col>
      <xdr:colOff>67235</xdr:colOff>
      <xdr:row>540</xdr:row>
      <xdr:rowOff>156883</xdr:rowOff>
    </xdr:to>
    <xdr:cxnSp macro="">
      <xdr:nvCxnSpPr>
        <xdr:cNvPr id="679" name="Straight Connector 678"/>
        <xdr:cNvCxnSpPr/>
      </xdr:nvCxnSpPr>
      <xdr:spPr>
        <a:xfrm>
          <a:off x="2857500" y="499558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540</xdr:row>
      <xdr:rowOff>166690</xdr:rowOff>
    </xdr:from>
    <xdr:to>
      <xdr:col>4</xdr:col>
      <xdr:colOff>29308</xdr:colOff>
      <xdr:row>540</xdr:row>
      <xdr:rowOff>168519</xdr:rowOff>
    </xdr:to>
    <xdr:cxnSp macro="">
      <xdr:nvCxnSpPr>
        <xdr:cNvPr id="680" name="Straight Connector 679"/>
        <xdr:cNvCxnSpPr/>
      </xdr:nvCxnSpPr>
      <xdr:spPr>
        <a:xfrm>
          <a:off x="2849796" y="504586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538</xdr:row>
      <xdr:rowOff>41673</xdr:rowOff>
    </xdr:from>
    <xdr:to>
      <xdr:col>4</xdr:col>
      <xdr:colOff>12211</xdr:colOff>
      <xdr:row>541</xdr:row>
      <xdr:rowOff>0</xdr:rowOff>
    </xdr:to>
    <xdr:cxnSp macro="">
      <xdr:nvCxnSpPr>
        <xdr:cNvPr id="681" name="Straight Connector 680"/>
        <xdr:cNvCxnSpPr/>
      </xdr:nvCxnSpPr>
      <xdr:spPr>
        <a:xfrm flipH="1" flipV="1">
          <a:off x="3507441" y="499526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538</xdr:row>
      <xdr:rowOff>32918</xdr:rowOff>
    </xdr:from>
    <xdr:to>
      <xdr:col>4</xdr:col>
      <xdr:colOff>17861</xdr:colOff>
      <xdr:row>538</xdr:row>
      <xdr:rowOff>35719</xdr:rowOff>
    </xdr:to>
    <xdr:cxnSp macro="">
      <xdr:nvCxnSpPr>
        <xdr:cNvPr id="682" name="Straight Connector 681"/>
        <xdr:cNvCxnSpPr/>
      </xdr:nvCxnSpPr>
      <xdr:spPr>
        <a:xfrm flipH="1">
          <a:off x="2849796" y="499439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543</xdr:row>
      <xdr:rowOff>89297</xdr:rowOff>
    </xdr:from>
    <xdr:to>
      <xdr:col>3</xdr:col>
      <xdr:colOff>178594</xdr:colOff>
      <xdr:row>544</xdr:row>
      <xdr:rowOff>59531</xdr:rowOff>
    </xdr:to>
    <xdr:cxnSp macro="">
      <xdr:nvCxnSpPr>
        <xdr:cNvPr id="683" name="Straight Connector 682"/>
        <xdr:cNvCxnSpPr/>
      </xdr:nvCxnSpPr>
      <xdr:spPr>
        <a:xfrm>
          <a:off x="2849796" y="50952797"/>
          <a:ext cx="119063" cy="16073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543</xdr:row>
      <xdr:rowOff>35719</xdr:rowOff>
    </xdr:from>
    <xdr:to>
      <xdr:col>3</xdr:col>
      <xdr:colOff>285750</xdr:colOff>
      <xdr:row>543</xdr:row>
      <xdr:rowOff>154781</xdr:rowOff>
    </xdr:to>
    <xdr:cxnSp macro="">
      <xdr:nvCxnSpPr>
        <xdr:cNvPr id="684" name="Straight Connector 683"/>
        <xdr:cNvCxnSpPr/>
      </xdr:nvCxnSpPr>
      <xdr:spPr>
        <a:xfrm>
          <a:off x="2885515" y="50899219"/>
          <a:ext cx="190500" cy="11906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543</xdr:row>
      <xdr:rowOff>44824</xdr:rowOff>
    </xdr:from>
    <xdr:to>
      <xdr:col>3</xdr:col>
      <xdr:colOff>67235</xdr:colOff>
      <xdr:row>545</xdr:row>
      <xdr:rowOff>156883</xdr:rowOff>
    </xdr:to>
    <xdr:cxnSp macro="">
      <xdr:nvCxnSpPr>
        <xdr:cNvPr id="685" name="Straight Connector 684"/>
        <xdr:cNvCxnSpPr/>
      </xdr:nvCxnSpPr>
      <xdr:spPr>
        <a:xfrm>
          <a:off x="2857500" y="50908324"/>
          <a:ext cx="0" cy="49305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545</xdr:row>
      <xdr:rowOff>166690</xdr:rowOff>
    </xdr:from>
    <xdr:to>
      <xdr:col>4</xdr:col>
      <xdr:colOff>29308</xdr:colOff>
      <xdr:row>545</xdr:row>
      <xdr:rowOff>168519</xdr:rowOff>
    </xdr:to>
    <xdr:cxnSp macro="">
      <xdr:nvCxnSpPr>
        <xdr:cNvPr id="686" name="Straight Connector 685"/>
        <xdr:cNvCxnSpPr/>
      </xdr:nvCxnSpPr>
      <xdr:spPr>
        <a:xfrm>
          <a:off x="2849796" y="51411190"/>
          <a:ext cx="686953" cy="1829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543</xdr:row>
      <xdr:rowOff>41673</xdr:rowOff>
    </xdr:from>
    <xdr:to>
      <xdr:col>4</xdr:col>
      <xdr:colOff>12211</xdr:colOff>
      <xdr:row>546</xdr:row>
      <xdr:rowOff>0</xdr:rowOff>
    </xdr:to>
    <xdr:cxnSp macro="">
      <xdr:nvCxnSpPr>
        <xdr:cNvPr id="687" name="Straight Connector 686"/>
        <xdr:cNvCxnSpPr/>
      </xdr:nvCxnSpPr>
      <xdr:spPr>
        <a:xfrm flipH="1" flipV="1">
          <a:off x="3507441" y="50905173"/>
          <a:ext cx="12211" cy="529827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59531</xdr:colOff>
      <xdr:row>543</xdr:row>
      <xdr:rowOff>32918</xdr:rowOff>
    </xdr:from>
    <xdr:to>
      <xdr:col>4</xdr:col>
      <xdr:colOff>17861</xdr:colOff>
      <xdr:row>543</xdr:row>
      <xdr:rowOff>35719</xdr:rowOff>
    </xdr:to>
    <xdr:cxnSp macro="">
      <xdr:nvCxnSpPr>
        <xdr:cNvPr id="688" name="Straight Connector 687"/>
        <xdr:cNvCxnSpPr/>
      </xdr:nvCxnSpPr>
      <xdr:spPr>
        <a:xfrm flipH="1">
          <a:off x="2849796" y="50896418"/>
          <a:ext cx="675506" cy="2801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548</xdr:row>
      <xdr:rowOff>35719</xdr:rowOff>
    </xdr:from>
    <xdr:to>
      <xdr:col>3</xdr:col>
      <xdr:colOff>428625</xdr:colOff>
      <xdr:row>550</xdr:row>
      <xdr:rowOff>178594</xdr:rowOff>
    </xdr:to>
    <xdr:cxnSp macro="">
      <xdr:nvCxnSpPr>
        <xdr:cNvPr id="689" name="Straight Connector 688"/>
        <xdr:cNvCxnSpPr/>
      </xdr:nvCxnSpPr>
      <xdr:spPr>
        <a:xfrm>
          <a:off x="3218890" y="51851719"/>
          <a:ext cx="0" cy="5238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550</xdr:row>
      <xdr:rowOff>95249</xdr:rowOff>
    </xdr:from>
    <xdr:to>
      <xdr:col>3</xdr:col>
      <xdr:colOff>571500</xdr:colOff>
      <xdr:row>550</xdr:row>
      <xdr:rowOff>154780</xdr:rowOff>
    </xdr:to>
    <xdr:cxnSp macro="">
      <xdr:nvCxnSpPr>
        <xdr:cNvPr id="690" name="Straight Connector 689"/>
        <xdr:cNvCxnSpPr/>
      </xdr:nvCxnSpPr>
      <xdr:spPr>
        <a:xfrm flipH="1">
          <a:off x="3218890" y="52292249"/>
          <a:ext cx="142875" cy="5953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548</xdr:row>
      <xdr:rowOff>47625</xdr:rowOff>
    </xdr:from>
    <xdr:to>
      <xdr:col>3</xdr:col>
      <xdr:colOff>595313</xdr:colOff>
      <xdr:row>548</xdr:row>
      <xdr:rowOff>119062</xdr:rowOff>
    </xdr:to>
    <xdr:cxnSp macro="">
      <xdr:nvCxnSpPr>
        <xdr:cNvPr id="691" name="Straight Connector 690"/>
        <xdr:cNvCxnSpPr/>
      </xdr:nvCxnSpPr>
      <xdr:spPr>
        <a:xfrm>
          <a:off x="3218890" y="51863625"/>
          <a:ext cx="166688" cy="7143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73"/>
  <sheetViews>
    <sheetView zoomScale="80" zoomScaleNormal="80" workbookViewId="0">
      <pane ySplit="4" topLeftCell="A244" activePane="bottomLeft" state="frozen"/>
      <selection pane="bottomLeft" activeCell="V272" sqref="V272"/>
    </sheetView>
  </sheetViews>
  <sheetFormatPr defaultRowHeight="15" x14ac:dyDescent="0.25"/>
  <cols>
    <col min="1" max="1" width="7" style="15" customWidth="1"/>
    <col min="2" max="2" width="24" style="37" customWidth="1"/>
    <col min="3" max="4" width="10.7109375" style="21" customWidth="1"/>
    <col min="5" max="5" width="11.5703125" style="21" customWidth="1"/>
    <col min="6" max="6" width="8" style="13" customWidth="1"/>
    <col min="7" max="7" width="9.140625" style="13"/>
    <col min="8" max="9" width="9.140625" style="19"/>
    <col min="10" max="10" width="9.140625" style="21"/>
    <col min="11" max="11" width="6.7109375" style="19" customWidth="1"/>
    <col min="12" max="12" width="8.5703125" style="19" customWidth="1"/>
    <col min="13" max="13" width="10.28515625" style="19" customWidth="1"/>
    <col min="14" max="14" width="9.140625" style="19"/>
    <col min="15" max="15" width="12.140625" style="19" customWidth="1"/>
    <col min="16" max="16" width="10" style="19" customWidth="1"/>
    <col min="17" max="17" width="10.5703125" style="19" bestFit="1" customWidth="1"/>
    <col min="18" max="21" width="10" style="19" customWidth="1"/>
    <col min="22" max="22" width="12" style="19" customWidth="1"/>
    <col min="23" max="16384" width="9.140625" style="19"/>
  </cols>
  <sheetData>
    <row r="1" spans="1:22" ht="18.75" x14ac:dyDescent="0.25">
      <c r="A1" s="54" t="s">
        <v>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ht="15.75" x14ac:dyDescent="0.25">
      <c r="A2" s="10"/>
      <c r="B2" s="10"/>
      <c r="C2" s="15"/>
      <c r="D2" s="15"/>
      <c r="E2" s="15"/>
      <c r="F2" s="15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5" customHeight="1" x14ac:dyDescent="0.25">
      <c r="A3" s="53" t="s">
        <v>0</v>
      </c>
      <c r="B3" s="53" t="s">
        <v>1</v>
      </c>
      <c r="C3" s="59" t="s">
        <v>2</v>
      </c>
      <c r="D3" s="60"/>
      <c r="E3" s="61"/>
      <c r="F3" s="55" t="s">
        <v>3</v>
      </c>
      <c r="G3" s="56" t="s">
        <v>28</v>
      </c>
      <c r="H3" s="51" t="s">
        <v>29</v>
      </c>
      <c r="I3" s="56" t="s">
        <v>30</v>
      </c>
      <c r="J3" s="56" t="s">
        <v>4</v>
      </c>
      <c r="K3" s="53" t="s">
        <v>5</v>
      </c>
      <c r="L3" s="51" t="s">
        <v>6</v>
      </c>
      <c r="M3" s="53" t="s">
        <v>7</v>
      </c>
      <c r="N3" s="56" t="s">
        <v>8</v>
      </c>
      <c r="O3" s="57" t="s">
        <v>9</v>
      </c>
      <c r="P3" s="65" t="s">
        <v>10</v>
      </c>
      <c r="Q3" s="66"/>
      <c r="R3" s="66"/>
      <c r="S3" s="66"/>
      <c r="T3" s="66"/>
      <c r="U3" s="66"/>
      <c r="V3" s="53" t="s">
        <v>11</v>
      </c>
    </row>
    <row r="4" spans="1:22" x14ac:dyDescent="0.25">
      <c r="A4" s="53"/>
      <c r="B4" s="53"/>
      <c r="C4" s="62"/>
      <c r="D4" s="63"/>
      <c r="E4" s="64"/>
      <c r="F4" s="55"/>
      <c r="G4" s="56"/>
      <c r="H4" s="52"/>
      <c r="I4" s="56"/>
      <c r="J4" s="56"/>
      <c r="K4" s="53"/>
      <c r="L4" s="52"/>
      <c r="M4" s="53"/>
      <c r="N4" s="56"/>
      <c r="O4" s="58"/>
      <c r="P4" s="17" t="s">
        <v>12</v>
      </c>
      <c r="Q4" s="17" t="s">
        <v>13</v>
      </c>
      <c r="R4" s="17" t="s">
        <v>14</v>
      </c>
      <c r="S4" s="17" t="s">
        <v>15</v>
      </c>
      <c r="T4" s="17" t="s">
        <v>16</v>
      </c>
      <c r="U4" s="17" t="s">
        <v>17</v>
      </c>
      <c r="V4" s="53"/>
    </row>
    <row r="5" spans="1:22" ht="25.5" customHeight="1" x14ac:dyDescent="0.25">
      <c r="A5" s="14"/>
      <c r="B5" s="14"/>
      <c r="C5" s="22"/>
      <c r="D5" s="4"/>
      <c r="E5" s="23"/>
      <c r="F5" s="42"/>
      <c r="G5" s="11"/>
      <c r="H5" s="1"/>
      <c r="I5" s="1"/>
      <c r="J5" s="2"/>
      <c r="K5" s="1"/>
      <c r="L5" s="1"/>
      <c r="M5" s="1"/>
      <c r="N5" s="1"/>
      <c r="O5" s="3"/>
      <c r="P5" s="18" t="str">
        <f>IF($G5=8,$O5,"")</f>
        <v/>
      </c>
      <c r="Q5" s="18" t="str">
        <f>IF($G5=10,$O5,"")</f>
        <v/>
      </c>
      <c r="R5" s="18" t="str">
        <f>IF($G5=12,$O5,"")</f>
        <v/>
      </c>
      <c r="S5" s="18" t="str">
        <f>IF($G5=16,$O5,"")</f>
        <v/>
      </c>
      <c r="T5" s="18" t="str">
        <f>IF($G5=20,$O5,"")</f>
        <v/>
      </c>
      <c r="U5" s="18" t="str">
        <f>IF($G5=25,$O5,"")</f>
        <v/>
      </c>
      <c r="V5" s="1"/>
    </row>
    <row r="6" spans="1:22" x14ac:dyDescent="0.25">
      <c r="A6" s="14">
        <v>1</v>
      </c>
      <c r="B6" s="14" t="s">
        <v>31</v>
      </c>
      <c r="C6" s="22"/>
      <c r="D6" s="4"/>
      <c r="E6" s="23"/>
      <c r="F6" s="42"/>
      <c r="G6" s="11"/>
      <c r="H6" s="1"/>
      <c r="I6" s="1"/>
      <c r="J6" s="9"/>
      <c r="K6" s="5"/>
      <c r="L6" s="5"/>
      <c r="M6" s="1"/>
      <c r="N6" s="5"/>
      <c r="O6" s="5"/>
      <c r="P6" s="18" t="str">
        <f>IF($G6=8,$O6,"")</f>
        <v/>
      </c>
      <c r="Q6" s="18" t="str">
        <f>IF($G6=10,$O6,"")</f>
        <v/>
      </c>
      <c r="R6" s="18" t="str">
        <f>IF($G6=12,$O6,"")</f>
        <v/>
      </c>
      <c r="S6" s="18" t="str">
        <f>IF($G6=16,$O6,"")</f>
        <v/>
      </c>
      <c r="T6" s="18" t="str">
        <f>IF($G6=20,$O6,"")</f>
        <v/>
      </c>
      <c r="U6" s="18" t="str">
        <f>IF($G6=25,$O6,"")</f>
        <v/>
      </c>
      <c r="V6" s="1"/>
    </row>
    <row r="7" spans="1:22" x14ac:dyDescent="0.25">
      <c r="A7" s="14"/>
      <c r="B7" s="33" t="s">
        <v>18</v>
      </c>
      <c r="C7" s="22"/>
      <c r="D7" s="38">
        <f>2.8+0.15-0.075-0.032+1.8</f>
        <v>4.6429999999999998</v>
      </c>
      <c r="E7" s="23"/>
      <c r="F7" s="42"/>
      <c r="G7" s="11">
        <v>16</v>
      </c>
      <c r="H7" s="1">
        <v>32</v>
      </c>
      <c r="I7" s="1">
        <v>4</v>
      </c>
      <c r="J7" s="9">
        <f>D7</f>
        <v>4.6429999999999998</v>
      </c>
      <c r="K7" s="5"/>
      <c r="L7" s="5"/>
      <c r="M7" s="1">
        <f>2*G7/1000</f>
        <v>3.2000000000000001E-2</v>
      </c>
      <c r="N7" s="5">
        <f>J7+E9-M7</f>
        <v>4.9109999999999996</v>
      </c>
      <c r="O7" s="5">
        <f>H7*I7*N7</f>
        <v>628.60799999999995</v>
      </c>
      <c r="P7" s="18" t="str">
        <f t="shared" ref="P7:P269" si="0">IF($G7=8,$O7,"")</f>
        <v/>
      </c>
      <c r="Q7" s="18" t="str">
        <f t="shared" ref="Q7:Q269" si="1">IF($G7=10,$O7,"")</f>
        <v/>
      </c>
      <c r="R7" s="18" t="str">
        <f t="shared" ref="R7:R269" si="2">IF($G7=12,$O7,"")</f>
        <v/>
      </c>
      <c r="S7" s="18">
        <f t="shared" ref="S7:S269" si="3">IF($G7=16,$O7,"")</f>
        <v>628.60799999999995</v>
      </c>
      <c r="T7" s="18" t="str">
        <f t="shared" ref="T7:T269" si="4">IF($G7=20,$O7,"")</f>
        <v/>
      </c>
      <c r="U7" s="18" t="str">
        <f t="shared" ref="U7:U269" si="5">IF($G7=25,$O7,"")</f>
        <v/>
      </c>
      <c r="V7" s="1"/>
    </row>
    <row r="8" spans="1:22" x14ac:dyDescent="0.25">
      <c r="A8" s="14"/>
      <c r="B8" s="33" t="s">
        <v>32</v>
      </c>
      <c r="C8" s="22"/>
      <c r="D8" s="4"/>
      <c r="E8" s="23"/>
      <c r="F8" s="42"/>
      <c r="G8" s="11">
        <v>12</v>
      </c>
      <c r="H8" s="1">
        <v>32</v>
      </c>
      <c r="I8" s="1">
        <v>2</v>
      </c>
      <c r="J8" s="9">
        <f>D7</f>
        <v>4.6429999999999998</v>
      </c>
      <c r="K8" s="5"/>
      <c r="L8" s="5"/>
      <c r="M8" s="1">
        <f>2*G8/1000</f>
        <v>2.4E-2</v>
      </c>
      <c r="N8" s="5">
        <f>J8+E9-M8</f>
        <v>4.9189999999999996</v>
      </c>
      <c r="O8" s="5">
        <f>H8*I8*N8</f>
        <v>314.81599999999997</v>
      </c>
      <c r="P8" s="18" t="str">
        <f t="shared" si="0"/>
        <v/>
      </c>
      <c r="Q8" s="18" t="str">
        <f t="shared" si="1"/>
        <v/>
      </c>
      <c r="R8" s="18">
        <f t="shared" si="2"/>
        <v>314.81599999999997</v>
      </c>
      <c r="S8" s="18" t="str">
        <f t="shared" si="3"/>
        <v/>
      </c>
      <c r="T8" s="18" t="str">
        <f t="shared" si="4"/>
        <v/>
      </c>
      <c r="U8" s="18" t="str">
        <f t="shared" si="5"/>
        <v/>
      </c>
      <c r="V8" s="1"/>
    </row>
    <row r="9" spans="1:22" x14ac:dyDescent="0.25">
      <c r="A9" s="14"/>
      <c r="B9" s="33" t="s">
        <v>26</v>
      </c>
      <c r="C9" s="24"/>
      <c r="D9" s="25"/>
      <c r="E9" s="39">
        <v>0.3</v>
      </c>
      <c r="F9" s="42"/>
      <c r="G9" s="11">
        <v>16</v>
      </c>
      <c r="H9" s="1">
        <v>32</v>
      </c>
      <c r="I9" s="1">
        <v>4</v>
      </c>
      <c r="J9" s="9">
        <f>D7</f>
        <v>4.6429999999999998</v>
      </c>
      <c r="K9" s="5"/>
      <c r="L9" s="5"/>
      <c r="M9" s="1">
        <f>2*G9/1000</f>
        <v>3.2000000000000001E-2</v>
      </c>
      <c r="N9" s="5">
        <f>J9+E9-M9</f>
        <v>4.9109999999999996</v>
      </c>
      <c r="O9" s="5">
        <f>H9*I9*N9</f>
        <v>628.60799999999995</v>
      </c>
      <c r="P9" s="18" t="str">
        <f t="shared" si="0"/>
        <v/>
      </c>
      <c r="Q9" s="18" t="str">
        <f t="shared" si="1"/>
        <v/>
      </c>
      <c r="R9" s="18" t="str">
        <f t="shared" si="2"/>
        <v/>
      </c>
      <c r="S9" s="18">
        <f t="shared" si="3"/>
        <v>628.60799999999995</v>
      </c>
      <c r="T9" s="18" t="str">
        <f t="shared" si="4"/>
        <v/>
      </c>
      <c r="U9" s="18" t="str">
        <f t="shared" si="5"/>
        <v/>
      </c>
      <c r="V9" s="1"/>
    </row>
    <row r="10" spans="1:22" x14ac:dyDescent="0.25">
      <c r="A10" s="14"/>
      <c r="B10" s="33" t="s">
        <v>19</v>
      </c>
      <c r="C10" s="22"/>
      <c r="D10" s="4"/>
      <c r="E10" s="23"/>
      <c r="F10" s="42"/>
      <c r="G10" s="11">
        <v>12</v>
      </c>
      <c r="H10" s="1">
        <v>32</v>
      </c>
      <c r="I10" s="1">
        <v>4</v>
      </c>
      <c r="J10" s="9">
        <f>D7</f>
        <v>4.6429999999999998</v>
      </c>
      <c r="K10" s="5"/>
      <c r="L10" s="5"/>
      <c r="M10" s="1">
        <f>2*G10/1000</f>
        <v>2.4E-2</v>
      </c>
      <c r="N10" s="5">
        <f>J10+E9-M10</f>
        <v>4.9189999999999996</v>
      </c>
      <c r="O10" s="5">
        <f>H10*I10*N10</f>
        <v>629.63199999999995</v>
      </c>
      <c r="P10" s="18" t="str">
        <f t="shared" si="0"/>
        <v/>
      </c>
      <c r="Q10" s="18" t="str">
        <f t="shared" si="1"/>
        <v/>
      </c>
      <c r="R10" s="18">
        <f t="shared" si="2"/>
        <v>629.63199999999995</v>
      </c>
      <c r="S10" s="18" t="str">
        <f t="shared" si="3"/>
        <v/>
      </c>
      <c r="T10" s="18" t="str">
        <f t="shared" si="4"/>
        <v/>
      </c>
      <c r="U10" s="18" t="str">
        <f t="shared" si="5"/>
        <v/>
      </c>
      <c r="V10" s="1"/>
    </row>
    <row r="11" spans="1:22" x14ac:dyDescent="0.25">
      <c r="A11" s="14"/>
      <c r="B11" s="33"/>
      <c r="C11" s="22"/>
      <c r="D11" s="4"/>
      <c r="E11" s="23"/>
      <c r="F11" s="42"/>
      <c r="G11" s="11"/>
      <c r="H11" s="1"/>
      <c r="I11" s="1"/>
      <c r="J11" s="2"/>
      <c r="K11" s="1"/>
      <c r="L11" s="1"/>
      <c r="M11" s="1"/>
      <c r="N11" s="1"/>
      <c r="O11" s="3"/>
      <c r="P11" s="18" t="str">
        <f t="shared" si="0"/>
        <v/>
      </c>
      <c r="Q11" s="18" t="str">
        <f t="shared" si="1"/>
        <v/>
      </c>
      <c r="R11" s="18" t="str">
        <f t="shared" si="2"/>
        <v/>
      </c>
      <c r="S11" s="18" t="str">
        <f t="shared" si="3"/>
        <v/>
      </c>
      <c r="T11" s="18" t="str">
        <f t="shared" si="4"/>
        <v/>
      </c>
      <c r="U11" s="18" t="str">
        <f t="shared" si="5"/>
        <v/>
      </c>
      <c r="V11" s="1"/>
    </row>
    <row r="12" spans="1:22" x14ac:dyDescent="0.25">
      <c r="A12" s="14"/>
      <c r="B12" s="14"/>
      <c r="C12" s="29">
        <v>80</v>
      </c>
      <c r="D12" s="4"/>
      <c r="E12" s="23"/>
      <c r="F12" s="42"/>
      <c r="G12" s="11"/>
      <c r="H12" s="1"/>
      <c r="I12" s="1"/>
      <c r="J12" s="2"/>
      <c r="K12" s="1"/>
      <c r="L12" s="1"/>
      <c r="M12" s="1"/>
      <c r="N12" s="1"/>
      <c r="O12" s="3"/>
      <c r="P12" s="18" t="str">
        <f t="shared" si="0"/>
        <v/>
      </c>
      <c r="Q12" s="18" t="str">
        <f t="shared" si="1"/>
        <v/>
      </c>
      <c r="R12" s="18" t="str">
        <f t="shared" si="2"/>
        <v/>
      </c>
      <c r="S12" s="18" t="str">
        <f t="shared" si="3"/>
        <v/>
      </c>
      <c r="T12" s="18" t="str">
        <f t="shared" si="4"/>
        <v/>
      </c>
      <c r="U12" s="18" t="str">
        <f t="shared" si="5"/>
        <v/>
      </c>
      <c r="V12" s="1"/>
    </row>
    <row r="13" spans="1:22" x14ac:dyDescent="0.25">
      <c r="A13" s="14"/>
      <c r="B13" s="34" t="s">
        <v>20</v>
      </c>
      <c r="C13" s="26"/>
      <c r="D13" s="4"/>
      <c r="E13" s="40">
        <f>0.6-0.08</f>
        <v>0.52</v>
      </c>
      <c r="F13" s="42">
        <v>7.4999999999999997E-2</v>
      </c>
      <c r="G13" s="11">
        <v>10</v>
      </c>
      <c r="H13" s="1">
        <v>32</v>
      </c>
      <c r="I13" s="1">
        <f>ROUND(D7/F13+1,0)</f>
        <v>63</v>
      </c>
      <c r="J13" s="41">
        <f>2*(D15+E13)+16*10/1000</f>
        <v>1.64</v>
      </c>
      <c r="K13" s="1"/>
      <c r="L13" s="1"/>
      <c r="M13" s="1"/>
      <c r="N13" s="5">
        <f>(J13+K13-M13)</f>
        <v>1.64</v>
      </c>
      <c r="O13" s="5">
        <f>(H13*I13*N13)</f>
        <v>3306.24</v>
      </c>
      <c r="P13" s="18" t="str">
        <f t="shared" si="0"/>
        <v/>
      </c>
      <c r="Q13" s="18">
        <f t="shared" si="1"/>
        <v>3306.24</v>
      </c>
      <c r="R13" s="18" t="str">
        <f t="shared" si="2"/>
        <v/>
      </c>
      <c r="S13" s="18" t="str">
        <f t="shared" si="3"/>
        <v/>
      </c>
      <c r="T13" s="18" t="str">
        <f t="shared" si="4"/>
        <v/>
      </c>
      <c r="U13" s="18" t="str">
        <f t="shared" si="5"/>
        <v/>
      </c>
      <c r="V13" s="1"/>
    </row>
    <row r="14" spans="1:22" x14ac:dyDescent="0.25">
      <c r="A14" s="14"/>
      <c r="B14" s="34"/>
      <c r="C14" s="22"/>
      <c r="D14" s="4"/>
      <c r="E14" s="27"/>
      <c r="F14" s="42"/>
      <c r="G14" s="11"/>
      <c r="H14" s="1"/>
      <c r="I14" s="1"/>
      <c r="J14" s="2"/>
      <c r="K14" s="1"/>
      <c r="L14" s="1"/>
      <c r="M14" s="1"/>
      <c r="N14" s="1"/>
      <c r="O14" s="5"/>
      <c r="P14" s="18" t="str">
        <f t="shared" si="0"/>
        <v/>
      </c>
      <c r="Q14" s="18" t="str">
        <f t="shared" si="1"/>
        <v/>
      </c>
      <c r="R14" s="18" t="str">
        <f t="shared" si="2"/>
        <v/>
      </c>
      <c r="S14" s="18" t="str">
        <f t="shared" si="3"/>
        <v/>
      </c>
      <c r="T14" s="18" t="str">
        <f t="shared" si="4"/>
        <v/>
      </c>
      <c r="U14" s="18" t="str">
        <f t="shared" si="5"/>
        <v/>
      </c>
      <c r="V14" s="1"/>
    </row>
    <row r="15" spans="1:22" x14ac:dyDescent="0.25">
      <c r="A15" s="14"/>
      <c r="B15" s="34"/>
      <c r="C15" s="22"/>
      <c r="D15" s="9">
        <f>0.3-0.08</f>
        <v>0.21999999999999997</v>
      </c>
      <c r="E15" s="23"/>
      <c r="F15" s="42"/>
      <c r="G15" s="11"/>
      <c r="H15" s="1"/>
      <c r="I15" s="1"/>
      <c r="J15" s="2"/>
      <c r="K15" s="1"/>
      <c r="L15" s="1"/>
      <c r="M15" s="1"/>
      <c r="N15" s="1"/>
      <c r="O15" s="5"/>
      <c r="P15" s="18" t="str">
        <f t="shared" si="0"/>
        <v/>
      </c>
      <c r="Q15" s="18" t="str">
        <f t="shared" si="1"/>
        <v/>
      </c>
      <c r="R15" s="18" t="str">
        <f t="shared" si="2"/>
        <v/>
      </c>
      <c r="S15" s="18" t="str">
        <f t="shared" si="3"/>
        <v/>
      </c>
      <c r="T15" s="18" t="str">
        <f t="shared" si="4"/>
        <v/>
      </c>
      <c r="U15" s="18" t="str">
        <f t="shared" si="5"/>
        <v/>
      </c>
      <c r="V15" s="1"/>
    </row>
    <row r="16" spans="1:22" x14ac:dyDescent="0.25">
      <c r="A16" s="14"/>
      <c r="B16" s="33"/>
      <c r="C16" s="22"/>
      <c r="D16" s="4"/>
      <c r="E16" s="23"/>
      <c r="F16" s="42"/>
      <c r="G16" s="11"/>
      <c r="H16" s="1"/>
      <c r="I16" s="1"/>
      <c r="J16" s="2"/>
      <c r="K16" s="1"/>
      <c r="L16" s="1"/>
      <c r="M16" s="1"/>
      <c r="N16" s="1"/>
      <c r="O16" s="5"/>
      <c r="P16" s="18" t="str">
        <f t="shared" si="0"/>
        <v/>
      </c>
      <c r="Q16" s="18" t="str">
        <f t="shared" si="1"/>
        <v/>
      </c>
      <c r="R16" s="18" t="str">
        <f t="shared" si="2"/>
        <v/>
      </c>
      <c r="S16" s="18" t="str">
        <f t="shared" si="3"/>
        <v/>
      </c>
      <c r="T16" s="18" t="str">
        <f t="shared" si="4"/>
        <v/>
      </c>
      <c r="U16" s="18" t="str">
        <f t="shared" si="5"/>
        <v/>
      </c>
      <c r="V16" s="1"/>
    </row>
    <row r="17" spans="1:22" x14ac:dyDescent="0.25">
      <c r="A17" s="14"/>
      <c r="B17" s="14"/>
      <c r="C17" s="29">
        <v>80</v>
      </c>
      <c r="D17" s="4"/>
      <c r="E17" s="23"/>
      <c r="F17" s="42"/>
      <c r="G17" s="11"/>
      <c r="H17" s="1"/>
      <c r="I17" s="1"/>
      <c r="J17" s="2"/>
      <c r="K17" s="1"/>
      <c r="L17" s="1"/>
      <c r="M17" s="1"/>
      <c r="N17" s="1"/>
      <c r="O17" s="5"/>
      <c r="P17" s="18" t="str">
        <f t="shared" si="0"/>
        <v/>
      </c>
      <c r="Q17" s="18" t="str">
        <f t="shared" si="1"/>
        <v/>
      </c>
      <c r="R17" s="18" t="str">
        <f t="shared" si="2"/>
        <v/>
      </c>
      <c r="S17" s="18" t="str">
        <f t="shared" si="3"/>
        <v/>
      </c>
      <c r="T17" s="18" t="str">
        <f t="shared" si="4"/>
        <v/>
      </c>
      <c r="U17" s="18" t="str">
        <f t="shared" si="5"/>
        <v/>
      </c>
      <c r="V17" s="1"/>
    </row>
    <row r="18" spans="1:22" x14ac:dyDescent="0.25">
      <c r="A18" s="14"/>
      <c r="B18" s="34" t="s">
        <v>21</v>
      </c>
      <c r="C18" s="26"/>
      <c r="D18" s="4"/>
      <c r="E18" s="40">
        <f>((0.6-0.08-0.016)/5)+0.012+0.02</f>
        <v>0.1328</v>
      </c>
      <c r="F18" s="42">
        <v>7.4999999999999997E-2</v>
      </c>
      <c r="G18" s="11">
        <v>10</v>
      </c>
      <c r="H18" s="1">
        <v>32</v>
      </c>
      <c r="I18" s="1">
        <f>ROUND(D7/F18+1,0)</f>
        <v>63</v>
      </c>
      <c r="J18" s="41">
        <f>2*(D20+E18)+16*10/1000</f>
        <v>0.86560000000000004</v>
      </c>
      <c r="K18" s="1"/>
      <c r="L18" s="1"/>
      <c r="M18" s="1"/>
      <c r="N18" s="5">
        <f>(J18+K18-M18)</f>
        <v>0.86560000000000004</v>
      </c>
      <c r="O18" s="5">
        <f>(H18*I18*N18)</f>
        <v>1745.0496000000001</v>
      </c>
      <c r="P18" s="18" t="str">
        <f t="shared" si="0"/>
        <v/>
      </c>
      <c r="Q18" s="18">
        <f t="shared" si="1"/>
        <v>1745.0496000000001</v>
      </c>
      <c r="R18" s="18" t="str">
        <f t="shared" si="2"/>
        <v/>
      </c>
      <c r="S18" s="18" t="str">
        <f t="shared" si="3"/>
        <v/>
      </c>
      <c r="T18" s="18" t="str">
        <f t="shared" si="4"/>
        <v/>
      </c>
      <c r="U18" s="18" t="str">
        <f t="shared" si="5"/>
        <v/>
      </c>
      <c r="V18" s="1"/>
    </row>
    <row r="19" spans="1:22" x14ac:dyDescent="0.25">
      <c r="A19" s="14"/>
      <c r="B19" s="34"/>
      <c r="C19" s="22"/>
      <c r="D19" s="4"/>
      <c r="E19" s="27"/>
      <c r="F19" s="42"/>
      <c r="G19" s="11"/>
      <c r="H19" s="1"/>
      <c r="I19" s="1"/>
      <c r="J19" s="2"/>
      <c r="K19" s="1"/>
      <c r="L19" s="1"/>
      <c r="M19" s="1"/>
      <c r="N19" s="1"/>
      <c r="O19" s="5"/>
      <c r="P19" s="18" t="str">
        <f t="shared" si="0"/>
        <v/>
      </c>
      <c r="Q19" s="18" t="str">
        <f t="shared" si="1"/>
        <v/>
      </c>
      <c r="R19" s="18" t="str">
        <f t="shared" si="2"/>
        <v/>
      </c>
      <c r="S19" s="18" t="str">
        <f t="shared" si="3"/>
        <v/>
      </c>
      <c r="T19" s="18" t="str">
        <f t="shared" si="4"/>
        <v/>
      </c>
      <c r="U19" s="18" t="str">
        <f t="shared" si="5"/>
        <v/>
      </c>
      <c r="V19" s="1"/>
    </row>
    <row r="20" spans="1:22" x14ac:dyDescent="0.25">
      <c r="A20" s="14"/>
      <c r="B20" s="34"/>
      <c r="C20" s="22"/>
      <c r="D20" s="9">
        <f>0.3-0.08</f>
        <v>0.21999999999999997</v>
      </c>
      <c r="E20" s="23"/>
      <c r="F20" s="42"/>
      <c r="G20" s="11"/>
      <c r="H20" s="1"/>
      <c r="I20" s="1"/>
      <c r="J20" s="2"/>
      <c r="K20" s="1"/>
      <c r="L20" s="1"/>
      <c r="M20" s="1"/>
      <c r="N20" s="1"/>
      <c r="O20" s="5"/>
      <c r="P20" s="18" t="str">
        <f t="shared" si="0"/>
        <v/>
      </c>
      <c r="Q20" s="18" t="str">
        <f t="shared" si="1"/>
        <v/>
      </c>
      <c r="R20" s="18" t="str">
        <f t="shared" si="2"/>
        <v/>
      </c>
      <c r="S20" s="18" t="str">
        <f t="shared" si="3"/>
        <v/>
      </c>
      <c r="T20" s="18" t="str">
        <f t="shared" si="4"/>
        <v/>
      </c>
      <c r="U20" s="18" t="str">
        <f t="shared" si="5"/>
        <v/>
      </c>
      <c r="V20" s="1"/>
    </row>
    <row r="21" spans="1:22" x14ac:dyDescent="0.25">
      <c r="A21" s="14"/>
      <c r="B21" s="34"/>
      <c r="C21" s="22"/>
      <c r="D21" s="4"/>
      <c r="E21" s="23"/>
      <c r="F21" s="42"/>
      <c r="G21" s="11"/>
      <c r="H21" s="1"/>
      <c r="I21" s="1"/>
      <c r="J21" s="2"/>
      <c r="K21" s="1"/>
      <c r="L21" s="1"/>
      <c r="M21" s="1"/>
      <c r="N21" s="1"/>
      <c r="O21" s="5"/>
      <c r="P21" s="18" t="str">
        <f t="shared" si="0"/>
        <v/>
      </c>
      <c r="Q21" s="18" t="str">
        <f t="shared" si="1"/>
        <v/>
      </c>
      <c r="R21" s="18" t="str">
        <f t="shared" si="2"/>
        <v/>
      </c>
      <c r="S21" s="18" t="str">
        <f t="shared" si="3"/>
        <v/>
      </c>
      <c r="T21" s="18" t="str">
        <f t="shared" si="4"/>
        <v/>
      </c>
      <c r="U21" s="18" t="str">
        <f t="shared" si="5"/>
        <v/>
      </c>
      <c r="V21" s="1"/>
    </row>
    <row r="22" spans="1:22" x14ac:dyDescent="0.25">
      <c r="A22" s="14"/>
      <c r="B22" s="34" t="s">
        <v>22</v>
      </c>
      <c r="C22" s="22"/>
      <c r="D22" s="25"/>
      <c r="E22" s="23"/>
      <c r="F22" s="42">
        <v>7.4999999999999997E-2</v>
      </c>
      <c r="G22" s="11">
        <v>10</v>
      </c>
      <c r="H22" s="1">
        <v>32</v>
      </c>
      <c r="I22" s="1">
        <f>ROUND(D7/F22+1,0)</f>
        <v>63</v>
      </c>
      <c r="J22" s="41">
        <f>C23+D25+E23+2*10*G22/1000</f>
        <v>0.77</v>
      </c>
      <c r="K22" s="1"/>
      <c r="L22" s="1"/>
      <c r="M22" s="5">
        <f>4*3*G22/1000</f>
        <v>0.12</v>
      </c>
      <c r="N22" s="5">
        <f>(J22+K22-M22)</f>
        <v>0.65</v>
      </c>
      <c r="O22" s="5">
        <f>(H22*I22*N22)</f>
        <v>1310.4000000000001</v>
      </c>
      <c r="P22" s="18" t="str">
        <f t="shared" si="0"/>
        <v/>
      </c>
      <c r="Q22" s="18">
        <f t="shared" si="1"/>
        <v>1310.4000000000001</v>
      </c>
      <c r="R22" s="18" t="str">
        <f t="shared" si="2"/>
        <v/>
      </c>
      <c r="S22" s="18" t="str">
        <f t="shared" si="3"/>
        <v/>
      </c>
      <c r="T22" s="18" t="str">
        <f t="shared" si="4"/>
        <v/>
      </c>
      <c r="U22" s="18" t="str">
        <f t="shared" si="5"/>
        <v/>
      </c>
      <c r="V22" s="1"/>
    </row>
    <row r="23" spans="1:22" x14ac:dyDescent="0.25">
      <c r="A23" s="14"/>
      <c r="B23" s="34"/>
      <c r="C23" s="29">
        <v>0.17499999999999999</v>
      </c>
      <c r="D23" s="4"/>
      <c r="E23" s="23">
        <v>0.17499999999999999</v>
      </c>
      <c r="F23" s="42"/>
      <c r="G23" s="11"/>
      <c r="H23" s="1"/>
      <c r="I23" s="1"/>
      <c r="J23" s="2"/>
      <c r="K23" s="1"/>
      <c r="L23" s="1"/>
      <c r="M23" s="1"/>
      <c r="N23" s="1"/>
      <c r="O23" s="5"/>
      <c r="P23" s="18" t="str">
        <f>IF($G23=8,$O23,"")</f>
        <v/>
      </c>
      <c r="Q23" s="18" t="str">
        <f>IF($G23=10,$O23,"")</f>
        <v/>
      </c>
      <c r="R23" s="18" t="str">
        <f>IF($G23=12,$O23,"")</f>
        <v/>
      </c>
      <c r="S23" s="18" t="str">
        <f>IF($G23=16,$O23,"")</f>
        <v/>
      </c>
      <c r="T23" s="18" t="str">
        <f>IF($G23=20,$O23,"")</f>
        <v/>
      </c>
      <c r="U23" s="18" t="str">
        <f>IF($G23=25,$O23,"")</f>
        <v/>
      </c>
      <c r="V23" s="1"/>
    </row>
    <row r="24" spans="1:22" x14ac:dyDescent="0.25">
      <c r="A24" s="14"/>
      <c r="B24" s="34"/>
      <c r="C24" s="22"/>
      <c r="D24" s="4"/>
      <c r="E24" s="23"/>
      <c r="F24" s="42"/>
      <c r="G24" s="11"/>
      <c r="H24" s="1"/>
      <c r="I24" s="1"/>
      <c r="J24" s="2"/>
      <c r="K24" s="1"/>
      <c r="L24" s="1"/>
      <c r="M24" s="1"/>
      <c r="N24" s="1"/>
      <c r="O24" s="5"/>
      <c r="P24" s="18" t="str">
        <f t="shared" si="0"/>
        <v/>
      </c>
      <c r="Q24" s="18" t="str">
        <f t="shared" si="1"/>
        <v/>
      </c>
      <c r="R24" s="18" t="str">
        <f t="shared" si="2"/>
        <v/>
      </c>
      <c r="S24" s="18" t="str">
        <f t="shared" si="3"/>
        <v/>
      </c>
      <c r="T24" s="18" t="str">
        <f t="shared" si="4"/>
        <v/>
      </c>
      <c r="U24" s="18" t="str">
        <f t="shared" si="5"/>
        <v/>
      </c>
      <c r="V24" s="1"/>
    </row>
    <row r="25" spans="1:22" x14ac:dyDescent="0.25">
      <c r="A25" s="14"/>
      <c r="B25" s="34"/>
      <c r="C25" s="22"/>
      <c r="D25" s="9">
        <f>0.3-0.08</f>
        <v>0.21999999999999997</v>
      </c>
      <c r="E25" s="23"/>
      <c r="F25" s="42"/>
      <c r="G25" s="11"/>
      <c r="H25" s="1"/>
      <c r="I25" s="1"/>
      <c r="J25" s="2"/>
      <c r="K25" s="1"/>
      <c r="L25" s="1"/>
      <c r="M25" s="1"/>
      <c r="N25" s="1"/>
      <c r="O25" s="5"/>
      <c r="P25" s="18" t="str">
        <f t="shared" si="0"/>
        <v/>
      </c>
      <c r="Q25" s="18" t="str">
        <f t="shared" si="1"/>
        <v/>
      </c>
      <c r="R25" s="18" t="str">
        <f t="shared" si="2"/>
        <v/>
      </c>
      <c r="S25" s="18" t="str">
        <f t="shared" si="3"/>
        <v/>
      </c>
      <c r="T25" s="18" t="str">
        <f t="shared" si="4"/>
        <v/>
      </c>
      <c r="U25" s="18" t="str">
        <f t="shared" si="5"/>
        <v/>
      </c>
      <c r="V25" s="1"/>
    </row>
    <row r="26" spans="1:22" x14ac:dyDescent="0.25">
      <c r="A26" s="14"/>
      <c r="B26" s="34"/>
      <c r="C26" s="22"/>
      <c r="D26" s="4"/>
      <c r="E26" s="23"/>
      <c r="F26" s="42"/>
      <c r="G26" s="11"/>
      <c r="H26" s="1"/>
      <c r="I26" s="1"/>
      <c r="J26" s="2"/>
      <c r="K26" s="1"/>
      <c r="L26" s="1"/>
      <c r="M26" s="1"/>
      <c r="N26" s="1"/>
      <c r="O26" s="5"/>
      <c r="P26" s="18" t="str">
        <f t="shared" si="0"/>
        <v/>
      </c>
      <c r="Q26" s="18" t="str">
        <f t="shared" si="1"/>
        <v/>
      </c>
      <c r="R26" s="18" t="str">
        <f t="shared" si="2"/>
        <v/>
      </c>
      <c r="S26" s="18" t="str">
        <f t="shared" si="3"/>
        <v/>
      </c>
      <c r="T26" s="18" t="str">
        <f t="shared" si="4"/>
        <v/>
      </c>
      <c r="U26" s="18" t="str">
        <f t="shared" si="5"/>
        <v/>
      </c>
      <c r="V26" s="1"/>
    </row>
    <row r="27" spans="1:22" x14ac:dyDescent="0.25">
      <c r="A27" s="14"/>
      <c r="B27" s="34" t="s">
        <v>36</v>
      </c>
      <c r="C27" s="22"/>
      <c r="D27" s="25"/>
      <c r="E27" s="23"/>
      <c r="F27" s="42">
        <v>7.4999999999999997E-2</v>
      </c>
      <c r="G27" s="11">
        <v>10</v>
      </c>
      <c r="H27" s="1">
        <v>32</v>
      </c>
      <c r="I27" s="1">
        <f>ROUND(D7/F27+1,0)</f>
        <v>63</v>
      </c>
      <c r="J27" s="41">
        <f>C28+D30+E28+2*10*G27/1000</f>
        <v>0.77</v>
      </c>
      <c r="K27" s="1"/>
      <c r="L27" s="1"/>
      <c r="M27" s="5">
        <f>4*3*G27/1000</f>
        <v>0.12</v>
      </c>
      <c r="N27" s="5">
        <f>(J27+K27-M27)</f>
        <v>0.65</v>
      </c>
      <c r="O27" s="5">
        <f>(H27*I27*N27)</f>
        <v>1310.4000000000001</v>
      </c>
      <c r="P27" s="18" t="str">
        <f t="shared" si="0"/>
        <v/>
      </c>
      <c r="Q27" s="18">
        <f t="shared" si="1"/>
        <v>1310.4000000000001</v>
      </c>
      <c r="R27" s="18" t="str">
        <f t="shared" si="2"/>
        <v/>
      </c>
      <c r="S27" s="18" t="str">
        <f t="shared" si="3"/>
        <v/>
      </c>
      <c r="T27" s="18" t="str">
        <f t="shared" si="4"/>
        <v/>
      </c>
      <c r="U27" s="18" t="str">
        <f t="shared" si="5"/>
        <v/>
      </c>
      <c r="V27" s="1"/>
    </row>
    <row r="28" spans="1:22" x14ac:dyDescent="0.25">
      <c r="A28" s="14"/>
      <c r="B28" s="34"/>
      <c r="C28" s="29">
        <v>0.17499999999999999</v>
      </c>
      <c r="D28" s="4"/>
      <c r="E28" s="23">
        <v>0.17499999999999999</v>
      </c>
      <c r="F28" s="42"/>
      <c r="G28" s="11"/>
      <c r="H28" s="1"/>
      <c r="I28" s="1"/>
      <c r="J28" s="2"/>
      <c r="K28" s="1"/>
      <c r="L28" s="1"/>
      <c r="M28" s="1"/>
      <c r="N28" s="1"/>
      <c r="O28" s="5"/>
      <c r="P28" s="18" t="str">
        <f>IF($G28=8,$O28,"")</f>
        <v/>
      </c>
      <c r="Q28" s="18" t="str">
        <f>IF($G28=10,$O28,"")</f>
        <v/>
      </c>
      <c r="R28" s="18" t="str">
        <f>IF($G28=12,$O28,"")</f>
        <v/>
      </c>
      <c r="S28" s="18" t="str">
        <f>IF($G28=16,$O28,"")</f>
        <v/>
      </c>
      <c r="T28" s="18" t="str">
        <f>IF($G28=20,$O28,"")</f>
        <v/>
      </c>
      <c r="U28" s="18" t="str">
        <f>IF($G28=25,$O28,"")</f>
        <v/>
      </c>
      <c r="V28" s="1"/>
    </row>
    <row r="29" spans="1:22" x14ac:dyDescent="0.25">
      <c r="A29" s="14"/>
      <c r="B29" s="34"/>
      <c r="C29" s="22"/>
      <c r="D29" s="4"/>
      <c r="E29" s="23"/>
      <c r="F29" s="42"/>
      <c r="G29" s="11"/>
      <c r="H29" s="1"/>
      <c r="I29" s="1"/>
      <c r="J29" s="2"/>
      <c r="K29" s="1"/>
      <c r="L29" s="1"/>
      <c r="M29" s="1"/>
      <c r="N29" s="1"/>
      <c r="O29" s="3"/>
      <c r="P29" s="18" t="str">
        <f t="shared" si="0"/>
        <v/>
      </c>
      <c r="Q29" s="18" t="str">
        <f t="shared" si="1"/>
        <v/>
      </c>
      <c r="R29" s="18" t="str">
        <f t="shared" si="2"/>
        <v/>
      </c>
      <c r="S29" s="18" t="str">
        <f t="shared" si="3"/>
        <v/>
      </c>
      <c r="T29" s="18" t="str">
        <f t="shared" si="4"/>
        <v/>
      </c>
      <c r="U29" s="18" t="str">
        <f t="shared" si="5"/>
        <v/>
      </c>
      <c r="V29" s="1"/>
    </row>
    <row r="30" spans="1:22" x14ac:dyDescent="0.25">
      <c r="A30" s="14"/>
      <c r="B30" s="34"/>
      <c r="C30" s="22"/>
      <c r="D30" s="9">
        <f>0.3-0.08</f>
        <v>0.21999999999999997</v>
      </c>
      <c r="E30" s="23"/>
      <c r="F30" s="42"/>
      <c r="G30" s="11"/>
      <c r="H30" s="1"/>
      <c r="I30" s="1"/>
      <c r="J30" s="2"/>
      <c r="K30" s="1"/>
      <c r="L30" s="1"/>
      <c r="M30" s="1"/>
      <c r="N30" s="1"/>
      <c r="O30" s="3"/>
      <c r="P30" s="18" t="str">
        <f t="shared" si="0"/>
        <v/>
      </c>
      <c r="Q30" s="18" t="str">
        <f t="shared" si="1"/>
        <v/>
      </c>
      <c r="R30" s="18" t="str">
        <f t="shared" si="2"/>
        <v/>
      </c>
      <c r="S30" s="18" t="str">
        <f t="shared" si="3"/>
        <v/>
      </c>
      <c r="T30" s="18" t="str">
        <f t="shared" si="4"/>
        <v/>
      </c>
      <c r="U30" s="18" t="str">
        <f t="shared" si="5"/>
        <v/>
      </c>
      <c r="V30" s="1"/>
    </row>
    <row r="31" spans="1:22" x14ac:dyDescent="0.25">
      <c r="A31" s="14"/>
      <c r="B31" s="33"/>
      <c r="C31" s="22"/>
      <c r="D31" s="4"/>
      <c r="E31" s="23"/>
      <c r="F31" s="42"/>
      <c r="G31" s="11"/>
      <c r="H31" s="1"/>
      <c r="I31" s="1"/>
      <c r="J31" s="2"/>
      <c r="K31" s="1"/>
      <c r="L31" s="1"/>
      <c r="M31" s="1"/>
      <c r="N31" s="1"/>
      <c r="O31" s="3"/>
      <c r="P31" s="18" t="str">
        <f t="shared" si="0"/>
        <v/>
      </c>
      <c r="Q31" s="18" t="str">
        <f t="shared" si="1"/>
        <v/>
      </c>
      <c r="R31" s="18" t="str">
        <f t="shared" si="2"/>
        <v/>
      </c>
      <c r="S31" s="18" t="str">
        <f t="shared" si="3"/>
        <v/>
      </c>
      <c r="T31" s="18" t="str">
        <f t="shared" si="4"/>
        <v/>
      </c>
      <c r="U31" s="18" t="str">
        <f t="shared" si="5"/>
        <v/>
      </c>
      <c r="V31" s="1"/>
    </row>
    <row r="32" spans="1:22" x14ac:dyDescent="0.25">
      <c r="A32" s="14">
        <v>2</v>
      </c>
      <c r="B32" s="14" t="s">
        <v>33</v>
      </c>
      <c r="C32" s="22"/>
      <c r="D32" s="4"/>
      <c r="E32" s="23"/>
      <c r="F32" s="42"/>
      <c r="G32" s="11"/>
      <c r="H32" s="1"/>
      <c r="I32" s="1"/>
      <c r="J32" s="9"/>
      <c r="K32" s="5"/>
      <c r="L32" s="5"/>
      <c r="M32" s="1"/>
      <c r="N32" s="5"/>
      <c r="O32" s="5"/>
      <c r="P32" s="18" t="str">
        <f>IF($G32=8,$O32,"")</f>
        <v/>
      </c>
      <c r="Q32" s="18" t="str">
        <f>IF($G32=10,$O32,"")</f>
        <v/>
      </c>
      <c r="R32" s="18" t="str">
        <f>IF($G32=12,$O32,"")</f>
        <v/>
      </c>
      <c r="S32" s="18" t="str">
        <f>IF($G32=16,$O32,"")</f>
        <v/>
      </c>
      <c r="T32" s="18" t="str">
        <f>IF($G32=20,$O32,"")</f>
        <v/>
      </c>
      <c r="U32" s="18" t="str">
        <f>IF($G32=25,$O32,"")</f>
        <v/>
      </c>
      <c r="V32" s="1"/>
    </row>
    <row r="33" spans="1:22" x14ac:dyDescent="0.25">
      <c r="A33" s="14"/>
      <c r="B33" s="33" t="s">
        <v>18</v>
      </c>
      <c r="C33" s="22"/>
      <c r="D33" s="38">
        <f>2.8+0.15-0.075-0.032+1.8</f>
        <v>4.6429999999999998</v>
      </c>
      <c r="E33" s="23"/>
      <c r="F33" s="42"/>
      <c r="G33" s="11">
        <v>20</v>
      </c>
      <c r="H33" s="1">
        <v>22</v>
      </c>
      <c r="I33" s="1">
        <v>4</v>
      </c>
      <c r="J33" s="9">
        <f>D33</f>
        <v>4.6429999999999998</v>
      </c>
      <c r="K33" s="5"/>
      <c r="L33" s="5"/>
      <c r="M33" s="1">
        <f>2*G33/1000</f>
        <v>0.04</v>
      </c>
      <c r="N33" s="5">
        <f>J33+E35-M33</f>
        <v>4.9029999999999996</v>
      </c>
      <c r="O33" s="5">
        <f>H33*I33*N33</f>
        <v>431.46399999999994</v>
      </c>
      <c r="P33" s="18" t="str">
        <f t="shared" si="0"/>
        <v/>
      </c>
      <c r="Q33" s="18" t="str">
        <f t="shared" si="1"/>
        <v/>
      </c>
      <c r="R33" s="18" t="str">
        <f t="shared" si="2"/>
        <v/>
      </c>
      <c r="S33" s="18" t="str">
        <f t="shared" si="3"/>
        <v/>
      </c>
      <c r="T33" s="18">
        <f t="shared" si="4"/>
        <v>431.46399999999994</v>
      </c>
      <c r="U33" s="18" t="str">
        <f t="shared" si="5"/>
        <v/>
      </c>
      <c r="V33" s="1"/>
    </row>
    <row r="34" spans="1:22" x14ac:dyDescent="0.25">
      <c r="A34" s="14"/>
      <c r="B34" s="33" t="s">
        <v>32</v>
      </c>
      <c r="C34" s="22"/>
      <c r="D34" s="4"/>
      <c r="E34" s="23"/>
      <c r="F34" s="42"/>
      <c r="G34" s="11">
        <v>20</v>
      </c>
      <c r="H34" s="1">
        <v>22</v>
      </c>
      <c r="I34" s="1">
        <v>2</v>
      </c>
      <c r="J34" s="9">
        <f>D33</f>
        <v>4.6429999999999998</v>
      </c>
      <c r="K34" s="5"/>
      <c r="L34" s="5"/>
      <c r="M34" s="1">
        <f>2*G34/1000</f>
        <v>0.04</v>
      </c>
      <c r="N34" s="5">
        <f>J34+E35-M34</f>
        <v>4.9029999999999996</v>
      </c>
      <c r="O34" s="5">
        <f>H34*I34*N34</f>
        <v>215.73199999999997</v>
      </c>
      <c r="P34" s="18" t="str">
        <f t="shared" si="0"/>
        <v/>
      </c>
      <c r="Q34" s="18" t="str">
        <f t="shared" si="1"/>
        <v/>
      </c>
      <c r="R34" s="18" t="str">
        <f t="shared" si="2"/>
        <v/>
      </c>
      <c r="S34" s="18" t="str">
        <f t="shared" si="3"/>
        <v/>
      </c>
      <c r="T34" s="18">
        <f t="shared" si="4"/>
        <v>215.73199999999997</v>
      </c>
      <c r="U34" s="18" t="str">
        <f t="shared" si="5"/>
        <v/>
      </c>
      <c r="V34" s="1"/>
    </row>
    <row r="35" spans="1:22" x14ac:dyDescent="0.25">
      <c r="A35" s="14"/>
      <c r="B35" s="33" t="s">
        <v>26</v>
      </c>
      <c r="C35" s="24"/>
      <c r="D35" s="25"/>
      <c r="E35" s="39">
        <v>0.3</v>
      </c>
      <c r="F35" s="42"/>
      <c r="G35" s="11">
        <v>16</v>
      </c>
      <c r="H35" s="1">
        <v>22</v>
      </c>
      <c r="I35" s="1">
        <v>4</v>
      </c>
      <c r="J35" s="9">
        <f>D33</f>
        <v>4.6429999999999998</v>
      </c>
      <c r="K35" s="5"/>
      <c r="L35" s="5"/>
      <c r="M35" s="1">
        <f>2*G35/1000</f>
        <v>3.2000000000000001E-2</v>
      </c>
      <c r="N35" s="5">
        <f>J35+E35-M35</f>
        <v>4.9109999999999996</v>
      </c>
      <c r="O35" s="5">
        <f>H35*I35*N35</f>
        <v>432.16799999999995</v>
      </c>
      <c r="P35" s="18" t="str">
        <f t="shared" si="0"/>
        <v/>
      </c>
      <c r="Q35" s="18" t="str">
        <f t="shared" si="1"/>
        <v/>
      </c>
      <c r="R35" s="18" t="str">
        <f t="shared" si="2"/>
        <v/>
      </c>
      <c r="S35" s="18">
        <f t="shared" si="3"/>
        <v>432.16799999999995</v>
      </c>
      <c r="T35" s="18" t="str">
        <f t="shared" si="4"/>
        <v/>
      </c>
      <c r="U35" s="18" t="str">
        <f t="shared" si="5"/>
        <v/>
      </c>
      <c r="V35" s="1"/>
    </row>
    <row r="36" spans="1:22" x14ac:dyDescent="0.25">
      <c r="A36" s="14"/>
      <c r="B36" s="33" t="s">
        <v>19</v>
      </c>
      <c r="C36" s="22"/>
      <c r="D36" s="4"/>
      <c r="E36" s="23"/>
      <c r="F36" s="42"/>
      <c r="G36" s="11">
        <v>16</v>
      </c>
      <c r="H36" s="1">
        <v>22</v>
      </c>
      <c r="I36" s="1">
        <v>4</v>
      </c>
      <c r="J36" s="9">
        <f>D33</f>
        <v>4.6429999999999998</v>
      </c>
      <c r="K36" s="5"/>
      <c r="L36" s="5"/>
      <c r="M36" s="1">
        <f>2*G36/1000</f>
        <v>3.2000000000000001E-2</v>
      </c>
      <c r="N36" s="5">
        <f>J36+E35-M36</f>
        <v>4.9109999999999996</v>
      </c>
      <c r="O36" s="5">
        <f>H36*I36*N36</f>
        <v>432.16799999999995</v>
      </c>
      <c r="P36" s="18" t="str">
        <f t="shared" si="0"/>
        <v/>
      </c>
      <c r="Q36" s="18" t="str">
        <f t="shared" si="1"/>
        <v/>
      </c>
      <c r="R36" s="18" t="str">
        <f t="shared" si="2"/>
        <v/>
      </c>
      <c r="S36" s="18">
        <f t="shared" si="3"/>
        <v>432.16799999999995</v>
      </c>
      <c r="T36" s="18" t="str">
        <f t="shared" si="4"/>
        <v/>
      </c>
      <c r="U36" s="18" t="str">
        <f t="shared" si="5"/>
        <v/>
      </c>
      <c r="V36" s="1"/>
    </row>
    <row r="37" spans="1:22" x14ac:dyDescent="0.25">
      <c r="A37" s="14"/>
      <c r="B37" s="33"/>
      <c r="C37" s="22"/>
      <c r="D37" s="4"/>
      <c r="E37" s="23"/>
      <c r="F37" s="42"/>
      <c r="G37" s="11"/>
      <c r="H37" s="1"/>
      <c r="I37" s="1"/>
      <c r="J37" s="2"/>
      <c r="K37" s="1"/>
      <c r="L37" s="1"/>
      <c r="M37" s="1"/>
      <c r="N37" s="1"/>
      <c r="O37" s="3"/>
      <c r="P37" s="18" t="str">
        <f t="shared" si="0"/>
        <v/>
      </c>
      <c r="Q37" s="18" t="str">
        <f t="shared" si="1"/>
        <v/>
      </c>
      <c r="R37" s="18" t="str">
        <f t="shared" si="2"/>
        <v/>
      </c>
      <c r="S37" s="18" t="str">
        <f t="shared" si="3"/>
        <v/>
      </c>
      <c r="T37" s="18" t="str">
        <f t="shared" si="4"/>
        <v/>
      </c>
      <c r="U37" s="18" t="str">
        <f t="shared" si="5"/>
        <v/>
      </c>
      <c r="V37" s="1"/>
    </row>
    <row r="38" spans="1:22" x14ac:dyDescent="0.25">
      <c r="A38" s="14"/>
      <c r="B38" s="14"/>
      <c r="C38" s="29">
        <v>80</v>
      </c>
      <c r="D38" s="4"/>
      <c r="E38" s="23"/>
      <c r="F38" s="42"/>
      <c r="G38" s="11"/>
      <c r="H38" s="1"/>
      <c r="I38" s="1"/>
      <c r="J38" s="2"/>
      <c r="K38" s="1"/>
      <c r="L38" s="1"/>
      <c r="M38" s="1"/>
      <c r="N38" s="1"/>
      <c r="O38" s="3"/>
      <c r="P38" s="18" t="str">
        <f t="shared" si="0"/>
        <v/>
      </c>
      <c r="Q38" s="18" t="str">
        <f t="shared" si="1"/>
        <v/>
      </c>
      <c r="R38" s="18" t="str">
        <f t="shared" si="2"/>
        <v/>
      </c>
      <c r="S38" s="18" t="str">
        <f t="shared" si="3"/>
        <v/>
      </c>
      <c r="T38" s="18" t="str">
        <f t="shared" si="4"/>
        <v/>
      </c>
      <c r="U38" s="18" t="str">
        <f t="shared" si="5"/>
        <v/>
      </c>
      <c r="V38" s="1"/>
    </row>
    <row r="39" spans="1:22" x14ac:dyDescent="0.25">
      <c r="A39" s="14"/>
      <c r="B39" s="34" t="s">
        <v>20</v>
      </c>
      <c r="C39" s="26"/>
      <c r="D39" s="4"/>
      <c r="E39" s="40">
        <f>0.6-0.08</f>
        <v>0.52</v>
      </c>
      <c r="F39" s="42">
        <v>7.4999999999999997E-2</v>
      </c>
      <c r="G39" s="11">
        <v>10</v>
      </c>
      <c r="H39" s="1">
        <v>22</v>
      </c>
      <c r="I39" s="1">
        <f>ROUND(D33/F39+1,0)</f>
        <v>63</v>
      </c>
      <c r="J39" s="41">
        <f>2*(D41+E39)+16*10/1000</f>
        <v>1.64</v>
      </c>
      <c r="K39" s="1"/>
      <c r="L39" s="1"/>
      <c r="M39" s="1"/>
      <c r="N39" s="5">
        <f>(J39+K39-M39)</f>
        <v>1.64</v>
      </c>
      <c r="O39" s="5">
        <f>(H39*I39*N39)</f>
        <v>2273.04</v>
      </c>
      <c r="P39" s="18" t="str">
        <f t="shared" si="0"/>
        <v/>
      </c>
      <c r="Q39" s="18">
        <f t="shared" si="1"/>
        <v>2273.04</v>
      </c>
      <c r="R39" s="18" t="str">
        <f t="shared" si="2"/>
        <v/>
      </c>
      <c r="S39" s="18" t="str">
        <f t="shared" si="3"/>
        <v/>
      </c>
      <c r="T39" s="18" t="str">
        <f t="shared" si="4"/>
        <v/>
      </c>
      <c r="U39" s="18" t="str">
        <f t="shared" si="5"/>
        <v/>
      </c>
      <c r="V39" s="1"/>
    </row>
    <row r="40" spans="1:22" x14ac:dyDescent="0.25">
      <c r="A40" s="14"/>
      <c r="B40" s="34"/>
      <c r="C40" s="22"/>
      <c r="D40" s="4"/>
      <c r="E40" s="27"/>
      <c r="F40" s="42"/>
      <c r="G40" s="11"/>
      <c r="H40" s="1"/>
      <c r="I40" s="1"/>
      <c r="J40" s="2"/>
      <c r="K40" s="1"/>
      <c r="L40" s="1"/>
      <c r="M40" s="1"/>
      <c r="N40" s="1"/>
      <c r="O40" s="5"/>
      <c r="P40" s="18" t="str">
        <f t="shared" si="0"/>
        <v/>
      </c>
      <c r="Q40" s="18" t="str">
        <f t="shared" si="1"/>
        <v/>
      </c>
      <c r="R40" s="18" t="str">
        <f t="shared" si="2"/>
        <v/>
      </c>
      <c r="S40" s="18" t="str">
        <f t="shared" si="3"/>
        <v/>
      </c>
      <c r="T40" s="18" t="str">
        <f t="shared" si="4"/>
        <v/>
      </c>
      <c r="U40" s="18" t="str">
        <f t="shared" si="5"/>
        <v/>
      </c>
      <c r="V40" s="1"/>
    </row>
    <row r="41" spans="1:22" x14ac:dyDescent="0.25">
      <c r="A41" s="14"/>
      <c r="B41" s="34"/>
      <c r="C41" s="22"/>
      <c r="D41" s="9">
        <f>0.3-0.08</f>
        <v>0.21999999999999997</v>
      </c>
      <c r="E41" s="23"/>
      <c r="F41" s="42"/>
      <c r="G41" s="11"/>
      <c r="H41" s="1"/>
      <c r="I41" s="1"/>
      <c r="J41" s="2"/>
      <c r="K41" s="1"/>
      <c r="L41" s="1"/>
      <c r="M41" s="1"/>
      <c r="N41" s="1"/>
      <c r="O41" s="5"/>
      <c r="P41" s="18" t="str">
        <f t="shared" si="0"/>
        <v/>
      </c>
      <c r="Q41" s="18" t="str">
        <f t="shared" si="1"/>
        <v/>
      </c>
      <c r="R41" s="18" t="str">
        <f t="shared" si="2"/>
        <v/>
      </c>
      <c r="S41" s="18" t="str">
        <f t="shared" si="3"/>
        <v/>
      </c>
      <c r="T41" s="18" t="str">
        <f t="shared" si="4"/>
        <v/>
      </c>
      <c r="U41" s="18" t="str">
        <f t="shared" si="5"/>
        <v/>
      </c>
      <c r="V41" s="1"/>
    </row>
    <row r="42" spans="1:22" x14ac:dyDescent="0.25">
      <c r="A42" s="14"/>
      <c r="B42" s="33"/>
      <c r="C42" s="22"/>
      <c r="D42" s="4"/>
      <c r="E42" s="23"/>
      <c r="F42" s="42"/>
      <c r="G42" s="11"/>
      <c r="H42" s="1"/>
      <c r="I42" s="1"/>
      <c r="J42" s="2"/>
      <c r="K42" s="1"/>
      <c r="L42" s="1"/>
      <c r="M42" s="1"/>
      <c r="N42" s="1"/>
      <c r="O42" s="5"/>
      <c r="P42" s="18" t="str">
        <f t="shared" si="0"/>
        <v/>
      </c>
      <c r="Q42" s="18" t="str">
        <f t="shared" si="1"/>
        <v/>
      </c>
      <c r="R42" s="18" t="str">
        <f t="shared" si="2"/>
        <v/>
      </c>
      <c r="S42" s="18" t="str">
        <f t="shared" si="3"/>
        <v/>
      </c>
      <c r="T42" s="18" t="str">
        <f t="shared" si="4"/>
        <v/>
      </c>
      <c r="U42" s="18" t="str">
        <f t="shared" si="5"/>
        <v/>
      </c>
      <c r="V42" s="1"/>
    </row>
    <row r="43" spans="1:22" x14ac:dyDescent="0.25">
      <c r="A43" s="14"/>
      <c r="B43" s="14"/>
      <c r="C43" s="29">
        <v>80</v>
      </c>
      <c r="D43" s="4"/>
      <c r="E43" s="23"/>
      <c r="F43" s="42"/>
      <c r="G43" s="11"/>
      <c r="H43" s="1"/>
      <c r="I43" s="1"/>
      <c r="J43" s="2"/>
      <c r="K43" s="1"/>
      <c r="L43" s="1"/>
      <c r="M43" s="1"/>
      <c r="N43" s="1"/>
      <c r="O43" s="5"/>
      <c r="P43" s="18" t="str">
        <f t="shared" si="0"/>
        <v/>
      </c>
      <c r="Q43" s="18" t="str">
        <f t="shared" si="1"/>
        <v/>
      </c>
      <c r="R43" s="18" t="str">
        <f t="shared" si="2"/>
        <v/>
      </c>
      <c r="S43" s="18" t="str">
        <f t="shared" si="3"/>
        <v/>
      </c>
      <c r="T43" s="18" t="str">
        <f t="shared" si="4"/>
        <v/>
      </c>
      <c r="U43" s="18" t="str">
        <f t="shared" si="5"/>
        <v/>
      </c>
      <c r="V43" s="1"/>
    </row>
    <row r="44" spans="1:22" x14ac:dyDescent="0.25">
      <c r="A44" s="14"/>
      <c r="B44" s="34" t="s">
        <v>21</v>
      </c>
      <c r="C44" s="26"/>
      <c r="D44" s="4"/>
      <c r="E44" s="40">
        <f>((0.6-0.08-0.016)/5)+0.012+0.02</f>
        <v>0.1328</v>
      </c>
      <c r="F44" s="42">
        <v>7.4999999999999997E-2</v>
      </c>
      <c r="G44" s="11">
        <v>10</v>
      </c>
      <c r="H44" s="1">
        <v>22</v>
      </c>
      <c r="I44" s="1">
        <f>ROUND(D33/F44+1,0)</f>
        <v>63</v>
      </c>
      <c r="J44" s="41">
        <f>2*(D46+E44)+16*10/1000</f>
        <v>0.86560000000000004</v>
      </c>
      <c r="K44" s="1"/>
      <c r="L44" s="1"/>
      <c r="M44" s="1"/>
      <c r="N44" s="5">
        <f>(J44+K44-M44)</f>
        <v>0.86560000000000004</v>
      </c>
      <c r="O44" s="5">
        <f>(H44*I44*N44)</f>
        <v>1199.7216000000001</v>
      </c>
      <c r="P44" s="18" t="str">
        <f t="shared" si="0"/>
        <v/>
      </c>
      <c r="Q44" s="18">
        <f t="shared" si="1"/>
        <v>1199.7216000000001</v>
      </c>
      <c r="R44" s="18" t="str">
        <f t="shared" si="2"/>
        <v/>
      </c>
      <c r="S44" s="18" t="str">
        <f t="shared" si="3"/>
        <v/>
      </c>
      <c r="T44" s="18" t="str">
        <f t="shared" si="4"/>
        <v/>
      </c>
      <c r="U44" s="18" t="str">
        <f t="shared" si="5"/>
        <v/>
      </c>
      <c r="V44" s="1"/>
    </row>
    <row r="45" spans="1:22" x14ac:dyDescent="0.25">
      <c r="A45" s="14"/>
      <c r="B45" s="34"/>
      <c r="C45" s="22"/>
      <c r="D45" s="4"/>
      <c r="E45" s="27"/>
      <c r="F45" s="42"/>
      <c r="G45" s="11"/>
      <c r="H45" s="1"/>
      <c r="I45" s="1"/>
      <c r="J45" s="2"/>
      <c r="K45" s="1"/>
      <c r="L45" s="1"/>
      <c r="M45" s="1"/>
      <c r="N45" s="1"/>
      <c r="O45" s="5"/>
      <c r="P45" s="18" t="str">
        <f t="shared" si="0"/>
        <v/>
      </c>
      <c r="Q45" s="18" t="str">
        <f t="shared" si="1"/>
        <v/>
      </c>
      <c r="R45" s="18" t="str">
        <f t="shared" si="2"/>
        <v/>
      </c>
      <c r="S45" s="18" t="str">
        <f t="shared" si="3"/>
        <v/>
      </c>
      <c r="T45" s="18" t="str">
        <f t="shared" si="4"/>
        <v/>
      </c>
      <c r="U45" s="18" t="str">
        <f t="shared" si="5"/>
        <v/>
      </c>
      <c r="V45" s="1"/>
    </row>
    <row r="46" spans="1:22" x14ac:dyDescent="0.25">
      <c r="A46" s="14"/>
      <c r="B46" s="34"/>
      <c r="C46" s="22"/>
      <c r="D46" s="9">
        <f>0.3-0.08</f>
        <v>0.21999999999999997</v>
      </c>
      <c r="E46" s="23"/>
      <c r="F46" s="42"/>
      <c r="G46" s="11"/>
      <c r="H46" s="1"/>
      <c r="I46" s="1"/>
      <c r="J46" s="2"/>
      <c r="K46" s="1"/>
      <c r="L46" s="1"/>
      <c r="M46" s="1"/>
      <c r="N46" s="1"/>
      <c r="O46" s="5"/>
      <c r="P46" s="18" t="str">
        <f t="shared" si="0"/>
        <v/>
      </c>
      <c r="Q46" s="18" t="str">
        <f t="shared" si="1"/>
        <v/>
      </c>
      <c r="R46" s="18" t="str">
        <f t="shared" si="2"/>
        <v/>
      </c>
      <c r="S46" s="18" t="str">
        <f t="shared" si="3"/>
        <v/>
      </c>
      <c r="T46" s="18" t="str">
        <f t="shared" si="4"/>
        <v/>
      </c>
      <c r="U46" s="18" t="str">
        <f t="shared" si="5"/>
        <v/>
      </c>
      <c r="V46" s="1"/>
    </row>
    <row r="47" spans="1:22" x14ac:dyDescent="0.25">
      <c r="A47" s="14"/>
      <c r="B47" s="34"/>
      <c r="C47" s="22"/>
      <c r="D47" s="4"/>
      <c r="E47" s="23"/>
      <c r="F47" s="42"/>
      <c r="G47" s="11"/>
      <c r="H47" s="1"/>
      <c r="I47" s="1"/>
      <c r="J47" s="2"/>
      <c r="K47" s="1"/>
      <c r="L47" s="1"/>
      <c r="M47" s="1"/>
      <c r="N47" s="1"/>
      <c r="O47" s="5"/>
      <c r="P47" s="18" t="str">
        <f t="shared" si="0"/>
        <v/>
      </c>
      <c r="Q47" s="18" t="str">
        <f t="shared" si="1"/>
        <v/>
      </c>
      <c r="R47" s="18" t="str">
        <f t="shared" si="2"/>
        <v/>
      </c>
      <c r="S47" s="18" t="str">
        <f t="shared" si="3"/>
        <v/>
      </c>
      <c r="T47" s="18" t="str">
        <f t="shared" si="4"/>
        <v/>
      </c>
      <c r="U47" s="18" t="str">
        <f t="shared" si="5"/>
        <v/>
      </c>
      <c r="V47" s="1"/>
    </row>
    <row r="48" spans="1:22" x14ac:dyDescent="0.25">
      <c r="A48" s="14"/>
      <c r="B48" s="34" t="s">
        <v>22</v>
      </c>
      <c r="C48" s="22"/>
      <c r="D48" s="25"/>
      <c r="E48" s="23"/>
      <c r="F48" s="42">
        <v>7.4999999999999997E-2</v>
      </c>
      <c r="G48" s="11">
        <v>10</v>
      </c>
      <c r="H48" s="1">
        <v>22</v>
      </c>
      <c r="I48" s="1">
        <f>ROUND(D33/F48+1,0)</f>
        <v>63</v>
      </c>
      <c r="J48" s="41">
        <f>C49+D51+E49+2*10*G48/1000</f>
        <v>0.77</v>
      </c>
      <c r="K48" s="1"/>
      <c r="L48" s="1"/>
      <c r="M48" s="5">
        <f>4*3*G48/1000</f>
        <v>0.12</v>
      </c>
      <c r="N48" s="5">
        <f>(J48+K48-M48)</f>
        <v>0.65</v>
      </c>
      <c r="O48" s="5">
        <f>(H48*I48*N48)</f>
        <v>900.9</v>
      </c>
      <c r="P48" s="18" t="str">
        <f t="shared" si="0"/>
        <v/>
      </c>
      <c r="Q48" s="18">
        <f t="shared" si="1"/>
        <v>900.9</v>
      </c>
      <c r="R48" s="18" t="str">
        <f t="shared" si="2"/>
        <v/>
      </c>
      <c r="S48" s="18" t="str">
        <f t="shared" si="3"/>
        <v/>
      </c>
      <c r="T48" s="18" t="str">
        <f t="shared" si="4"/>
        <v/>
      </c>
      <c r="U48" s="18" t="str">
        <f t="shared" si="5"/>
        <v/>
      </c>
      <c r="V48" s="1"/>
    </row>
    <row r="49" spans="1:22" x14ac:dyDescent="0.25">
      <c r="A49" s="14"/>
      <c r="B49" s="34"/>
      <c r="C49" s="29">
        <v>0.17499999999999999</v>
      </c>
      <c r="D49" s="4"/>
      <c r="E49" s="23">
        <v>0.17499999999999999</v>
      </c>
      <c r="F49" s="42"/>
      <c r="G49" s="11"/>
      <c r="H49" s="1"/>
      <c r="I49" s="1"/>
      <c r="J49" s="2"/>
      <c r="K49" s="1"/>
      <c r="L49" s="1"/>
      <c r="M49" s="1"/>
      <c r="N49" s="1"/>
      <c r="O49" s="5"/>
      <c r="P49" s="18" t="str">
        <f>IF($G49=8,$O49,"")</f>
        <v/>
      </c>
      <c r="Q49" s="18" t="str">
        <f>IF($G49=10,$O49,"")</f>
        <v/>
      </c>
      <c r="R49" s="18" t="str">
        <f>IF($G49=12,$O49,"")</f>
        <v/>
      </c>
      <c r="S49" s="18" t="str">
        <f>IF($G49=16,$O49,"")</f>
        <v/>
      </c>
      <c r="T49" s="18" t="str">
        <f>IF($G49=20,$O49,"")</f>
        <v/>
      </c>
      <c r="U49" s="18" t="str">
        <f>IF($G49=25,$O49,"")</f>
        <v/>
      </c>
      <c r="V49" s="1"/>
    </row>
    <row r="50" spans="1:22" x14ac:dyDescent="0.25">
      <c r="A50" s="14"/>
      <c r="B50" s="34"/>
      <c r="C50" s="22"/>
      <c r="D50" s="4"/>
      <c r="E50" s="23"/>
      <c r="F50" s="42"/>
      <c r="G50" s="11"/>
      <c r="H50" s="1"/>
      <c r="I50" s="1"/>
      <c r="J50" s="2"/>
      <c r="K50" s="1"/>
      <c r="L50" s="1"/>
      <c r="M50" s="1"/>
      <c r="N50" s="1"/>
      <c r="O50" s="5"/>
      <c r="P50" s="18" t="str">
        <f t="shared" si="0"/>
        <v/>
      </c>
      <c r="Q50" s="18" t="str">
        <f t="shared" si="1"/>
        <v/>
      </c>
      <c r="R50" s="18" t="str">
        <f t="shared" si="2"/>
        <v/>
      </c>
      <c r="S50" s="18" t="str">
        <f t="shared" si="3"/>
        <v/>
      </c>
      <c r="T50" s="18" t="str">
        <f t="shared" si="4"/>
        <v/>
      </c>
      <c r="U50" s="18" t="str">
        <f t="shared" si="5"/>
        <v/>
      </c>
      <c r="V50" s="1"/>
    </row>
    <row r="51" spans="1:22" x14ac:dyDescent="0.25">
      <c r="A51" s="14"/>
      <c r="B51" s="34"/>
      <c r="C51" s="22"/>
      <c r="D51" s="9">
        <f>0.3-0.08</f>
        <v>0.21999999999999997</v>
      </c>
      <c r="E51" s="23"/>
      <c r="F51" s="42"/>
      <c r="G51" s="11"/>
      <c r="H51" s="1"/>
      <c r="I51" s="1"/>
      <c r="J51" s="2"/>
      <c r="K51" s="1"/>
      <c r="L51" s="1"/>
      <c r="M51" s="1"/>
      <c r="N51" s="1"/>
      <c r="O51" s="5"/>
      <c r="P51" s="18" t="str">
        <f t="shared" si="0"/>
        <v/>
      </c>
      <c r="Q51" s="18" t="str">
        <f t="shared" si="1"/>
        <v/>
      </c>
      <c r="R51" s="18" t="str">
        <f t="shared" si="2"/>
        <v/>
      </c>
      <c r="S51" s="18" t="str">
        <f t="shared" si="3"/>
        <v/>
      </c>
      <c r="T51" s="18" t="str">
        <f t="shared" si="4"/>
        <v/>
      </c>
      <c r="U51" s="18" t="str">
        <f t="shared" si="5"/>
        <v/>
      </c>
      <c r="V51" s="1"/>
    </row>
    <row r="52" spans="1:22" x14ac:dyDescent="0.25">
      <c r="A52" s="14"/>
      <c r="B52" s="34"/>
      <c r="C52" s="22"/>
      <c r="D52" s="4"/>
      <c r="E52" s="23"/>
      <c r="F52" s="42"/>
      <c r="G52" s="11"/>
      <c r="H52" s="1"/>
      <c r="I52" s="1"/>
      <c r="J52" s="2"/>
      <c r="K52" s="1"/>
      <c r="L52" s="1"/>
      <c r="M52" s="1"/>
      <c r="N52" s="1"/>
      <c r="O52" s="5"/>
      <c r="P52" s="18" t="str">
        <f t="shared" si="0"/>
        <v/>
      </c>
      <c r="Q52" s="18" t="str">
        <f t="shared" si="1"/>
        <v/>
      </c>
      <c r="R52" s="18" t="str">
        <f t="shared" si="2"/>
        <v/>
      </c>
      <c r="S52" s="18" t="str">
        <f t="shared" si="3"/>
        <v/>
      </c>
      <c r="T52" s="18" t="str">
        <f t="shared" si="4"/>
        <v/>
      </c>
      <c r="U52" s="18" t="str">
        <f t="shared" si="5"/>
        <v/>
      </c>
      <c r="V52" s="1"/>
    </row>
    <row r="53" spans="1:22" x14ac:dyDescent="0.25">
      <c r="A53" s="14"/>
      <c r="B53" s="34" t="s">
        <v>36</v>
      </c>
      <c r="C53" s="22"/>
      <c r="D53" s="25"/>
      <c r="E53" s="23"/>
      <c r="F53" s="42">
        <v>7.4999999999999997E-2</v>
      </c>
      <c r="G53" s="11">
        <v>10</v>
      </c>
      <c r="H53" s="1">
        <v>22</v>
      </c>
      <c r="I53" s="1">
        <f>ROUND(D33/F53+1,0)</f>
        <v>63</v>
      </c>
      <c r="J53" s="41">
        <f>C54+D56+E54+2*10*G53/1000</f>
        <v>0.77</v>
      </c>
      <c r="K53" s="1"/>
      <c r="L53" s="1"/>
      <c r="M53" s="5">
        <f>4*3*G53/1000</f>
        <v>0.12</v>
      </c>
      <c r="N53" s="5">
        <f>(J53+K53-M53)</f>
        <v>0.65</v>
      </c>
      <c r="O53" s="5">
        <f>(H53*I53*N53)</f>
        <v>900.9</v>
      </c>
      <c r="P53" s="18" t="str">
        <f t="shared" si="0"/>
        <v/>
      </c>
      <c r="Q53" s="18">
        <f t="shared" si="1"/>
        <v>900.9</v>
      </c>
      <c r="R53" s="18" t="str">
        <f t="shared" si="2"/>
        <v/>
      </c>
      <c r="S53" s="18" t="str">
        <f t="shared" si="3"/>
        <v/>
      </c>
      <c r="T53" s="18" t="str">
        <f t="shared" si="4"/>
        <v/>
      </c>
      <c r="U53" s="18" t="str">
        <f t="shared" si="5"/>
        <v/>
      </c>
      <c r="V53" s="1"/>
    </row>
    <row r="54" spans="1:22" x14ac:dyDescent="0.25">
      <c r="A54" s="14"/>
      <c r="B54" s="34"/>
      <c r="C54" s="29">
        <v>0.17499999999999999</v>
      </c>
      <c r="D54" s="4"/>
      <c r="E54" s="23">
        <v>0.17499999999999999</v>
      </c>
      <c r="F54" s="42"/>
      <c r="G54" s="11"/>
      <c r="H54" s="1"/>
      <c r="I54" s="1"/>
      <c r="J54" s="2"/>
      <c r="K54" s="1"/>
      <c r="L54" s="1"/>
      <c r="M54" s="1"/>
      <c r="N54" s="1"/>
      <c r="O54" s="5"/>
      <c r="P54" s="18" t="str">
        <f>IF($G54=8,$O54,"")</f>
        <v/>
      </c>
      <c r="Q54" s="18" t="str">
        <f>IF($G54=10,$O54,"")</f>
        <v/>
      </c>
      <c r="R54" s="18" t="str">
        <f>IF($G54=12,$O54,"")</f>
        <v/>
      </c>
      <c r="S54" s="18" t="str">
        <f>IF($G54=16,$O54,"")</f>
        <v/>
      </c>
      <c r="T54" s="18" t="str">
        <f>IF($G54=20,$O54,"")</f>
        <v/>
      </c>
      <c r="U54" s="18" t="str">
        <f>IF($G54=25,$O54,"")</f>
        <v/>
      </c>
      <c r="V54" s="1"/>
    </row>
    <row r="55" spans="1:22" x14ac:dyDescent="0.25">
      <c r="A55" s="14"/>
      <c r="B55" s="34"/>
      <c r="C55" s="22"/>
      <c r="D55" s="4"/>
      <c r="E55" s="23"/>
      <c r="F55" s="42"/>
      <c r="G55" s="11"/>
      <c r="H55" s="1"/>
      <c r="I55" s="1"/>
      <c r="J55" s="2"/>
      <c r="K55" s="1"/>
      <c r="L55" s="1"/>
      <c r="M55" s="1"/>
      <c r="N55" s="1"/>
      <c r="O55" s="3"/>
      <c r="P55" s="18" t="str">
        <f t="shared" si="0"/>
        <v/>
      </c>
      <c r="Q55" s="18" t="str">
        <f t="shared" si="1"/>
        <v/>
      </c>
      <c r="R55" s="18" t="str">
        <f t="shared" si="2"/>
        <v/>
      </c>
      <c r="S55" s="18" t="str">
        <f t="shared" si="3"/>
        <v/>
      </c>
      <c r="T55" s="18" t="str">
        <f t="shared" si="4"/>
        <v/>
      </c>
      <c r="U55" s="18" t="str">
        <f t="shared" si="5"/>
        <v/>
      </c>
      <c r="V55" s="1"/>
    </row>
    <row r="56" spans="1:22" x14ac:dyDescent="0.25">
      <c r="A56" s="14"/>
      <c r="B56" s="34"/>
      <c r="C56" s="22"/>
      <c r="D56" s="9">
        <f>0.3-0.08</f>
        <v>0.21999999999999997</v>
      </c>
      <c r="E56" s="23"/>
      <c r="F56" s="42"/>
      <c r="G56" s="11"/>
      <c r="H56" s="1"/>
      <c r="I56" s="1"/>
      <c r="J56" s="2"/>
      <c r="K56" s="1"/>
      <c r="L56" s="1"/>
      <c r="M56" s="1"/>
      <c r="N56" s="1"/>
      <c r="O56" s="3"/>
      <c r="P56" s="18" t="str">
        <f t="shared" si="0"/>
        <v/>
      </c>
      <c r="Q56" s="18" t="str">
        <f t="shared" si="1"/>
        <v/>
      </c>
      <c r="R56" s="18" t="str">
        <f t="shared" si="2"/>
        <v/>
      </c>
      <c r="S56" s="18" t="str">
        <f t="shared" si="3"/>
        <v/>
      </c>
      <c r="T56" s="18" t="str">
        <f t="shared" si="4"/>
        <v/>
      </c>
      <c r="U56" s="18" t="str">
        <f t="shared" si="5"/>
        <v/>
      </c>
      <c r="V56" s="1"/>
    </row>
    <row r="57" spans="1:22" x14ac:dyDescent="0.25">
      <c r="A57" s="14"/>
      <c r="B57" s="33"/>
      <c r="C57" s="22"/>
      <c r="D57" s="4"/>
      <c r="E57" s="23"/>
      <c r="F57" s="42"/>
      <c r="G57" s="11"/>
      <c r="H57" s="1"/>
      <c r="I57" s="1"/>
      <c r="J57" s="2"/>
      <c r="K57" s="1"/>
      <c r="L57" s="1"/>
      <c r="M57" s="1"/>
      <c r="N57" s="1"/>
      <c r="O57" s="3"/>
      <c r="P57" s="18" t="str">
        <f t="shared" si="0"/>
        <v/>
      </c>
      <c r="Q57" s="18" t="str">
        <f t="shared" si="1"/>
        <v/>
      </c>
      <c r="R57" s="18" t="str">
        <f t="shared" si="2"/>
        <v/>
      </c>
      <c r="S57" s="18" t="str">
        <f t="shared" si="3"/>
        <v/>
      </c>
      <c r="T57" s="18" t="str">
        <f t="shared" si="4"/>
        <v/>
      </c>
      <c r="U57" s="18" t="str">
        <f t="shared" si="5"/>
        <v/>
      </c>
      <c r="V57" s="1"/>
    </row>
    <row r="58" spans="1:22" x14ac:dyDescent="0.25">
      <c r="A58" s="14">
        <v>3</v>
      </c>
      <c r="B58" s="14" t="s">
        <v>34</v>
      </c>
      <c r="C58" s="22"/>
      <c r="D58" s="4"/>
      <c r="E58" s="23"/>
      <c r="F58" s="42"/>
      <c r="G58" s="11"/>
      <c r="H58" s="1"/>
      <c r="I58" s="1"/>
      <c r="J58" s="9"/>
      <c r="K58" s="5"/>
      <c r="L58" s="5"/>
      <c r="M58" s="1"/>
      <c r="N58" s="5"/>
      <c r="O58" s="5"/>
      <c r="P58" s="18" t="str">
        <f>IF($G58=8,$O58,"")</f>
        <v/>
      </c>
      <c r="Q58" s="18" t="str">
        <f>IF($G58=10,$O58,"")</f>
        <v/>
      </c>
      <c r="R58" s="18" t="str">
        <f>IF($G58=12,$O58,"")</f>
        <v/>
      </c>
      <c r="S58" s="18" t="str">
        <f>IF($G58=16,$O58,"")</f>
        <v/>
      </c>
      <c r="T58" s="18" t="str">
        <f>IF($G58=20,$O58,"")</f>
        <v/>
      </c>
      <c r="U58" s="18" t="str">
        <f>IF($G58=25,$O58,"")</f>
        <v/>
      </c>
      <c r="V58" s="1"/>
    </row>
    <row r="59" spans="1:22" x14ac:dyDescent="0.25">
      <c r="A59" s="14"/>
      <c r="B59" s="33" t="s">
        <v>18</v>
      </c>
      <c r="C59" s="22"/>
      <c r="D59" s="38">
        <f>2.8+0.15-0.075-0.032+1.8</f>
        <v>4.6429999999999998</v>
      </c>
      <c r="E59" s="23"/>
      <c r="F59" s="42"/>
      <c r="G59" s="11">
        <v>25</v>
      </c>
      <c r="H59" s="1">
        <v>4</v>
      </c>
      <c r="I59" s="1">
        <v>4</v>
      </c>
      <c r="J59" s="9">
        <f>D59</f>
        <v>4.6429999999999998</v>
      </c>
      <c r="K59" s="5"/>
      <c r="L59" s="5"/>
      <c r="M59" s="1">
        <f>2*G59/1000</f>
        <v>0.05</v>
      </c>
      <c r="N59" s="5">
        <f>J59+E61-M59</f>
        <v>4.8929999999999998</v>
      </c>
      <c r="O59" s="5">
        <f>H59*I59*N59</f>
        <v>78.287999999999997</v>
      </c>
      <c r="P59" s="18" t="str">
        <f t="shared" si="0"/>
        <v/>
      </c>
      <c r="Q59" s="18" t="str">
        <f t="shared" si="1"/>
        <v/>
      </c>
      <c r="R59" s="18" t="str">
        <f t="shared" si="2"/>
        <v/>
      </c>
      <c r="S59" s="18" t="str">
        <f t="shared" si="3"/>
        <v/>
      </c>
      <c r="T59" s="18" t="str">
        <f t="shared" si="4"/>
        <v/>
      </c>
      <c r="U59" s="18">
        <f t="shared" si="5"/>
        <v>78.287999999999997</v>
      </c>
      <c r="V59" s="1"/>
    </row>
    <row r="60" spans="1:22" x14ac:dyDescent="0.25">
      <c r="A60" s="14"/>
      <c r="B60" s="33" t="s">
        <v>32</v>
      </c>
      <c r="C60" s="22"/>
      <c r="D60" s="4"/>
      <c r="E60" s="23"/>
      <c r="F60" s="42"/>
      <c r="G60" s="11">
        <v>25</v>
      </c>
      <c r="H60" s="1">
        <v>4</v>
      </c>
      <c r="I60" s="1">
        <v>2</v>
      </c>
      <c r="J60" s="9">
        <f>D59</f>
        <v>4.6429999999999998</v>
      </c>
      <c r="K60" s="5"/>
      <c r="L60" s="5"/>
      <c r="M60" s="1">
        <f>2*G60/1000</f>
        <v>0.05</v>
      </c>
      <c r="N60" s="5">
        <f>J60+E61-M60</f>
        <v>4.8929999999999998</v>
      </c>
      <c r="O60" s="5">
        <f>H60*I60*N60</f>
        <v>39.143999999999998</v>
      </c>
      <c r="P60" s="18" t="str">
        <f t="shared" si="0"/>
        <v/>
      </c>
      <c r="Q60" s="18" t="str">
        <f t="shared" si="1"/>
        <v/>
      </c>
      <c r="R60" s="18" t="str">
        <f t="shared" si="2"/>
        <v/>
      </c>
      <c r="S60" s="18" t="str">
        <f t="shared" si="3"/>
        <v/>
      </c>
      <c r="T60" s="18" t="str">
        <f t="shared" si="4"/>
        <v/>
      </c>
      <c r="U60" s="18">
        <f t="shared" si="5"/>
        <v>39.143999999999998</v>
      </c>
      <c r="V60" s="1"/>
    </row>
    <row r="61" spans="1:22" x14ac:dyDescent="0.25">
      <c r="A61" s="14"/>
      <c r="B61" s="33" t="s">
        <v>26</v>
      </c>
      <c r="C61" s="24"/>
      <c r="D61" s="25"/>
      <c r="E61" s="39">
        <v>0.3</v>
      </c>
      <c r="F61" s="42"/>
      <c r="G61" s="11">
        <v>25</v>
      </c>
      <c r="H61" s="1">
        <v>4</v>
      </c>
      <c r="I61" s="1">
        <v>4</v>
      </c>
      <c r="J61" s="9">
        <f>D59</f>
        <v>4.6429999999999998</v>
      </c>
      <c r="K61" s="5"/>
      <c r="L61" s="5"/>
      <c r="M61" s="1">
        <f>2*G61/1000</f>
        <v>0.05</v>
      </c>
      <c r="N61" s="5">
        <f>J61+E61-M61</f>
        <v>4.8929999999999998</v>
      </c>
      <c r="O61" s="5">
        <f>H61*I61*N61</f>
        <v>78.287999999999997</v>
      </c>
      <c r="P61" s="18" t="str">
        <f t="shared" si="0"/>
        <v/>
      </c>
      <c r="Q61" s="18" t="str">
        <f t="shared" si="1"/>
        <v/>
      </c>
      <c r="R61" s="18" t="str">
        <f t="shared" si="2"/>
        <v/>
      </c>
      <c r="S61" s="18" t="str">
        <f t="shared" si="3"/>
        <v/>
      </c>
      <c r="T61" s="18" t="str">
        <f t="shared" si="4"/>
        <v/>
      </c>
      <c r="U61" s="18">
        <f t="shared" si="5"/>
        <v>78.287999999999997</v>
      </c>
      <c r="V61" s="1"/>
    </row>
    <row r="62" spans="1:22" x14ac:dyDescent="0.25">
      <c r="A62" s="14"/>
      <c r="B62" s="33" t="s">
        <v>19</v>
      </c>
      <c r="C62" s="22"/>
      <c r="D62" s="4"/>
      <c r="E62" s="23"/>
      <c r="F62" s="42"/>
      <c r="G62" s="11">
        <v>20</v>
      </c>
      <c r="H62" s="1">
        <v>4</v>
      </c>
      <c r="I62" s="1">
        <v>4</v>
      </c>
      <c r="J62" s="9">
        <f>D59</f>
        <v>4.6429999999999998</v>
      </c>
      <c r="K62" s="5"/>
      <c r="L62" s="5"/>
      <c r="M62" s="1">
        <f>2*G62/1000</f>
        <v>0.04</v>
      </c>
      <c r="N62" s="5">
        <f>J62+E61-M62</f>
        <v>4.9029999999999996</v>
      </c>
      <c r="O62" s="5">
        <f>H62*I62*N62</f>
        <v>78.447999999999993</v>
      </c>
      <c r="P62" s="18" t="str">
        <f t="shared" si="0"/>
        <v/>
      </c>
      <c r="Q62" s="18" t="str">
        <f t="shared" si="1"/>
        <v/>
      </c>
      <c r="R62" s="18" t="str">
        <f t="shared" si="2"/>
        <v/>
      </c>
      <c r="S62" s="18" t="str">
        <f t="shared" si="3"/>
        <v/>
      </c>
      <c r="T62" s="18">
        <f t="shared" si="4"/>
        <v>78.447999999999993</v>
      </c>
      <c r="U62" s="18" t="str">
        <f t="shared" si="5"/>
        <v/>
      </c>
      <c r="V62" s="1"/>
    </row>
    <row r="63" spans="1:22" x14ac:dyDescent="0.25">
      <c r="A63" s="14"/>
      <c r="B63" s="33"/>
      <c r="C63" s="22"/>
      <c r="D63" s="4"/>
      <c r="E63" s="23"/>
      <c r="F63" s="42"/>
      <c r="G63" s="11"/>
      <c r="H63" s="1"/>
      <c r="I63" s="1"/>
      <c r="J63" s="2"/>
      <c r="K63" s="1"/>
      <c r="L63" s="1"/>
      <c r="M63" s="1"/>
      <c r="N63" s="1"/>
      <c r="O63" s="3"/>
      <c r="P63" s="18" t="str">
        <f t="shared" si="0"/>
        <v/>
      </c>
      <c r="Q63" s="18" t="str">
        <f t="shared" si="1"/>
        <v/>
      </c>
      <c r="R63" s="18" t="str">
        <f t="shared" si="2"/>
        <v/>
      </c>
      <c r="S63" s="18" t="str">
        <f t="shared" si="3"/>
        <v/>
      </c>
      <c r="T63" s="18" t="str">
        <f t="shared" si="4"/>
        <v/>
      </c>
      <c r="U63" s="18" t="str">
        <f t="shared" si="5"/>
        <v/>
      </c>
      <c r="V63" s="1"/>
    </row>
    <row r="64" spans="1:22" x14ac:dyDescent="0.25">
      <c r="A64" s="14"/>
      <c r="B64" s="14"/>
      <c r="C64" s="29">
        <v>80</v>
      </c>
      <c r="D64" s="4"/>
      <c r="E64" s="23"/>
      <c r="F64" s="42"/>
      <c r="G64" s="11"/>
      <c r="H64" s="1"/>
      <c r="I64" s="1"/>
      <c r="J64" s="2"/>
      <c r="K64" s="1"/>
      <c r="L64" s="1"/>
      <c r="M64" s="1"/>
      <c r="N64" s="1"/>
      <c r="O64" s="3"/>
      <c r="P64" s="18" t="str">
        <f t="shared" si="0"/>
        <v/>
      </c>
      <c r="Q64" s="18" t="str">
        <f t="shared" si="1"/>
        <v/>
      </c>
      <c r="R64" s="18" t="str">
        <f t="shared" si="2"/>
        <v/>
      </c>
      <c r="S64" s="18" t="str">
        <f t="shared" si="3"/>
        <v/>
      </c>
      <c r="T64" s="18" t="str">
        <f t="shared" si="4"/>
        <v/>
      </c>
      <c r="U64" s="18" t="str">
        <f t="shared" si="5"/>
        <v/>
      </c>
      <c r="V64" s="1"/>
    </row>
    <row r="65" spans="1:22" x14ac:dyDescent="0.25">
      <c r="A65" s="14"/>
      <c r="B65" s="34" t="s">
        <v>20</v>
      </c>
      <c r="C65" s="26"/>
      <c r="D65" s="4"/>
      <c r="E65" s="40">
        <f>0.6-0.08</f>
        <v>0.52</v>
      </c>
      <c r="F65" s="42">
        <v>7.4999999999999997E-2</v>
      </c>
      <c r="G65" s="11">
        <v>10</v>
      </c>
      <c r="H65" s="1">
        <v>4</v>
      </c>
      <c r="I65" s="1">
        <f>ROUND(D59/F65+1,0)</f>
        <v>63</v>
      </c>
      <c r="J65" s="41">
        <f>2*(D67+E65)+16*10/1000</f>
        <v>1.64</v>
      </c>
      <c r="K65" s="1"/>
      <c r="L65" s="1"/>
      <c r="M65" s="1"/>
      <c r="N65" s="5">
        <f>(J65+K65-M65)</f>
        <v>1.64</v>
      </c>
      <c r="O65" s="5">
        <f>(H65*I65*N65)</f>
        <v>413.28</v>
      </c>
      <c r="P65" s="18" t="str">
        <f t="shared" si="0"/>
        <v/>
      </c>
      <c r="Q65" s="18">
        <f t="shared" si="1"/>
        <v>413.28</v>
      </c>
      <c r="R65" s="18" t="str">
        <f t="shared" si="2"/>
        <v/>
      </c>
      <c r="S65" s="18" t="str">
        <f t="shared" si="3"/>
        <v/>
      </c>
      <c r="T65" s="18" t="str">
        <f t="shared" si="4"/>
        <v/>
      </c>
      <c r="U65" s="18" t="str">
        <f t="shared" si="5"/>
        <v/>
      </c>
      <c r="V65" s="1"/>
    </row>
    <row r="66" spans="1:22" x14ac:dyDescent="0.25">
      <c r="A66" s="14"/>
      <c r="B66" s="34"/>
      <c r="C66" s="22"/>
      <c r="D66" s="4"/>
      <c r="E66" s="27"/>
      <c r="F66" s="42"/>
      <c r="G66" s="11"/>
      <c r="H66" s="1"/>
      <c r="I66" s="1"/>
      <c r="J66" s="2"/>
      <c r="K66" s="1"/>
      <c r="L66" s="1"/>
      <c r="M66" s="1"/>
      <c r="N66" s="1"/>
      <c r="O66" s="5"/>
      <c r="P66" s="18" t="str">
        <f t="shared" si="0"/>
        <v/>
      </c>
      <c r="Q66" s="18" t="str">
        <f t="shared" si="1"/>
        <v/>
      </c>
      <c r="R66" s="18" t="str">
        <f t="shared" si="2"/>
        <v/>
      </c>
      <c r="S66" s="18" t="str">
        <f t="shared" si="3"/>
        <v/>
      </c>
      <c r="T66" s="18" t="str">
        <f t="shared" si="4"/>
        <v/>
      </c>
      <c r="U66" s="18" t="str">
        <f t="shared" si="5"/>
        <v/>
      </c>
      <c r="V66" s="1"/>
    </row>
    <row r="67" spans="1:22" x14ac:dyDescent="0.25">
      <c r="A67" s="14"/>
      <c r="B67" s="34"/>
      <c r="C67" s="22"/>
      <c r="D67" s="9">
        <f>0.3-0.08</f>
        <v>0.21999999999999997</v>
      </c>
      <c r="E67" s="23"/>
      <c r="F67" s="42"/>
      <c r="G67" s="11"/>
      <c r="H67" s="1"/>
      <c r="I67" s="1"/>
      <c r="J67" s="2"/>
      <c r="K67" s="1"/>
      <c r="L67" s="1"/>
      <c r="M67" s="1"/>
      <c r="N67" s="1"/>
      <c r="O67" s="5"/>
      <c r="P67" s="18" t="str">
        <f t="shared" si="0"/>
        <v/>
      </c>
      <c r="Q67" s="18" t="str">
        <f t="shared" si="1"/>
        <v/>
      </c>
      <c r="R67" s="18" t="str">
        <f t="shared" si="2"/>
        <v/>
      </c>
      <c r="S67" s="18" t="str">
        <f t="shared" si="3"/>
        <v/>
      </c>
      <c r="T67" s="18" t="str">
        <f t="shared" si="4"/>
        <v/>
      </c>
      <c r="U67" s="18" t="str">
        <f t="shared" si="5"/>
        <v/>
      </c>
      <c r="V67" s="1"/>
    </row>
    <row r="68" spans="1:22" x14ac:dyDescent="0.25">
      <c r="A68" s="14"/>
      <c r="B68" s="33"/>
      <c r="C68" s="22"/>
      <c r="D68" s="4"/>
      <c r="E68" s="23"/>
      <c r="F68" s="42"/>
      <c r="G68" s="11"/>
      <c r="H68" s="1"/>
      <c r="I68" s="1"/>
      <c r="J68" s="2"/>
      <c r="K68" s="1"/>
      <c r="L68" s="1"/>
      <c r="M68" s="1"/>
      <c r="N68" s="1"/>
      <c r="O68" s="5"/>
      <c r="P68" s="18" t="str">
        <f t="shared" si="0"/>
        <v/>
      </c>
      <c r="Q68" s="18" t="str">
        <f t="shared" si="1"/>
        <v/>
      </c>
      <c r="R68" s="18" t="str">
        <f t="shared" si="2"/>
        <v/>
      </c>
      <c r="S68" s="18" t="str">
        <f t="shared" si="3"/>
        <v/>
      </c>
      <c r="T68" s="18" t="str">
        <f t="shared" si="4"/>
        <v/>
      </c>
      <c r="U68" s="18" t="str">
        <f t="shared" si="5"/>
        <v/>
      </c>
      <c r="V68" s="1"/>
    </row>
    <row r="69" spans="1:22" x14ac:dyDescent="0.25">
      <c r="A69" s="14"/>
      <c r="B69" s="14"/>
      <c r="C69" s="29">
        <v>80</v>
      </c>
      <c r="D69" s="4"/>
      <c r="E69" s="23"/>
      <c r="F69" s="42"/>
      <c r="G69" s="11"/>
      <c r="H69" s="1"/>
      <c r="I69" s="1"/>
      <c r="J69" s="2"/>
      <c r="K69" s="1"/>
      <c r="L69" s="1"/>
      <c r="M69" s="1"/>
      <c r="N69" s="1"/>
      <c r="O69" s="5"/>
      <c r="P69" s="18" t="str">
        <f t="shared" si="0"/>
        <v/>
      </c>
      <c r="Q69" s="18" t="str">
        <f t="shared" si="1"/>
        <v/>
      </c>
      <c r="R69" s="18" t="str">
        <f t="shared" si="2"/>
        <v/>
      </c>
      <c r="S69" s="18" t="str">
        <f t="shared" si="3"/>
        <v/>
      </c>
      <c r="T69" s="18" t="str">
        <f t="shared" si="4"/>
        <v/>
      </c>
      <c r="U69" s="18" t="str">
        <f t="shared" si="5"/>
        <v/>
      </c>
      <c r="V69" s="1"/>
    </row>
    <row r="70" spans="1:22" x14ac:dyDescent="0.25">
      <c r="A70" s="14"/>
      <c r="B70" s="34" t="s">
        <v>21</v>
      </c>
      <c r="C70" s="26"/>
      <c r="D70" s="4"/>
      <c r="E70" s="40">
        <f>((0.6-0.08-0.016)/5)+0.012+0.02</f>
        <v>0.1328</v>
      </c>
      <c r="F70" s="42">
        <v>7.4999999999999997E-2</v>
      </c>
      <c r="G70" s="11">
        <v>10</v>
      </c>
      <c r="H70" s="1">
        <v>4</v>
      </c>
      <c r="I70" s="1">
        <f>ROUND(D59/F70+1,0)</f>
        <v>63</v>
      </c>
      <c r="J70" s="41">
        <f>2*(D72+E70)+16*10/1000</f>
        <v>0.86560000000000004</v>
      </c>
      <c r="K70" s="1"/>
      <c r="L70" s="1"/>
      <c r="M70" s="1"/>
      <c r="N70" s="5">
        <f>(J70+K70-M70)</f>
        <v>0.86560000000000004</v>
      </c>
      <c r="O70" s="5">
        <f>(H70*I70*N70)</f>
        <v>218.13120000000001</v>
      </c>
      <c r="P70" s="18" t="str">
        <f t="shared" si="0"/>
        <v/>
      </c>
      <c r="Q70" s="18">
        <f t="shared" si="1"/>
        <v>218.13120000000001</v>
      </c>
      <c r="R70" s="18" t="str">
        <f t="shared" si="2"/>
        <v/>
      </c>
      <c r="S70" s="18" t="str">
        <f t="shared" si="3"/>
        <v/>
      </c>
      <c r="T70" s="18" t="str">
        <f t="shared" si="4"/>
        <v/>
      </c>
      <c r="U70" s="18" t="str">
        <f t="shared" si="5"/>
        <v/>
      </c>
      <c r="V70" s="1"/>
    </row>
    <row r="71" spans="1:22" x14ac:dyDescent="0.25">
      <c r="A71" s="14"/>
      <c r="B71" s="34"/>
      <c r="C71" s="22"/>
      <c r="D71" s="4"/>
      <c r="E71" s="27"/>
      <c r="F71" s="42"/>
      <c r="G71" s="11"/>
      <c r="H71" s="1"/>
      <c r="I71" s="1"/>
      <c r="J71" s="2"/>
      <c r="K71" s="1"/>
      <c r="L71" s="1"/>
      <c r="M71" s="1"/>
      <c r="N71" s="1"/>
      <c r="O71" s="5"/>
      <c r="P71" s="18" t="str">
        <f t="shared" si="0"/>
        <v/>
      </c>
      <c r="Q71" s="18" t="str">
        <f t="shared" si="1"/>
        <v/>
      </c>
      <c r="R71" s="18" t="str">
        <f t="shared" si="2"/>
        <v/>
      </c>
      <c r="S71" s="18" t="str">
        <f t="shared" si="3"/>
        <v/>
      </c>
      <c r="T71" s="18" t="str">
        <f t="shared" si="4"/>
        <v/>
      </c>
      <c r="U71" s="18" t="str">
        <f t="shared" si="5"/>
        <v/>
      </c>
      <c r="V71" s="1"/>
    </row>
    <row r="72" spans="1:22" x14ac:dyDescent="0.25">
      <c r="A72" s="14"/>
      <c r="B72" s="34"/>
      <c r="C72" s="22"/>
      <c r="D72" s="9">
        <f>0.3-0.08</f>
        <v>0.21999999999999997</v>
      </c>
      <c r="E72" s="23"/>
      <c r="F72" s="42"/>
      <c r="G72" s="11"/>
      <c r="H72" s="1"/>
      <c r="I72" s="1"/>
      <c r="J72" s="2"/>
      <c r="K72" s="1"/>
      <c r="L72" s="1"/>
      <c r="M72" s="1"/>
      <c r="N72" s="1"/>
      <c r="O72" s="5"/>
      <c r="P72" s="18" t="str">
        <f t="shared" si="0"/>
        <v/>
      </c>
      <c r="Q72" s="18" t="str">
        <f t="shared" si="1"/>
        <v/>
      </c>
      <c r="R72" s="18" t="str">
        <f t="shared" si="2"/>
        <v/>
      </c>
      <c r="S72" s="18" t="str">
        <f t="shared" si="3"/>
        <v/>
      </c>
      <c r="T72" s="18" t="str">
        <f t="shared" si="4"/>
        <v/>
      </c>
      <c r="U72" s="18" t="str">
        <f t="shared" si="5"/>
        <v/>
      </c>
      <c r="V72" s="1"/>
    </row>
    <row r="73" spans="1:22" x14ac:dyDescent="0.25">
      <c r="A73" s="14"/>
      <c r="B73" s="34"/>
      <c r="C73" s="22"/>
      <c r="D73" s="4"/>
      <c r="E73" s="23"/>
      <c r="F73" s="42"/>
      <c r="G73" s="11"/>
      <c r="H73" s="1"/>
      <c r="I73" s="1"/>
      <c r="J73" s="2"/>
      <c r="K73" s="1"/>
      <c r="L73" s="1"/>
      <c r="M73" s="1"/>
      <c r="N73" s="1"/>
      <c r="O73" s="5"/>
      <c r="P73" s="18" t="str">
        <f t="shared" si="0"/>
        <v/>
      </c>
      <c r="Q73" s="18" t="str">
        <f t="shared" si="1"/>
        <v/>
      </c>
      <c r="R73" s="18" t="str">
        <f t="shared" si="2"/>
        <v/>
      </c>
      <c r="S73" s="18" t="str">
        <f t="shared" si="3"/>
        <v/>
      </c>
      <c r="T73" s="18" t="str">
        <f t="shared" si="4"/>
        <v/>
      </c>
      <c r="U73" s="18" t="str">
        <f t="shared" si="5"/>
        <v/>
      </c>
      <c r="V73" s="1"/>
    </row>
    <row r="74" spans="1:22" x14ac:dyDescent="0.25">
      <c r="A74" s="14"/>
      <c r="B74" s="34" t="s">
        <v>22</v>
      </c>
      <c r="C74" s="22"/>
      <c r="D74" s="25"/>
      <c r="E74" s="23"/>
      <c r="F74" s="42">
        <v>7.4999999999999997E-2</v>
      </c>
      <c r="G74" s="11">
        <v>10</v>
      </c>
      <c r="H74" s="1">
        <v>4</v>
      </c>
      <c r="I74" s="1">
        <f>ROUND(D59/F74+1,0)</f>
        <v>63</v>
      </c>
      <c r="J74" s="41">
        <f>C75+D77+E75+2*10*G74/1000</f>
        <v>0.77</v>
      </c>
      <c r="K74" s="1"/>
      <c r="L74" s="1"/>
      <c r="M74" s="5">
        <f>4*3*G74/1000</f>
        <v>0.12</v>
      </c>
      <c r="N74" s="5">
        <f>(J74+K74-M74)</f>
        <v>0.65</v>
      </c>
      <c r="O74" s="5">
        <f>(H74*I74*N74)</f>
        <v>163.80000000000001</v>
      </c>
      <c r="P74" s="18" t="str">
        <f t="shared" si="0"/>
        <v/>
      </c>
      <c r="Q74" s="18">
        <f t="shared" si="1"/>
        <v>163.80000000000001</v>
      </c>
      <c r="R74" s="18" t="str">
        <f t="shared" si="2"/>
        <v/>
      </c>
      <c r="S74" s="18" t="str">
        <f t="shared" si="3"/>
        <v/>
      </c>
      <c r="T74" s="18" t="str">
        <f t="shared" si="4"/>
        <v/>
      </c>
      <c r="U74" s="18" t="str">
        <f t="shared" si="5"/>
        <v/>
      </c>
      <c r="V74" s="1"/>
    </row>
    <row r="75" spans="1:22" x14ac:dyDescent="0.25">
      <c r="A75" s="14"/>
      <c r="B75" s="34"/>
      <c r="C75" s="29">
        <v>0.17499999999999999</v>
      </c>
      <c r="D75" s="4"/>
      <c r="E75" s="23">
        <v>0.17499999999999999</v>
      </c>
      <c r="F75" s="42"/>
      <c r="G75" s="11"/>
      <c r="H75" s="1"/>
      <c r="I75" s="1"/>
      <c r="J75" s="2"/>
      <c r="K75" s="1"/>
      <c r="L75" s="1"/>
      <c r="M75" s="1"/>
      <c r="N75" s="1"/>
      <c r="O75" s="5"/>
      <c r="P75" s="18" t="str">
        <f>IF($G75=8,$O75,"")</f>
        <v/>
      </c>
      <c r="Q75" s="18" t="str">
        <f>IF($G75=10,$O75,"")</f>
        <v/>
      </c>
      <c r="R75" s="18" t="str">
        <f>IF($G75=12,$O75,"")</f>
        <v/>
      </c>
      <c r="S75" s="18" t="str">
        <f>IF($G75=16,$O75,"")</f>
        <v/>
      </c>
      <c r="T75" s="18" t="str">
        <f>IF($G75=20,$O75,"")</f>
        <v/>
      </c>
      <c r="U75" s="18" t="str">
        <f>IF($G75=25,$O75,"")</f>
        <v/>
      </c>
      <c r="V75" s="1"/>
    </row>
    <row r="76" spans="1:22" x14ac:dyDescent="0.25">
      <c r="A76" s="14"/>
      <c r="B76" s="34"/>
      <c r="C76" s="22"/>
      <c r="D76" s="4"/>
      <c r="E76" s="23"/>
      <c r="F76" s="42"/>
      <c r="G76" s="11"/>
      <c r="H76" s="1"/>
      <c r="I76" s="1"/>
      <c r="J76" s="2"/>
      <c r="K76" s="1"/>
      <c r="L76" s="1"/>
      <c r="M76" s="1"/>
      <c r="N76" s="1"/>
      <c r="O76" s="5"/>
      <c r="P76" s="18" t="str">
        <f t="shared" si="0"/>
        <v/>
      </c>
      <c r="Q76" s="18" t="str">
        <f t="shared" si="1"/>
        <v/>
      </c>
      <c r="R76" s="18" t="str">
        <f t="shared" si="2"/>
        <v/>
      </c>
      <c r="S76" s="18" t="str">
        <f t="shared" si="3"/>
        <v/>
      </c>
      <c r="T76" s="18" t="str">
        <f t="shared" si="4"/>
        <v/>
      </c>
      <c r="U76" s="18" t="str">
        <f t="shared" si="5"/>
        <v/>
      </c>
      <c r="V76" s="1"/>
    </row>
    <row r="77" spans="1:22" x14ac:dyDescent="0.25">
      <c r="A77" s="14"/>
      <c r="B77" s="34"/>
      <c r="C77" s="22"/>
      <c r="D77" s="9">
        <f>0.3-0.08</f>
        <v>0.21999999999999997</v>
      </c>
      <c r="E77" s="23"/>
      <c r="F77" s="42"/>
      <c r="G77" s="11"/>
      <c r="H77" s="1"/>
      <c r="I77" s="1"/>
      <c r="J77" s="2"/>
      <c r="K77" s="1"/>
      <c r="L77" s="1"/>
      <c r="M77" s="1"/>
      <c r="N77" s="1"/>
      <c r="O77" s="5"/>
      <c r="P77" s="18" t="str">
        <f t="shared" si="0"/>
        <v/>
      </c>
      <c r="Q77" s="18" t="str">
        <f t="shared" si="1"/>
        <v/>
      </c>
      <c r="R77" s="18" t="str">
        <f t="shared" si="2"/>
        <v/>
      </c>
      <c r="S77" s="18" t="str">
        <f t="shared" si="3"/>
        <v/>
      </c>
      <c r="T77" s="18" t="str">
        <f t="shared" si="4"/>
        <v/>
      </c>
      <c r="U77" s="18" t="str">
        <f t="shared" si="5"/>
        <v/>
      </c>
      <c r="V77" s="1"/>
    </row>
    <row r="78" spans="1:22" x14ac:dyDescent="0.25">
      <c r="A78" s="14"/>
      <c r="B78" s="34"/>
      <c r="C78" s="22"/>
      <c r="D78" s="4"/>
      <c r="E78" s="23"/>
      <c r="F78" s="42"/>
      <c r="G78" s="11"/>
      <c r="H78" s="1"/>
      <c r="I78" s="1"/>
      <c r="J78" s="2"/>
      <c r="K78" s="1"/>
      <c r="L78" s="1"/>
      <c r="M78" s="1"/>
      <c r="N78" s="1"/>
      <c r="O78" s="5"/>
      <c r="P78" s="18" t="str">
        <f t="shared" si="0"/>
        <v/>
      </c>
      <c r="Q78" s="18" t="str">
        <f t="shared" si="1"/>
        <v/>
      </c>
      <c r="R78" s="18" t="str">
        <f t="shared" si="2"/>
        <v/>
      </c>
      <c r="S78" s="18" t="str">
        <f t="shared" si="3"/>
        <v/>
      </c>
      <c r="T78" s="18" t="str">
        <f t="shared" si="4"/>
        <v/>
      </c>
      <c r="U78" s="18" t="str">
        <f t="shared" si="5"/>
        <v/>
      </c>
      <c r="V78" s="1"/>
    </row>
    <row r="79" spans="1:22" x14ac:dyDescent="0.25">
      <c r="A79" s="14"/>
      <c r="B79" s="34" t="s">
        <v>36</v>
      </c>
      <c r="C79" s="22"/>
      <c r="D79" s="25"/>
      <c r="E79" s="23"/>
      <c r="F79" s="42">
        <v>7.4999999999999997E-2</v>
      </c>
      <c r="G79" s="11">
        <v>10</v>
      </c>
      <c r="H79" s="1">
        <v>4</v>
      </c>
      <c r="I79" s="1">
        <f>ROUND(D59/F79+1,0)</f>
        <v>63</v>
      </c>
      <c r="J79" s="41">
        <f>C80+D82+E80+2*10*G79/1000</f>
        <v>0.77</v>
      </c>
      <c r="K79" s="1"/>
      <c r="L79" s="1"/>
      <c r="M79" s="5">
        <f>4*3*G79/1000</f>
        <v>0.12</v>
      </c>
      <c r="N79" s="5">
        <f>(J79+K79-M79)</f>
        <v>0.65</v>
      </c>
      <c r="O79" s="5">
        <f>(H79*I79*N79)</f>
        <v>163.80000000000001</v>
      </c>
      <c r="P79" s="18" t="str">
        <f t="shared" si="0"/>
        <v/>
      </c>
      <c r="Q79" s="18">
        <f t="shared" si="1"/>
        <v>163.80000000000001</v>
      </c>
      <c r="R79" s="18" t="str">
        <f t="shared" si="2"/>
        <v/>
      </c>
      <c r="S79" s="18" t="str">
        <f t="shared" si="3"/>
        <v/>
      </c>
      <c r="T79" s="18" t="str">
        <f t="shared" si="4"/>
        <v/>
      </c>
      <c r="U79" s="18" t="str">
        <f t="shared" si="5"/>
        <v/>
      </c>
      <c r="V79" s="1"/>
    </row>
    <row r="80" spans="1:22" x14ac:dyDescent="0.25">
      <c r="A80" s="14"/>
      <c r="B80" s="34"/>
      <c r="C80" s="29">
        <v>0.17499999999999999</v>
      </c>
      <c r="D80" s="4"/>
      <c r="E80" s="23">
        <v>0.17499999999999999</v>
      </c>
      <c r="F80" s="42"/>
      <c r="G80" s="11"/>
      <c r="H80" s="1"/>
      <c r="I80" s="1"/>
      <c r="J80" s="2"/>
      <c r="K80" s="1"/>
      <c r="L80" s="1"/>
      <c r="M80" s="1"/>
      <c r="N80" s="1"/>
      <c r="O80" s="5"/>
      <c r="P80" s="18" t="str">
        <f>IF($G80=8,$O80,"")</f>
        <v/>
      </c>
      <c r="Q80" s="18" t="str">
        <f>IF($G80=10,$O80,"")</f>
        <v/>
      </c>
      <c r="R80" s="18" t="str">
        <f>IF($G80=12,$O80,"")</f>
        <v/>
      </c>
      <c r="S80" s="18" t="str">
        <f>IF($G80=16,$O80,"")</f>
        <v/>
      </c>
      <c r="T80" s="18" t="str">
        <f>IF($G80=20,$O80,"")</f>
        <v/>
      </c>
      <c r="U80" s="18" t="str">
        <f>IF($G80=25,$O80,"")</f>
        <v/>
      </c>
      <c r="V80" s="1"/>
    </row>
    <row r="81" spans="1:22" x14ac:dyDescent="0.25">
      <c r="A81" s="14"/>
      <c r="B81" s="34"/>
      <c r="C81" s="22"/>
      <c r="D81" s="4"/>
      <c r="E81" s="23"/>
      <c r="F81" s="42"/>
      <c r="G81" s="11"/>
      <c r="H81" s="1"/>
      <c r="I81" s="1"/>
      <c r="J81" s="2"/>
      <c r="K81" s="1"/>
      <c r="L81" s="1"/>
      <c r="M81" s="1"/>
      <c r="N81" s="1"/>
      <c r="O81" s="3"/>
      <c r="P81" s="18" t="str">
        <f t="shared" si="0"/>
        <v/>
      </c>
      <c r="Q81" s="18" t="str">
        <f t="shared" si="1"/>
        <v/>
      </c>
      <c r="R81" s="18" t="str">
        <f t="shared" si="2"/>
        <v/>
      </c>
      <c r="S81" s="18" t="str">
        <f t="shared" si="3"/>
        <v/>
      </c>
      <c r="T81" s="18" t="str">
        <f t="shared" si="4"/>
        <v/>
      </c>
      <c r="U81" s="18" t="str">
        <f t="shared" si="5"/>
        <v/>
      </c>
      <c r="V81" s="1"/>
    </row>
    <row r="82" spans="1:22" x14ac:dyDescent="0.25">
      <c r="A82" s="14"/>
      <c r="B82" s="34"/>
      <c r="C82" s="22"/>
      <c r="D82" s="9">
        <f>0.3-0.08</f>
        <v>0.21999999999999997</v>
      </c>
      <c r="E82" s="23"/>
      <c r="F82" s="42"/>
      <c r="G82" s="11"/>
      <c r="H82" s="1"/>
      <c r="I82" s="1"/>
      <c r="J82" s="2"/>
      <c r="K82" s="1"/>
      <c r="L82" s="1"/>
      <c r="M82" s="1"/>
      <c r="N82" s="1"/>
      <c r="O82" s="3"/>
      <c r="P82" s="18" t="str">
        <f t="shared" si="0"/>
        <v/>
      </c>
      <c r="Q82" s="18" t="str">
        <f t="shared" si="1"/>
        <v/>
      </c>
      <c r="R82" s="18" t="str">
        <f t="shared" si="2"/>
        <v/>
      </c>
      <c r="S82" s="18" t="str">
        <f t="shared" si="3"/>
        <v/>
      </c>
      <c r="T82" s="18" t="str">
        <f t="shared" si="4"/>
        <v/>
      </c>
      <c r="U82" s="18" t="str">
        <f t="shared" si="5"/>
        <v/>
      </c>
      <c r="V82" s="1"/>
    </row>
    <row r="83" spans="1:22" x14ac:dyDescent="0.25">
      <c r="A83" s="14"/>
      <c r="B83" s="33"/>
      <c r="C83" s="22"/>
      <c r="D83" s="4"/>
      <c r="E83" s="23"/>
      <c r="F83" s="42"/>
      <c r="G83" s="11"/>
      <c r="H83" s="1"/>
      <c r="I83" s="1"/>
      <c r="J83" s="2"/>
      <c r="K83" s="1"/>
      <c r="L83" s="1"/>
      <c r="M83" s="1"/>
      <c r="N83" s="1"/>
      <c r="O83" s="3"/>
      <c r="P83" s="18" t="str">
        <f t="shared" si="0"/>
        <v/>
      </c>
      <c r="Q83" s="18" t="str">
        <f t="shared" si="1"/>
        <v/>
      </c>
      <c r="R83" s="18" t="str">
        <f t="shared" si="2"/>
        <v/>
      </c>
      <c r="S83" s="18" t="str">
        <f t="shared" si="3"/>
        <v/>
      </c>
      <c r="T83" s="18" t="str">
        <f t="shared" si="4"/>
        <v/>
      </c>
      <c r="U83" s="18" t="str">
        <f t="shared" si="5"/>
        <v/>
      </c>
      <c r="V83" s="1"/>
    </row>
    <row r="84" spans="1:22" x14ac:dyDescent="0.25">
      <c r="A84" s="14">
        <v>4</v>
      </c>
      <c r="B84" s="14" t="s">
        <v>38</v>
      </c>
      <c r="C84" s="22"/>
      <c r="D84" s="4"/>
      <c r="E84" s="23"/>
      <c r="F84" s="42"/>
      <c r="G84" s="11"/>
      <c r="H84" s="1"/>
      <c r="I84" s="1"/>
      <c r="J84" s="9"/>
      <c r="K84" s="5"/>
      <c r="L84" s="5"/>
      <c r="M84" s="1"/>
      <c r="N84" s="5"/>
      <c r="O84" s="5"/>
      <c r="P84" s="18" t="str">
        <f>IF($G84=8,$O84,"")</f>
        <v/>
      </c>
      <c r="Q84" s="18" t="str">
        <f>IF($G84=10,$O84,"")</f>
        <v/>
      </c>
      <c r="R84" s="18" t="str">
        <f>IF($G84=12,$O84,"")</f>
        <v/>
      </c>
      <c r="S84" s="18" t="str">
        <f>IF($G84=16,$O84,"")</f>
        <v/>
      </c>
      <c r="T84" s="18" t="str">
        <f>IF($G84=20,$O84,"")</f>
        <v/>
      </c>
      <c r="U84" s="18" t="str">
        <f>IF($G84=25,$O84,"")</f>
        <v/>
      </c>
      <c r="V84" s="1"/>
    </row>
    <row r="85" spans="1:22" x14ac:dyDescent="0.25">
      <c r="A85" s="14"/>
      <c r="B85" s="33" t="s">
        <v>18</v>
      </c>
      <c r="C85" s="22"/>
      <c r="D85" s="38">
        <f>2.8+0.15-0.075-0.032+1.8</f>
        <v>4.6429999999999998</v>
      </c>
      <c r="E85" s="23"/>
      <c r="F85" s="42"/>
      <c r="G85" s="11">
        <v>20</v>
      </c>
      <c r="H85" s="1">
        <v>16</v>
      </c>
      <c r="I85" s="1">
        <v>4</v>
      </c>
      <c r="J85" s="9">
        <f>D85</f>
        <v>4.6429999999999998</v>
      </c>
      <c r="K85" s="5"/>
      <c r="L85" s="5"/>
      <c r="M85" s="1">
        <f>2*G85/1000</f>
        <v>0.04</v>
      </c>
      <c r="N85" s="5">
        <f>J85+E87-M85</f>
        <v>4.9029999999999996</v>
      </c>
      <c r="O85" s="5">
        <f>H85*I85*N85</f>
        <v>313.79199999999997</v>
      </c>
      <c r="P85" s="18" t="str">
        <f t="shared" si="0"/>
        <v/>
      </c>
      <c r="Q85" s="18" t="str">
        <f t="shared" si="1"/>
        <v/>
      </c>
      <c r="R85" s="18" t="str">
        <f t="shared" si="2"/>
        <v/>
      </c>
      <c r="S85" s="18" t="str">
        <f t="shared" si="3"/>
        <v/>
      </c>
      <c r="T85" s="18">
        <f t="shared" si="4"/>
        <v>313.79199999999997</v>
      </c>
      <c r="U85" s="18" t="str">
        <f t="shared" si="5"/>
        <v/>
      </c>
      <c r="V85" s="1"/>
    </row>
    <row r="86" spans="1:22" x14ac:dyDescent="0.25">
      <c r="A86" s="14"/>
      <c r="B86" s="33" t="s">
        <v>32</v>
      </c>
      <c r="C86" s="22"/>
      <c r="D86" s="4"/>
      <c r="E86" s="23"/>
      <c r="F86" s="42"/>
      <c r="G86" s="11">
        <v>20</v>
      </c>
      <c r="H86" s="1">
        <v>16</v>
      </c>
      <c r="I86" s="1">
        <v>2</v>
      </c>
      <c r="J86" s="9">
        <f>D85</f>
        <v>4.6429999999999998</v>
      </c>
      <c r="K86" s="5"/>
      <c r="L86" s="5"/>
      <c r="M86" s="1">
        <f>2*G86/1000</f>
        <v>0.04</v>
      </c>
      <c r="N86" s="5">
        <f>J86+E87-M86</f>
        <v>4.9029999999999996</v>
      </c>
      <c r="O86" s="5">
        <f>H86*I86*N86</f>
        <v>156.89599999999999</v>
      </c>
      <c r="P86" s="18" t="str">
        <f t="shared" si="0"/>
        <v/>
      </c>
      <c r="Q86" s="18" t="str">
        <f t="shared" si="1"/>
        <v/>
      </c>
      <c r="R86" s="18" t="str">
        <f t="shared" si="2"/>
        <v/>
      </c>
      <c r="S86" s="18" t="str">
        <f t="shared" si="3"/>
        <v/>
      </c>
      <c r="T86" s="18">
        <f t="shared" si="4"/>
        <v>156.89599999999999</v>
      </c>
      <c r="U86" s="18" t="str">
        <f t="shared" si="5"/>
        <v/>
      </c>
      <c r="V86" s="1"/>
    </row>
    <row r="87" spans="1:22" x14ac:dyDescent="0.25">
      <c r="A87" s="14"/>
      <c r="B87" s="33" t="s">
        <v>26</v>
      </c>
      <c r="C87" s="24"/>
      <c r="D87" s="25"/>
      <c r="E87" s="39">
        <v>0.3</v>
      </c>
      <c r="F87" s="42"/>
      <c r="G87" s="11">
        <v>20</v>
      </c>
      <c r="H87" s="1">
        <v>16</v>
      </c>
      <c r="I87" s="1">
        <v>4</v>
      </c>
      <c r="J87" s="9">
        <f>D85</f>
        <v>4.6429999999999998</v>
      </c>
      <c r="K87" s="5"/>
      <c r="L87" s="5"/>
      <c r="M87" s="1">
        <f>2*G87/1000</f>
        <v>0.04</v>
      </c>
      <c r="N87" s="5">
        <f>J87+E87-M87</f>
        <v>4.9029999999999996</v>
      </c>
      <c r="O87" s="5">
        <f>H87*I87*N87</f>
        <v>313.79199999999997</v>
      </c>
      <c r="P87" s="18" t="str">
        <f t="shared" si="0"/>
        <v/>
      </c>
      <c r="Q87" s="18" t="str">
        <f t="shared" si="1"/>
        <v/>
      </c>
      <c r="R87" s="18" t="str">
        <f t="shared" si="2"/>
        <v/>
      </c>
      <c r="S87" s="18" t="str">
        <f t="shared" si="3"/>
        <v/>
      </c>
      <c r="T87" s="18">
        <f t="shared" si="4"/>
        <v>313.79199999999997</v>
      </c>
      <c r="U87" s="18" t="str">
        <f t="shared" si="5"/>
        <v/>
      </c>
      <c r="V87" s="1"/>
    </row>
    <row r="88" spans="1:22" x14ac:dyDescent="0.25">
      <c r="A88" s="14"/>
      <c r="B88" s="33" t="s">
        <v>19</v>
      </c>
      <c r="C88" s="22"/>
      <c r="D88" s="4"/>
      <c r="E88" s="23"/>
      <c r="F88" s="42"/>
      <c r="G88" s="11">
        <v>20</v>
      </c>
      <c r="H88" s="1">
        <v>16</v>
      </c>
      <c r="I88" s="1">
        <v>4</v>
      </c>
      <c r="J88" s="9">
        <f>D85</f>
        <v>4.6429999999999998</v>
      </c>
      <c r="K88" s="5"/>
      <c r="L88" s="5"/>
      <c r="M88" s="1">
        <f>2*G88/1000</f>
        <v>0.04</v>
      </c>
      <c r="N88" s="5">
        <f>J88+E87-M88</f>
        <v>4.9029999999999996</v>
      </c>
      <c r="O88" s="5">
        <f>H88*I88*N88</f>
        <v>313.79199999999997</v>
      </c>
      <c r="P88" s="18" t="str">
        <f t="shared" si="0"/>
        <v/>
      </c>
      <c r="Q88" s="18" t="str">
        <f t="shared" si="1"/>
        <v/>
      </c>
      <c r="R88" s="18" t="str">
        <f t="shared" si="2"/>
        <v/>
      </c>
      <c r="S88" s="18" t="str">
        <f t="shared" si="3"/>
        <v/>
      </c>
      <c r="T88" s="18">
        <f t="shared" si="4"/>
        <v>313.79199999999997</v>
      </c>
      <c r="U88" s="18" t="str">
        <f t="shared" si="5"/>
        <v/>
      </c>
      <c r="V88" s="1"/>
    </row>
    <row r="89" spans="1:22" x14ac:dyDescent="0.25">
      <c r="A89" s="14"/>
      <c r="B89" s="33" t="s">
        <v>35</v>
      </c>
      <c r="C89" s="22"/>
      <c r="D89" s="4"/>
      <c r="E89" s="23"/>
      <c r="F89" s="42"/>
      <c r="G89" s="11">
        <v>20</v>
      </c>
      <c r="H89" s="1">
        <v>16</v>
      </c>
      <c r="I89" s="1">
        <v>2</v>
      </c>
      <c r="J89" s="9">
        <f>D85</f>
        <v>4.6429999999999998</v>
      </c>
      <c r="K89" s="5"/>
      <c r="L89" s="5"/>
      <c r="M89" s="1">
        <f>2*G89/1000</f>
        <v>0.04</v>
      </c>
      <c r="N89" s="5">
        <f>J89+E88-M89</f>
        <v>4.6029999999999998</v>
      </c>
      <c r="O89" s="5">
        <f>H89*I89*N89</f>
        <v>147.29599999999999</v>
      </c>
      <c r="P89" s="18" t="str">
        <f t="shared" si="0"/>
        <v/>
      </c>
      <c r="Q89" s="18" t="str">
        <f t="shared" si="1"/>
        <v/>
      </c>
      <c r="R89" s="18" t="str">
        <f t="shared" si="2"/>
        <v/>
      </c>
      <c r="S89" s="18" t="str">
        <f t="shared" si="3"/>
        <v/>
      </c>
      <c r="T89" s="18">
        <f t="shared" si="4"/>
        <v>147.29599999999999</v>
      </c>
      <c r="U89" s="18" t="str">
        <f t="shared" si="5"/>
        <v/>
      </c>
      <c r="V89" s="1"/>
    </row>
    <row r="90" spans="1:22" x14ac:dyDescent="0.25">
      <c r="A90" s="14"/>
      <c r="B90" s="33"/>
      <c r="C90" s="22"/>
      <c r="D90" s="4"/>
      <c r="E90" s="23"/>
      <c r="F90" s="42"/>
      <c r="G90" s="11"/>
      <c r="H90" s="1"/>
      <c r="I90" s="1"/>
      <c r="J90" s="2"/>
      <c r="K90" s="1"/>
      <c r="L90" s="1"/>
      <c r="M90" s="1"/>
      <c r="N90" s="1"/>
      <c r="O90" s="3"/>
      <c r="P90" s="18" t="str">
        <f t="shared" si="0"/>
        <v/>
      </c>
      <c r="Q90" s="18" t="str">
        <f t="shared" si="1"/>
        <v/>
      </c>
      <c r="R90" s="18" t="str">
        <f t="shared" si="2"/>
        <v/>
      </c>
      <c r="S90" s="18" t="str">
        <f t="shared" si="3"/>
        <v/>
      </c>
      <c r="T90" s="18" t="str">
        <f t="shared" si="4"/>
        <v/>
      </c>
      <c r="U90" s="18" t="str">
        <f t="shared" si="5"/>
        <v/>
      </c>
      <c r="V90" s="1"/>
    </row>
    <row r="91" spans="1:22" x14ac:dyDescent="0.25">
      <c r="A91" s="14"/>
      <c r="B91" s="14"/>
      <c r="C91" s="29">
        <v>80</v>
      </c>
      <c r="D91" s="4"/>
      <c r="E91" s="23"/>
      <c r="F91" s="42"/>
      <c r="G91" s="11"/>
      <c r="H91" s="1"/>
      <c r="I91" s="1"/>
      <c r="J91" s="2"/>
      <c r="K91" s="1"/>
      <c r="L91" s="1"/>
      <c r="M91" s="1"/>
      <c r="N91" s="1"/>
      <c r="O91" s="3"/>
      <c r="P91" s="18" t="str">
        <f t="shared" si="0"/>
        <v/>
      </c>
      <c r="Q91" s="18" t="str">
        <f t="shared" si="1"/>
        <v/>
      </c>
      <c r="R91" s="18" t="str">
        <f t="shared" si="2"/>
        <v/>
      </c>
      <c r="S91" s="18" t="str">
        <f t="shared" si="3"/>
        <v/>
      </c>
      <c r="T91" s="18" t="str">
        <f t="shared" si="4"/>
        <v/>
      </c>
      <c r="U91" s="18" t="str">
        <f t="shared" si="5"/>
        <v/>
      </c>
      <c r="V91" s="1"/>
    </row>
    <row r="92" spans="1:22" x14ac:dyDescent="0.25">
      <c r="A92" s="14"/>
      <c r="B92" s="34" t="s">
        <v>20</v>
      </c>
      <c r="C92" s="26"/>
      <c r="D92" s="4"/>
      <c r="E92" s="40">
        <f>0.75-0.08</f>
        <v>0.67</v>
      </c>
      <c r="F92" s="42">
        <v>7.4999999999999997E-2</v>
      </c>
      <c r="G92" s="11">
        <v>10</v>
      </c>
      <c r="H92" s="1">
        <v>16</v>
      </c>
      <c r="I92" s="1">
        <f>ROUND(D85/F92+1,0)</f>
        <v>63</v>
      </c>
      <c r="J92" s="41">
        <f>2*(D94+E92)+16*10/1000</f>
        <v>1.94</v>
      </c>
      <c r="K92" s="1"/>
      <c r="L92" s="1"/>
      <c r="M92" s="1"/>
      <c r="N92" s="5">
        <f>(J92+K92-M92)</f>
        <v>1.94</v>
      </c>
      <c r="O92" s="5">
        <f>(H92*I92*N92)</f>
        <v>1955.52</v>
      </c>
      <c r="P92" s="18" t="str">
        <f t="shared" si="0"/>
        <v/>
      </c>
      <c r="Q92" s="18">
        <f t="shared" si="1"/>
        <v>1955.52</v>
      </c>
      <c r="R92" s="18" t="str">
        <f t="shared" si="2"/>
        <v/>
      </c>
      <c r="S92" s="18" t="str">
        <f t="shared" si="3"/>
        <v/>
      </c>
      <c r="T92" s="18" t="str">
        <f t="shared" si="4"/>
        <v/>
      </c>
      <c r="U92" s="18" t="str">
        <f t="shared" si="5"/>
        <v/>
      </c>
      <c r="V92" s="1"/>
    </row>
    <row r="93" spans="1:22" x14ac:dyDescent="0.25">
      <c r="A93" s="14"/>
      <c r="B93" s="34"/>
      <c r="C93" s="22"/>
      <c r="D93" s="4"/>
      <c r="E93" s="27"/>
      <c r="F93" s="42"/>
      <c r="G93" s="11"/>
      <c r="H93" s="1"/>
      <c r="I93" s="1"/>
      <c r="J93" s="2"/>
      <c r="K93" s="1"/>
      <c r="L93" s="1"/>
      <c r="M93" s="1"/>
      <c r="N93" s="1"/>
      <c r="O93" s="5"/>
      <c r="P93" s="18" t="str">
        <f t="shared" si="0"/>
        <v/>
      </c>
      <c r="Q93" s="18" t="str">
        <f t="shared" si="1"/>
        <v/>
      </c>
      <c r="R93" s="18" t="str">
        <f t="shared" si="2"/>
        <v/>
      </c>
      <c r="S93" s="18" t="str">
        <f t="shared" si="3"/>
        <v/>
      </c>
      <c r="T93" s="18" t="str">
        <f t="shared" si="4"/>
        <v/>
      </c>
      <c r="U93" s="18" t="str">
        <f t="shared" si="5"/>
        <v/>
      </c>
      <c r="V93" s="1"/>
    </row>
    <row r="94" spans="1:22" x14ac:dyDescent="0.25">
      <c r="A94" s="14"/>
      <c r="B94" s="34"/>
      <c r="C94" s="22"/>
      <c r="D94" s="9">
        <f>0.3-0.08</f>
        <v>0.21999999999999997</v>
      </c>
      <c r="E94" s="23"/>
      <c r="F94" s="42"/>
      <c r="G94" s="11"/>
      <c r="H94" s="1"/>
      <c r="I94" s="1"/>
      <c r="J94" s="2"/>
      <c r="K94" s="1"/>
      <c r="L94" s="1"/>
      <c r="M94" s="1"/>
      <c r="N94" s="1"/>
      <c r="O94" s="5"/>
      <c r="P94" s="18" t="str">
        <f t="shared" si="0"/>
        <v/>
      </c>
      <c r="Q94" s="18" t="str">
        <f t="shared" si="1"/>
        <v/>
      </c>
      <c r="R94" s="18" t="str">
        <f t="shared" si="2"/>
        <v/>
      </c>
      <c r="S94" s="18" t="str">
        <f t="shared" si="3"/>
        <v/>
      </c>
      <c r="T94" s="18" t="str">
        <f t="shared" si="4"/>
        <v/>
      </c>
      <c r="U94" s="18" t="str">
        <f t="shared" si="5"/>
        <v/>
      </c>
      <c r="V94" s="1"/>
    </row>
    <row r="95" spans="1:22" x14ac:dyDescent="0.25">
      <c r="A95" s="14"/>
      <c r="B95" s="33"/>
      <c r="C95" s="22"/>
      <c r="D95" s="4"/>
      <c r="E95" s="23"/>
      <c r="F95" s="42"/>
      <c r="G95" s="11"/>
      <c r="H95" s="1"/>
      <c r="I95" s="1"/>
      <c r="J95" s="2"/>
      <c r="K95" s="1"/>
      <c r="L95" s="1"/>
      <c r="M95" s="1"/>
      <c r="N95" s="1"/>
      <c r="O95" s="5"/>
      <c r="P95" s="18" t="str">
        <f t="shared" si="0"/>
        <v/>
      </c>
      <c r="Q95" s="18" t="str">
        <f t="shared" si="1"/>
        <v/>
      </c>
      <c r="R95" s="18" t="str">
        <f t="shared" si="2"/>
        <v/>
      </c>
      <c r="S95" s="18" t="str">
        <f t="shared" si="3"/>
        <v/>
      </c>
      <c r="T95" s="18" t="str">
        <f t="shared" si="4"/>
        <v/>
      </c>
      <c r="U95" s="18" t="str">
        <f t="shared" si="5"/>
        <v/>
      </c>
      <c r="V95" s="1"/>
    </row>
    <row r="96" spans="1:22" x14ac:dyDescent="0.25">
      <c r="A96" s="14"/>
      <c r="B96" s="14"/>
      <c r="C96" s="29">
        <v>80</v>
      </c>
      <c r="D96" s="4"/>
      <c r="E96" s="23"/>
      <c r="F96" s="42"/>
      <c r="G96" s="11"/>
      <c r="H96" s="1"/>
      <c r="I96" s="1"/>
      <c r="J96" s="2"/>
      <c r="K96" s="1"/>
      <c r="L96" s="1"/>
      <c r="M96" s="1"/>
      <c r="N96" s="1"/>
      <c r="O96" s="5"/>
      <c r="P96" s="18" t="str">
        <f t="shared" si="0"/>
        <v/>
      </c>
      <c r="Q96" s="18" t="str">
        <f t="shared" si="1"/>
        <v/>
      </c>
      <c r="R96" s="18" t="str">
        <f t="shared" si="2"/>
        <v/>
      </c>
      <c r="S96" s="18" t="str">
        <f t="shared" si="3"/>
        <v/>
      </c>
      <c r="T96" s="18" t="str">
        <f t="shared" si="4"/>
        <v/>
      </c>
      <c r="U96" s="18" t="str">
        <f t="shared" si="5"/>
        <v/>
      </c>
      <c r="V96" s="1"/>
    </row>
    <row r="97" spans="1:22" x14ac:dyDescent="0.25">
      <c r="A97" s="14"/>
      <c r="B97" s="34" t="s">
        <v>21</v>
      </c>
      <c r="C97" s="26"/>
      <c r="D97" s="4"/>
      <c r="E97" s="40">
        <f>(2*((0.75-0.08-0.016)/6))+0.012+0.02</f>
        <v>0.25</v>
      </c>
      <c r="F97" s="42">
        <v>7.4999999999999997E-2</v>
      </c>
      <c r="G97" s="11">
        <v>10</v>
      </c>
      <c r="H97" s="1">
        <v>16</v>
      </c>
      <c r="I97" s="1">
        <f>ROUND(D85/F97+1,0)</f>
        <v>63</v>
      </c>
      <c r="J97" s="41">
        <f>2*(D99+E97)+16*10/1000</f>
        <v>1.0999999999999999</v>
      </c>
      <c r="K97" s="1"/>
      <c r="L97" s="1"/>
      <c r="M97" s="1"/>
      <c r="N97" s="5">
        <f>(J97+K97-M97)</f>
        <v>1.0999999999999999</v>
      </c>
      <c r="O97" s="5">
        <f>(H97*I97*N97)</f>
        <v>1108.8</v>
      </c>
      <c r="P97" s="18" t="str">
        <f t="shared" si="0"/>
        <v/>
      </c>
      <c r="Q97" s="18">
        <f t="shared" si="1"/>
        <v>1108.8</v>
      </c>
      <c r="R97" s="18" t="str">
        <f t="shared" si="2"/>
        <v/>
      </c>
      <c r="S97" s="18" t="str">
        <f t="shared" si="3"/>
        <v/>
      </c>
      <c r="T97" s="18" t="str">
        <f t="shared" si="4"/>
        <v/>
      </c>
      <c r="U97" s="18" t="str">
        <f t="shared" si="5"/>
        <v/>
      </c>
      <c r="V97" s="1"/>
    </row>
    <row r="98" spans="1:22" x14ac:dyDescent="0.25">
      <c r="A98" s="14"/>
      <c r="B98" s="34"/>
      <c r="C98" s="22"/>
      <c r="D98" s="4"/>
      <c r="E98" s="27"/>
      <c r="F98" s="42"/>
      <c r="G98" s="11"/>
      <c r="H98" s="1"/>
      <c r="I98" s="1"/>
      <c r="J98" s="2"/>
      <c r="K98" s="1"/>
      <c r="L98" s="1"/>
      <c r="M98" s="1"/>
      <c r="N98" s="1"/>
      <c r="O98" s="5"/>
      <c r="P98" s="18" t="str">
        <f t="shared" si="0"/>
        <v/>
      </c>
      <c r="Q98" s="18" t="str">
        <f t="shared" si="1"/>
        <v/>
      </c>
      <c r="R98" s="18" t="str">
        <f t="shared" si="2"/>
        <v/>
      </c>
      <c r="S98" s="18" t="str">
        <f t="shared" si="3"/>
        <v/>
      </c>
      <c r="T98" s="18" t="str">
        <f t="shared" si="4"/>
        <v/>
      </c>
      <c r="U98" s="18" t="str">
        <f t="shared" si="5"/>
        <v/>
      </c>
      <c r="V98" s="1"/>
    </row>
    <row r="99" spans="1:22" x14ac:dyDescent="0.25">
      <c r="A99" s="14"/>
      <c r="B99" s="34"/>
      <c r="C99" s="22"/>
      <c r="D99" s="9">
        <f>0.3-0.08</f>
        <v>0.21999999999999997</v>
      </c>
      <c r="E99" s="23"/>
      <c r="F99" s="42"/>
      <c r="G99" s="11"/>
      <c r="H99" s="1"/>
      <c r="I99" s="1"/>
      <c r="J99" s="2"/>
      <c r="K99" s="1"/>
      <c r="L99" s="1"/>
      <c r="M99" s="1"/>
      <c r="N99" s="1"/>
      <c r="O99" s="5"/>
      <c r="P99" s="18" t="str">
        <f t="shared" si="0"/>
        <v/>
      </c>
      <c r="Q99" s="18" t="str">
        <f t="shared" si="1"/>
        <v/>
      </c>
      <c r="R99" s="18" t="str">
        <f t="shared" si="2"/>
        <v/>
      </c>
      <c r="S99" s="18" t="str">
        <f t="shared" si="3"/>
        <v/>
      </c>
      <c r="T99" s="18" t="str">
        <f t="shared" si="4"/>
        <v/>
      </c>
      <c r="U99" s="18" t="str">
        <f t="shared" si="5"/>
        <v/>
      </c>
      <c r="V99" s="1"/>
    </row>
    <row r="100" spans="1:22" x14ac:dyDescent="0.25">
      <c r="A100" s="14"/>
      <c r="B100" s="34"/>
      <c r="C100" s="22"/>
      <c r="D100" s="4"/>
      <c r="E100" s="23"/>
      <c r="F100" s="42"/>
      <c r="G100" s="11"/>
      <c r="H100" s="1"/>
      <c r="I100" s="1"/>
      <c r="J100" s="2"/>
      <c r="K100" s="1"/>
      <c r="L100" s="1"/>
      <c r="M100" s="1"/>
      <c r="N100" s="1"/>
      <c r="O100" s="5"/>
      <c r="P100" s="18" t="str">
        <f t="shared" si="0"/>
        <v/>
      </c>
      <c r="Q100" s="18" t="str">
        <f t="shared" si="1"/>
        <v/>
      </c>
      <c r="R100" s="18" t="str">
        <f t="shared" si="2"/>
        <v/>
      </c>
      <c r="S100" s="18" t="str">
        <f t="shared" si="3"/>
        <v/>
      </c>
      <c r="T100" s="18" t="str">
        <f t="shared" si="4"/>
        <v/>
      </c>
      <c r="U100" s="18" t="str">
        <f t="shared" si="5"/>
        <v/>
      </c>
      <c r="V100" s="1"/>
    </row>
    <row r="101" spans="1:22" x14ac:dyDescent="0.25">
      <c r="A101" s="14"/>
      <c r="B101" s="34" t="s">
        <v>22</v>
      </c>
      <c r="C101" s="22"/>
      <c r="D101" s="25"/>
      <c r="E101" s="23"/>
      <c r="F101" s="42">
        <v>7.4999999999999997E-2</v>
      </c>
      <c r="G101" s="11">
        <v>10</v>
      </c>
      <c r="H101" s="1">
        <v>16</v>
      </c>
      <c r="I101" s="1">
        <f>ROUND(D85/F101+1,0)</f>
        <v>63</v>
      </c>
      <c r="J101" s="41">
        <f>C102+D104+E102+2*10*G101/1000</f>
        <v>0.72399999999999998</v>
      </c>
      <c r="K101" s="1"/>
      <c r="L101" s="1"/>
      <c r="M101" s="5">
        <f>4*3*G101/1000</f>
        <v>0.12</v>
      </c>
      <c r="N101" s="5">
        <f>(J101+K101-M101)</f>
        <v>0.60399999999999998</v>
      </c>
      <c r="O101" s="5">
        <f>(H101*I101*N101)</f>
        <v>608.83199999999999</v>
      </c>
      <c r="P101" s="18" t="str">
        <f t="shared" si="0"/>
        <v/>
      </c>
      <c r="Q101" s="18">
        <f t="shared" si="1"/>
        <v>608.83199999999999</v>
      </c>
      <c r="R101" s="18" t="str">
        <f t="shared" si="2"/>
        <v/>
      </c>
      <c r="S101" s="18" t="str">
        <f t="shared" si="3"/>
        <v/>
      </c>
      <c r="T101" s="18" t="str">
        <f t="shared" si="4"/>
        <v/>
      </c>
      <c r="U101" s="18" t="str">
        <f t="shared" si="5"/>
        <v/>
      </c>
      <c r="V101" s="1"/>
    </row>
    <row r="102" spans="1:22" x14ac:dyDescent="0.25">
      <c r="A102" s="14"/>
      <c r="B102" s="34"/>
      <c r="C102" s="29">
        <v>0.152</v>
      </c>
      <c r="D102" s="4"/>
      <c r="E102" s="23">
        <v>0.152</v>
      </c>
      <c r="F102" s="42"/>
      <c r="G102" s="11"/>
      <c r="H102" s="1"/>
      <c r="I102" s="1"/>
      <c r="J102" s="2"/>
      <c r="K102" s="1"/>
      <c r="L102" s="1"/>
      <c r="M102" s="1"/>
      <c r="N102" s="1"/>
      <c r="O102" s="5"/>
      <c r="P102" s="18" t="str">
        <f>IF($G102=8,$O102,"")</f>
        <v/>
      </c>
      <c r="Q102" s="18" t="str">
        <f>IF($G102=10,$O102,"")</f>
        <v/>
      </c>
      <c r="R102" s="18" t="str">
        <f>IF($G102=12,$O102,"")</f>
        <v/>
      </c>
      <c r="S102" s="18" t="str">
        <f>IF($G102=16,$O102,"")</f>
        <v/>
      </c>
      <c r="T102" s="18" t="str">
        <f>IF($G102=20,$O102,"")</f>
        <v/>
      </c>
      <c r="U102" s="18" t="str">
        <f>IF($G102=25,$O102,"")</f>
        <v/>
      </c>
      <c r="V102" s="1"/>
    </row>
    <row r="103" spans="1:22" x14ac:dyDescent="0.25">
      <c r="A103" s="14"/>
      <c r="B103" s="34"/>
      <c r="C103" s="22"/>
      <c r="D103" s="4"/>
      <c r="E103" s="23"/>
      <c r="F103" s="42"/>
      <c r="G103" s="11"/>
      <c r="H103" s="1"/>
      <c r="I103" s="1"/>
      <c r="J103" s="2"/>
      <c r="K103" s="1"/>
      <c r="L103" s="1"/>
      <c r="M103" s="1"/>
      <c r="N103" s="1"/>
      <c r="O103" s="5"/>
      <c r="P103" s="18" t="str">
        <f t="shared" si="0"/>
        <v/>
      </c>
      <c r="Q103" s="18" t="str">
        <f t="shared" si="1"/>
        <v/>
      </c>
      <c r="R103" s="18" t="str">
        <f t="shared" si="2"/>
        <v/>
      </c>
      <c r="S103" s="18" t="str">
        <f t="shared" si="3"/>
        <v/>
      </c>
      <c r="T103" s="18" t="str">
        <f t="shared" si="4"/>
        <v/>
      </c>
      <c r="U103" s="18" t="str">
        <f t="shared" si="5"/>
        <v/>
      </c>
      <c r="V103" s="1"/>
    </row>
    <row r="104" spans="1:22" x14ac:dyDescent="0.25">
      <c r="A104" s="14"/>
      <c r="B104" s="34"/>
      <c r="C104" s="22"/>
      <c r="D104" s="9">
        <f>0.3-0.08</f>
        <v>0.21999999999999997</v>
      </c>
      <c r="E104" s="23"/>
      <c r="F104" s="42"/>
      <c r="G104" s="11"/>
      <c r="H104" s="1"/>
      <c r="I104" s="1"/>
      <c r="J104" s="2"/>
      <c r="K104" s="1"/>
      <c r="L104" s="1"/>
      <c r="M104" s="1"/>
      <c r="N104" s="1"/>
      <c r="O104" s="5"/>
      <c r="P104" s="18" t="str">
        <f t="shared" si="0"/>
        <v/>
      </c>
      <c r="Q104" s="18" t="str">
        <f t="shared" si="1"/>
        <v/>
      </c>
      <c r="R104" s="18" t="str">
        <f t="shared" si="2"/>
        <v/>
      </c>
      <c r="S104" s="18" t="str">
        <f t="shared" si="3"/>
        <v/>
      </c>
      <c r="T104" s="18" t="str">
        <f t="shared" si="4"/>
        <v/>
      </c>
      <c r="U104" s="18" t="str">
        <f t="shared" si="5"/>
        <v/>
      </c>
      <c r="V104" s="1"/>
    </row>
    <row r="105" spans="1:22" x14ac:dyDescent="0.25">
      <c r="A105" s="14"/>
      <c r="B105" s="34"/>
      <c r="C105" s="22"/>
      <c r="D105" s="4"/>
      <c r="E105" s="23"/>
      <c r="F105" s="42"/>
      <c r="G105" s="11"/>
      <c r="H105" s="1"/>
      <c r="I105" s="1"/>
      <c r="J105" s="2"/>
      <c r="K105" s="1"/>
      <c r="L105" s="1"/>
      <c r="M105" s="1"/>
      <c r="N105" s="1"/>
      <c r="O105" s="5"/>
      <c r="P105" s="18" t="str">
        <f t="shared" si="0"/>
        <v/>
      </c>
      <c r="Q105" s="18" t="str">
        <f t="shared" si="1"/>
        <v/>
      </c>
      <c r="R105" s="18" t="str">
        <f t="shared" si="2"/>
        <v/>
      </c>
      <c r="S105" s="18" t="str">
        <f t="shared" si="3"/>
        <v/>
      </c>
      <c r="T105" s="18" t="str">
        <f t="shared" si="4"/>
        <v/>
      </c>
      <c r="U105" s="18" t="str">
        <f t="shared" si="5"/>
        <v/>
      </c>
      <c r="V105" s="1"/>
    </row>
    <row r="106" spans="1:22" x14ac:dyDescent="0.25">
      <c r="A106" s="14"/>
      <c r="B106" s="34" t="s">
        <v>36</v>
      </c>
      <c r="C106" s="22"/>
      <c r="D106" s="25"/>
      <c r="E106" s="23"/>
      <c r="F106" s="42">
        <v>7.4999999999999997E-2</v>
      </c>
      <c r="G106" s="11">
        <v>10</v>
      </c>
      <c r="H106" s="1">
        <v>16</v>
      </c>
      <c r="I106" s="1">
        <f>ROUND(D85/F106+1,0)</f>
        <v>63</v>
      </c>
      <c r="J106" s="41">
        <f>C107+D109+E107+2*10*G106/1000</f>
        <v>0.72399999999999998</v>
      </c>
      <c r="K106" s="1"/>
      <c r="L106" s="1"/>
      <c r="M106" s="5">
        <f>4*3*G106/1000</f>
        <v>0.12</v>
      </c>
      <c r="N106" s="5">
        <f>(J106+K106-M106)</f>
        <v>0.60399999999999998</v>
      </c>
      <c r="O106" s="5">
        <f>(H106*I106*N106)</f>
        <v>608.83199999999999</v>
      </c>
      <c r="P106" s="18" t="str">
        <f t="shared" si="0"/>
        <v/>
      </c>
      <c r="Q106" s="18">
        <f t="shared" si="1"/>
        <v>608.83199999999999</v>
      </c>
      <c r="R106" s="18" t="str">
        <f t="shared" si="2"/>
        <v/>
      </c>
      <c r="S106" s="18" t="str">
        <f t="shared" si="3"/>
        <v/>
      </c>
      <c r="T106" s="18" t="str">
        <f t="shared" si="4"/>
        <v/>
      </c>
      <c r="U106" s="18" t="str">
        <f t="shared" si="5"/>
        <v/>
      </c>
      <c r="V106" s="1"/>
    </row>
    <row r="107" spans="1:22" x14ac:dyDescent="0.25">
      <c r="A107" s="14"/>
      <c r="B107" s="34"/>
      <c r="C107" s="29">
        <v>0.152</v>
      </c>
      <c r="D107" s="4"/>
      <c r="E107" s="23">
        <v>0.152</v>
      </c>
      <c r="F107" s="42"/>
      <c r="G107" s="11"/>
      <c r="H107" s="1"/>
      <c r="I107" s="1"/>
      <c r="J107" s="2"/>
      <c r="K107" s="1"/>
      <c r="L107" s="1"/>
      <c r="M107" s="1"/>
      <c r="N107" s="1"/>
      <c r="O107" s="5"/>
      <c r="P107" s="18" t="str">
        <f t="shared" si="0"/>
        <v/>
      </c>
      <c r="Q107" s="18" t="str">
        <f t="shared" si="1"/>
        <v/>
      </c>
      <c r="R107" s="18" t="str">
        <f t="shared" si="2"/>
        <v/>
      </c>
      <c r="S107" s="18" t="str">
        <f t="shared" si="3"/>
        <v/>
      </c>
      <c r="T107" s="18" t="str">
        <f t="shared" si="4"/>
        <v/>
      </c>
      <c r="U107" s="18" t="str">
        <f t="shared" si="5"/>
        <v/>
      </c>
      <c r="V107" s="1"/>
    </row>
    <row r="108" spans="1:22" x14ac:dyDescent="0.25">
      <c r="A108" s="14"/>
      <c r="B108" s="34"/>
      <c r="C108" s="22"/>
      <c r="D108" s="4"/>
      <c r="E108" s="23"/>
      <c r="F108" s="42"/>
      <c r="G108" s="11"/>
      <c r="H108" s="1"/>
      <c r="I108" s="1"/>
      <c r="J108" s="2"/>
      <c r="K108" s="1"/>
      <c r="L108" s="1"/>
      <c r="M108" s="1"/>
      <c r="N108" s="1"/>
      <c r="O108" s="3"/>
      <c r="P108" s="18" t="str">
        <f t="shared" si="0"/>
        <v/>
      </c>
      <c r="Q108" s="18" t="str">
        <f t="shared" si="1"/>
        <v/>
      </c>
      <c r="R108" s="18" t="str">
        <f t="shared" si="2"/>
        <v/>
      </c>
      <c r="S108" s="18" t="str">
        <f t="shared" si="3"/>
        <v/>
      </c>
      <c r="T108" s="18" t="str">
        <f t="shared" si="4"/>
        <v/>
      </c>
      <c r="U108" s="18" t="str">
        <f t="shared" si="5"/>
        <v/>
      </c>
      <c r="V108" s="1"/>
    </row>
    <row r="109" spans="1:22" x14ac:dyDescent="0.25">
      <c r="A109" s="14"/>
      <c r="B109" s="34"/>
      <c r="C109" s="22"/>
      <c r="D109" s="9">
        <f>0.3-0.08</f>
        <v>0.21999999999999997</v>
      </c>
      <c r="E109" s="23"/>
      <c r="F109" s="42"/>
      <c r="G109" s="11"/>
      <c r="H109" s="1"/>
      <c r="I109" s="1"/>
      <c r="J109" s="2"/>
      <c r="K109" s="1"/>
      <c r="L109" s="1"/>
      <c r="M109" s="1"/>
      <c r="N109" s="1"/>
      <c r="O109" s="3"/>
      <c r="P109" s="18" t="str">
        <f t="shared" si="0"/>
        <v/>
      </c>
      <c r="Q109" s="18" t="str">
        <f t="shared" si="1"/>
        <v/>
      </c>
      <c r="R109" s="18" t="str">
        <f t="shared" si="2"/>
        <v/>
      </c>
      <c r="S109" s="18" t="str">
        <f t="shared" si="3"/>
        <v/>
      </c>
      <c r="T109" s="18" t="str">
        <f t="shared" si="4"/>
        <v/>
      </c>
      <c r="U109" s="18" t="str">
        <f t="shared" si="5"/>
        <v/>
      </c>
      <c r="V109" s="1"/>
    </row>
    <row r="110" spans="1:22" x14ac:dyDescent="0.25">
      <c r="A110" s="14"/>
      <c r="B110" s="33"/>
      <c r="C110" s="22"/>
      <c r="D110" s="4"/>
      <c r="E110" s="23"/>
      <c r="F110" s="42"/>
      <c r="G110" s="11"/>
      <c r="H110" s="1"/>
      <c r="I110" s="1"/>
      <c r="J110" s="2"/>
      <c r="K110" s="1"/>
      <c r="L110" s="1"/>
      <c r="M110" s="1"/>
      <c r="N110" s="1"/>
      <c r="O110" s="3"/>
      <c r="P110" s="18" t="str">
        <f t="shared" si="0"/>
        <v/>
      </c>
      <c r="Q110" s="18" t="str">
        <f t="shared" si="1"/>
        <v/>
      </c>
      <c r="R110" s="18" t="str">
        <f t="shared" si="2"/>
        <v/>
      </c>
      <c r="S110" s="18" t="str">
        <f t="shared" si="3"/>
        <v/>
      </c>
      <c r="T110" s="18" t="str">
        <f t="shared" si="4"/>
        <v/>
      </c>
      <c r="U110" s="18" t="str">
        <f t="shared" si="5"/>
        <v/>
      </c>
      <c r="V110" s="1"/>
    </row>
    <row r="111" spans="1:22" x14ac:dyDescent="0.25">
      <c r="A111" s="14"/>
      <c r="B111" s="33"/>
      <c r="C111" s="22"/>
      <c r="D111" s="4"/>
      <c r="E111" s="39">
        <v>0.1</v>
      </c>
      <c r="F111" s="42"/>
      <c r="G111" s="11"/>
      <c r="H111" s="1"/>
      <c r="I111" s="1"/>
      <c r="J111" s="2"/>
      <c r="K111" s="1"/>
      <c r="L111" s="1"/>
      <c r="M111" s="1"/>
      <c r="N111" s="1"/>
      <c r="O111" s="3"/>
      <c r="P111" s="18" t="str">
        <f t="shared" si="0"/>
        <v/>
      </c>
      <c r="Q111" s="18" t="str">
        <f t="shared" si="1"/>
        <v/>
      </c>
      <c r="R111" s="18" t="str">
        <f t="shared" si="2"/>
        <v/>
      </c>
      <c r="S111" s="18" t="str">
        <f t="shared" si="3"/>
        <v/>
      </c>
      <c r="T111" s="18" t="str">
        <f t="shared" si="4"/>
        <v/>
      </c>
      <c r="U111" s="18" t="str">
        <f t="shared" si="5"/>
        <v/>
      </c>
      <c r="V111" s="1"/>
    </row>
    <row r="112" spans="1:22" x14ac:dyDescent="0.25">
      <c r="A112" s="14"/>
      <c r="B112" s="34" t="s">
        <v>37</v>
      </c>
      <c r="C112" s="22"/>
      <c r="D112" s="25">
        <f>0.3-0.08</f>
        <v>0.21999999999999997</v>
      </c>
      <c r="E112" s="39"/>
      <c r="F112" s="42">
        <v>7.4999999999999997E-2</v>
      </c>
      <c r="G112" s="11">
        <v>10</v>
      </c>
      <c r="H112" s="1">
        <v>16</v>
      </c>
      <c r="I112" s="1">
        <f>ROUND(D85/F112+1,0)</f>
        <v>63</v>
      </c>
      <c r="J112" s="41">
        <f>D112+E111+E113</f>
        <v>0.41999999999999993</v>
      </c>
      <c r="K112" s="1"/>
      <c r="L112" s="1"/>
      <c r="M112" s="5">
        <f>2*3*G112/1000</f>
        <v>0.06</v>
      </c>
      <c r="N112" s="5">
        <f>(J112+K112-M112)</f>
        <v>0.35999999999999993</v>
      </c>
      <c r="O112" s="5">
        <f>(H112*I112*N112)</f>
        <v>362.87999999999994</v>
      </c>
      <c r="P112" s="18" t="str">
        <f t="shared" si="0"/>
        <v/>
      </c>
      <c r="Q112" s="18">
        <f t="shared" si="1"/>
        <v>362.87999999999994</v>
      </c>
      <c r="R112" s="18" t="str">
        <f t="shared" si="2"/>
        <v/>
      </c>
      <c r="S112" s="18" t="str">
        <f t="shared" si="3"/>
        <v/>
      </c>
      <c r="T112" s="18" t="str">
        <f t="shared" si="4"/>
        <v/>
      </c>
      <c r="U112" s="18" t="str">
        <f t="shared" si="5"/>
        <v/>
      </c>
      <c r="V112" s="1"/>
    </row>
    <row r="113" spans="1:22" x14ac:dyDescent="0.25">
      <c r="A113" s="14"/>
      <c r="B113" s="33"/>
      <c r="C113" s="22"/>
      <c r="D113" s="4"/>
      <c r="E113" s="39">
        <v>0.1</v>
      </c>
      <c r="F113" s="42"/>
      <c r="G113" s="11"/>
      <c r="H113" s="1"/>
      <c r="I113" s="1"/>
      <c r="J113" s="2"/>
      <c r="K113" s="1"/>
      <c r="L113" s="1"/>
      <c r="M113" s="1"/>
      <c r="N113" s="1"/>
      <c r="O113" s="3"/>
      <c r="P113" s="18" t="str">
        <f t="shared" si="0"/>
        <v/>
      </c>
      <c r="Q113" s="18" t="str">
        <f t="shared" si="1"/>
        <v/>
      </c>
      <c r="R113" s="18" t="str">
        <f t="shared" si="2"/>
        <v/>
      </c>
      <c r="S113" s="18" t="str">
        <f t="shared" si="3"/>
        <v/>
      </c>
      <c r="T113" s="18" t="str">
        <f t="shared" si="4"/>
        <v/>
      </c>
      <c r="U113" s="18" t="str">
        <f t="shared" si="5"/>
        <v/>
      </c>
      <c r="V113" s="1"/>
    </row>
    <row r="114" spans="1:22" x14ac:dyDescent="0.25">
      <c r="A114" s="14"/>
      <c r="B114" s="34"/>
      <c r="C114" s="22"/>
      <c r="D114" s="28"/>
      <c r="E114" s="23"/>
      <c r="F114" s="42"/>
      <c r="G114" s="11"/>
      <c r="H114" s="1"/>
      <c r="I114" s="1"/>
      <c r="J114" s="2"/>
      <c r="K114" s="1"/>
      <c r="L114" s="1"/>
      <c r="M114" s="1"/>
      <c r="N114" s="1"/>
      <c r="O114" s="3"/>
      <c r="P114" s="18" t="str">
        <f t="shared" si="0"/>
        <v/>
      </c>
      <c r="Q114" s="18" t="str">
        <f t="shared" si="1"/>
        <v/>
      </c>
      <c r="R114" s="18" t="str">
        <f t="shared" si="2"/>
        <v/>
      </c>
      <c r="S114" s="18" t="str">
        <f t="shared" si="3"/>
        <v/>
      </c>
      <c r="T114" s="18" t="str">
        <f t="shared" si="4"/>
        <v/>
      </c>
      <c r="U114" s="18" t="str">
        <f t="shared" si="5"/>
        <v/>
      </c>
      <c r="V114" s="1"/>
    </row>
    <row r="115" spans="1:22" x14ac:dyDescent="0.25">
      <c r="A115" s="14"/>
      <c r="B115" s="33"/>
      <c r="C115" s="22"/>
      <c r="D115" s="4"/>
      <c r="E115" s="23"/>
      <c r="F115" s="42"/>
      <c r="G115" s="11"/>
      <c r="H115" s="1"/>
      <c r="I115" s="1"/>
      <c r="J115" s="2"/>
      <c r="K115" s="1"/>
      <c r="L115" s="1"/>
      <c r="M115" s="1"/>
      <c r="N115" s="1"/>
      <c r="O115" s="3"/>
      <c r="P115" s="18" t="str">
        <f t="shared" si="0"/>
        <v/>
      </c>
      <c r="Q115" s="18" t="str">
        <f t="shared" si="1"/>
        <v/>
      </c>
      <c r="R115" s="18" t="str">
        <f t="shared" si="2"/>
        <v/>
      </c>
      <c r="S115" s="18" t="str">
        <f t="shared" si="3"/>
        <v/>
      </c>
      <c r="T115" s="18" t="str">
        <f t="shared" si="4"/>
        <v/>
      </c>
      <c r="U115" s="18" t="str">
        <f t="shared" si="5"/>
        <v/>
      </c>
      <c r="V115" s="1"/>
    </row>
    <row r="116" spans="1:22" x14ac:dyDescent="0.25">
      <c r="A116" s="14">
        <v>5</v>
      </c>
      <c r="B116" s="14" t="s">
        <v>39</v>
      </c>
      <c r="C116" s="22"/>
      <c r="D116" s="4"/>
      <c r="E116" s="23"/>
      <c r="F116" s="42"/>
      <c r="G116" s="11"/>
      <c r="H116" s="1"/>
      <c r="I116" s="1"/>
      <c r="J116" s="9"/>
      <c r="K116" s="5"/>
      <c r="L116" s="5"/>
      <c r="M116" s="1"/>
      <c r="N116" s="5"/>
      <c r="O116" s="5"/>
      <c r="P116" s="18" t="str">
        <f>IF($G116=8,$O116,"")</f>
        <v/>
      </c>
      <c r="Q116" s="18" t="str">
        <f>IF($G116=10,$O116,"")</f>
        <v/>
      </c>
      <c r="R116" s="18" t="str">
        <f>IF($G116=12,$O116,"")</f>
        <v/>
      </c>
      <c r="S116" s="18" t="str">
        <f>IF($G116=16,$O116,"")</f>
        <v/>
      </c>
      <c r="T116" s="18" t="str">
        <f>IF($G116=20,$O116,"")</f>
        <v/>
      </c>
      <c r="U116" s="18" t="str">
        <f>IF($G116=25,$O116,"")</f>
        <v/>
      </c>
      <c r="V116" s="1"/>
    </row>
    <row r="117" spans="1:22" x14ac:dyDescent="0.25">
      <c r="A117" s="14"/>
      <c r="B117" s="33" t="s">
        <v>18</v>
      </c>
      <c r="C117" s="22"/>
      <c r="D117" s="38">
        <f>2.8+0.15-0.075-0.032+1.8</f>
        <v>4.6429999999999998</v>
      </c>
      <c r="E117" s="23"/>
      <c r="F117" s="42"/>
      <c r="G117" s="11">
        <v>20</v>
      </c>
      <c r="H117" s="1">
        <v>14</v>
      </c>
      <c r="I117" s="1">
        <v>4</v>
      </c>
      <c r="J117" s="9">
        <f>D117</f>
        <v>4.6429999999999998</v>
      </c>
      <c r="K117" s="5"/>
      <c r="L117" s="5"/>
      <c r="M117" s="1">
        <f>2*G117/1000</f>
        <v>0.04</v>
      </c>
      <c r="N117" s="5">
        <f>J117+E119-M117</f>
        <v>4.9029999999999996</v>
      </c>
      <c r="O117" s="5">
        <f>H117*I117*N117</f>
        <v>274.56799999999998</v>
      </c>
      <c r="P117" s="18" t="str">
        <f t="shared" si="0"/>
        <v/>
      </c>
      <c r="Q117" s="18" t="str">
        <f t="shared" si="1"/>
        <v/>
      </c>
      <c r="R117" s="18" t="str">
        <f t="shared" si="2"/>
        <v/>
      </c>
      <c r="S117" s="18" t="str">
        <f t="shared" si="3"/>
        <v/>
      </c>
      <c r="T117" s="18">
        <f t="shared" si="4"/>
        <v>274.56799999999998</v>
      </c>
      <c r="U117" s="18" t="str">
        <f t="shared" si="5"/>
        <v/>
      </c>
      <c r="V117" s="1"/>
    </row>
    <row r="118" spans="1:22" x14ac:dyDescent="0.25">
      <c r="A118" s="14"/>
      <c r="B118" s="33" t="s">
        <v>32</v>
      </c>
      <c r="C118" s="22"/>
      <c r="D118" s="4"/>
      <c r="E118" s="23"/>
      <c r="F118" s="42"/>
      <c r="G118" s="11">
        <v>16</v>
      </c>
      <c r="H118" s="1">
        <v>14</v>
      </c>
      <c r="I118" s="1">
        <v>2</v>
      </c>
      <c r="J118" s="9">
        <f>D117</f>
        <v>4.6429999999999998</v>
      </c>
      <c r="K118" s="5"/>
      <c r="L118" s="5"/>
      <c r="M118" s="1">
        <f>2*G118/1000</f>
        <v>3.2000000000000001E-2</v>
      </c>
      <c r="N118" s="5">
        <f>J118+E119-M118</f>
        <v>4.9109999999999996</v>
      </c>
      <c r="O118" s="5">
        <f>H118*I118*N118</f>
        <v>137.50799999999998</v>
      </c>
      <c r="P118" s="18" t="str">
        <f t="shared" si="0"/>
        <v/>
      </c>
      <c r="Q118" s="18" t="str">
        <f t="shared" si="1"/>
        <v/>
      </c>
      <c r="R118" s="18" t="str">
        <f t="shared" si="2"/>
        <v/>
      </c>
      <c r="S118" s="18">
        <f t="shared" si="3"/>
        <v>137.50799999999998</v>
      </c>
      <c r="T118" s="18" t="str">
        <f t="shared" si="4"/>
        <v/>
      </c>
      <c r="U118" s="18" t="str">
        <f t="shared" si="5"/>
        <v/>
      </c>
      <c r="V118" s="1"/>
    </row>
    <row r="119" spans="1:22" x14ac:dyDescent="0.25">
      <c r="A119" s="14"/>
      <c r="B119" s="33" t="s">
        <v>26</v>
      </c>
      <c r="C119" s="24"/>
      <c r="D119" s="25"/>
      <c r="E119" s="39">
        <v>0.3</v>
      </c>
      <c r="F119" s="42"/>
      <c r="G119" s="11">
        <v>16</v>
      </c>
      <c r="H119" s="1">
        <v>14</v>
      </c>
      <c r="I119" s="1">
        <v>4</v>
      </c>
      <c r="J119" s="9">
        <f>D117</f>
        <v>4.6429999999999998</v>
      </c>
      <c r="K119" s="5"/>
      <c r="L119" s="5"/>
      <c r="M119" s="1">
        <f>2*G119/1000</f>
        <v>3.2000000000000001E-2</v>
      </c>
      <c r="N119" s="5">
        <f>J119+E119-M119</f>
        <v>4.9109999999999996</v>
      </c>
      <c r="O119" s="5">
        <f>H119*I119*N119</f>
        <v>275.01599999999996</v>
      </c>
      <c r="P119" s="18" t="str">
        <f t="shared" si="0"/>
        <v/>
      </c>
      <c r="Q119" s="18" t="str">
        <f t="shared" si="1"/>
        <v/>
      </c>
      <c r="R119" s="18" t="str">
        <f t="shared" si="2"/>
        <v/>
      </c>
      <c r="S119" s="18">
        <f t="shared" si="3"/>
        <v>275.01599999999996</v>
      </c>
      <c r="T119" s="18" t="str">
        <f t="shared" si="4"/>
        <v/>
      </c>
      <c r="U119" s="18" t="str">
        <f t="shared" si="5"/>
        <v/>
      </c>
      <c r="V119" s="1"/>
    </row>
    <row r="120" spans="1:22" x14ac:dyDescent="0.25">
      <c r="A120" s="14"/>
      <c r="B120" s="33" t="s">
        <v>19</v>
      </c>
      <c r="C120" s="22"/>
      <c r="D120" s="4"/>
      <c r="E120" s="23"/>
      <c r="F120" s="42"/>
      <c r="G120" s="11">
        <v>16</v>
      </c>
      <c r="H120" s="1">
        <v>14</v>
      </c>
      <c r="I120" s="1">
        <v>4</v>
      </c>
      <c r="J120" s="9">
        <f>D117</f>
        <v>4.6429999999999998</v>
      </c>
      <c r="K120" s="5"/>
      <c r="L120" s="5"/>
      <c r="M120" s="1">
        <f>2*G120/1000</f>
        <v>3.2000000000000001E-2</v>
      </c>
      <c r="N120" s="5">
        <f>J120+E119-M120</f>
        <v>4.9109999999999996</v>
      </c>
      <c r="O120" s="5">
        <f>H120*I120*N120</f>
        <v>275.01599999999996</v>
      </c>
      <c r="P120" s="18" t="str">
        <f t="shared" si="0"/>
        <v/>
      </c>
      <c r="Q120" s="18" t="str">
        <f t="shared" si="1"/>
        <v/>
      </c>
      <c r="R120" s="18" t="str">
        <f t="shared" si="2"/>
        <v/>
      </c>
      <c r="S120" s="18">
        <f t="shared" si="3"/>
        <v>275.01599999999996</v>
      </c>
      <c r="T120" s="18" t="str">
        <f t="shared" si="4"/>
        <v/>
      </c>
      <c r="U120" s="18" t="str">
        <f t="shared" si="5"/>
        <v/>
      </c>
      <c r="V120" s="1"/>
    </row>
    <row r="121" spans="1:22" x14ac:dyDescent="0.25">
      <c r="A121" s="14"/>
      <c r="B121" s="33" t="s">
        <v>35</v>
      </c>
      <c r="C121" s="22"/>
      <c r="D121" s="4"/>
      <c r="E121" s="23"/>
      <c r="F121" s="42"/>
      <c r="G121" s="11">
        <v>16</v>
      </c>
      <c r="H121" s="1">
        <v>14</v>
      </c>
      <c r="I121" s="1">
        <v>2</v>
      </c>
      <c r="J121" s="9">
        <f>D117</f>
        <v>4.6429999999999998</v>
      </c>
      <c r="K121" s="5"/>
      <c r="L121" s="5"/>
      <c r="M121" s="1">
        <f>2*G121/1000</f>
        <v>3.2000000000000001E-2</v>
      </c>
      <c r="N121" s="5">
        <f>J121+E120-M121</f>
        <v>4.6109999999999998</v>
      </c>
      <c r="O121" s="5">
        <f>H121*I121*N121</f>
        <v>129.108</v>
      </c>
      <c r="P121" s="18" t="str">
        <f t="shared" si="0"/>
        <v/>
      </c>
      <c r="Q121" s="18" t="str">
        <f t="shared" si="1"/>
        <v/>
      </c>
      <c r="R121" s="18" t="str">
        <f t="shared" si="2"/>
        <v/>
      </c>
      <c r="S121" s="18">
        <f t="shared" si="3"/>
        <v>129.108</v>
      </c>
      <c r="T121" s="18" t="str">
        <f t="shared" si="4"/>
        <v/>
      </c>
      <c r="U121" s="18" t="str">
        <f t="shared" si="5"/>
        <v/>
      </c>
      <c r="V121" s="1"/>
    </row>
    <row r="122" spans="1:22" x14ac:dyDescent="0.25">
      <c r="A122" s="14"/>
      <c r="B122" s="33"/>
      <c r="C122" s="22"/>
      <c r="D122" s="4"/>
      <c r="E122" s="23"/>
      <c r="F122" s="42"/>
      <c r="G122" s="11"/>
      <c r="H122" s="1"/>
      <c r="I122" s="1"/>
      <c r="J122" s="2"/>
      <c r="K122" s="1"/>
      <c r="L122" s="1"/>
      <c r="M122" s="1"/>
      <c r="N122" s="1"/>
      <c r="O122" s="3"/>
      <c r="P122" s="18" t="str">
        <f t="shared" si="0"/>
        <v/>
      </c>
      <c r="Q122" s="18" t="str">
        <f t="shared" si="1"/>
        <v/>
      </c>
      <c r="R122" s="18" t="str">
        <f t="shared" si="2"/>
        <v/>
      </c>
      <c r="S122" s="18" t="str">
        <f t="shared" si="3"/>
        <v/>
      </c>
      <c r="T122" s="18" t="str">
        <f t="shared" si="4"/>
        <v/>
      </c>
      <c r="U122" s="18" t="str">
        <f t="shared" si="5"/>
        <v/>
      </c>
      <c r="V122" s="1"/>
    </row>
    <row r="123" spans="1:22" x14ac:dyDescent="0.25">
      <c r="A123" s="14"/>
      <c r="B123" s="14"/>
      <c r="C123" s="29">
        <v>80</v>
      </c>
      <c r="D123" s="4"/>
      <c r="E123" s="23"/>
      <c r="F123" s="42"/>
      <c r="G123" s="11"/>
      <c r="H123" s="1"/>
      <c r="I123" s="1"/>
      <c r="J123" s="2"/>
      <c r="K123" s="1"/>
      <c r="L123" s="1"/>
      <c r="M123" s="1"/>
      <c r="N123" s="1"/>
      <c r="O123" s="3"/>
      <c r="P123" s="18" t="str">
        <f t="shared" si="0"/>
        <v/>
      </c>
      <c r="Q123" s="18" t="str">
        <f t="shared" si="1"/>
        <v/>
      </c>
      <c r="R123" s="18" t="str">
        <f t="shared" si="2"/>
        <v/>
      </c>
      <c r="S123" s="18" t="str">
        <f t="shared" si="3"/>
        <v/>
      </c>
      <c r="T123" s="18" t="str">
        <f t="shared" si="4"/>
        <v/>
      </c>
      <c r="U123" s="18" t="str">
        <f t="shared" si="5"/>
        <v/>
      </c>
      <c r="V123" s="1"/>
    </row>
    <row r="124" spans="1:22" x14ac:dyDescent="0.25">
      <c r="A124" s="14"/>
      <c r="B124" s="34" t="s">
        <v>20</v>
      </c>
      <c r="C124" s="26"/>
      <c r="D124" s="4"/>
      <c r="E124" s="40">
        <f>0.75-0.08</f>
        <v>0.67</v>
      </c>
      <c r="F124" s="42">
        <v>7.4999999999999997E-2</v>
      </c>
      <c r="G124" s="11">
        <v>10</v>
      </c>
      <c r="H124" s="1">
        <v>14</v>
      </c>
      <c r="I124" s="1">
        <f>ROUND(D117/F124+1,0)</f>
        <v>63</v>
      </c>
      <c r="J124" s="41">
        <f>2*(D126+E124)+16*10/1000</f>
        <v>1.94</v>
      </c>
      <c r="K124" s="1"/>
      <c r="L124" s="1"/>
      <c r="M124" s="1"/>
      <c r="N124" s="5">
        <f>(J124+K124-M124)</f>
        <v>1.94</v>
      </c>
      <c r="O124" s="5">
        <f>(H124*I124*N124)</f>
        <v>1711.08</v>
      </c>
      <c r="P124" s="18" t="str">
        <f t="shared" si="0"/>
        <v/>
      </c>
      <c r="Q124" s="18">
        <f t="shared" si="1"/>
        <v>1711.08</v>
      </c>
      <c r="R124" s="18" t="str">
        <f t="shared" si="2"/>
        <v/>
      </c>
      <c r="S124" s="18" t="str">
        <f t="shared" si="3"/>
        <v/>
      </c>
      <c r="T124" s="18" t="str">
        <f t="shared" si="4"/>
        <v/>
      </c>
      <c r="U124" s="18" t="str">
        <f t="shared" si="5"/>
        <v/>
      </c>
      <c r="V124" s="1"/>
    </row>
    <row r="125" spans="1:22" x14ac:dyDescent="0.25">
      <c r="A125" s="14"/>
      <c r="B125" s="34"/>
      <c r="C125" s="22"/>
      <c r="D125" s="4"/>
      <c r="E125" s="27"/>
      <c r="F125" s="42"/>
      <c r="G125" s="11"/>
      <c r="H125" s="1"/>
      <c r="I125" s="1"/>
      <c r="J125" s="2"/>
      <c r="K125" s="1"/>
      <c r="L125" s="1"/>
      <c r="M125" s="1"/>
      <c r="N125" s="1"/>
      <c r="O125" s="5"/>
      <c r="P125" s="18" t="str">
        <f t="shared" si="0"/>
        <v/>
      </c>
      <c r="Q125" s="18" t="str">
        <f t="shared" si="1"/>
        <v/>
      </c>
      <c r="R125" s="18" t="str">
        <f t="shared" si="2"/>
        <v/>
      </c>
      <c r="S125" s="18" t="str">
        <f t="shared" si="3"/>
        <v/>
      </c>
      <c r="T125" s="18" t="str">
        <f t="shared" si="4"/>
        <v/>
      </c>
      <c r="U125" s="18" t="str">
        <f t="shared" si="5"/>
        <v/>
      </c>
      <c r="V125" s="1"/>
    </row>
    <row r="126" spans="1:22" x14ac:dyDescent="0.25">
      <c r="A126" s="14"/>
      <c r="B126" s="34"/>
      <c r="C126" s="22"/>
      <c r="D126" s="9">
        <f>0.3-0.08</f>
        <v>0.21999999999999997</v>
      </c>
      <c r="E126" s="23"/>
      <c r="F126" s="42"/>
      <c r="G126" s="11"/>
      <c r="H126" s="1"/>
      <c r="I126" s="1"/>
      <c r="J126" s="2"/>
      <c r="K126" s="1"/>
      <c r="L126" s="1"/>
      <c r="M126" s="1"/>
      <c r="N126" s="1"/>
      <c r="O126" s="5"/>
      <c r="P126" s="18" t="str">
        <f t="shared" si="0"/>
        <v/>
      </c>
      <c r="Q126" s="18" t="str">
        <f t="shared" si="1"/>
        <v/>
      </c>
      <c r="R126" s="18" t="str">
        <f t="shared" si="2"/>
        <v/>
      </c>
      <c r="S126" s="18" t="str">
        <f t="shared" si="3"/>
        <v/>
      </c>
      <c r="T126" s="18" t="str">
        <f t="shared" si="4"/>
        <v/>
      </c>
      <c r="U126" s="18" t="str">
        <f t="shared" si="5"/>
        <v/>
      </c>
      <c r="V126" s="1"/>
    </row>
    <row r="127" spans="1:22" x14ac:dyDescent="0.25">
      <c r="A127" s="14"/>
      <c r="B127" s="33"/>
      <c r="C127" s="22"/>
      <c r="D127" s="4"/>
      <c r="E127" s="23"/>
      <c r="F127" s="42"/>
      <c r="G127" s="11"/>
      <c r="H127" s="1"/>
      <c r="I127" s="1"/>
      <c r="J127" s="2"/>
      <c r="K127" s="1"/>
      <c r="L127" s="1"/>
      <c r="M127" s="1"/>
      <c r="N127" s="1"/>
      <c r="O127" s="5"/>
      <c r="P127" s="18" t="str">
        <f t="shared" si="0"/>
        <v/>
      </c>
      <c r="Q127" s="18" t="str">
        <f t="shared" si="1"/>
        <v/>
      </c>
      <c r="R127" s="18" t="str">
        <f t="shared" si="2"/>
        <v/>
      </c>
      <c r="S127" s="18" t="str">
        <f t="shared" si="3"/>
        <v/>
      </c>
      <c r="T127" s="18" t="str">
        <f t="shared" si="4"/>
        <v/>
      </c>
      <c r="U127" s="18" t="str">
        <f t="shared" si="5"/>
        <v/>
      </c>
      <c r="V127" s="1"/>
    </row>
    <row r="128" spans="1:22" x14ac:dyDescent="0.25">
      <c r="A128" s="14"/>
      <c r="B128" s="14"/>
      <c r="C128" s="29">
        <v>80</v>
      </c>
      <c r="D128" s="4"/>
      <c r="E128" s="23"/>
      <c r="F128" s="42"/>
      <c r="G128" s="11"/>
      <c r="H128" s="1"/>
      <c r="I128" s="1"/>
      <c r="J128" s="2"/>
      <c r="K128" s="1"/>
      <c r="L128" s="1"/>
      <c r="M128" s="1"/>
      <c r="N128" s="1"/>
      <c r="O128" s="5"/>
      <c r="P128" s="18" t="str">
        <f t="shared" si="0"/>
        <v/>
      </c>
      <c r="Q128" s="18" t="str">
        <f t="shared" si="1"/>
        <v/>
      </c>
      <c r="R128" s="18" t="str">
        <f t="shared" si="2"/>
        <v/>
      </c>
      <c r="S128" s="18" t="str">
        <f t="shared" si="3"/>
        <v/>
      </c>
      <c r="T128" s="18" t="str">
        <f t="shared" si="4"/>
        <v/>
      </c>
      <c r="U128" s="18" t="str">
        <f t="shared" si="5"/>
        <v/>
      </c>
      <c r="V128" s="1"/>
    </row>
    <row r="129" spans="1:22" x14ac:dyDescent="0.25">
      <c r="A129" s="14"/>
      <c r="B129" s="34" t="s">
        <v>21</v>
      </c>
      <c r="C129" s="26"/>
      <c r="D129" s="4"/>
      <c r="E129" s="40">
        <f>(2*((0.75-0.08-0.016)/6))+0.012+0.02</f>
        <v>0.25</v>
      </c>
      <c r="F129" s="42">
        <v>7.4999999999999997E-2</v>
      </c>
      <c r="G129" s="11">
        <v>10</v>
      </c>
      <c r="H129" s="1">
        <v>14</v>
      </c>
      <c r="I129" s="1">
        <f>ROUND(D117/F129+1,0)</f>
        <v>63</v>
      </c>
      <c r="J129" s="41">
        <f>2*(D131+E129)+16*10/1000</f>
        <v>1.0999999999999999</v>
      </c>
      <c r="K129" s="1"/>
      <c r="L129" s="1"/>
      <c r="M129" s="1"/>
      <c r="N129" s="5">
        <f>(J129+K129-M129)</f>
        <v>1.0999999999999999</v>
      </c>
      <c r="O129" s="5">
        <f>(H129*I129*N129)</f>
        <v>970.19999999999993</v>
      </c>
      <c r="P129" s="18" t="str">
        <f t="shared" si="0"/>
        <v/>
      </c>
      <c r="Q129" s="18">
        <f t="shared" si="1"/>
        <v>970.19999999999993</v>
      </c>
      <c r="R129" s="18" t="str">
        <f t="shared" si="2"/>
        <v/>
      </c>
      <c r="S129" s="18" t="str">
        <f t="shared" si="3"/>
        <v/>
      </c>
      <c r="T129" s="18" t="str">
        <f t="shared" si="4"/>
        <v/>
      </c>
      <c r="U129" s="18" t="str">
        <f t="shared" si="5"/>
        <v/>
      </c>
      <c r="V129" s="1"/>
    </row>
    <row r="130" spans="1:22" x14ac:dyDescent="0.25">
      <c r="A130" s="14"/>
      <c r="B130" s="34"/>
      <c r="C130" s="22"/>
      <c r="D130" s="4"/>
      <c r="E130" s="27"/>
      <c r="F130" s="42"/>
      <c r="G130" s="11"/>
      <c r="H130" s="1"/>
      <c r="I130" s="1"/>
      <c r="J130" s="2"/>
      <c r="K130" s="1"/>
      <c r="L130" s="1"/>
      <c r="M130" s="1"/>
      <c r="N130" s="1"/>
      <c r="O130" s="5"/>
      <c r="P130" s="18" t="str">
        <f t="shared" si="0"/>
        <v/>
      </c>
      <c r="Q130" s="18" t="str">
        <f t="shared" si="1"/>
        <v/>
      </c>
      <c r="R130" s="18" t="str">
        <f t="shared" si="2"/>
        <v/>
      </c>
      <c r="S130" s="18" t="str">
        <f t="shared" si="3"/>
        <v/>
      </c>
      <c r="T130" s="18" t="str">
        <f t="shared" si="4"/>
        <v/>
      </c>
      <c r="U130" s="18" t="str">
        <f t="shared" si="5"/>
        <v/>
      </c>
      <c r="V130" s="1"/>
    </row>
    <row r="131" spans="1:22" x14ac:dyDescent="0.25">
      <c r="A131" s="14"/>
      <c r="B131" s="34"/>
      <c r="C131" s="22"/>
      <c r="D131" s="9">
        <f>0.3-0.08</f>
        <v>0.21999999999999997</v>
      </c>
      <c r="E131" s="23"/>
      <c r="F131" s="42"/>
      <c r="G131" s="11"/>
      <c r="H131" s="1"/>
      <c r="I131" s="1"/>
      <c r="J131" s="2"/>
      <c r="K131" s="1"/>
      <c r="L131" s="1"/>
      <c r="M131" s="1"/>
      <c r="N131" s="1"/>
      <c r="O131" s="5"/>
      <c r="P131" s="18" t="str">
        <f t="shared" si="0"/>
        <v/>
      </c>
      <c r="Q131" s="18" t="str">
        <f t="shared" si="1"/>
        <v/>
      </c>
      <c r="R131" s="18" t="str">
        <f t="shared" si="2"/>
        <v/>
      </c>
      <c r="S131" s="18" t="str">
        <f t="shared" si="3"/>
        <v/>
      </c>
      <c r="T131" s="18" t="str">
        <f t="shared" si="4"/>
        <v/>
      </c>
      <c r="U131" s="18" t="str">
        <f t="shared" si="5"/>
        <v/>
      </c>
      <c r="V131" s="1"/>
    </row>
    <row r="132" spans="1:22" x14ac:dyDescent="0.25">
      <c r="A132" s="14"/>
      <c r="B132" s="34"/>
      <c r="C132" s="22"/>
      <c r="D132" s="4"/>
      <c r="E132" s="23"/>
      <c r="F132" s="42"/>
      <c r="G132" s="11"/>
      <c r="H132" s="1"/>
      <c r="I132" s="1"/>
      <c r="J132" s="2"/>
      <c r="K132" s="1"/>
      <c r="L132" s="1"/>
      <c r="M132" s="1"/>
      <c r="N132" s="1"/>
      <c r="O132" s="5"/>
      <c r="P132" s="18" t="str">
        <f t="shared" si="0"/>
        <v/>
      </c>
      <c r="Q132" s="18" t="str">
        <f t="shared" si="1"/>
        <v/>
      </c>
      <c r="R132" s="18" t="str">
        <f t="shared" si="2"/>
        <v/>
      </c>
      <c r="S132" s="18" t="str">
        <f t="shared" si="3"/>
        <v/>
      </c>
      <c r="T132" s="18" t="str">
        <f t="shared" si="4"/>
        <v/>
      </c>
      <c r="U132" s="18" t="str">
        <f t="shared" si="5"/>
        <v/>
      </c>
      <c r="V132" s="1"/>
    </row>
    <row r="133" spans="1:22" x14ac:dyDescent="0.25">
      <c r="A133" s="14"/>
      <c r="B133" s="34" t="s">
        <v>22</v>
      </c>
      <c r="C133" s="22"/>
      <c r="D133" s="25"/>
      <c r="E133" s="23"/>
      <c r="F133" s="42">
        <v>7.4999999999999997E-2</v>
      </c>
      <c r="G133" s="11">
        <v>10</v>
      </c>
      <c r="H133" s="1">
        <v>14</v>
      </c>
      <c r="I133" s="1">
        <f>ROUND(D117/F133+1,0)</f>
        <v>63</v>
      </c>
      <c r="J133" s="41">
        <f>C134+D136+E134+2*10*G133/1000</f>
        <v>0.72399999999999998</v>
      </c>
      <c r="K133" s="1"/>
      <c r="L133" s="1"/>
      <c r="M133" s="5">
        <f>4*3*G133/1000</f>
        <v>0.12</v>
      </c>
      <c r="N133" s="5">
        <f>(J133+K133-M133)</f>
        <v>0.60399999999999998</v>
      </c>
      <c r="O133" s="5">
        <f>(H133*I133*N133)</f>
        <v>532.72799999999995</v>
      </c>
      <c r="P133" s="18" t="str">
        <f t="shared" si="0"/>
        <v/>
      </c>
      <c r="Q133" s="18">
        <f t="shared" si="1"/>
        <v>532.72799999999995</v>
      </c>
      <c r="R133" s="18" t="str">
        <f t="shared" si="2"/>
        <v/>
      </c>
      <c r="S133" s="18" t="str">
        <f t="shared" si="3"/>
        <v/>
      </c>
      <c r="T133" s="18" t="str">
        <f t="shared" si="4"/>
        <v/>
      </c>
      <c r="U133" s="18" t="str">
        <f t="shared" si="5"/>
        <v/>
      </c>
      <c r="V133" s="1"/>
    </row>
    <row r="134" spans="1:22" x14ac:dyDescent="0.25">
      <c r="A134" s="14"/>
      <c r="B134" s="34"/>
      <c r="C134" s="29">
        <v>0.152</v>
      </c>
      <c r="D134" s="4"/>
      <c r="E134" s="23">
        <v>0.152</v>
      </c>
      <c r="F134" s="42"/>
      <c r="G134" s="11"/>
      <c r="H134" s="1"/>
      <c r="I134" s="1"/>
      <c r="J134" s="2"/>
      <c r="K134" s="1"/>
      <c r="L134" s="1"/>
      <c r="M134" s="1"/>
      <c r="N134" s="1"/>
      <c r="O134" s="5"/>
      <c r="P134" s="18" t="str">
        <f>IF($G134=8,$O134,"")</f>
        <v/>
      </c>
      <c r="Q134" s="18" t="str">
        <f>IF($G134=10,$O134,"")</f>
        <v/>
      </c>
      <c r="R134" s="18" t="str">
        <f>IF($G134=12,$O134,"")</f>
        <v/>
      </c>
      <c r="S134" s="18" t="str">
        <f>IF($G134=16,$O134,"")</f>
        <v/>
      </c>
      <c r="T134" s="18" t="str">
        <f>IF($G134=20,$O134,"")</f>
        <v/>
      </c>
      <c r="U134" s="18" t="str">
        <f>IF($G134=25,$O134,"")</f>
        <v/>
      </c>
      <c r="V134" s="1"/>
    </row>
    <row r="135" spans="1:22" x14ac:dyDescent="0.25">
      <c r="A135" s="14"/>
      <c r="B135" s="34"/>
      <c r="C135" s="22"/>
      <c r="D135" s="4"/>
      <c r="E135" s="23"/>
      <c r="F135" s="42"/>
      <c r="G135" s="11"/>
      <c r="H135" s="1"/>
      <c r="I135" s="1"/>
      <c r="J135" s="2"/>
      <c r="K135" s="1"/>
      <c r="L135" s="1"/>
      <c r="M135" s="1"/>
      <c r="N135" s="1"/>
      <c r="O135" s="5"/>
      <c r="P135" s="18" t="str">
        <f t="shared" si="0"/>
        <v/>
      </c>
      <c r="Q135" s="18" t="str">
        <f t="shared" si="1"/>
        <v/>
      </c>
      <c r="R135" s="18" t="str">
        <f t="shared" si="2"/>
        <v/>
      </c>
      <c r="S135" s="18" t="str">
        <f t="shared" si="3"/>
        <v/>
      </c>
      <c r="T135" s="18" t="str">
        <f t="shared" si="4"/>
        <v/>
      </c>
      <c r="U135" s="18" t="str">
        <f t="shared" si="5"/>
        <v/>
      </c>
      <c r="V135" s="1"/>
    </row>
    <row r="136" spans="1:22" x14ac:dyDescent="0.25">
      <c r="A136" s="14"/>
      <c r="B136" s="34"/>
      <c r="C136" s="22"/>
      <c r="D136" s="9">
        <f>0.3-0.08</f>
        <v>0.21999999999999997</v>
      </c>
      <c r="E136" s="23"/>
      <c r="F136" s="42"/>
      <c r="G136" s="11"/>
      <c r="H136" s="1"/>
      <c r="I136" s="1"/>
      <c r="J136" s="2"/>
      <c r="K136" s="1"/>
      <c r="L136" s="1"/>
      <c r="M136" s="1"/>
      <c r="N136" s="1"/>
      <c r="O136" s="5"/>
      <c r="P136" s="18" t="str">
        <f t="shared" si="0"/>
        <v/>
      </c>
      <c r="Q136" s="18" t="str">
        <f t="shared" si="1"/>
        <v/>
      </c>
      <c r="R136" s="18" t="str">
        <f t="shared" si="2"/>
        <v/>
      </c>
      <c r="S136" s="18" t="str">
        <f t="shared" si="3"/>
        <v/>
      </c>
      <c r="T136" s="18" t="str">
        <f t="shared" si="4"/>
        <v/>
      </c>
      <c r="U136" s="18" t="str">
        <f t="shared" si="5"/>
        <v/>
      </c>
      <c r="V136" s="1"/>
    </row>
    <row r="137" spans="1:22" x14ac:dyDescent="0.25">
      <c r="A137" s="14"/>
      <c r="B137" s="34"/>
      <c r="C137" s="22"/>
      <c r="D137" s="4"/>
      <c r="E137" s="23"/>
      <c r="F137" s="42"/>
      <c r="G137" s="11"/>
      <c r="H137" s="1"/>
      <c r="I137" s="1"/>
      <c r="J137" s="2"/>
      <c r="K137" s="1"/>
      <c r="L137" s="1"/>
      <c r="M137" s="1"/>
      <c r="N137" s="1"/>
      <c r="O137" s="5"/>
      <c r="P137" s="18" t="str">
        <f t="shared" si="0"/>
        <v/>
      </c>
      <c r="Q137" s="18" t="str">
        <f t="shared" si="1"/>
        <v/>
      </c>
      <c r="R137" s="18" t="str">
        <f t="shared" si="2"/>
        <v/>
      </c>
      <c r="S137" s="18" t="str">
        <f t="shared" si="3"/>
        <v/>
      </c>
      <c r="T137" s="18" t="str">
        <f t="shared" si="4"/>
        <v/>
      </c>
      <c r="U137" s="18" t="str">
        <f t="shared" si="5"/>
        <v/>
      </c>
      <c r="V137" s="1"/>
    </row>
    <row r="138" spans="1:22" x14ac:dyDescent="0.25">
      <c r="A138" s="14"/>
      <c r="B138" s="34" t="s">
        <v>36</v>
      </c>
      <c r="C138" s="22"/>
      <c r="D138" s="25"/>
      <c r="E138" s="23"/>
      <c r="F138" s="42">
        <v>7.4999999999999997E-2</v>
      </c>
      <c r="G138" s="11">
        <v>10</v>
      </c>
      <c r="H138" s="1">
        <v>14</v>
      </c>
      <c r="I138" s="1">
        <f>ROUND(D117/F138+1,0)</f>
        <v>63</v>
      </c>
      <c r="J138" s="41">
        <f>C139+D141+E139+2*10*G138/1000</f>
        <v>0.72399999999999998</v>
      </c>
      <c r="K138" s="1"/>
      <c r="L138" s="1"/>
      <c r="M138" s="5">
        <f>4*3*G138/1000</f>
        <v>0.12</v>
      </c>
      <c r="N138" s="5">
        <f>(J138+K138-M138)</f>
        <v>0.60399999999999998</v>
      </c>
      <c r="O138" s="5">
        <f>(H138*I138*N138)</f>
        <v>532.72799999999995</v>
      </c>
      <c r="P138" s="18" t="str">
        <f t="shared" si="0"/>
        <v/>
      </c>
      <c r="Q138" s="18">
        <f t="shared" si="1"/>
        <v>532.72799999999995</v>
      </c>
      <c r="R138" s="18" t="str">
        <f t="shared" si="2"/>
        <v/>
      </c>
      <c r="S138" s="18" t="str">
        <f t="shared" si="3"/>
        <v/>
      </c>
      <c r="T138" s="18" t="str">
        <f t="shared" si="4"/>
        <v/>
      </c>
      <c r="U138" s="18" t="str">
        <f t="shared" si="5"/>
        <v/>
      </c>
      <c r="V138" s="1"/>
    </row>
    <row r="139" spans="1:22" x14ac:dyDescent="0.25">
      <c r="A139" s="14"/>
      <c r="B139" s="34"/>
      <c r="C139" s="29">
        <v>0.152</v>
      </c>
      <c r="D139" s="4"/>
      <c r="E139" s="23">
        <v>0.152</v>
      </c>
      <c r="F139" s="42"/>
      <c r="G139" s="11"/>
      <c r="H139" s="1"/>
      <c r="I139" s="1"/>
      <c r="J139" s="2"/>
      <c r="K139" s="1"/>
      <c r="L139" s="1"/>
      <c r="M139" s="1"/>
      <c r="N139" s="1"/>
      <c r="O139" s="5"/>
      <c r="P139" s="18" t="str">
        <f t="shared" si="0"/>
        <v/>
      </c>
      <c r="Q139" s="18" t="str">
        <f t="shared" si="1"/>
        <v/>
      </c>
      <c r="R139" s="18" t="str">
        <f t="shared" si="2"/>
        <v/>
      </c>
      <c r="S139" s="18" t="str">
        <f t="shared" si="3"/>
        <v/>
      </c>
      <c r="T139" s="18" t="str">
        <f t="shared" si="4"/>
        <v/>
      </c>
      <c r="U139" s="18" t="str">
        <f t="shared" si="5"/>
        <v/>
      </c>
      <c r="V139" s="1"/>
    </row>
    <row r="140" spans="1:22" x14ac:dyDescent="0.25">
      <c r="A140" s="14"/>
      <c r="B140" s="34"/>
      <c r="C140" s="22"/>
      <c r="D140" s="4"/>
      <c r="E140" s="23"/>
      <c r="F140" s="42"/>
      <c r="G140" s="11"/>
      <c r="H140" s="1"/>
      <c r="I140" s="1"/>
      <c r="J140" s="2"/>
      <c r="K140" s="1"/>
      <c r="L140" s="1"/>
      <c r="M140" s="1"/>
      <c r="N140" s="1"/>
      <c r="O140" s="3"/>
      <c r="P140" s="18" t="str">
        <f t="shared" si="0"/>
        <v/>
      </c>
      <c r="Q140" s="18" t="str">
        <f t="shared" si="1"/>
        <v/>
      </c>
      <c r="R140" s="18" t="str">
        <f t="shared" si="2"/>
        <v/>
      </c>
      <c r="S140" s="18" t="str">
        <f t="shared" si="3"/>
        <v/>
      </c>
      <c r="T140" s="18" t="str">
        <f t="shared" si="4"/>
        <v/>
      </c>
      <c r="U140" s="18" t="str">
        <f t="shared" si="5"/>
        <v/>
      </c>
      <c r="V140" s="1"/>
    </row>
    <row r="141" spans="1:22" x14ac:dyDescent="0.25">
      <c r="A141" s="14"/>
      <c r="B141" s="34"/>
      <c r="C141" s="22"/>
      <c r="D141" s="9">
        <f>0.3-0.08</f>
        <v>0.21999999999999997</v>
      </c>
      <c r="E141" s="23"/>
      <c r="F141" s="42"/>
      <c r="G141" s="11"/>
      <c r="H141" s="1"/>
      <c r="I141" s="1"/>
      <c r="J141" s="2"/>
      <c r="K141" s="1"/>
      <c r="L141" s="1"/>
      <c r="M141" s="1"/>
      <c r="N141" s="1"/>
      <c r="O141" s="3"/>
      <c r="P141" s="18" t="str">
        <f t="shared" si="0"/>
        <v/>
      </c>
      <c r="Q141" s="18" t="str">
        <f t="shared" si="1"/>
        <v/>
      </c>
      <c r="R141" s="18" t="str">
        <f t="shared" si="2"/>
        <v/>
      </c>
      <c r="S141" s="18" t="str">
        <f t="shared" si="3"/>
        <v/>
      </c>
      <c r="T141" s="18" t="str">
        <f t="shared" si="4"/>
        <v/>
      </c>
      <c r="U141" s="18" t="str">
        <f t="shared" si="5"/>
        <v/>
      </c>
      <c r="V141" s="1"/>
    </row>
    <row r="142" spans="1:22" x14ac:dyDescent="0.25">
      <c r="A142" s="14"/>
      <c r="B142" s="33"/>
      <c r="C142" s="22"/>
      <c r="D142" s="4"/>
      <c r="E142" s="23"/>
      <c r="F142" s="42"/>
      <c r="G142" s="11"/>
      <c r="H142" s="1"/>
      <c r="I142" s="1"/>
      <c r="J142" s="2"/>
      <c r="K142" s="1"/>
      <c r="L142" s="1"/>
      <c r="M142" s="1"/>
      <c r="N142" s="1"/>
      <c r="O142" s="3"/>
      <c r="P142" s="18" t="str">
        <f t="shared" si="0"/>
        <v/>
      </c>
      <c r="Q142" s="18" t="str">
        <f t="shared" si="1"/>
        <v/>
      </c>
      <c r="R142" s="18" t="str">
        <f t="shared" si="2"/>
        <v/>
      </c>
      <c r="S142" s="18" t="str">
        <f t="shared" si="3"/>
        <v/>
      </c>
      <c r="T142" s="18" t="str">
        <f t="shared" si="4"/>
        <v/>
      </c>
      <c r="U142" s="18" t="str">
        <f t="shared" si="5"/>
        <v/>
      </c>
      <c r="V142" s="1"/>
    </row>
    <row r="143" spans="1:22" x14ac:dyDescent="0.25">
      <c r="A143" s="14"/>
      <c r="B143" s="33"/>
      <c r="C143" s="22"/>
      <c r="D143" s="4"/>
      <c r="E143" s="39">
        <v>0.1</v>
      </c>
      <c r="F143" s="42"/>
      <c r="G143" s="11"/>
      <c r="H143" s="1"/>
      <c r="I143" s="1"/>
      <c r="J143" s="2"/>
      <c r="K143" s="1"/>
      <c r="L143" s="1"/>
      <c r="M143" s="1"/>
      <c r="N143" s="1"/>
      <c r="O143" s="3"/>
      <c r="P143" s="18" t="str">
        <f t="shared" si="0"/>
        <v/>
      </c>
      <c r="Q143" s="18" t="str">
        <f t="shared" si="1"/>
        <v/>
      </c>
      <c r="R143" s="18" t="str">
        <f t="shared" si="2"/>
        <v/>
      </c>
      <c r="S143" s="18" t="str">
        <f t="shared" si="3"/>
        <v/>
      </c>
      <c r="T143" s="18" t="str">
        <f t="shared" si="4"/>
        <v/>
      </c>
      <c r="U143" s="18" t="str">
        <f t="shared" si="5"/>
        <v/>
      </c>
      <c r="V143" s="1"/>
    </row>
    <row r="144" spans="1:22" x14ac:dyDescent="0.25">
      <c r="A144" s="14"/>
      <c r="B144" s="34" t="s">
        <v>37</v>
      </c>
      <c r="C144" s="22"/>
      <c r="D144" s="25">
        <f>0.3-0.08</f>
        <v>0.21999999999999997</v>
      </c>
      <c r="E144" s="39"/>
      <c r="F144" s="42">
        <v>7.4999999999999997E-2</v>
      </c>
      <c r="G144" s="11">
        <v>10</v>
      </c>
      <c r="H144" s="1">
        <v>14</v>
      </c>
      <c r="I144" s="1">
        <f>ROUND(D117/F144+1,0)</f>
        <v>63</v>
      </c>
      <c r="J144" s="41">
        <f>D144+E143+E145</f>
        <v>0.41999999999999993</v>
      </c>
      <c r="K144" s="1"/>
      <c r="L144" s="1"/>
      <c r="M144" s="5">
        <f>2*3*G144/1000</f>
        <v>0.06</v>
      </c>
      <c r="N144" s="5">
        <f>(J144+K144-M144)</f>
        <v>0.35999999999999993</v>
      </c>
      <c r="O144" s="5">
        <f>(H144*I144*N144)</f>
        <v>317.51999999999992</v>
      </c>
      <c r="P144" s="18" t="str">
        <f t="shared" si="0"/>
        <v/>
      </c>
      <c r="Q144" s="18">
        <f t="shared" si="1"/>
        <v>317.51999999999992</v>
      </c>
      <c r="R144" s="18" t="str">
        <f t="shared" si="2"/>
        <v/>
      </c>
      <c r="S144" s="18" t="str">
        <f t="shared" si="3"/>
        <v/>
      </c>
      <c r="T144" s="18" t="str">
        <f t="shared" si="4"/>
        <v/>
      </c>
      <c r="U144" s="18" t="str">
        <f t="shared" si="5"/>
        <v/>
      </c>
      <c r="V144" s="1"/>
    </row>
    <row r="145" spans="1:22" x14ac:dyDescent="0.25">
      <c r="A145" s="14"/>
      <c r="B145" s="33"/>
      <c r="C145" s="22"/>
      <c r="D145" s="4"/>
      <c r="E145" s="39">
        <v>0.1</v>
      </c>
      <c r="F145" s="42"/>
      <c r="G145" s="11"/>
      <c r="H145" s="1"/>
      <c r="I145" s="1"/>
      <c r="J145" s="2"/>
      <c r="K145" s="1"/>
      <c r="L145" s="1"/>
      <c r="M145" s="1"/>
      <c r="N145" s="1"/>
      <c r="O145" s="3"/>
      <c r="P145" s="18" t="str">
        <f t="shared" si="0"/>
        <v/>
      </c>
      <c r="Q145" s="18" t="str">
        <f t="shared" si="1"/>
        <v/>
      </c>
      <c r="R145" s="18" t="str">
        <f t="shared" si="2"/>
        <v/>
      </c>
      <c r="S145" s="18" t="str">
        <f t="shared" si="3"/>
        <v/>
      </c>
      <c r="T145" s="18" t="str">
        <f t="shared" si="4"/>
        <v/>
      </c>
      <c r="U145" s="18" t="str">
        <f t="shared" si="5"/>
        <v/>
      </c>
      <c r="V145" s="1"/>
    </row>
    <row r="146" spans="1:22" x14ac:dyDescent="0.25">
      <c r="A146" s="14"/>
      <c r="B146" s="34"/>
      <c r="C146" s="22"/>
      <c r="D146" s="28"/>
      <c r="E146" s="23"/>
      <c r="F146" s="42"/>
      <c r="G146" s="11"/>
      <c r="H146" s="1"/>
      <c r="I146" s="1"/>
      <c r="J146" s="2"/>
      <c r="K146" s="1"/>
      <c r="L146" s="1"/>
      <c r="M146" s="1"/>
      <c r="N146" s="1"/>
      <c r="O146" s="3"/>
      <c r="P146" s="18" t="str">
        <f t="shared" si="0"/>
        <v/>
      </c>
      <c r="Q146" s="18" t="str">
        <f t="shared" si="1"/>
        <v/>
      </c>
      <c r="R146" s="18" t="str">
        <f t="shared" si="2"/>
        <v/>
      </c>
      <c r="S146" s="18" t="str">
        <f t="shared" si="3"/>
        <v/>
      </c>
      <c r="T146" s="18" t="str">
        <f t="shared" si="4"/>
        <v/>
      </c>
      <c r="U146" s="18" t="str">
        <f t="shared" si="5"/>
        <v/>
      </c>
      <c r="V146" s="1"/>
    </row>
    <row r="147" spans="1:22" x14ac:dyDescent="0.25">
      <c r="A147" s="14">
        <v>6</v>
      </c>
      <c r="B147" s="14" t="s">
        <v>40</v>
      </c>
      <c r="C147" s="22"/>
      <c r="D147" s="4"/>
      <c r="E147" s="23"/>
      <c r="F147" s="42"/>
      <c r="G147" s="11"/>
      <c r="H147" s="1"/>
      <c r="I147" s="1"/>
      <c r="J147" s="9"/>
      <c r="K147" s="5"/>
      <c r="L147" s="5"/>
      <c r="M147" s="1"/>
      <c r="N147" s="5"/>
      <c r="O147" s="5"/>
      <c r="P147" s="18" t="str">
        <f>IF($G147=8,$O147,"")</f>
        <v/>
      </c>
      <c r="Q147" s="18" t="str">
        <f>IF($G147=10,$O147,"")</f>
        <v/>
      </c>
      <c r="R147" s="18" t="str">
        <f>IF($G147=12,$O147,"")</f>
        <v/>
      </c>
      <c r="S147" s="18" t="str">
        <f>IF($G147=16,$O147,"")</f>
        <v/>
      </c>
      <c r="T147" s="18" t="str">
        <f>IF($G147=20,$O147,"")</f>
        <v/>
      </c>
      <c r="U147" s="18" t="str">
        <f>IF($G147=25,$O147,"")</f>
        <v/>
      </c>
      <c r="V147" s="1"/>
    </row>
    <row r="148" spans="1:22" x14ac:dyDescent="0.25">
      <c r="A148" s="14"/>
      <c r="B148" s="33" t="s">
        <v>18</v>
      </c>
      <c r="C148" s="22"/>
      <c r="D148" s="38">
        <f>2.8+0.15-0.075-0.032+1.8</f>
        <v>4.6429999999999998</v>
      </c>
      <c r="E148" s="23"/>
      <c r="F148" s="42"/>
      <c r="G148" s="11">
        <v>16</v>
      </c>
      <c r="H148" s="1">
        <v>14</v>
      </c>
      <c r="I148" s="1">
        <v>4</v>
      </c>
      <c r="J148" s="9">
        <f>D148</f>
        <v>4.6429999999999998</v>
      </c>
      <c r="K148" s="5"/>
      <c r="L148" s="5"/>
      <c r="M148" s="1">
        <f>2*G148/1000</f>
        <v>3.2000000000000001E-2</v>
      </c>
      <c r="N148" s="5">
        <f>J148+E150-M148</f>
        <v>4.9109999999999996</v>
      </c>
      <c r="O148" s="5">
        <f>H148*I148*N148</f>
        <v>275.01599999999996</v>
      </c>
      <c r="P148" s="18" t="str">
        <f t="shared" si="0"/>
        <v/>
      </c>
      <c r="Q148" s="18" t="str">
        <f t="shared" si="1"/>
        <v/>
      </c>
      <c r="R148" s="18" t="str">
        <f t="shared" si="2"/>
        <v/>
      </c>
      <c r="S148" s="18">
        <f t="shared" si="3"/>
        <v>275.01599999999996</v>
      </c>
      <c r="T148" s="18" t="str">
        <f t="shared" si="4"/>
        <v/>
      </c>
      <c r="U148" s="18" t="str">
        <f t="shared" si="5"/>
        <v/>
      </c>
      <c r="V148" s="1"/>
    </row>
    <row r="149" spans="1:22" x14ac:dyDescent="0.25">
      <c r="A149" s="14"/>
      <c r="B149" s="33" t="s">
        <v>32</v>
      </c>
      <c r="C149" s="22"/>
      <c r="D149" s="4"/>
      <c r="E149" s="23"/>
      <c r="F149" s="42"/>
      <c r="G149" s="11">
        <v>12</v>
      </c>
      <c r="H149" s="1">
        <v>14</v>
      </c>
      <c r="I149" s="1">
        <v>2</v>
      </c>
      <c r="J149" s="9">
        <f>D148</f>
        <v>4.6429999999999998</v>
      </c>
      <c r="K149" s="5"/>
      <c r="L149" s="5"/>
      <c r="M149" s="1">
        <f>2*G149/1000</f>
        <v>2.4E-2</v>
      </c>
      <c r="N149" s="5">
        <f>J149+E150-M149</f>
        <v>4.9189999999999996</v>
      </c>
      <c r="O149" s="5">
        <f>H149*I149*N149</f>
        <v>137.732</v>
      </c>
      <c r="P149" s="18" t="str">
        <f t="shared" si="0"/>
        <v/>
      </c>
      <c r="Q149" s="18" t="str">
        <f t="shared" si="1"/>
        <v/>
      </c>
      <c r="R149" s="18">
        <f t="shared" si="2"/>
        <v>137.732</v>
      </c>
      <c r="S149" s="18" t="str">
        <f t="shared" si="3"/>
        <v/>
      </c>
      <c r="T149" s="18" t="str">
        <f t="shared" si="4"/>
        <v/>
      </c>
      <c r="U149" s="18" t="str">
        <f t="shared" si="5"/>
        <v/>
      </c>
      <c r="V149" s="1"/>
    </row>
    <row r="150" spans="1:22" x14ac:dyDescent="0.25">
      <c r="A150" s="14"/>
      <c r="B150" s="33" t="s">
        <v>26</v>
      </c>
      <c r="C150" s="24"/>
      <c r="D150" s="25"/>
      <c r="E150" s="39">
        <v>0.3</v>
      </c>
      <c r="F150" s="42"/>
      <c r="G150" s="11">
        <v>12</v>
      </c>
      <c r="H150" s="1">
        <v>14</v>
      </c>
      <c r="I150" s="1">
        <v>4</v>
      </c>
      <c r="J150" s="9">
        <f>D148</f>
        <v>4.6429999999999998</v>
      </c>
      <c r="K150" s="5"/>
      <c r="L150" s="5"/>
      <c r="M150" s="1">
        <f>2*G150/1000</f>
        <v>2.4E-2</v>
      </c>
      <c r="N150" s="5">
        <f>J150+E150-M150</f>
        <v>4.9189999999999996</v>
      </c>
      <c r="O150" s="5">
        <f>H150*I150*N150</f>
        <v>275.464</v>
      </c>
      <c r="P150" s="18" t="str">
        <f t="shared" si="0"/>
        <v/>
      </c>
      <c r="Q150" s="18" t="str">
        <f t="shared" si="1"/>
        <v/>
      </c>
      <c r="R150" s="18">
        <f t="shared" si="2"/>
        <v>275.464</v>
      </c>
      <c r="S150" s="18" t="str">
        <f t="shared" si="3"/>
        <v/>
      </c>
      <c r="T150" s="18" t="str">
        <f t="shared" si="4"/>
        <v/>
      </c>
      <c r="U150" s="18" t="str">
        <f t="shared" si="5"/>
        <v/>
      </c>
      <c r="V150" s="1"/>
    </row>
    <row r="151" spans="1:22" x14ac:dyDescent="0.25">
      <c r="A151" s="14"/>
      <c r="B151" s="33" t="s">
        <v>19</v>
      </c>
      <c r="C151" s="22"/>
      <c r="D151" s="4"/>
      <c r="E151" s="23"/>
      <c r="F151" s="42"/>
      <c r="G151" s="11">
        <v>12</v>
      </c>
      <c r="H151" s="1">
        <v>14</v>
      </c>
      <c r="I151" s="1">
        <v>4</v>
      </c>
      <c r="J151" s="9">
        <f>D148</f>
        <v>4.6429999999999998</v>
      </c>
      <c r="K151" s="5"/>
      <c r="L151" s="5"/>
      <c r="M151" s="1">
        <f>2*G151/1000</f>
        <v>2.4E-2</v>
      </c>
      <c r="N151" s="5">
        <f>J151+E150-M151</f>
        <v>4.9189999999999996</v>
      </c>
      <c r="O151" s="5">
        <f>H151*I151*N151</f>
        <v>275.464</v>
      </c>
      <c r="P151" s="18" t="str">
        <f t="shared" si="0"/>
        <v/>
      </c>
      <c r="Q151" s="18" t="str">
        <f t="shared" si="1"/>
        <v/>
      </c>
      <c r="R151" s="18">
        <f t="shared" si="2"/>
        <v>275.464</v>
      </c>
      <c r="S151" s="18" t="str">
        <f t="shared" si="3"/>
        <v/>
      </c>
      <c r="T151" s="18" t="str">
        <f t="shared" si="4"/>
        <v/>
      </c>
      <c r="U151" s="18" t="str">
        <f t="shared" si="5"/>
        <v/>
      </c>
      <c r="V151" s="1"/>
    </row>
    <row r="152" spans="1:22" x14ac:dyDescent="0.25">
      <c r="A152" s="14"/>
      <c r="B152" s="33" t="s">
        <v>35</v>
      </c>
      <c r="C152" s="22"/>
      <c r="D152" s="4"/>
      <c r="E152" s="23"/>
      <c r="F152" s="42"/>
      <c r="G152" s="11">
        <v>12</v>
      </c>
      <c r="H152" s="1">
        <v>14</v>
      </c>
      <c r="I152" s="1">
        <v>2</v>
      </c>
      <c r="J152" s="9">
        <f>D148</f>
        <v>4.6429999999999998</v>
      </c>
      <c r="K152" s="5"/>
      <c r="L152" s="5"/>
      <c r="M152" s="1">
        <f>2*G152/1000</f>
        <v>2.4E-2</v>
      </c>
      <c r="N152" s="5">
        <f>J152+E151-M152</f>
        <v>4.6189999999999998</v>
      </c>
      <c r="O152" s="5">
        <f>H152*I152*N152</f>
        <v>129.33199999999999</v>
      </c>
      <c r="P152" s="18" t="str">
        <f t="shared" si="0"/>
        <v/>
      </c>
      <c r="Q152" s="18" t="str">
        <f t="shared" si="1"/>
        <v/>
      </c>
      <c r="R152" s="18">
        <f t="shared" si="2"/>
        <v>129.33199999999999</v>
      </c>
      <c r="S152" s="18" t="str">
        <f t="shared" si="3"/>
        <v/>
      </c>
      <c r="T152" s="18" t="str">
        <f t="shared" si="4"/>
        <v/>
      </c>
      <c r="U152" s="18" t="str">
        <f t="shared" si="5"/>
        <v/>
      </c>
      <c r="V152" s="1"/>
    </row>
    <row r="153" spans="1:22" x14ac:dyDescent="0.25">
      <c r="A153" s="14"/>
      <c r="B153" s="33"/>
      <c r="C153" s="22"/>
      <c r="D153" s="4"/>
      <c r="E153" s="23"/>
      <c r="F153" s="42"/>
      <c r="G153" s="11"/>
      <c r="H153" s="1"/>
      <c r="I153" s="1"/>
      <c r="J153" s="2"/>
      <c r="K153" s="1"/>
      <c r="L153" s="1"/>
      <c r="M153" s="1"/>
      <c r="N153" s="1"/>
      <c r="O153" s="3"/>
      <c r="P153" s="18" t="str">
        <f t="shared" si="0"/>
        <v/>
      </c>
      <c r="Q153" s="18" t="str">
        <f t="shared" si="1"/>
        <v/>
      </c>
      <c r="R153" s="18" t="str">
        <f t="shared" si="2"/>
        <v/>
      </c>
      <c r="S153" s="18" t="str">
        <f t="shared" si="3"/>
        <v/>
      </c>
      <c r="T153" s="18" t="str">
        <f t="shared" si="4"/>
        <v/>
      </c>
      <c r="U153" s="18" t="str">
        <f t="shared" si="5"/>
        <v/>
      </c>
      <c r="V153" s="1"/>
    </row>
    <row r="154" spans="1:22" x14ac:dyDescent="0.25">
      <c r="A154" s="14"/>
      <c r="B154" s="14"/>
      <c r="C154" s="29">
        <v>80</v>
      </c>
      <c r="D154" s="4"/>
      <c r="E154" s="23"/>
      <c r="F154" s="42"/>
      <c r="G154" s="11"/>
      <c r="H154" s="1"/>
      <c r="I154" s="1"/>
      <c r="J154" s="2"/>
      <c r="K154" s="1"/>
      <c r="L154" s="1"/>
      <c r="M154" s="1"/>
      <c r="N154" s="1"/>
      <c r="O154" s="3"/>
      <c r="P154" s="18" t="str">
        <f t="shared" si="0"/>
        <v/>
      </c>
      <c r="Q154" s="18" t="str">
        <f t="shared" si="1"/>
        <v/>
      </c>
      <c r="R154" s="18" t="str">
        <f t="shared" si="2"/>
        <v/>
      </c>
      <c r="S154" s="18" t="str">
        <f t="shared" si="3"/>
        <v/>
      </c>
      <c r="T154" s="18" t="str">
        <f t="shared" si="4"/>
        <v/>
      </c>
      <c r="U154" s="18" t="str">
        <f t="shared" si="5"/>
        <v/>
      </c>
      <c r="V154" s="1"/>
    </row>
    <row r="155" spans="1:22" x14ac:dyDescent="0.25">
      <c r="A155" s="14"/>
      <c r="B155" s="34" t="s">
        <v>20</v>
      </c>
      <c r="C155" s="26"/>
      <c r="D155" s="4"/>
      <c r="E155" s="40">
        <f>0.715-0.08</f>
        <v>0.63500000000000001</v>
      </c>
      <c r="F155" s="42">
        <v>7.4999999999999997E-2</v>
      </c>
      <c r="G155" s="11">
        <v>10</v>
      </c>
      <c r="H155" s="1">
        <v>14</v>
      </c>
      <c r="I155" s="1">
        <f>ROUND(D148/F155+1,0)</f>
        <v>63</v>
      </c>
      <c r="J155" s="41">
        <f>2*(D157+E155)+16*10/1000</f>
        <v>1.8699999999999999</v>
      </c>
      <c r="K155" s="1"/>
      <c r="L155" s="1"/>
      <c r="M155" s="1"/>
      <c r="N155" s="5">
        <f>(J155+K155-M155)</f>
        <v>1.8699999999999999</v>
      </c>
      <c r="O155" s="5">
        <f>(H155*I155*N155)</f>
        <v>1649.34</v>
      </c>
      <c r="P155" s="18" t="str">
        <f t="shared" si="0"/>
        <v/>
      </c>
      <c r="Q155" s="18">
        <f t="shared" si="1"/>
        <v>1649.34</v>
      </c>
      <c r="R155" s="18" t="str">
        <f t="shared" si="2"/>
        <v/>
      </c>
      <c r="S155" s="18" t="str">
        <f t="shared" si="3"/>
        <v/>
      </c>
      <c r="T155" s="18" t="str">
        <f t="shared" si="4"/>
        <v/>
      </c>
      <c r="U155" s="18" t="str">
        <f t="shared" si="5"/>
        <v/>
      </c>
      <c r="V155" s="1"/>
    </row>
    <row r="156" spans="1:22" x14ac:dyDescent="0.25">
      <c r="A156" s="14"/>
      <c r="B156" s="34"/>
      <c r="C156" s="22"/>
      <c r="D156" s="4"/>
      <c r="E156" s="27"/>
      <c r="F156" s="42"/>
      <c r="G156" s="11"/>
      <c r="H156" s="1"/>
      <c r="I156" s="1"/>
      <c r="J156" s="2"/>
      <c r="K156" s="1"/>
      <c r="L156" s="1"/>
      <c r="M156" s="1"/>
      <c r="N156" s="1"/>
      <c r="O156" s="5"/>
      <c r="P156" s="18" t="str">
        <f t="shared" si="0"/>
        <v/>
      </c>
      <c r="Q156" s="18" t="str">
        <f t="shared" si="1"/>
        <v/>
      </c>
      <c r="R156" s="18" t="str">
        <f t="shared" si="2"/>
        <v/>
      </c>
      <c r="S156" s="18" t="str">
        <f t="shared" si="3"/>
        <v/>
      </c>
      <c r="T156" s="18" t="str">
        <f t="shared" si="4"/>
        <v/>
      </c>
      <c r="U156" s="18" t="str">
        <f t="shared" si="5"/>
        <v/>
      </c>
      <c r="V156" s="1"/>
    </row>
    <row r="157" spans="1:22" x14ac:dyDescent="0.25">
      <c r="A157" s="14"/>
      <c r="B157" s="34"/>
      <c r="C157" s="22"/>
      <c r="D157" s="9">
        <f>0.3-0.08</f>
        <v>0.21999999999999997</v>
      </c>
      <c r="E157" s="23"/>
      <c r="F157" s="42"/>
      <c r="G157" s="11"/>
      <c r="H157" s="1"/>
      <c r="I157" s="1"/>
      <c r="J157" s="2"/>
      <c r="K157" s="1"/>
      <c r="L157" s="1"/>
      <c r="M157" s="1"/>
      <c r="N157" s="1"/>
      <c r="O157" s="5"/>
      <c r="P157" s="18" t="str">
        <f t="shared" si="0"/>
        <v/>
      </c>
      <c r="Q157" s="18" t="str">
        <f t="shared" si="1"/>
        <v/>
      </c>
      <c r="R157" s="18" t="str">
        <f t="shared" si="2"/>
        <v/>
      </c>
      <c r="S157" s="18" t="str">
        <f t="shared" si="3"/>
        <v/>
      </c>
      <c r="T157" s="18" t="str">
        <f t="shared" si="4"/>
        <v/>
      </c>
      <c r="U157" s="18" t="str">
        <f t="shared" si="5"/>
        <v/>
      </c>
      <c r="V157" s="1"/>
    </row>
    <row r="158" spans="1:22" x14ac:dyDescent="0.25">
      <c r="A158" s="14"/>
      <c r="B158" s="33"/>
      <c r="C158" s="22"/>
      <c r="D158" s="4"/>
      <c r="E158" s="23"/>
      <c r="F158" s="42"/>
      <c r="G158" s="11"/>
      <c r="H158" s="1"/>
      <c r="I158" s="1"/>
      <c r="J158" s="2"/>
      <c r="K158" s="1"/>
      <c r="L158" s="1"/>
      <c r="M158" s="1"/>
      <c r="N158" s="1"/>
      <c r="O158" s="5"/>
      <c r="P158" s="18" t="str">
        <f t="shared" si="0"/>
        <v/>
      </c>
      <c r="Q158" s="18" t="str">
        <f t="shared" si="1"/>
        <v/>
      </c>
      <c r="R158" s="18" t="str">
        <f t="shared" si="2"/>
        <v/>
      </c>
      <c r="S158" s="18" t="str">
        <f t="shared" si="3"/>
        <v/>
      </c>
      <c r="T158" s="18" t="str">
        <f t="shared" si="4"/>
        <v/>
      </c>
      <c r="U158" s="18" t="str">
        <f t="shared" si="5"/>
        <v/>
      </c>
      <c r="V158" s="1"/>
    </row>
    <row r="159" spans="1:22" x14ac:dyDescent="0.25">
      <c r="A159" s="14"/>
      <c r="B159" s="14"/>
      <c r="C159" s="29">
        <v>80</v>
      </c>
      <c r="D159" s="4"/>
      <c r="E159" s="23"/>
      <c r="F159" s="42"/>
      <c r="G159" s="11"/>
      <c r="H159" s="1"/>
      <c r="I159" s="1"/>
      <c r="J159" s="2"/>
      <c r="K159" s="1"/>
      <c r="L159" s="1"/>
      <c r="M159" s="1"/>
      <c r="N159" s="1"/>
      <c r="O159" s="5"/>
      <c r="P159" s="18" t="str">
        <f t="shared" si="0"/>
        <v/>
      </c>
      <c r="Q159" s="18" t="str">
        <f t="shared" si="1"/>
        <v/>
      </c>
      <c r="R159" s="18" t="str">
        <f t="shared" si="2"/>
        <v/>
      </c>
      <c r="S159" s="18" t="str">
        <f t="shared" si="3"/>
        <v/>
      </c>
      <c r="T159" s="18" t="str">
        <f t="shared" si="4"/>
        <v/>
      </c>
      <c r="U159" s="18" t="str">
        <f t="shared" si="5"/>
        <v/>
      </c>
      <c r="V159" s="1"/>
    </row>
    <row r="160" spans="1:22" x14ac:dyDescent="0.25">
      <c r="A160" s="14"/>
      <c r="B160" s="34" t="s">
        <v>21</v>
      </c>
      <c r="C160" s="26"/>
      <c r="D160" s="4"/>
      <c r="E160" s="40">
        <f>(2*((0.715-0.08-0.016)/6))+0.012+0.02</f>
        <v>0.23833333333333334</v>
      </c>
      <c r="F160" s="42">
        <v>7.4999999999999997E-2</v>
      </c>
      <c r="G160" s="11">
        <v>10</v>
      </c>
      <c r="H160" s="1">
        <v>14</v>
      </c>
      <c r="I160" s="1">
        <f>ROUND(D148/F160+1,0)</f>
        <v>63</v>
      </c>
      <c r="J160" s="41">
        <f>2*(D162+E160)+16*10/1000</f>
        <v>1.0766666666666667</v>
      </c>
      <c r="K160" s="1"/>
      <c r="L160" s="1"/>
      <c r="M160" s="1"/>
      <c r="N160" s="5">
        <f>(J160+K160-M160)</f>
        <v>1.0766666666666667</v>
      </c>
      <c r="O160" s="5">
        <f>(H160*I160*N160)</f>
        <v>949.62</v>
      </c>
      <c r="P160" s="18" t="str">
        <f t="shared" si="0"/>
        <v/>
      </c>
      <c r="Q160" s="18">
        <f t="shared" si="1"/>
        <v>949.62</v>
      </c>
      <c r="R160" s="18" t="str">
        <f t="shared" si="2"/>
        <v/>
      </c>
      <c r="S160" s="18" t="str">
        <f t="shared" si="3"/>
        <v/>
      </c>
      <c r="T160" s="18" t="str">
        <f t="shared" si="4"/>
        <v/>
      </c>
      <c r="U160" s="18" t="str">
        <f t="shared" si="5"/>
        <v/>
      </c>
      <c r="V160" s="1"/>
    </row>
    <row r="161" spans="1:22" x14ac:dyDescent="0.25">
      <c r="A161" s="14"/>
      <c r="B161" s="34"/>
      <c r="C161" s="22"/>
      <c r="D161" s="4"/>
      <c r="E161" s="27"/>
      <c r="F161" s="42"/>
      <c r="G161" s="11"/>
      <c r="H161" s="1"/>
      <c r="I161" s="1"/>
      <c r="J161" s="2"/>
      <c r="K161" s="1"/>
      <c r="L161" s="1"/>
      <c r="M161" s="1"/>
      <c r="N161" s="1"/>
      <c r="O161" s="5"/>
      <c r="P161" s="18" t="str">
        <f t="shared" si="0"/>
        <v/>
      </c>
      <c r="Q161" s="18" t="str">
        <f t="shared" si="1"/>
        <v/>
      </c>
      <c r="R161" s="18" t="str">
        <f t="shared" si="2"/>
        <v/>
      </c>
      <c r="S161" s="18" t="str">
        <f t="shared" si="3"/>
        <v/>
      </c>
      <c r="T161" s="18" t="str">
        <f t="shared" si="4"/>
        <v/>
      </c>
      <c r="U161" s="18" t="str">
        <f t="shared" si="5"/>
        <v/>
      </c>
      <c r="V161" s="1"/>
    </row>
    <row r="162" spans="1:22" x14ac:dyDescent="0.25">
      <c r="A162" s="14"/>
      <c r="B162" s="34"/>
      <c r="C162" s="22"/>
      <c r="D162" s="9">
        <f>0.3-0.08</f>
        <v>0.21999999999999997</v>
      </c>
      <c r="E162" s="23"/>
      <c r="F162" s="42"/>
      <c r="G162" s="11"/>
      <c r="H162" s="1"/>
      <c r="I162" s="1"/>
      <c r="J162" s="2"/>
      <c r="K162" s="1"/>
      <c r="L162" s="1"/>
      <c r="M162" s="1"/>
      <c r="N162" s="1"/>
      <c r="O162" s="5"/>
      <c r="P162" s="18" t="str">
        <f t="shared" si="0"/>
        <v/>
      </c>
      <c r="Q162" s="18" t="str">
        <f t="shared" si="1"/>
        <v/>
      </c>
      <c r="R162" s="18" t="str">
        <f t="shared" si="2"/>
        <v/>
      </c>
      <c r="S162" s="18" t="str">
        <f t="shared" si="3"/>
        <v/>
      </c>
      <c r="T162" s="18" t="str">
        <f t="shared" si="4"/>
        <v/>
      </c>
      <c r="U162" s="18" t="str">
        <f t="shared" si="5"/>
        <v/>
      </c>
      <c r="V162" s="1"/>
    </row>
    <row r="163" spans="1:22" x14ac:dyDescent="0.25">
      <c r="A163" s="14"/>
      <c r="B163" s="34"/>
      <c r="C163" s="22"/>
      <c r="D163" s="4"/>
      <c r="E163" s="23"/>
      <c r="F163" s="42"/>
      <c r="G163" s="11"/>
      <c r="H163" s="1"/>
      <c r="I163" s="1"/>
      <c r="J163" s="2"/>
      <c r="K163" s="1"/>
      <c r="L163" s="1"/>
      <c r="M163" s="1"/>
      <c r="N163" s="1"/>
      <c r="O163" s="5"/>
      <c r="P163" s="18" t="str">
        <f t="shared" si="0"/>
        <v/>
      </c>
      <c r="Q163" s="18" t="str">
        <f t="shared" si="1"/>
        <v/>
      </c>
      <c r="R163" s="18" t="str">
        <f t="shared" si="2"/>
        <v/>
      </c>
      <c r="S163" s="18" t="str">
        <f t="shared" si="3"/>
        <v/>
      </c>
      <c r="T163" s="18" t="str">
        <f t="shared" si="4"/>
        <v/>
      </c>
      <c r="U163" s="18" t="str">
        <f t="shared" si="5"/>
        <v/>
      </c>
      <c r="V163" s="1"/>
    </row>
    <row r="164" spans="1:22" x14ac:dyDescent="0.25">
      <c r="A164" s="14"/>
      <c r="B164" s="34" t="s">
        <v>22</v>
      </c>
      <c r="C164" s="22"/>
      <c r="D164" s="25"/>
      <c r="E164" s="23"/>
      <c r="F164" s="42">
        <v>7.4999999999999997E-2</v>
      </c>
      <c r="G164" s="11">
        <v>10</v>
      </c>
      <c r="H164" s="1">
        <v>14</v>
      </c>
      <c r="I164" s="1">
        <f>ROUND(D148/F164+1,0)</f>
        <v>63</v>
      </c>
      <c r="J164" s="41">
        <f>C165+D167+E165+2*10*G164/1000</f>
        <v>0.72399999999999998</v>
      </c>
      <c r="K164" s="1"/>
      <c r="L164" s="1"/>
      <c r="M164" s="5">
        <f>4*3*G164/1000</f>
        <v>0.12</v>
      </c>
      <c r="N164" s="5">
        <f>(J164+K164-M164)</f>
        <v>0.60399999999999998</v>
      </c>
      <c r="O164" s="5">
        <f>(H164*I164*N164)</f>
        <v>532.72799999999995</v>
      </c>
      <c r="P164" s="18" t="str">
        <f t="shared" si="0"/>
        <v/>
      </c>
      <c r="Q164" s="18">
        <f t="shared" si="1"/>
        <v>532.72799999999995</v>
      </c>
      <c r="R164" s="18" t="str">
        <f t="shared" si="2"/>
        <v/>
      </c>
      <c r="S164" s="18" t="str">
        <f t="shared" si="3"/>
        <v/>
      </c>
      <c r="T164" s="18" t="str">
        <f t="shared" si="4"/>
        <v/>
      </c>
      <c r="U164" s="18" t="str">
        <f t="shared" si="5"/>
        <v/>
      </c>
      <c r="V164" s="1"/>
    </row>
    <row r="165" spans="1:22" x14ac:dyDescent="0.25">
      <c r="A165" s="14"/>
      <c r="B165" s="34"/>
      <c r="C165" s="29">
        <v>0.152</v>
      </c>
      <c r="D165" s="4"/>
      <c r="E165" s="23">
        <v>0.152</v>
      </c>
      <c r="F165" s="42"/>
      <c r="G165" s="11"/>
      <c r="H165" s="1"/>
      <c r="I165" s="1"/>
      <c r="J165" s="2"/>
      <c r="K165" s="1"/>
      <c r="L165" s="1"/>
      <c r="M165" s="1"/>
      <c r="N165" s="1"/>
      <c r="O165" s="5"/>
      <c r="P165" s="18" t="str">
        <f>IF($G165=8,$O165,"")</f>
        <v/>
      </c>
      <c r="Q165" s="18" t="str">
        <f>IF($G165=10,$O165,"")</f>
        <v/>
      </c>
      <c r="R165" s="18" t="str">
        <f>IF($G165=12,$O165,"")</f>
        <v/>
      </c>
      <c r="S165" s="18" t="str">
        <f>IF($G165=16,$O165,"")</f>
        <v/>
      </c>
      <c r="T165" s="18" t="str">
        <f>IF($G165=20,$O165,"")</f>
        <v/>
      </c>
      <c r="U165" s="18" t="str">
        <f>IF($G165=25,$O165,"")</f>
        <v/>
      </c>
      <c r="V165" s="1"/>
    </row>
    <row r="166" spans="1:22" x14ac:dyDescent="0.25">
      <c r="A166" s="14"/>
      <c r="B166" s="34"/>
      <c r="C166" s="22"/>
      <c r="D166" s="4"/>
      <c r="E166" s="23"/>
      <c r="F166" s="42"/>
      <c r="G166" s="11"/>
      <c r="H166" s="1"/>
      <c r="I166" s="1"/>
      <c r="J166" s="2"/>
      <c r="K166" s="1"/>
      <c r="L166" s="1"/>
      <c r="M166" s="1"/>
      <c r="N166" s="1"/>
      <c r="O166" s="5"/>
      <c r="P166" s="18" t="str">
        <f t="shared" si="0"/>
        <v/>
      </c>
      <c r="Q166" s="18" t="str">
        <f t="shared" si="1"/>
        <v/>
      </c>
      <c r="R166" s="18" t="str">
        <f t="shared" si="2"/>
        <v/>
      </c>
      <c r="S166" s="18" t="str">
        <f t="shared" si="3"/>
        <v/>
      </c>
      <c r="T166" s="18" t="str">
        <f t="shared" si="4"/>
        <v/>
      </c>
      <c r="U166" s="18" t="str">
        <f t="shared" si="5"/>
        <v/>
      </c>
      <c r="V166" s="1"/>
    </row>
    <row r="167" spans="1:22" x14ac:dyDescent="0.25">
      <c r="A167" s="14"/>
      <c r="B167" s="34"/>
      <c r="C167" s="22"/>
      <c r="D167" s="9">
        <f>0.3-0.08</f>
        <v>0.21999999999999997</v>
      </c>
      <c r="E167" s="23"/>
      <c r="F167" s="42"/>
      <c r="G167" s="11"/>
      <c r="H167" s="1"/>
      <c r="I167" s="1"/>
      <c r="J167" s="2"/>
      <c r="K167" s="1"/>
      <c r="L167" s="1"/>
      <c r="M167" s="1"/>
      <c r="N167" s="1"/>
      <c r="O167" s="5"/>
      <c r="P167" s="18" t="str">
        <f t="shared" si="0"/>
        <v/>
      </c>
      <c r="Q167" s="18" t="str">
        <f t="shared" si="1"/>
        <v/>
      </c>
      <c r="R167" s="18" t="str">
        <f t="shared" si="2"/>
        <v/>
      </c>
      <c r="S167" s="18" t="str">
        <f t="shared" si="3"/>
        <v/>
      </c>
      <c r="T167" s="18" t="str">
        <f t="shared" si="4"/>
        <v/>
      </c>
      <c r="U167" s="18" t="str">
        <f t="shared" si="5"/>
        <v/>
      </c>
      <c r="V167" s="1"/>
    </row>
    <row r="168" spans="1:22" x14ac:dyDescent="0.25">
      <c r="A168" s="14"/>
      <c r="B168" s="34"/>
      <c r="C168" s="22"/>
      <c r="D168" s="4"/>
      <c r="E168" s="23"/>
      <c r="F168" s="42"/>
      <c r="G168" s="11"/>
      <c r="H168" s="1"/>
      <c r="I168" s="1"/>
      <c r="J168" s="2"/>
      <c r="K168" s="1"/>
      <c r="L168" s="1"/>
      <c r="M168" s="1"/>
      <c r="N168" s="1"/>
      <c r="O168" s="5"/>
      <c r="P168" s="18" t="str">
        <f t="shared" si="0"/>
        <v/>
      </c>
      <c r="Q168" s="18" t="str">
        <f t="shared" si="1"/>
        <v/>
      </c>
      <c r="R168" s="18" t="str">
        <f t="shared" si="2"/>
        <v/>
      </c>
      <c r="S168" s="18" t="str">
        <f t="shared" si="3"/>
        <v/>
      </c>
      <c r="T168" s="18" t="str">
        <f t="shared" si="4"/>
        <v/>
      </c>
      <c r="U168" s="18" t="str">
        <f t="shared" si="5"/>
        <v/>
      </c>
      <c r="V168" s="1"/>
    </row>
    <row r="169" spans="1:22" x14ac:dyDescent="0.25">
      <c r="A169" s="14"/>
      <c r="B169" s="34" t="s">
        <v>36</v>
      </c>
      <c r="C169" s="22"/>
      <c r="D169" s="25"/>
      <c r="E169" s="23"/>
      <c r="F169" s="42">
        <v>7.4999999999999997E-2</v>
      </c>
      <c r="G169" s="11">
        <v>10</v>
      </c>
      <c r="H169" s="1">
        <v>14</v>
      </c>
      <c r="I169" s="1">
        <f>ROUND(D148/F169+1,0)</f>
        <v>63</v>
      </c>
      <c r="J169" s="41">
        <f>C170+D172+E170+2*10*G169/1000</f>
        <v>0.72399999999999998</v>
      </c>
      <c r="K169" s="1"/>
      <c r="L169" s="1"/>
      <c r="M169" s="5">
        <f>4*3*G169/1000</f>
        <v>0.12</v>
      </c>
      <c r="N169" s="5">
        <f>(J169+K169-M169)</f>
        <v>0.60399999999999998</v>
      </c>
      <c r="O169" s="5">
        <f>(H169*I169*N169)</f>
        <v>532.72799999999995</v>
      </c>
      <c r="P169" s="18" t="str">
        <f t="shared" si="0"/>
        <v/>
      </c>
      <c r="Q169" s="18">
        <f t="shared" si="1"/>
        <v>532.72799999999995</v>
      </c>
      <c r="R169" s="18" t="str">
        <f t="shared" si="2"/>
        <v/>
      </c>
      <c r="S169" s="18" t="str">
        <f t="shared" si="3"/>
        <v/>
      </c>
      <c r="T169" s="18" t="str">
        <f t="shared" si="4"/>
        <v/>
      </c>
      <c r="U169" s="18" t="str">
        <f t="shared" si="5"/>
        <v/>
      </c>
      <c r="V169" s="1"/>
    </row>
    <row r="170" spans="1:22" x14ac:dyDescent="0.25">
      <c r="A170" s="14"/>
      <c r="B170" s="34"/>
      <c r="C170" s="29">
        <v>0.152</v>
      </c>
      <c r="D170" s="4"/>
      <c r="E170" s="23">
        <v>0.152</v>
      </c>
      <c r="F170" s="42"/>
      <c r="G170" s="11"/>
      <c r="H170" s="1"/>
      <c r="I170" s="1"/>
      <c r="J170" s="2"/>
      <c r="K170" s="1"/>
      <c r="L170" s="1"/>
      <c r="M170" s="1"/>
      <c r="N170" s="1"/>
      <c r="O170" s="5"/>
      <c r="P170" s="18" t="str">
        <f t="shared" si="0"/>
        <v/>
      </c>
      <c r="Q170" s="18" t="str">
        <f t="shared" si="1"/>
        <v/>
      </c>
      <c r="R170" s="18" t="str">
        <f t="shared" si="2"/>
        <v/>
      </c>
      <c r="S170" s="18" t="str">
        <f t="shared" si="3"/>
        <v/>
      </c>
      <c r="T170" s="18" t="str">
        <f t="shared" si="4"/>
        <v/>
      </c>
      <c r="U170" s="18" t="str">
        <f t="shared" si="5"/>
        <v/>
      </c>
      <c r="V170" s="1"/>
    </row>
    <row r="171" spans="1:22" x14ac:dyDescent="0.25">
      <c r="A171" s="14"/>
      <c r="B171" s="34"/>
      <c r="C171" s="22"/>
      <c r="D171" s="4"/>
      <c r="E171" s="23"/>
      <c r="F171" s="42"/>
      <c r="G171" s="11"/>
      <c r="H171" s="1"/>
      <c r="I171" s="1"/>
      <c r="J171" s="2"/>
      <c r="K171" s="1"/>
      <c r="L171" s="1"/>
      <c r="M171" s="1"/>
      <c r="N171" s="1"/>
      <c r="O171" s="3"/>
      <c r="P171" s="18" t="str">
        <f t="shared" si="0"/>
        <v/>
      </c>
      <c r="Q171" s="18" t="str">
        <f t="shared" si="1"/>
        <v/>
      </c>
      <c r="R171" s="18" t="str">
        <f t="shared" si="2"/>
        <v/>
      </c>
      <c r="S171" s="18" t="str">
        <f t="shared" si="3"/>
        <v/>
      </c>
      <c r="T171" s="18" t="str">
        <f t="shared" si="4"/>
        <v/>
      </c>
      <c r="U171" s="18" t="str">
        <f t="shared" si="5"/>
        <v/>
      </c>
      <c r="V171" s="1"/>
    </row>
    <row r="172" spans="1:22" x14ac:dyDescent="0.25">
      <c r="A172" s="14"/>
      <c r="B172" s="34"/>
      <c r="C172" s="22"/>
      <c r="D172" s="9">
        <f>0.3-0.08</f>
        <v>0.21999999999999997</v>
      </c>
      <c r="E172" s="23"/>
      <c r="F172" s="42"/>
      <c r="G172" s="11"/>
      <c r="H172" s="1"/>
      <c r="I172" s="1"/>
      <c r="J172" s="2"/>
      <c r="K172" s="1"/>
      <c r="L172" s="1"/>
      <c r="M172" s="1"/>
      <c r="N172" s="1"/>
      <c r="O172" s="3"/>
      <c r="P172" s="18" t="str">
        <f t="shared" si="0"/>
        <v/>
      </c>
      <c r="Q172" s="18" t="str">
        <f t="shared" si="1"/>
        <v/>
      </c>
      <c r="R172" s="18" t="str">
        <f t="shared" si="2"/>
        <v/>
      </c>
      <c r="S172" s="18" t="str">
        <f t="shared" si="3"/>
        <v/>
      </c>
      <c r="T172" s="18" t="str">
        <f t="shared" si="4"/>
        <v/>
      </c>
      <c r="U172" s="18" t="str">
        <f t="shared" si="5"/>
        <v/>
      </c>
      <c r="V172" s="1"/>
    </row>
    <row r="173" spans="1:22" x14ac:dyDescent="0.25">
      <c r="A173" s="14"/>
      <c r="B173" s="33"/>
      <c r="C173" s="22"/>
      <c r="D173" s="4"/>
      <c r="E173" s="23"/>
      <c r="F173" s="42"/>
      <c r="G173" s="11"/>
      <c r="H173" s="1"/>
      <c r="I173" s="1"/>
      <c r="J173" s="2"/>
      <c r="K173" s="1"/>
      <c r="L173" s="1"/>
      <c r="M173" s="1"/>
      <c r="N173" s="1"/>
      <c r="O173" s="3"/>
      <c r="P173" s="18" t="str">
        <f t="shared" si="0"/>
        <v/>
      </c>
      <c r="Q173" s="18" t="str">
        <f t="shared" si="1"/>
        <v/>
      </c>
      <c r="R173" s="18" t="str">
        <f t="shared" si="2"/>
        <v/>
      </c>
      <c r="S173" s="18" t="str">
        <f t="shared" si="3"/>
        <v/>
      </c>
      <c r="T173" s="18" t="str">
        <f t="shared" si="4"/>
        <v/>
      </c>
      <c r="U173" s="18" t="str">
        <f t="shared" si="5"/>
        <v/>
      </c>
      <c r="V173" s="1"/>
    </row>
    <row r="174" spans="1:22" x14ac:dyDescent="0.25">
      <c r="A174" s="14"/>
      <c r="B174" s="33"/>
      <c r="C174" s="22"/>
      <c r="D174" s="4"/>
      <c r="E174" s="39">
        <v>0.1</v>
      </c>
      <c r="F174" s="42"/>
      <c r="G174" s="11"/>
      <c r="H174" s="1"/>
      <c r="I174" s="1"/>
      <c r="J174" s="2"/>
      <c r="K174" s="1"/>
      <c r="L174" s="1"/>
      <c r="M174" s="1"/>
      <c r="N174" s="1"/>
      <c r="O174" s="3"/>
      <c r="P174" s="18" t="str">
        <f t="shared" si="0"/>
        <v/>
      </c>
      <c r="Q174" s="18" t="str">
        <f t="shared" si="1"/>
        <v/>
      </c>
      <c r="R174" s="18" t="str">
        <f t="shared" si="2"/>
        <v/>
      </c>
      <c r="S174" s="18" t="str">
        <f t="shared" si="3"/>
        <v/>
      </c>
      <c r="T174" s="18" t="str">
        <f t="shared" si="4"/>
        <v/>
      </c>
      <c r="U174" s="18" t="str">
        <f t="shared" si="5"/>
        <v/>
      </c>
      <c r="V174" s="1"/>
    </row>
    <row r="175" spans="1:22" x14ac:dyDescent="0.25">
      <c r="A175" s="14"/>
      <c r="B175" s="34" t="s">
        <v>37</v>
      </c>
      <c r="C175" s="22"/>
      <c r="D175" s="25">
        <f>0.3-0.08</f>
        <v>0.21999999999999997</v>
      </c>
      <c r="E175" s="39"/>
      <c r="F175" s="42">
        <v>7.4999999999999997E-2</v>
      </c>
      <c r="G175" s="11">
        <v>10</v>
      </c>
      <c r="H175" s="1">
        <v>14</v>
      </c>
      <c r="I175" s="1">
        <f>ROUND(D148/F175+1,0)</f>
        <v>63</v>
      </c>
      <c r="J175" s="41">
        <f>D175+E174+E176</f>
        <v>0.41999999999999993</v>
      </c>
      <c r="K175" s="1"/>
      <c r="L175" s="1"/>
      <c r="M175" s="5">
        <f>2*3*G175/1000</f>
        <v>0.06</v>
      </c>
      <c r="N175" s="5">
        <f>(J175+K175-M175)</f>
        <v>0.35999999999999993</v>
      </c>
      <c r="O175" s="5">
        <f>(H175*I175*N175)</f>
        <v>317.51999999999992</v>
      </c>
      <c r="P175" s="18" t="str">
        <f t="shared" si="0"/>
        <v/>
      </c>
      <c r="Q175" s="18">
        <f t="shared" si="1"/>
        <v>317.51999999999992</v>
      </c>
      <c r="R175" s="18" t="str">
        <f t="shared" si="2"/>
        <v/>
      </c>
      <c r="S175" s="18" t="str">
        <f t="shared" si="3"/>
        <v/>
      </c>
      <c r="T175" s="18" t="str">
        <f t="shared" si="4"/>
        <v/>
      </c>
      <c r="U175" s="18" t="str">
        <f t="shared" si="5"/>
        <v/>
      </c>
      <c r="V175" s="1"/>
    </row>
    <row r="176" spans="1:22" x14ac:dyDescent="0.25">
      <c r="A176" s="14"/>
      <c r="B176" s="33"/>
      <c r="C176" s="22"/>
      <c r="D176" s="4"/>
      <c r="E176" s="39">
        <v>0.1</v>
      </c>
      <c r="F176" s="42"/>
      <c r="G176" s="11"/>
      <c r="H176" s="1"/>
      <c r="I176" s="1"/>
      <c r="J176" s="2"/>
      <c r="K176" s="1"/>
      <c r="L176" s="1"/>
      <c r="M176" s="1"/>
      <c r="N176" s="1"/>
      <c r="O176" s="3"/>
      <c r="P176" s="18" t="str">
        <f t="shared" si="0"/>
        <v/>
      </c>
      <c r="Q176" s="18" t="str">
        <f t="shared" si="1"/>
        <v/>
      </c>
      <c r="R176" s="18" t="str">
        <f t="shared" si="2"/>
        <v/>
      </c>
      <c r="S176" s="18" t="str">
        <f t="shared" si="3"/>
        <v/>
      </c>
      <c r="T176" s="18" t="str">
        <f t="shared" si="4"/>
        <v/>
      </c>
      <c r="U176" s="18" t="str">
        <f t="shared" si="5"/>
        <v/>
      </c>
      <c r="V176" s="1"/>
    </row>
    <row r="177" spans="1:22" x14ac:dyDescent="0.25">
      <c r="A177" s="14"/>
      <c r="B177" s="34"/>
      <c r="C177" s="22"/>
      <c r="D177" s="28"/>
      <c r="E177" s="23"/>
      <c r="F177" s="42"/>
      <c r="G177" s="11"/>
      <c r="H177" s="1"/>
      <c r="I177" s="1"/>
      <c r="J177" s="2"/>
      <c r="K177" s="1"/>
      <c r="L177" s="1"/>
      <c r="M177" s="1"/>
      <c r="N177" s="1"/>
      <c r="O177" s="3"/>
      <c r="P177" s="18" t="str">
        <f t="shared" si="0"/>
        <v/>
      </c>
      <c r="Q177" s="18" t="str">
        <f t="shared" si="1"/>
        <v/>
      </c>
      <c r="R177" s="18" t="str">
        <f t="shared" si="2"/>
        <v/>
      </c>
      <c r="S177" s="18" t="str">
        <f t="shared" si="3"/>
        <v/>
      </c>
      <c r="T177" s="18" t="str">
        <f t="shared" si="4"/>
        <v/>
      </c>
      <c r="U177" s="18" t="str">
        <f t="shared" si="5"/>
        <v/>
      </c>
      <c r="V177" s="1"/>
    </row>
    <row r="178" spans="1:22" x14ac:dyDescent="0.25">
      <c r="A178" s="14">
        <v>7</v>
      </c>
      <c r="B178" s="14" t="s">
        <v>41</v>
      </c>
      <c r="C178" s="22"/>
      <c r="D178" s="4"/>
      <c r="E178" s="23"/>
      <c r="F178" s="42"/>
      <c r="G178" s="11"/>
      <c r="H178" s="1"/>
      <c r="I178" s="1"/>
      <c r="J178" s="9"/>
      <c r="K178" s="5"/>
      <c r="L178" s="5"/>
      <c r="M178" s="1"/>
      <c r="N178" s="5"/>
      <c r="O178" s="5"/>
      <c r="P178" s="18" t="str">
        <f>IF($G178=8,$O178,"")</f>
        <v/>
      </c>
      <c r="Q178" s="18" t="str">
        <f>IF($G178=10,$O178,"")</f>
        <v/>
      </c>
      <c r="R178" s="18" t="str">
        <f>IF($G178=12,$O178,"")</f>
        <v/>
      </c>
      <c r="S178" s="18" t="str">
        <f>IF($G178=16,$O178,"")</f>
        <v/>
      </c>
      <c r="T178" s="18" t="str">
        <f>IF($G178=20,$O178,"")</f>
        <v/>
      </c>
      <c r="U178" s="18" t="str">
        <f>IF($G178=25,$O178,"")</f>
        <v/>
      </c>
      <c r="V178" s="1"/>
    </row>
    <row r="179" spans="1:22" x14ac:dyDescent="0.25">
      <c r="A179" s="14"/>
      <c r="B179" s="33" t="s">
        <v>18</v>
      </c>
      <c r="C179" s="22"/>
      <c r="D179" s="38">
        <f>2.8+0.15-0.075-0.032+1.8</f>
        <v>4.6429999999999998</v>
      </c>
      <c r="E179" s="23"/>
      <c r="F179" s="42"/>
      <c r="G179" s="11">
        <v>16</v>
      </c>
      <c r="H179" s="1">
        <v>4</v>
      </c>
      <c r="I179" s="1">
        <v>4</v>
      </c>
      <c r="J179" s="9">
        <f>D179</f>
        <v>4.6429999999999998</v>
      </c>
      <c r="K179" s="5"/>
      <c r="L179" s="5"/>
      <c r="M179" s="1">
        <f>2*G179/1000</f>
        <v>3.2000000000000001E-2</v>
      </c>
      <c r="N179" s="5">
        <f>J179+E181-M179</f>
        <v>4.9109999999999996</v>
      </c>
      <c r="O179" s="5">
        <f>H179*I179*N179</f>
        <v>78.575999999999993</v>
      </c>
      <c r="P179" s="18" t="str">
        <f t="shared" si="0"/>
        <v/>
      </c>
      <c r="Q179" s="18" t="str">
        <f t="shared" si="1"/>
        <v/>
      </c>
      <c r="R179" s="18" t="str">
        <f t="shared" si="2"/>
        <v/>
      </c>
      <c r="S179" s="18">
        <f t="shared" si="3"/>
        <v>78.575999999999993</v>
      </c>
      <c r="T179" s="18" t="str">
        <f t="shared" si="4"/>
        <v/>
      </c>
      <c r="U179" s="18" t="str">
        <f t="shared" si="5"/>
        <v/>
      </c>
      <c r="V179" s="1"/>
    </row>
    <row r="180" spans="1:22" x14ac:dyDescent="0.25">
      <c r="A180" s="14"/>
      <c r="B180" s="33" t="s">
        <v>32</v>
      </c>
      <c r="C180" s="22"/>
      <c r="D180" s="4"/>
      <c r="E180" s="23"/>
      <c r="F180" s="42"/>
      <c r="G180" s="11">
        <v>12</v>
      </c>
      <c r="H180" s="1">
        <v>4</v>
      </c>
      <c r="I180" s="1">
        <v>2</v>
      </c>
      <c r="J180" s="9">
        <f>D179</f>
        <v>4.6429999999999998</v>
      </c>
      <c r="K180" s="5"/>
      <c r="L180" s="5"/>
      <c r="M180" s="1">
        <f>2*G180/1000</f>
        <v>2.4E-2</v>
      </c>
      <c r="N180" s="5">
        <f>J180+E181-M180</f>
        <v>4.9189999999999996</v>
      </c>
      <c r="O180" s="5">
        <f>H180*I180*N180</f>
        <v>39.351999999999997</v>
      </c>
      <c r="P180" s="18" t="str">
        <f t="shared" si="0"/>
        <v/>
      </c>
      <c r="Q180" s="18" t="str">
        <f t="shared" si="1"/>
        <v/>
      </c>
      <c r="R180" s="18">
        <f t="shared" si="2"/>
        <v>39.351999999999997</v>
      </c>
      <c r="S180" s="18" t="str">
        <f t="shared" si="3"/>
        <v/>
      </c>
      <c r="T180" s="18" t="str">
        <f t="shared" si="4"/>
        <v/>
      </c>
      <c r="U180" s="18" t="str">
        <f t="shared" si="5"/>
        <v/>
      </c>
      <c r="V180" s="1"/>
    </row>
    <row r="181" spans="1:22" x14ac:dyDescent="0.25">
      <c r="A181" s="14"/>
      <c r="B181" s="33" t="s">
        <v>26</v>
      </c>
      <c r="C181" s="24"/>
      <c r="D181" s="25"/>
      <c r="E181" s="39">
        <v>0.3</v>
      </c>
      <c r="F181" s="42"/>
      <c r="G181" s="11">
        <v>12</v>
      </c>
      <c r="H181" s="1">
        <v>4</v>
      </c>
      <c r="I181" s="1">
        <v>4</v>
      </c>
      <c r="J181" s="9">
        <f>D179</f>
        <v>4.6429999999999998</v>
      </c>
      <c r="K181" s="5"/>
      <c r="L181" s="5"/>
      <c r="M181" s="1">
        <f>2*G181/1000</f>
        <v>2.4E-2</v>
      </c>
      <c r="N181" s="5">
        <f>J181+E181-M181</f>
        <v>4.9189999999999996</v>
      </c>
      <c r="O181" s="5">
        <f>H181*I181*N181</f>
        <v>78.703999999999994</v>
      </c>
      <c r="P181" s="18" t="str">
        <f t="shared" si="0"/>
        <v/>
      </c>
      <c r="Q181" s="18" t="str">
        <f t="shared" si="1"/>
        <v/>
      </c>
      <c r="R181" s="18">
        <f t="shared" si="2"/>
        <v>78.703999999999994</v>
      </c>
      <c r="S181" s="18" t="str">
        <f t="shared" si="3"/>
        <v/>
      </c>
      <c r="T181" s="18" t="str">
        <f t="shared" si="4"/>
        <v/>
      </c>
      <c r="U181" s="18" t="str">
        <f t="shared" si="5"/>
        <v/>
      </c>
      <c r="V181" s="1"/>
    </row>
    <row r="182" spans="1:22" x14ac:dyDescent="0.25">
      <c r="A182" s="14"/>
      <c r="B182" s="33" t="s">
        <v>19</v>
      </c>
      <c r="C182" s="22"/>
      <c r="D182" s="4"/>
      <c r="E182" s="23"/>
      <c r="F182" s="42"/>
      <c r="G182" s="11">
        <v>12</v>
      </c>
      <c r="H182" s="1">
        <v>4</v>
      </c>
      <c r="I182" s="1">
        <v>4</v>
      </c>
      <c r="J182" s="9">
        <f>D179</f>
        <v>4.6429999999999998</v>
      </c>
      <c r="K182" s="5"/>
      <c r="L182" s="5"/>
      <c r="M182" s="1">
        <f>2*G182/1000</f>
        <v>2.4E-2</v>
      </c>
      <c r="N182" s="5">
        <f>J182+E181-M182</f>
        <v>4.9189999999999996</v>
      </c>
      <c r="O182" s="5">
        <f>H182*I182*N182</f>
        <v>78.703999999999994</v>
      </c>
      <c r="P182" s="18" t="str">
        <f t="shared" si="0"/>
        <v/>
      </c>
      <c r="Q182" s="18" t="str">
        <f t="shared" si="1"/>
        <v/>
      </c>
      <c r="R182" s="18">
        <f t="shared" si="2"/>
        <v>78.703999999999994</v>
      </c>
      <c r="S182" s="18" t="str">
        <f t="shared" si="3"/>
        <v/>
      </c>
      <c r="T182" s="18" t="str">
        <f t="shared" si="4"/>
        <v/>
      </c>
      <c r="U182" s="18" t="str">
        <f t="shared" si="5"/>
        <v/>
      </c>
      <c r="V182" s="1"/>
    </row>
    <row r="183" spans="1:22" x14ac:dyDescent="0.25">
      <c r="A183" s="14"/>
      <c r="B183" s="33" t="s">
        <v>35</v>
      </c>
      <c r="C183" s="22"/>
      <c r="D183" s="4"/>
      <c r="E183" s="23"/>
      <c r="F183" s="42"/>
      <c r="G183" s="11">
        <v>12</v>
      </c>
      <c r="H183" s="1">
        <v>4</v>
      </c>
      <c r="I183" s="1">
        <v>4</v>
      </c>
      <c r="J183" s="9">
        <f>D179</f>
        <v>4.6429999999999998</v>
      </c>
      <c r="K183" s="5"/>
      <c r="L183" s="5"/>
      <c r="M183" s="1">
        <f>2*G183/1000</f>
        <v>2.4E-2</v>
      </c>
      <c r="N183" s="5">
        <f>J183+E182-M183</f>
        <v>4.6189999999999998</v>
      </c>
      <c r="O183" s="5">
        <f>H183*I183*N183</f>
        <v>73.903999999999996</v>
      </c>
      <c r="P183" s="18" t="str">
        <f t="shared" si="0"/>
        <v/>
      </c>
      <c r="Q183" s="18" t="str">
        <f t="shared" si="1"/>
        <v/>
      </c>
      <c r="R183" s="18">
        <f t="shared" si="2"/>
        <v>73.903999999999996</v>
      </c>
      <c r="S183" s="18" t="str">
        <f t="shared" si="3"/>
        <v/>
      </c>
      <c r="T183" s="18" t="str">
        <f t="shared" si="4"/>
        <v/>
      </c>
      <c r="U183" s="18" t="str">
        <f t="shared" si="5"/>
        <v/>
      </c>
      <c r="V183" s="1"/>
    </row>
    <row r="184" spans="1:22" x14ac:dyDescent="0.25">
      <c r="A184" s="14"/>
      <c r="B184" s="33"/>
      <c r="C184" s="22"/>
      <c r="D184" s="4"/>
      <c r="E184" s="23"/>
      <c r="F184" s="42"/>
      <c r="G184" s="11"/>
      <c r="H184" s="1"/>
      <c r="I184" s="1"/>
      <c r="J184" s="2"/>
      <c r="K184" s="1"/>
      <c r="L184" s="1"/>
      <c r="M184" s="1"/>
      <c r="N184" s="1"/>
      <c r="O184" s="3"/>
      <c r="P184" s="18" t="str">
        <f t="shared" si="0"/>
        <v/>
      </c>
      <c r="Q184" s="18" t="str">
        <f t="shared" si="1"/>
        <v/>
      </c>
      <c r="R184" s="18" t="str">
        <f t="shared" si="2"/>
        <v/>
      </c>
      <c r="S184" s="18" t="str">
        <f t="shared" si="3"/>
        <v/>
      </c>
      <c r="T184" s="18" t="str">
        <f t="shared" si="4"/>
        <v/>
      </c>
      <c r="U184" s="18" t="str">
        <f t="shared" si="5"/>
        <v/>
      </c>
      <c r="V184" s="1"/>
    </row>
    <row r="185" spans="1:22" x14ac:dyDescent="0.25">
      <c r="A185" s="14"/>
      <c r="B185" s="14"/>
      <c r="C185" s="29">
        <v>80</v>
      </c>
      <c r="D185" s="4"/>
      <c r="E185" s="23"/>
      <c r="F185" s="42"/>
      <c r="G185" s="11"/>
      <c r="H185" s="1"/>
      <c r="I185" s="1"/>
      <c r="J185" s="2"/>
      <c r="K185" s="1"/>
      <c r="L185" s="1"/>
      <c r="M185" s="1"/>
      <c r="N185" s="1"/>
      <c r="O185" s="3"/>
      <c r="P185" s="18" t="str">
        <f t="shared" si="0"/>
        <v/>
      </c>
      <c r="Q185" s="18" t="str">
        <f t="shared" si="1"/>
        <v/>
      </c>
      <c r="R185" s="18" t="str">
        <f t="shared" si="2"/>
        <v/>
      </c>
      <c r="S185" s="18" t="str">
        <f t="shared" si="3"/>
        <v/>
      </c>
      <c r="T185" s="18" t="str">
        <f t="shared" si="4"/>
        <v/>
      </c>
      <c r="U185" s="18" t="str">
        <f t="shared" si="5"/>
        <v/>
      </c>
      <c r="V185" s="1"/>
    </row>
    <row r="186" spans="1:22" x14ac:dyDescent="0.25">
      <c r="A186" s="14"/>
      <c r="B186" s="34" t="s">
        <v>20</v>
      </c>
      <c r="C186" s="26"/>
      <c r="D186" s="4"/>
      <c r="E186" s="40">
        <f>0.8-0.08</f>
        <v>0.72000000000000008</v>
      </c>
      <c r="F186" s="42">
        <v>7.4999999999999997E-2</v>
      </c>
      <c r="G186" s="11">
        <v>10</v>
      </c>
      <c r="H186" s="1">
        <v>4</v>
      </c>
      <c r="I186" s="1">
        <f>ROUND(D179/F186+1,0)</f>
        <v>63</v>
      </c>
      <c r="J186" s="41">
        <f>2*(D188+E186)+16*10/1000</f>
        <v>2.04</v>
      </c>
      <c r="K186" s="1"/>
      <c r="L186" s="1"/>
      <c r="M186" s="1"/>
      <c r="N186" s="5">
        <f>(J186+K186-M186)</f>
        <v>2.04</v>
      </c>
      <c r="O186" s="5">
        <f>(H186*I186*N186)</f>
        <v>514.08000000000004</v>
      </c>
      <c r="P186" s="18" t="str">
        <f t="shared" si="0"/>
        <v/>
      </c>
      <c r="Q186" s="18">
        <f t="shared" si="1"/>
        <v>514.08000000000004</v>
      </c>
      <c r="R186" s="18" t="str">
        <f t="shared" si="2"/>
        <v/>
      </c>
      <c r="S186" s="18" t="str">
        <f t="shared" si="3"/>
        <v/>
      </c>
      <c r="T186" s="18" t="str">
        <f t="shared" si="4"/>
        <v/>
      </c>
      <c r="U186" s="18" t="str">
        <f t="shared" si="5"/>
        <v/>
      </c>
      <c r="V186" s="1"/>
    </row>
    <row r="187" spans="1:22" x14ac:dyDescent="0.25">
      <c r="A187" s="14"/>
      <c r="B187" s="34"/>
      <c r="C187" s="22"/>
      <c r="D187" s="4"/>
      <c r="E187" s="27"/>
      <c r="F187" s="42"/>
      <c r="G187" s="11"/>
      <c r="H187" s="1"/>
      <c r="I187" s="1"/>
      <c r="J187" s="2"/>
      <c r="K187" s="1"/>
      <c r="L187" s="1"/>
      <c r="M187" s="1"/>
      <c r="N187" s="1"/>
      <c r="O187" s="5"/>
      <c r="P187" s="18" t="str">
        <f t="shared" si="0"/>
        <v/>
      </c>
      <c r="Q187" s="18" t="str">
        <f t="shared" si="1"/>
        <v/>
      </c>
      <c r="R187" s="18" t="str">
        <f t="shared" si="2"/>
        <v/>
      </c>
      <c r="S187" s="18" t="str">
        <f t="shared" si="3"/>
        <v/>
      </c>
      <c r="T187" s="18" t="str">
        <f t="shared" si="4"/>
        <v/>
      </c>
      <c r="U187" s="18" t="str">
        <f t="shared" si="5"/>
        <v/>
      </c>
      <c r="V187" s="1"/>
    </row>
    <row r="188" spans="1:22" x14ac:dyDescent="0.25">
      <c r="A188" s="14"/>
      <c r="B188" s="34"/>
      <c r="C188" s="22"/>
      <c r="D188" s="9">
        <f>0.3-0.08</f>
        <v>0.21999999999999997</v>
      </c>
      <c r="E188" s="23"/>
      <c r="F188" s="42"/>
      <c r="G188" s="11"/>
      <c r="H188" s="1"/>
      <c r="I188" s="1"/>
      <c r="J188" s="2"/>
      <c r="K188" s="1"/>
      <c r="L188" s="1"/>
      <c r="M188" s="1"/>
      <c r="N188" s="1"/>
      <c r="O188" s="5"/>
      <c r="P188" s="18" t="str">
        <f t="shared" si="0"/>
        <v/>
      </c>
      <c r="Q188" s="18" t="str">
        <f t="shared" si="1"/>
        <v/>
      </c>
      <c r="R188" s="18" t="str">
        <f t="shared" si="2"/>
        <v/>
      </c>
      <c r="S188" s="18" t="str">
        <f t="shared" si="3"/>
        <v/>
      </c>
      <c r="T188" s="18" t="str">
        <f t="shared" si="4"/>
        <v/>
      </c>
      <c r="U188" s="18" t="str">
        <f t="shared" si="5"/>
        <v/>
      </c>
      <c r="V188" s="1"/>
    </row>
    <row r="189" spans="1:22" x14ac:dyDescent="0.25">
      <c r="A189" s="14"/>
      <c r="B189" s="33"/>
      <c r="C189" s="22"/>
      <c r="D189" s="4"/>
      <c r="E189" s="23"/>
      <c r="F189" s="42"/>
      <c r="G189" s="11"/>
      <c r="H189" s="1"/>
      <c r="I189" s="1"/>
      <c r="J189" s="2"/>
      <c r="K189" s="1"/>
      <c r="L189" s="1"/>
      <c r="M189" s="1"/>
      <c r="N189" s="1"/>
      <c r="O189" s="5"/>
      <c r="P189" s="18" t="str">
        <f t="shared" si="0"/>
        <v/>
      </c>
      <c r="Q189" s="18" t="str">
        <f t="shared" si="1"/>
        <v/>
      </c>
      <c r="R189" s="18" t="str">
        <f t="shared" si="2"/>
        <v/>
      </c>
      <c r="S189" s="18" t="str">
        <f t="shared" si="3"/>
        <v/>
      </c>
      <c r="T189" s="18" t="str">
        <f t="shared" si="4"/>
        <v/>
      </c>
      <c r="U189" s="18" t="str">
        <f t="shared" si="5"/>
        <v/>
      </c>
      <c r="V189" s="1"/>
    </row>
    <row r="190" spans="1:22" x14ac:dyDescent="0.25">
      <c r="A190" s="14"/>
      <c r="B190" s="14"/>
      <c r="C190" s="29">
        <v>80</v>
      </c>
      <c r="D190" s="4"/>
      <c r="E190" s="23"/>
      <c r="F190" s="42"/>
      <c r="G190" s="11"/>
      <c r="H190" s="1"/>
      <c r="I190" s="1"/>
      <c r="J190" s="2"/>
      <c r="K190" s="1"/>
      <c r="L190" s="1"/>
      <c r="M190" s="1"/>
      <c r="N190" s="1"/>
      <c r="O190" s="5"/>
      <c r="P190" s="18" t="str">
        <f t="shared" si="0"/>
        <v/>
      </c>
      <c r="Q190" s="18" t="str">
        <f t="shared" si="1"/>
        <v/>
      </c>
      <c r="R190" s="18" t="str">
        <f t="shared" si="2"/>
        <v/>
      </c>
      <c r="S190" s="18" t="str">
        <f t="shared" si="3"/>
        <v/>
      </c>
      <c r="T190" s="18" t="str">
        <f t="shared" si="4"/>
        <v/>
      </c>
      <c r="U190" s="18" t="str">
        <f t="shared" si="5"/>
        <v/>
      </c>
      <c r="V190" s="1"/>
    </row>
    <row r="191" spans="1:22" x14ac:dyDescent="0.25">
      <c r="A191" s="14"/>
      <c r="B191" s="34" t="s">
        <v>21</v>
      </c>
      <c r="C191" s="26"/>
      <c r="D191" s="4"/>
      <c r="E191" s="40">
        <f>((0.8-0.08-0.016)/7)+0.012+0.02</f>
        <v>0.13257142857142856</v>
      </c>
      <c r="F191" s="42">
        <v>7.4999999999999997E-2</v>
      </c>
      <c r="G191" s="11">
        <v>10</v>
      </c>
      <c r="H191" s="1">
        <v>4</v>
      </c>
      <c r="I191" s="1">
        <f>ROUND(D179/F191+1,0)</f>
        <v>63</v>
      </c>
      <c r="J191" s="41">
        <f>2*(D193+E191)+16*10/1000</f>
        <v>0.8651428571428571</v>
      </c>
      <c r="K191" s="1"/>
      <c r="L191" s="1"/>
      <c r="M191" s="1"/>
      <c r="N191" s="5">
        <f>(J191+K191-M191)</f>
        <v>0.8651428571428571</v>
      </c>
      <c r="O191" s="5">
        <f>(H191*I191*N191)</f>
        <v>218.01599999999999</v>
      </c>
      <c r="P191" s="18" t="str">
        <f t="shared" si="0"/>
        <v/>
      </c>
      <c r="Q191" s="18">
        <f t="shared" si="1"/>
        <v>218.01599999999999</v>
      </c>
      <c r="R191" s="18" t="str">
        <f t="shared" si="2"/>
        <v/>
      </c>
      <c r="S191" s="18" t="str">
        <f t="shared" si="3"/>
        <v/>
      </c>
      <c r="T191" s="18" t="str">
        <f t="shared" si="4"/>
        <v/>
      </c>
      <c r="U191" s="18" t="str">
        <f t="shared" si="5"/>
        <v/>
      </c>
      <c r="V191" s="1"/>
    </row>
    <row r="192" spans="1:22" x14ac:dyDescent="0.25">
      <c r="A192" s="14"/>
      <c r="B192" s="34"/>
      <c r="C192" s="22"/>
      <c r="D192" s="4"/>
      <c r="E192" s="27"/>
      <c r="F192" s="42"/>
      <c r="G192" s="11"/>
      <c r="H192" s="1"/>
      <c r="I192" s="1"/>
      <c r="J192" s="2"/>
      <c r="K192" s="1"/>
      <c r="L192" s="1"/>
      <c r="M192" s="1"/>
      <c r="N192" s="1"/>
      <c r="O192" s="5"/>
      <c r="P192" s="18" t="str">
        <f t="shared" si="0"/>
        <v/>
      </c>
      <c r="Q192" s="18" t="str">
        <f t="shared" si="1"/>
        <v/>
      </c>
      <c r="R192" s="18" t="str">
        <f t="shared" si="2"/>
        <v/>
      </c>
      <c r="S192" s="18" t="str">
        <f t="shared" si="3"/>
        <v/>
      </c>
      <c r="T192" s="18" t="str">
        <f t="shared" si="4"/>
        <v/>
      </c>
      <c r="U192" s="18" t="str">
        <f t="shared" si="5"/>
        <v/>
      </c>
      <c r="V192" s="1"/>
    </row>
    <row r="193" spans="1:22" x14ac:dyDescent="0.25">
      <c r="A193" s="14"/>
      <c r="B193" s="34"/>
      <c r="C193" s="22"/>
      <c r="D193" s="9">
        <f>0.3-0.08</f>
        <v>0.21999999999999997</v>
      </c>
      <c r="E193" s="23"/>
      <c r="F193" s="42"/>
      <c r="G193" s="11"/>
      <c r="H193" s="1"/>
      <c r="I193" s="1"/>
      <c r="J193" s="2"/>
      <c r="K193" s="1"/>
      <c r="L193" s="1"/>
      <c r="M193" s="1"/>
      <c r="N193" s="1"/>
      <c r="O193" s="5"/>
      <c r="P193" s="18" t="str">
        <f t="shared" si="0"/>
        <v/>
      </c>
      <c r="Q193" s="18" t="str">
        <f t="shared" si="1"/>
        <v/>
      </c>
      <c r="R193" s="18" t="str">
        <f t="shared" si="2"/>
        <v/>
      </c>
      <c r="S193" s="18" t="str">
        <f t="shared" si="3"/>
        <v/>
      </c>
      <c r="T193" s="18" t="str">
        <f t="shared" si="4"/>
        <v/>
      </c>
      <c r="U193" s="18" t="str">
        <f t="shared" si="5"/>
        <v/>
      </c>
      <c r="V193" s="1"/>
    </row>
    <row r="194" spans="1:22" x14ac:dyDescent="0.25">
      <c r="A194" s="14"/>
      <c r="B194" s="33"/>
      <c r="C194" s="22"/>
      <c r="D194" s="4"/>
      <c r="E194" s="23"/>
      <c r="F194" s="42"/>
      <c r="G194" s="11"/>
      <c r="H194" s="1"/>
      <c r="I194" s="1"/>
      <c r="J194" s="2"/>
      <c r="K194" s="1"/>
      <c r="L194" s="1"/>
      <c r="M194" s="1"/>
      <c r="N194" s="1"/>
      <c r="O194" s="5"/>
      <c r="P194" s="18" t="str">
        <f t="shared" si="0"/>
        <v/>
      </c>
      <c r="Q194" s="18" t="str">
        <f t="shared" si="1"/>
        <v/>
      </c>
      <c r="R194" s="18" t="str">
        <f t="shared" si="2"/>
        <v/>
      </c>
      <c r="S194" s="18" t="str">
        <f t="shared" si="3"/>
        <v/>
      </c>
      <c r="T194" s="18" t="str">
        <f t="shared" si="4"/>
        <v/>
      </c>
      <c r="U194" s="18" t="str">
        <f t="shared" si="5"/>
        <v/>
      </c>
      <c r="V194" s="1"/>
    </row>
    <row r="195" spans="1:22" x14ac:dyDescent="0.25">
      <c r="A195" s="14"/>
      <c r="B195" s="14"/>
      <c r="C195" s="29">
        <v>80</v>
      </c>
      <c r="D195" s="4"/>
      <c r="E195" s="23"/>
      <c r="F195" s="42"/>
      <c r="G195" s="11"/>
      <c r="H195" s="1"/>
      <c r="I195" s="1"/>
      <c r="J195" s="2"/>
      <c r="K195" s="1"/>
      <c r="L195" s="1"/>
      <c r="M195" s="1"/>
      <c r="N195" s="1"/>
      <c r="O195" s="5"/>
      <c r="P195" s="18" t="str">
        <f t="shared" si="0"/>
        <v/>
      </c>
      <c r="Q195" s="18" t="str">
        <f t="shared" si="1"/>
        <v/>
      </c>
      <c r="R195" s="18" t="str">
        <f t="shared" si="2"/>
        <v/>
      </c>
      <c r="S195" s="18" t="str">
        <f t="shared" si="3"/>
        <v/>
      </c>
      <c r="T195" s="18" t="str">
        <f t="shared" si="4"/>
        <v/>
      </c>
      <c r="U195" s="18" t="str">
        <f t="shared" si="5"/>
        <v/>
      </c>
      <c r="V195" s="1"/>
    </row>
    <row r="196" spans="1:22" x14ac:dyDescent="0.25">
      <c r="A196" s="14"/>
      <c r="B196" s="34" t="s">
        <v>22</v>
      </c>
      <c r="C196" s="26"/>
      <c r="D196" s="4"/>
      <c r="E196" s="40">
        <f>((0.8-0.08-0.016)/7)+0.012+0.02</f>
        <v>0.13257142857142856</v>
      </c>
      <c r="F196" s="42">
        <v>7.4999999999999997E-2</v>
      </c>
      <c r="G196" s="11">
        <v>10</v>
      </c>
      <c r="H196" s="1">
        <v>4</v>
      </c>
      <c r="I196" s="1">
        <f>ROUND(D184/F196+1,0)</f>
        <v>1</v>
      </c>
      <c r="J196" s="41">
        <f>2*(D198+E196)+16*10/1000</f>
        <v>0.8651428571428571</v>
      </c>
      <c r="K196" s="1"/>
      <c r="L196" s="1"/>
      <c r="M196" s="1"/>
      <c r="N196" s="5">
        <f>(J196+K196-M196)</f>
        <v>0.8651428571428571</v>
      </c>
      <c r="O196" s="5">
        <f>(H196*I196*N196)</f>
        <v>3.4605714285714284</v>
      </c>
      <c r="P196" s="18" t="str">
        <f t="shared" si="0"/>
        <v/>
      </c>
      <c r="Q196" s="18">
        <f t="shared" si="1"/>
        <v>3.4605714285714284</v>
      </c>
      <c r="R196" s="18" t="str">
        <f t="shared" si="2"/>
        <v/>
      </c>
      <c r="S196" s="18" t="str">
        <f t="shared" si="3"/>
        <v/>
      </c>
      <c r="T196" s="18" t="str">
        <f t="shared" si="4"/>
        <v/>
      </c>
      <c r="U196" s="18" t="str">
        <f t="shared" si="5"/>
        <v/>
      </c>
      <c r="V196" s="1"/>
    </row>
    <row r="197" spans="1:22" x14ac:dyDescent="0.25">
      <c r="A197" s="14"/>
      <c r="B197" s="34"/>
      <c r="C197" s="22"/>
      <c r="D197" s="4"/>
      <c r="E197" s="27"/>
      <c r="F197" s="42"/>
      <c r="G197" s="11"/>
      <c r="H197" s="1"/>
      <c r="I197" s="1"/>
      <c r="J197" s="2"/>
      <c r="K197" s="1"/>
      <c r="L197" s="1"/>
      <c r="M197" s="1"/>
      <c r="N197" s="1"/>
      <c r="O197" s="5"/>
      <c r="P197" s="18" t="str">
        <f t="shared" si="0"/>
        <v/>
      </c>
      <c r="Q197" s="18" t="str">
        <f t="shared" si="1"/>
        <v/>
      </c>
      <c r="R197" s="18" t="str">
        <f t="shared" si="2"/>
        <v/>
      </c>
      <c r="S197" s="18" t="str">
        <f t="shared" si="3"/>
        <v/>
      </c>
      <c r="T197" s="18" t="str">
        <f t="shared" si="4"/>
        <v/>
      </c>
      <c r="U197" s="18" t="str">
        <f t="shared" si="5"/>
        <v/>
      </c>
      <c r="V197" s="1"/>
    </row>
    <row r="198" spans="1:22" x14ac:dyDescent="0.25">
      <c r="A198" s="14"/>
      <c r="B198" s="34"/>
      <c r="C198" s="22"/>
      <c r="D198" s="9">
        <f>0.3-0.08</f>
        <v>0.21999999999999997</v>
      </c>
      <c r="E198" s="23"/>
      <c r="F198" s="42"/>
      <c r="G198" s="11"/>
      <c r="H198" s="1"/>
      <c r="I198" s="1"/>
      <c r="J198" s="2"/>
      <c r="K198" s="1"/>
      <c r="L198" s="1"/>
      <c r="M198" s="1"/>
      <c r="N198" s="1"/>
      <c r="O198" s="5"/>
      <c r="P198" s="18" t="str">
        <f t="shared" si="0"/>
        <v/>
      </c>
      <c r="Q198" s="18" t="str">
        <f t="shared" si="1"/>
        <v/>
      </c>
      <c r="R198" s="18" t="str">
        <f t="shared" si="2"/>
        <v/>
      </c>
      <c r="S198" s="18" t="str">
        <f t="shared" si="3"/>
        <v/>
      </c>
      <c r="T198" s="18" t="str">
        <f t="shared" si="4"/>
        <v/>
      </c>
      <c r="U198" s="18" t="str">
        <f t="shared" si="5"/>
        <v/>
      </c>
      <c r="V198" s="1"/>
    </row>
    <row r="199" spans="1:22" x14ac:dyDescent="0.25">
      <c r="A199" s="14"/>
      <c r="B199" s="34"/>
      <c r="C199" s="22"/>
      <c r="D199" s="4"/>
      <c r="E199" s="23"/>
      <c r="F199" s="42"/>
      <c r="G199" s="11"/>
      <c r="H199" s="1"/>
      <c r="I199" s="1"/>
      <c r="J199" s="2"/>
      <c r="K199" s="1"/>
      <c r="L199" s="1"/>
      <c r="M199" s="1"/>
      <c r="N199" s="1"/>
      <c r="O199" s="5"/>
      <c r="P199" s="18" t="str">
        <f t="shared" si="0"/>
        <v/>
      </c>
      <c r="Q199" s="18" t="str">
        <f t="shared" si="1"/>
        <v/>
      </c>
      <c r="R199" s="18" t="str">
        <f t="shared" si="2"/>
        <v/>
      </c>
      <c r="S199" s="18" t="str">
        <f t="shared" si="3"/>
        <v/>
      </c>
      <c r="T199" s="18" t="str">
        <f t="shared" si="4"/>
        <v/>
      </c>
      <c r="U199" s="18" t="str">
        <f t="shared" si="5"/>
        <v/>
      </c>
      <c r="V199" s="1"/>
    </row>
    <row r="200" spans="1:22" x14ac:dyDescent="0.25">
      <c r="A200" s="14"/>
      <c r="B200" s="34" t="s">
        <v>36</v>
      </c>
      <c r="C200" s="22"/>
      <c r="D200" s="25"/>
      <c r="E200" s="23"/>
      <c r="F200" s="42">
        <v>7.4999999999999997E-2</v>
      </c>
      <c r="G200" s="11">
        <v>10</v>
      </c>
      <c r="H200" s="1">
        <v>4</v>
      </c>
      <c r="I200" s="1">
        <f>ROUND(D179/F200+1,0)</f>
        <v>63</v>
      </c>
      <c r="J200" s="41">
        <f>C201+D203+E201+2*10*G200/1000</f>
        <v>0.77</v>
      </c>
      <c r="K200" s="1"/>
      <c r="L200" s="1"/>
      <c r="M200" s="5">
        <f>4*3*G200/1000</f>
        <v>0.12</v>
      </c>
      <c r="N200" s="5">
        <f>(J200+K200-M200)</f>
        <v>0.65</v>
      </c>
      <c r="O200" s="5">
        <f>(H200*I200*N200)</f>
        <v>163.80000000000001</v>
      </c>
      <c r="P200" s="18" t="str">
        <f t="shared" si="0"/>
        <v/>
      </c>
      <c r="Q200" s="18">
        <f t="shared" si="1"/>
        <v>163.80000000000001</v>
      </c>
      <c r="R200" s="18" t="str">
        <f t="shared" si="2"/>
        <v/>
      </c>
      <c r="S200" s="18" t="str">
        <f t="shared" si="3"/>
        <v/>
      </c>
      <c r="T200" s="18" t="str">
        <f t="shared" si="4"/>
        <v/>
      </c>
      <c r="U200" s="18" t="str">
        <f t="shared" si="5"/>
        <v/>
      </c>
      <c r="V200" s="1"/>
    </row>
    <row r="201" spans="1:22" x14ac:dyDescent="0.25">
      <c r="A201" s="14"/>
      <c r="B201" s="34"/>
      <c r="C201" s="29">
        <v>0.17499999999999999</v>
      </c>
      <c r="D201" s="4"/>
      <c r="E201" s="23">
        <v>0.17499999999999999</v>
      </c>
      <c r="F201" s="42"/>
      <c r="G201" s="11"/>
      <c r="H201" s="1"/>
      <c r="I201" s="1"/>
      <c r="J201" s="2"/>
      <c r="K201" s="1"/>
      <c r="L201" s="1"/>
      <c r="M201" s="1"/>
      <c r="N201" s="1"/>
      <c r="O201" s="5"/>
      <c r="P201" s="18" t="str">
        <f>IF($G201=8,$O201,"")</f>
        <v/>
      </c>
      <c r="Q201" s="18" t="str">
        <f>IF($G201=10,$O201,"")</f>
        <v/>
      </c>
      <c r="R201" s="18" t="str">
        <f>IF($G201=12,$O201,"")</f>
        <v/>
      </c>
      <c r="S201" s="18" t="str">
        <f>IF($G201=16,$O201,"")</f>
        <v/>
      </c>
      <c r="T201" s="18" t="str">
        <f>IF($G201=20,$O201,"")</f>
        <v/>
      </c>
      <c r="U201" s="18" t="str">
        <f>IF($G201=25,$O201,"")</f>
        <v/>
      </c>
      <c r="V201" s="1"/>
    </row>
    <row r="202" spans="1:22" x14ac:dyDescent="0.25">
      <c r="A202" s="14"/>
      <c r="B202" s="34"/>
      <c r="C202" s="22"/>
      <c r="D202" s="4"/>
      <c r="E202" s="23"/>
      <c r="F202" s="42"/>
      <c r="G202" s="11"/>
      <c r="H202" s="1"/>
      <c r="I202" s="1"/>
      <c r="J202" s="2"/>
      <c r="K202" s="1"/>
      <c r="L202" s="1"/>
      <c r="M202" s="1"/>
      <c r="N202" s="1"/>
      <c r="O202" s="5"/>
      <c r="P202" s="18" t="str">
        <f t="shared" si="0"/>
        <v/>
      </c>
      <c r="Q202" s="18" t="str">
        <f t="shared" si="1"/>
        <v/>
      </c>
      <c r="R202" s="18" t="str">
        <f t="shared" si="2"/>
        <v/>
      </c>
      <c r="S202" s="18" t="str">
        <f t="shared" si="3"/>
        <v/>
      </c>
      <c r="T202" s="18" t="str">
        <f t="shared" si="4"/>
        <v/>
      </c>
      <c r="U202" s="18" t="str">
        <f t="shared" si="5"/>
        <v/>
      </c>
      <c r="V202" s="1"/>
    </row>
    <row r="203" spans="1:22" x14ac:dyDescent="0.25">
      <c r="A203" s="14"/>
      <c r="B203" s="34"/>
      <c r="C203" s="22"/>
      <c r="D203" s="9">
        <f>0.3-0.08</f>
        <v>0.21999999999999997</v>
      </c>
      <c r="E203" s="23"/>
      <c r="F203" s="42"/>
      <c r="G203" s="11"/>
      <c r="H203" s="1"/>
      <c r="I203" s="1"/>
      <c r="J203" s="2"/>
      <c r="K203" s="1"/>
      <c r="L203" s="1"/>
      <c r="M203" s="1"/>
      <c r="N203" s="1"/>
      <c r="O203" s="5"/>
      <c r="P203" s="18" t="str">
        <f t="shared" si="0"/>
        <v/>
      </c>
      <c r="Q203" s="18" t="str">
        <f t="shared" si="1"/>
        <v/>
      </c>
      <c r="R203" s="18" t="str">
        <f t="shared" si="2"/>
        <v/>
      </c>
      <c r="S203" s="18" t="str">
        <f t="shared" si="3"/>
        <v/>
      </c>
      <c r="T203" s="18" t="str">
        <f t="shared" si="4"/>
        <v/>
      </c>
      <c r="U203" s="18" t="str">
        <f t="shared" si="5"/>
        <v/>
      </c>
      <c r="V203" s="1"/>
    </row>
    <row r="204" spans="1:22" x14ac:dyDescent="0.25">
      <c r="A204" s="14"/>
      <c r="B204" s="34"/>
      <c r="C204" s="22"/>
      <c r="D204" s="4"/>
      <c r="E204" s="23"/>
      <c r="F204" s="42"/>
      <c r="G204" s="11"/>
      <c r="H204" s="1"/>
      <c r="I204" s="1"/>
      <c r="J204" s="2"/>
      <c r="K204" s="1"/>
      <c r="L204" s="1"/>
      <c r="M204" s="1"/>
      <c r="N204" s="1"/>
      <c r="O204" s="5"/>
      <c r="P204" s="18" t="str">
        <f t="shared" si="0"/>
        <v/>
      </c>
      <c r="Q204" s="18" t="str">
        <f t="shared" si="1"/>
        <v/>
      </c>
      <c r="R204" s="18" t="str">
        <f t="shared" si="2"/>
        <v/>
      </c>
      <c r="S204" s="18" t="str">
        <f t="shared" si="3"/>
        <v/>
      </c>
      <c r="T204" s="18" t="str">
        <f t="shared" si="4"/>
        <v/>
      </c>
      <c r="U204" s="18" t="str">
        <f t="shared" si="5"/>
        <v/>
      </c>
      <c r="V204" s="1"/>
    </row>
    <row r="205" spans="1:22" x14ac:dyDescent="0.25">
      <c r="A205" s="14"/>
      <c r="B205" s="34" t="s">
        <v>37</v>
      </c>
      <c r="C205" s="22"/>
      <c r="D205" s="25"/>
      <c r="E205" s="23"/>
      <c r="F205" s="42">
        <v>7.4999999999999997E-2</v>
      </c>
      <c r="G205" s="11">
        <v>10</v>
      </c>
      <c r="H205" s="1">
        <v>4</v>
      </c>
      <c r="I205" s="1">
        <f>ROUND(D179/F205+1,0)</f>
        <v>63</v>
      </c>
      <c r="J205" s="41">
        <f>C206+D208+E206+2*10*G205/1000</f>
        <v>0.77</v>
      </c>
      <c r="K205" s="1"/>
      <c r="L205" s="1"/>
      <c r="M205" s="5">
        <f>4*3*G205/1000</f>
        <v>0.12</v>
      </c>
      <c r="N205" s="5">
        <f>(J205+K205-M205)</f>
        <v>0.65</v>
      </c>
      <c r="O205" s="5">
        <f>(H205*I205*N205)</f>
        <v>163.80000000000001</v>
      </c>
      <c r="P205" s="18" t="str">
        <f t="shared" si="0"/>
        <v/>
      </c>
      <c r="Q205" s="18">
        <f t="shared" si="1"/>
        <v>163.80000000000001</v>
      </c>
      <c r="R205" s="18" t="str">
        <f t="shared" si="2"/>
        <v/>
      </c>
      <c r="S205" s="18" t="str">
        <f t="shared" si="3"/>
        <v/>
      </c>
      <c r="T205" s="18" t="str">
        <f t="shared" si="4"/>
        <v/>
      </c>
      <c r="U205" s="18" t="str">
        <f t="shared" si="5"/>
        <v/>
      </c>
      <c r="V205" s="1"/>
    </row>
    <row r="206" spans="1:22" x14ac:dyDescent="0.25">
      <c r="A206" s="14"/>
      <c r="B206" s="34"/>
      <c r="C206" s="29">
        <v>0.17499999999999999</v>
      </c>
      <c r="D206" s="4"/>
      <c r="E206" s="23">
        <v>0.17499999999999999</v>
      </c>
      <c r="F206" s="42"/>
      <c r="G206" s="11"/>
      <c r="H206" s="1"/>
      <c r="I206" s="1"/>
      <c r="J206" s="2"/>
      <c r="K206" s="1"/>
      <c r="L206" s="1"/>
      <c r="M206" s="1"/>
      <c r="N206" s="1"/>
      <c r="O206" s="5"/>
      <c r="P206" s="18" t="str">
        <f t="shared" si="0"/>
        <v/>
      </c>
      <c r="Q206" s="18" t="str">
        <f t="shared" si="1"/>
        <v/>
      </c>
      <c r="R206" s="18" t="str">
        <f t="shared" si="2"/>
        <v/>
      </c>
      <c r="S206" s="18" t="str">
        <f t="shared" si="3"/>
        <v/>
      </c>
      <c r="T206" s="18" t="str">
        <f t="shared" si="4"/>
        <v/>
      </c>
      <c r="U206" s="18" t="str">
        <f t="shared" si="5"/>
        <v/>
      </c>
      <c r="V206" s="1"/>
    </row>
    <row r="207" spans="1:22" x14ac:dyDescent="0.25">
      <c r="A207" s="14"/>
      <c r="B207" s="34"/>
      <c r="C207" s="22"/>
      <c r="D207" s="4"/>
      <c r="E207" s="23"/>
      <c r="F207" s="42"/>
      <c r="G207" s="11"/>
      <c r="H207" s="1"/>
      <c r="I207" s="1"/>
      <c r="J207" s="2"/>
      <c r="K207" s="1"/>
      <c r="L207" s="1"/>
      <c r="M207" s="1"/>
      <c r="N207" s="1"/>
      <c r="O207" s="3"/>
      <c r="P207" s="18" t="str">
        <f t="shared" si="0"/>
        <v/>
      </c>
      <c r="Q207" s="18" t="str">
        <f t="shared" si="1"/>
        <v/>
      </c>
      <c r="R207" s="18" t="str">
        <f t="shared" si="2"/>
        <v/>
      </c>
      <c r="S207" s="18" t="str">
        <f t="shared" si="3"/>
        <v/>
      </c>
      <c r="T207" s="18" t="str">
        <f t="shared" si="4"/>
        <v/>
      </c>
      <c r="U207" s="18" t="str">
        <f t="shared" si="5"/>
        <v/>
      </c>
      <c r="V207" s="1"/>
    </row>
    <row r="208" spans="1:22" x14ac:dyDescent="0.25">
      <c r="A208" s="14"/>
      <c r="B208" s="34"/>
      <c r="C208" s="22"/>
      <c r="D208" s="9">
        <f>0.3-0.08</f>
        <v>0.21999999999999997</v>
      </c>
      <c r="E208" s="23"/>
      <c r="F208" s="42"/>
      <c r="G208" s="11"/>
      <c r="H208" s="1"/>
      <c r="I208" s="1"/>
      <c r="J208" s="2"/>
      <c r="K208" s="1"/>
      <c r="L208" s="1"/>
      <c r="M208" s="1"/>
      <c r="N208" s="1"/>
      <c r="O208" s="3"/>
      <c r="P208" s="18" t="str">
        <f t="shared" si="0"/>
        <v/>
      </c>
      <c r="Q208" s="18" t="str">
        <f t="shared" si="1"/>
        <v/>
      </c>
      <c r="R208" s="18" t="str">
        <f t="shared" si="2"/>
        <v/>
      </c>
      <c r="S208" s="18" t="str">
        <f t="shared" si="3"/>
        <v/>
      </c>
      <c r="T208" s="18" t="str">
        <f t="shared" si="4"/>
        <v/>
      </c>
      <c r="U208" s="18" t="str">
        <f t="shared" si="5"/>
        <v/>
      </c>
      <c r="V208" s="1"/>
    </row>
    <row r="209" spans="1:22" x14ac:dyDescent="0.25">
      <c r="A209" s="14"/>
      <c r="B209" s="34"/>
      <c r="C209" s="22"/>
      <c r="D209" s="28"/>
      <c r="E209" s="23"/>
      <c r="F209" s="42"/>
      <c r="G209" s="11"/>
      <c r="H209" s="1"/>
      <c r="I209" s="1"/>
      <c r="J209" s="2"/>
      <c r="K209" s="1"/>
      <c r="L209" s="1"/>
      <c r="M209" s="1"/>
      <c r="N209" s="1"/>
      <c r="O209" s="3"/>
      <c r="P209" s="18" t="str">
        <f t="shared" si="0"/>
        <v/>
      </c>
      <c r="Q209" s="18" t="str">
        <f t="shared" si="1"/>
        <v/>
      </c>
      <c r="R209" s="18" t="str">
        <f t="shared" si="2"/>
        <v/>
      </c>
      <c r="S209" s="18" t="str">
        <f t="shared" si="3"/>
        <v/>
      </c>
      <c r="T209" s="18" t="str">
        <f t="shared" si="4"/>
        <v/>
      </c>
      <c r="U209" s="18" t="str">
        <f t="shared" si="5"/>
        <v/>
      </c>
      <c r="V209" s="1"/>
    </row>
    <row r="210" spans="1:22" x14ac:dyDescent="0.25">
      <c r="A210" s="14">
        <v>8</v>
      </c>
      <c r="B210" s="14" t="s">
        <v>42</v>
      </c>
      <c r="C210" s="22"/>
      <c r="D210" s="4"/>
      <c r="E210" s="23"/>
      <c r="F210" s="42"/>
      <c r="G210" s="11"/>
      <c r="H210" s="1"/>
      <c r="I210" s="1"/>
      <c r="J210" s="9"/>
      <c r="K210" s="5"/>
      <c r="L210" s="5"/>
      <c r="M210" s="1"/>
      <c r="N210" s="5"/>
      <c r="O210" s="5"/>
      <c r="P210" s="18" t="str">
        <f>IF($G210=8,$O210,"")</f>
        <v/>
      </c>
      <c r="Q210" s="18" t="str">
        <f>IF($G210=10,$O210,"")</f>
        <v/>
      </c>
      <c r="R210" s="18" t="str">
        <f>IF($G210=12,$O210,"")</f>
        <v/>
      </c>
      <c r="S210" s="18" t="str">
        <f>IF($G210=16,$O210,"")</f>
        <v/>
      </c>
      <c r="T210" s="18" t="str">
        <f>IF($G210=20,$O210,"")</f>
        <v/>
      </c>
      <c r="U210" s="18" t="str">
        <f>IF($G210=25,$O210,"")</f>
        <v/>
      </c>
      <c r="V210" s="1"/>
    </row>
    <row r="211" spans="1:22" x14ac:dyDescent="0.25">
      <c r="A211" s="14"/>
      <c r="B211" s="33" t="s">
        <v>18</v>
      </c>
      <c r="C211" s="22"/>
      <c r="D211" s="38">
        <f>2.8+0.15-0.075-0.032+1.8</f>
        <v>4.6429999999999998</v>
      </c>
      <c r="E211" s="23"/>
      <c r="F211" s="42"/>
      <c r="G211" s="11">
        <v>20</v>
      </c>
      <c r="H211" s="1">
        <v>4</v>
      </c>
      <c r="I211" s="1">
        <v>4</v>
      </c>
      <c r="J211" s="9">
        <f>D211</f>
        <v>4.6429999999999998</v>
      </c>
      <c r="K211" s="5"/>
      <c r="L211" s="5"/>
      <c r="M211" s="1">
        <f>2*G211/1000</f>
        <v>0.04</v>
      </c>
      <c r="N211" s="5">
        <f>J211+E213-M211</f>
        <v>4.9029999999999996</v>
      </c>
      <c r="O211" s="5">
        <f>H211*I211*N211</f>
        <v>78.447999999999993</v>
      </c>
      <c r="P211" s="18" t="str">
        <f t="shared" si="0"/>
        <v/>
      </c>
      <c r="Q211" s="18" t="str">
        <f t="shared" si="1"/>
        <v/>
      </c>
      <c r="R211" s="18" t="str">
        <f t="shared" si="2"/>
        <v/>
      </c>
      <c r="S211" s="18" t="str">
        <f t="shared" si="3"/>
        <v/>
      </c>
      <c r="T211" s="18">
        <f t="shared" si="4"/>
        <v>78.447999999999993</v>
      </c>
      <c r="U211" s="18" t="str">
        <f t="shared" si="5"/>
        <v/>
      </c>
      <c r="V211" s="1"/>
    </row>
    <row r="212" spans="1:22" x14ac:dyDescent="0.25">
      <c r="A212" s="14"/>
      <c r="B212" s="33" t="s">
        <v>32</v>
      </c>
      <c r="C212" s="22"/>
      <c r="D212" s="4"/>
      <c r="E212" s="23"/>
      <c r="F212" s="42"/>
      <c r="G212" s="11">
        <v>20</v>
      </c>
      <c r="H212" s="1">
        <v>4</v>
      </c>
      <c r="I212" s="1">
        <v>2</v>
      </c>
      <c r="J212" s="9">
        <f>D211</f>
        <v>4.6429999999999998</v>
      </c>
      <c r="K212" s="5"/>
      <c r="L212" s="5"/>
      <c r="M212" s="1">
        <f>2*G212/1000</f>
        <v>0.04</v>
      </c>
      <c r="N212" s="5">
        <f>J212+E213-M212</f>
        <v>4.9029999999999996</v>
      </c>
      <c r="O212" s="5">
        <f>H212*I212*N212</f>
        <v>39.223999999999997</v>
      </c>
      <c r="P212" s="18" t="str">
        <f t="shared" si="0"/>
        <v/>
      </c>
      <c r="Q212" s="18" t="str">
        <f t="shared" si="1"/>
        <v/>
      </c>
      <c r="R212" s="18" t="str">
        <f t="shared" si="2"/>
        <v/>
      </c>
      <c r="S212" s="18" t="str">
        <f t="shared" si="3"/>
        <v/>
      </c>
      <c r="T212" s="18">
        <f t="shared" si="4"/>
        <v>39.223999999999997</v>
      </c>
      <c r="U212" s="18" t="str">
        <f t="shared" si="5"/>
        <v/>
      </c>
      <c r="V212" s="1"/>
    </row>
    <row r="213" spans="1:22" x14ac:dyDescent="0.25">
      <c r="A213" s="14"/>
      <c r="B213" s="33" t="s">
        <v>26</v>
      </c>
      <c r="C213" s="24"/>
      <c r="D213" s="25"/>
      <c r="E213" s="39">
        <v>0.3</v>
      </c>
      <c r="F213" s="42"/>
      <c r="G213" s="11">
        <v>20</v>
      </c>
      <c r="H213" s="1">
        <v>4</v>
      </c>
      <c r="I213" s="1">
        <v>4</v>
      </c>
      <c r="J213" s="9">
        <f>D211</f>
        <v>4.6429999999999998</v>
      </c>
      <c r="K213" s="5"/>
      <c r="L213" s="5"/>
      <c r="M213" s="1">
        <f>2*G213/1000</f>
        <v>0.04</v>
      </c>
      <c r="N213" s="5">
        <f>J213+E213-M213</f>
        <v>4.9029999999999996</v>
      </c>
      <c r="O213" s="5">
        <f>H213*I213*N213</f>
        <v>78.447999999999993</v>
      </c>
      <c r="P213" s="18" t="str">
        <f t="shared" si="0"/>
        <v/>
      </c>
      <c r="Q213" s="18" t="str">
        <f t="shared" si="1"/>
        <v/>
      </c>
      <c r="R213" s="18" t="str">
        <f t="shared" si="2"/>
        <v/>
      </c>
      <c r="S213" s="18" t="str">
        <f t="shared" si="3"/>
        <v/>
      </c>
      <c r="T213" s="18">
        <f t="shared" si="4"/>
        <v>78.447999999999993</v>
      </c>
      <c r="U213" s="18" t="str">
        <f t="shared" si="5"/>
        <v/>
      </c>
      <c r="V213" s="1"/>
    </row>
    <row r="214" spans="1:22" x14ac:dyDescent="0.25">
      <c r="A214" s="14"/>
      <c r="B214" s="33" t="s">
        <v>19</v>
      </c>
      <c r="C214" s="22"/>
      <c r="D214" s="4"/>
      <c r="E214" s="23"/>
      <c r="F214" s="42"/>
      <c r="G214" s="11">
        <v>20</v>
      </c>
      <c r="H214" s="1">
        <v>4</v>
      </c>
      <c r="I214" s="1">
        <v>4</v>
      </c>
      <c r="J214" s="9">
        <f>D211</f>
        <v>4.6429999999999998</v>
      </c>
      <c r="K214" s="5"/>
      <c r="L214" s="5"/>
      <c r="M214" s="1">
        <f>2*G214/1000</f>
        <v>0.04</v>
      </c>
      <c r="N214" s="5">
        <f>J214+E213-M214</f>
        <v>4.9029999999999996</v>
      </c>
      <c r="O214" s="5">
        <f>H214*I214*N214</f>
        <v>78.447999999999993</v>
      </c>
      <c r="P214" s="18" t="str">
        <f t="shared" si="0"/>
        <v/>
      </c>
      <c r="Q214" s="18" t="str">
        <f t="shared" si="1"/>
        <v/>
      </c>
      <c r="R214" s="18" t="str">
        <f t="shared" si="2"/>
        <v/>
      </c>
      <c r="S214" s="18" t="str">
        <f t="shared" si="3"/>
        <v/>
      </c>
      <c r="T214" s="18">
        <f t="shared" si="4"/>
        <v>78.447999999999993</v>
      </c>
      <c r="U214" s="18" t="str">
        <f t="shared" si="5"/>
        <v/>
      </c>
      <c r="V214" s="1"/>
    </row>
    <row r="215" spans="1:22" x14ac:dyDescent="0.25">
      <c r="A215" s="14"/>
      <c r="B215" s="33"/>
      <c r="C215" s="22"/>
      <c r="D215" s="4"/>
      <c r="E215" s="23"/>
      <c r="F215" s="42"/>
      <c r="G215" s="11"/>
      <c r="H215" s="1"/>
      <c r="I215" s="1"/>
      <c r="J215" s="2"/>
      <c r="K215" s="1"/>
      <c r="L215" s="1"/>
      <c r="M215" s="1"/>
      <c r="N215" s="1"/>
      <c r="O215" s="3"/>
      <c r="P215" s="18" t="str">
        <f t="shared" si="0"/>
        <v/>
      </c>
      <c r="Q215" s="18" t="str">
        <f t="shared" si="1"/>
        <v/>
      </c>
      <c r="R215" s="18" t="str">
        <f t="shared" si="2"/>
        <v/>
      </c>
      <c r="S215" s="18" t="str">
        <f t="shared" si="3"/>
        <v/>
      </c>
      <c r="T215" s="18" t="str">
        <f t="shared" si="4"/>
        <v/>
      </c>
      <c r="U215" s="18" t="str">
        <f t="shared" si="5"/>
        <v/>
      </c>
      <c r="V215" s="1"/>
    </row>
    <row r="216" spans="1:22" x14ac:dyDescent="0.25">
      <c r="A216" s="14"/>
      <c r="B216" s="14"/>
      <c r="C216" s="29">
        <v>80</v>
      </c>
      <c r="D216" s="4"/>
      <c r="E216" s="23"/>
      <c r="F216" s="42"/>
      <c r="G216" s="11"/>
      <c r="H216" s="1"/>
      <c r="I216" s="1"/>
      <c r="J216" s="2"/>
      <c r="K216" s="1"/>
      <c r="L216" s="1"/>
      <c r="M216" s="1"/>
      <c r="N216" s="1"/>
      <c r="O216" s="3"/>
      <c r="P216" s="18" t="str">
        <f t="shared" si="0"/>
        <v/>
      </c>
      <c r="Q216" s="18" t="str">
        <f t="shared" si="1"/>
        <v/>
      </c>
      <c r="R216" s="18" t="str">
        <f t="shared" si="2"/>
        <v/>
      </c>
      <c r="S216" s="18" t="str">
        <f t="shared" si="3"/>
        <v/>
      </c>
      <c r="T216" s="18" t="str">
        <f t="shared" si="4"/>
        <v/>
      </c>
      <c r="U216" s="18" t="str">
        <f t="shared" si="5"/>
        <v/>
      </c>
      <c r="V216" s="1"/>
    </row>
    <row r="217" spans="1:22" x14ac:dyDescent="0.25">
      <c r="A217" s="14"/>
      <c r="B217" s="34" t="s">
        <v>20</v>
      </c>
      <c r="C217" s="26"/>
      <c r="D217" s="4"/>
      <c r="E217" s="40">
        <f>0.6-0.08</f>
        <v>0.52</v>
      </c>
      <c r="F217" s="42">
        <v>7.4999999999999997E-2</v>
      </c>
      <c r="G217" s="11">
        <v>10</v>
      </c>
      <c r="H217" s="1">
        <v>4</v>
      </c>
      <c r="I217" s="1">
        <f>ROUND(D211/F217+1,0)</f>
        <v>63</v>
      </c>
      <c r="J217" s="41">
        <f>2*(D219+E217)+16*10/1000</f>
        <v>1.64</v>
      </c>
      <c r="K217" s="1"/>
      <c r="L217" s="1"/>
      <c r="M217" s="1"/>
      <c r="N217" s="5">
        <f>(J217+K217-M217)</f>
        <v>1.64</v>
      </c>
      <c r="O217" s="5">
        <f>(H217*I217*N217)</f>
        <v>413.28</v>
      </c>
      <c r="P217" s="18" t="str">
        <f t="shared" si="0"/>
        <v/>
      </c>
      <c r="Q217" s="18">
        <f t="shared" si="1"/>
        <v>413.28</v>
      </c>
      <c r="R217" s="18" t="str">
        <f t="shared" si="2"/>
        <v/>
      </c>
      <c r="S217" s="18" t="str">
        <f t="shared" si="3"/>
        <v/>
      </c>
      <c r="T217" s="18" t="str">
        <f t="shared" si="4"/>
        <v/>
      </c>
      <c r="U217" s="18" t="str">
        <f t="shared" si="5"/>
        <v/>
      </c>
      <c r="V217" s="1"/>
    </row>
    <row r="218" spans="1:22" x14ac:dyDescent="0.25">
      <c r="A218" s="14"/>
      <c r="B218" s="34"/>
      <c r="C218" s="22"/>
      <c r="D218" s="4"/>
      <c r="E218" s="27"/>
      <c r="F218" s="42"/>
      <c r="G218" s="11"/>
      <c r="H218" s="1"/>
      <c r="I218" s="1"/>
      <c r="J218" s="2"/>
      <c r="K218" s="1"/>
      <c r="L218" s="1"/>
      <c r="M218" s="1"/>
      <c r="N218" s="1"/>
      <c r="O218" s="5"/>
      <c r="P218" s="18" t="str">
        <f t="shared" si="0"/>
        <v/>
      </c>
      <c r="Q218" s="18" t="str">
        <f t="shared" si="1"/>
        <v/>
      </c>
      <c r="R218" s="18" t="str">
        <f t="shared" si="2"/>
        <v/>
      </c>
      <c r="S218" s="18" t="str">
        <f t="shared" si="3"/>
        <v/>
      </c>
      <c r="T218" s="18" t="str">
        <f t="shared" si="4"/>
        <v/>
      </c>
      <c r="U218" s="18" t="str">
        <f t="shared" si="5"/>
        <v/>
      </c>
      <c r="V218" s="1"/>
    </row>
    <row r="219" spans="1:22" x14ac:dyDescent="0.25">
      <c r="A219" s="14"/>
      <c r="B219" s="34"/>
      <c r="C219" s="22"/>
      <c r="D219" s="9">
        <f>0.3-0.08</f>
        <v>0.21999999999999997</v>
      </c>
      <c r="E219" s="23"/>
      <c r="F219" s="42"/>
      <c r="G219" s="11"/>
      <c r="H219" s="1"/>
      <c r="I219" s="1"/>
      <c r="J219" s="2"/>
      <c r="K219" s="1"/>
      <c r="L219" s="1"/>
      <c r="M219" s="1"/>
      <c r="N219" s="1"/>
      <c r="O219" s="5"/>
      <c r="P219" s="18" t="str">
        <f t="shared" si="0"/>
        <v/>
      </c>
      <c r="Q219" s="18" t="str">
        <f t="shared" si="1"/>
        <v/>
      </c>
      <c r="R219" s="18" t="str">
        <f t="shared" si="2"/>
        <v/>
      </c>
      <c r="S219" s="18" t="str">
        <f t="shared" si="3"/>
        <v/>
      </c>
      <c r="T219" s="18" t="str">
        <f t="shared" si="4"/>
        <v/>
      </c>
      <c r="U219" s="18" t="str">
        <f t="shared" si="5"/>
        <v/>
      </c>
      <c r="V219" s="1"/>
    </row>
    <row r="220" spans="1:22" x14ac:dyDescent="0.25">
      <c r="A220" s="14"/>
      <c r="B220" s="33"/>
      <c r="C220" s="22"/>
      <c r="D220" s="4"/>
      <c r="E220" s="23"/>
      <c r="F220" s="42"/>
      <c r="G220" s="11"/>
      <c r="H220" s="1"/>
      <c r="I220" s="1"/>
      <c r="J220" s="2"/>
      <c r="K220" s="1"/>
      <c r="L220" s="1"/>
      <c r="M220" s="1"/>
      <c r="N220" s="1"/>
      <c r="O220" s="5"/>
      <c r="P220" s="18" t="str">
        <f t="shared" si="0"/>
        <v/>
      </c>
      <c r="Q220" s="18" t="str">
        <f t="shared" si="1"/>
        <v/>
      </c>
      <c r="R220" s="18" t="str">
        <f t="shared" si="2"/>
        <v/>
      </c>
      <c r="S220" s="18" t="str">
        <f t="shared" si="3"/>
        <v/>
      </c>
      <c r="T220" s="18" t="str">
        <f t="shared" si="4"/>
        <v/>
      </c>
      <c r="U220" s="18" t="str">
        <f t="shared" si="5"/>
        <v/>
      </c>
      <c r="V220" s="1"/>
    </row>
    <row r="221" spans="1:22" x14ac:dyDescent="0.25">
      <c r="A221" s="14"/>
      <c r="B221" s="14"/>
      <c r="C221" s="29">
        <v>80</v>
      </c>
      <c r="D221" s="4"/>
      <c r="E221" s="23"/>
      <c r="F221" s="42"/>
      <c r="G221" s="11"/>
      <c r="H221" s="1"/>
      <c r="I221" s="1"/>
      <c r="J221" s="2"/>
      <c r="K221" s="1"/>
      <c r="L221" s="1"/>
      <c r="M221" s="1"/>
      <c r="N221" s="1"/>
      <c r="O221" s="5"/>
      <c r="P221" s="18" t="str">
        <f t="shared" si="0"/>
        <v/>
      </c>
      <c r="Q221" s="18" t="str">
        <f t="shared" si="1"/>
        <v/>
      </c>
      <c r="R221" s="18" t="str">
        <f t="shared" si="2"/>
        <v/>
      </c>
      <c r="S221" s="18" t="str">
        <f t="shared" si="3"/>
        <v/>
      </c>
      <c r="T221" s="18" t="str">
        <f t="shared" si="4"/>
        <v/>
      </c>
      <c r="U221" s="18" t="str">
        <f t="shared" si="5"/>
        <v/>
      </c>
      <c r="V221" s="1"/>
    </row>
    <row r="222" spans="1:22" x14ac:dyDescent="0.25">
      <c r="A222" s="14"/>
      <c r="B222" s="34" t="s">
        <v>21</v>
      </c>
      <c r="C222" s="26"/>
      <c r="D222" s="4"/>
      <c r="E222" s="40">
        <f>((0.6-0.08-0.016)/5)+0.012+0.02</f>
        <v>0.1328</v>
      </c>
      <c r="F222" s="42">
        <v>7.4999999999999997E-2</v>
      </c>
      <c r="G222" s="11">
        <v>10</v>
      </c>
      <c r="H222" s="1">
        <v>4</v>
      </c>
      <c r="I222" s="1">
        <f>ROUND(D211/F222+1,0)</f>
        <v>63</v>
      </c>
      <c r="J222" s="41">
        <f>2*(D224+E222)+16*10/1000</f>
        <v>0.86560000000000004</v>
      </c>
      <c r="K222" s="1"/>
      <c r="L222" s="1"/>
      <c r="M222" s="1"/>
      <c r="N222" s="5">
        <f>(J222+K222-M222)</f>
        <v>0.86560000000000004</v>
      </c>
      <c r="O222" s="5">
        <f>(H222*I222*N222)</f>
        <v>218.13120000000001</v>
      </c>
      <c r="P222" s="18" t="str">
        <f t="shared" si="0"/>
        <v/>
      </c>
      <c r="Q222" s="18">
        <f t="shared" si="1"/>
        <v>218.13120000000001</v>
      </c>
      <c r="R222" s="18" t="str">
        <f t="shared" si="2"/>
        <v/>
      </c>
      <c r="S222" s="18" t="str">
        <f t="shared" si="3"/>
        <v/>
      </c>
      <c r="T222" s="18" t="str">
        <f t="shared" si="4"/>
        <v/>
      </c>
      <c r="U222" s="18" t="str">
        <f t="shared" si="5"/>
        <v/>
      </c>
      <c r="V222" s="1"/>
    </row>
    <row r="223" spans="1:22" x14ac:dyDescent="0.25">
      <c r="A223" s="14"/>
      <c r="B223" s="34"/>
      <c r="C223" s="22"/>
      <c r="D223" s="4"/>
      <c r="E223" s="27"/>
      <c r="F223" s="42"/>
      <c r="G223" s="11"/>
      <c r="H223" s="1"/>
      <c r="I223" s="1"/>
      <c r="J223" s="2"/>
      <c r="K223" s="1"/>
      <c r="L223" s="1"/>
      <c r="M223" s="1"/>
      <c r="N223" s="1"/>
      <c r="O223" s="5"/>
      <c r="P223" s="18" t="str">
        <f t="shared" si="0"/>
        <v/>
      </c>
      <c r="Q223" s="18" t="str">
        <f t="shared" si="1"/>
        <v/>
      </c>
      <c r="R223" s="18" t="str">
        <f t="shared" si="2"/>
        <v/>
      </c>
      <c r="S223" s="18" t="str">
        <f t="shared" si="3"/>
        <v/>
      </c>
      <c r="T223" s="18" t="str">
        <f t="shared" si="4"/>
        <v/>
      </c>
      <c r="U223" s="18" t="str">
        <f t="shared" si="5"/>
        <v/>
      </c>
      <c r="V223" s="1"/>
    </row>
    <row r="224" spans="1:22" x14ac:dyDescent="0.25">
      <c r="A224" s="14"/>
      <c r="B224" s="34"/>
      <c r="C224" s="22"/>
      <c r="D224" s="9">
        <f>0.3-0.08</f>
        <v>0.21999999999999997</v>
      </c>
      <c r="E224" s="23"/>
      <c r="F224" s="42"/>
      <c r="G224" s="11"/>
      <c r="H224" s="1"/>
      <c r="I224" s="1"/>
      <c r="J224" s="2"/>
      <c r="K224" s="1"/>
      <c r="L224" s="1"/>
      <c r="M224" s="1"/>
      <c r="N224" s="1"/>
      <c r="O224" s="5"/>
      <c r="P224" s="18" t="str">
        <f t="shared" si="0"/>
        <v/>
      </c>
      <c r="Q224" s="18" t="str">
        <f t="shared" si="1"/>
        <v/>
      </c>
      <c r="R224" s="18" t="str">
        <f t="shared" si="2"/>
        <v/>
      </c>
      <c r="S224" s="18" t="str">
        <f t="shared" si="3"/>
        <v/>
      </c>
      <c r="T224" s="18" t="str">
        <f t="shared" si="4"/>
        <v/>
      </c>
      <c r="U224" s="18" t="str">
        <f t="shared" si="5"/>
        <v/>
      </c>
      <c r="V224" s="1"/>
    </row>
    <row r="225" spans="1:22" x14ac:dyDescent="0.25">
      <c r="A225" s="14"/>
      <c r="B225" s="34"/>
      <c r="C225" s="22"/>
      <c r="D225" s="4"/>
      <c r="E225" s="23"/>
      <c r="F225" s="42"/>
      <c r="G225" s="11"/>
      <c r="H225" s="1"/>
      <c r="I225" s="1"/>
      <c r="J225" s="2"/>
      <c r="K225" s="1"/>
      <c r="L225" s="1"/>
      <c r="M225" s="1"/>
      <c r="N225" s="1"/>
      <c r="O225" s="5"/>
      <c r="P225" s="18" t="str">
        <f t="shared" si="0"/>
        <v/>
      </c>
      <c r="Q225" s="18" t="str">
        <f t="shared" si="1"/>
        <v/>
      </c>
      <c r="R225" s="18" t="str">
        <f t="shared" si="2"/>
        <v/>
      </c>
      <c r="S225" s="18" t="str">
        <f t="shared" si="3"/>
        <v/>
      </c>
      <c r="T225" s="18" t="str">
        <f t="shared" si="4"/>
        <v/>
      </c>
      <c r="U225" s="18" t="str">
        <f t="shared" si="5"/>
        <v/>
      </c>
      <c r="V225" s="1"/>
    </row>
    <row r="226" spans="1:22" x14ac:dyDescent="0.25">
      <c r="A226" s="14"/>
      <c r="B226" s="34" t="s">
        <v>22</v>
      </c>
      <c r="C226" s="22"/>
      <c r="D226" s="25"/>
      <c r="E226" s="23"/>
      <c r="F226" s="42">
        <v>7.4999999999999997E-2</v>
      </c>
      <c r="G226" s="11">
        <v>10</v>
      </c>
      <c r="H226" s="1">
        <v>4</v>
      </c>
      <c r="I226" s="1">
        <f>ROUND(D211/F226+1,0)</f>
        <v>63</v>
      </c>
      <c r="J226" s="41">
        <f>C227+D229+E227+2*10*G226/1000</f>
        <v>0.77</v>
      </c>
      <c r="K226" s="1"/>
      <c r="L226" s="1"/>
      <c r="M226" s="5">
        <f>4*3*G226/1000</f>
        <v>0.12</v>
      </c>
      <c r="N226" s="5">
        <f>(J226+K226-M226)</f>
        <v>0.65</v>
      </c>
      <c r="O226" s="5">
        <f>(H226*I226*N226)</f>
        <v>163.80000000000001</v>
      </c>
      <c r="P226" s="18" t="str">
        <f t="shared" si="0"/>
        <v/>
      </c>
      <c r="Q226" s="18">
        <f t="shared" si="1"/>
        <v>163.80000000000001</v>
      </c>
      <c r="R226" s="18" t="str">
        <f t="shared" si="2"/>
        <v/>
      </c>
      <c r="S226" s="18" t="str">
        <f t="shared" si="3"/>
        <v/>
      </c>
      <c r="T226" s="18" t="str">
        <f t="shared" si="4"/>
        <v/>
      </c>
      <c r="U226" s="18" t="str">
        <f t="shared" si="5"/>
        <v/>
      </c>
      <c r="V226" s="1"/>
    </row>
    <row r="227" spans="1:22" x14ac:dyDescent="0.25">
      <c r="A227" s="14"/>
      <c r="B227" s="34"/>
      <c r="C227" s="29">
        <v>0.17499999999999999</v>
      </c>
      <c r="D227" s="4"/>
      <c r="E227" s="23">
        <v>0.17499999999999999</v>
      </c>
      <c r="F227" s="42"/>
      <c r="G227" s="11"/>
      <c r="H227" s="1"/>
      <c r="I227" s="1"/>
      <c r="J227" s="2"/>
      <c r="K227" s="1"/>
      <c r="L227" s="1"/>
      <c r="M227" s="1"/>
      <c r="N227" s="1"/>
      <c r="O227" s="5"/>
      <c r="P227" s="18" t="str">
        <f>IF($G227=8,$O227,"")</f>
        <v/>
      </c>
      <c r="Q227" s="18" t="str">
        <f>IF($G227=10,$O227,"")</f>
        <v/>
      </c>
      <c r="R227" s="18" t="str">
        <f>IF($G227=12,$O227,"")</f>
        <v/>
      </c>
      <c r="S227" s="18" t="str">
        <f>IF($G227=16,$O227,"")</f>
        <v/>
      </c>
      <c r="T227" s="18" t="str">
        <f>IF($G227=20,$O227,"")</f>
        <v/>
      </c>
      <c r="U227" s="18" t="str">
        <f>IF($G227=25,$O227,"")</f>
        <v/>
      </c>
      <c r="V227" s="1"/>
    </row>
    <row r="228" spans="1:22" x14ac:dyDescent="0.25">
      <c r="A228" s="14"/>
      <c r="B228" s="34"/>
      <c r="C228" s="22"/>
      <c r="D228" s="4"/>
      <c r="E228" s="23"/>
      <c r="F228" s="42"/>
      <c r="G228" s="11"/>
      <c r="H228" s="1"/>
      <c r="I228" s="1"/>
      <c r="J228" s="2"/>
      <c r="K228" s="1"/>
      <c r="L228" s="1"/>
      <c r="M228" s="1"/>
      <c r="N228" s="1"/>
      <c r="O228" s="5"/>
      <c r="P228" s="18" t="str">
        <f t="shared" si="0"/>
        <v/>
      </c>
      <c r="Q228" s="18" t="str">
        <f t="shared" si="1"/>
        <v/>
      </c>
      <c r="R228" s="18" t="str">
        <f t="shared" si="2"/>
        <v/>
      </c>
      <c r="S228" s="18" t="str">
        <f t="shared" si="3"/>
        <v/>
      </c>
      <c r="T228" s="18" t="str">
        <f t="shared" si="4"/>
        <v/>
      </c>
      <c r="U228" s="18" t="str">
        <f t="shared" si="5"/>
        <v/>
      </c>
      <c r="V228" s="1"/>
    </row>
    <row r="229" spans="1:22" x14ac:dyDescent="0.25">
      <c r="A229" s="14"/>
      <c r="B229" s="34"/>
      <c r="C229" s="22"/>
      <c r="D229" s="9">
        <f>0.3-0.08</f>
        <v>0.21999999999999997</v>
      </c>
      <c r="E229" s="23"/>
      <c r="F229" s="42"/>
      <c r="G229" s="11"/>
      <c r="H229" s="1"/>
      <c r="I229" s="1"/>
      <c r="J229" s="2"/>
      <c r="K229" s="1"/>
      <c r="L229" s="1"/>
      <c r="M229" s="1"/>
      <c r="N229" s="1"/>
      <c r="O229" s="5"/>
      <c r="P229" s="18" t="str">
        <f t="shared" si="0"/>
        <v/>
      </c>
      <c r="Q229" s="18" t="str">
        <f t="shared" si="1"/>
        <v/>
      </c>
      <c r="R229" s="18" t="str">
        <f t="shared" si="2"/>
        <v/>
      </c>
      <c r="S229" s="18" t="str">
        <f t="shared" si="3"/>
        <v/>
      </c>
      <c r="T229" s="18" t="str">
        <f t="shared" si="4"/>
        <v/>
      </c>
      <c r="U229" s="18" t="str">
        <f t="shared" si="5"/>
        <v/>
      </c>
      <c r="V229" s="1"/>
    </row>
    <row r="230" spans="1:22" x14ac:dyDescent="0.25">
      <c r="A230" s="14"/>
      <c r="B230" s="34"/>
      <c r="C230" s="22"/>
      <c r="D230" s="4"/>
      <c r="E230" s="23"/>
      <c r="F230" s="42"/>
      <c r="G230" s="11"/>
      <c r="H230" s="1"/>
      <c r="I230" s="1"/>
      <c r="J230" s="2"/>
      <c r="K230" s="1"/>
      <c r="L230" s="1"/>
      <c r="M230" s="1"/>
      <c r="N230" s="1"/>
      <c r="O230" s="5"/>
      <c r="P230" s="18" t="str">
        <f t="shared" ref="P230:P234" si="6">IF($G230=8,$O230,"")</f>
        <v/>
      </c>
      <c r="Q230" s="18" t="str">
        <f t="shared" ref="Q230:Q234" si="7">IF($G230=10,$O230,"")</f>
        <v/>
      </c>
      <c r="R230" s="18" t="str">
        <f t="shared" ref="R230:R234" si="8">IF($G230=12,$O230,"")</f>
        <v/>
      </c>
      <c r="S230" s="18" t="str">
        <f t="shared" ref="S230:S234" si="9">IF($G230=16,$O230,"")</f>
        <v/>
      </c>
      <c r="T230" s="18" t="str">
        <f t="shared" ref="T230:T234" si="10">IF($G230=20,$O230,"")</f>
        <v/>
      </c>
      <c r="U230" s="18" t="str">
        <f t="shared" ref="U230:U234" si="11">IF($G230=25,$O230,"")</f>
        <v/>
      </c>
      <c r="V230" s="1"/>
    </row>
    <row r="231" spans="1:22" x14ac:dyDescent="0.25">
      <c r="A231" s="14"/>
      <c r="B231" s="34" t="s">
        <v>36</v>
      </c>
      <c r="C231" s="22"/>
      <c r="D231" s="25"/>
      <c r="E231" s="23"/>
      <c r="F231" s="42">
        <v>7.4999999999999997E-2</v>
      </c>
      <c r="G231" s="11">
        <v>10</v>
      </c>
      <c r="H231" s="1">
        <v>4</v>
      </c>
      <c r="I231" s="1">
        <f>ROUND(D211/F231+1,0)</f>
        <v>63</v>
      </c>
      <c r="J231" s="41">
        <f>C232+D234+E232+2*10*G231/1000</f>
        <v>0.77</v>
      </c>
      <c r="K231" s="1"/>
      <c r="L231" s="1"/>
      <c r="M231" s="5">
        <f>4*3*G231/1000</f>
        <v>0.12</v>
      </c>
      <c r="N231" s="5">
        <f>(J231+K231-M231)</f>
        <v>0.65</v>
      </c>
      <c r="O231" s="5">
        <f>(H231*I231*N231)</f>
        <v>163.80000000000001</v>
      </c>
      <c r="P231" s="18" t="str">
        <f t="shared" si="6"/>
        <v/>
      </c>
      <c r="Q231" s="18">
        <f t="shared" si="7"/>
        <v>163.80000000000001</v>
      </c>
      <c r="R231" s="18" t="str">
        <f t="shared" si="8"/>
        <v/>
      </c>
      <c r="S231" s="18" t="str">
        <f t="shared" si="9"/>
        <v/>
      </c>
      <c r="T231" s="18" t="str">
        <f t="shared" si="10"/>
        <v/>
      </c>
      <c r="U231" s="18" t="str">
        <f t="shared" si="11"/>
        <v/>
      </c>
      <c r="V231" s="1"/>
    </row>
    <row r="232" spans="1:22" x14ac:dyDescent="0.25">
      <c r="A232" s="14"/>
      <c r="B232" s="34"/>
      <c r="C232" s="29">
        <v>0.17499999999999999</v>
      </c>
      <c r="D232" s="4"/>
      <c r="E232" s="23">
        <v>0.17499999999999999</v>
      </c>
      <c r="F232" s="42"/>
      <c r="G232" s="11"/>
      <c r="H232" s="1"/>
      <c r="I232" s="1"/>
      <c r="J232" s="2"/>
      <c r="K232" s="1"/>
      <c r="L232" s="1"/>
      <c r="M232" s="1"/>
      <c r="N232" s="1"/>
      <c r="O232" s="5"/>
      <c r="P232" s="18" t="str">
        <f>IF($G232=8,$O232,"")</f>
        <v/>
      </c>
      <c r="Q232" s="18" t="str">
        <f>IF($G232=10,$O232,"")</f>
        <v/>
      </c>
      <c r="R232" s="18" t="str">
        <f>IF($G232=12,$O232,"")</f>
        <v/>
      </c>
      <c r="S232" s="18" t="str">
        <f>IF($G232=16,$O232,"")</f>
        <v/>
      </c>
      <c r="T232" s="18" t="str">
        <f>IF($G232=20,$O232,"")</f>
        <v/>
      </c>
      <c r="U232" s="18" t="str">
        <f>IF($G232=25,$O232,"")</f>
        <v/>
      </c>
      <c r="V232" s="1"/>
    </row>
    <row r="233" spans="1:22" x14ac:dyDescent="0.25">
      <c r="A233" s="14"/>
      <c r="B233" s="34"/>
      <c r="C233" s="22"/>
      <c r="D233" s="4"/>
      <c r="E233" s="23"/>
      <c r="F233" s="42"/>
      <c r="G233" s="11"/>
      <c r="H233" s="1"/>
      <c r="I233" s="1"/>
      <c r="J233" s="2"/>
      <c r="K233" s="1"/>
      <c r="L233" s="1"/>
      <c r="M233" s="1"/>
      <c r="N233" s="1"/>
      <c r="O233" s="3"/>
      <c r="P233" s="18" t="str">
        <f t="shared" si="6"/>
        <v/>
      </c>
      <c r="Q233" s="18" t="str">
        <f t="shared" si="7"/>
        <v/>
      </c>
      <c r="R233" s="18" t="str">
        <f t="shared" si="8"/>
        <v/>
      </c>
      <c r="S233" s="18" t="str">
        <f t="shared" si="9"/>
        <v/>
      </c>
      <c r="T233" s="18" t="str">
        <f t="shared" si="10"/>
        <v/>
      </c>
      <c r="U233" s="18" t="str">
        <f t="shared" si="11"/>
        <v/>
      </c>
      <c r="V233" s="1"/>
    </row>
    <row r="234" spans="1:22" x14ac:dyDescent="0.25">
      <c r="A234" s="14"/>
      <c r="B234" s="34"/>
      <c r="C234" s="22"/>
      <c r="D234" s="9">
        <f>0.3-0.08</f>
        <v>0.21999999999999997</v>
      </c>
      <c r="E234" s="23"/>
      <c r="F234" s="42"/>
      <c r="G234" s="11"/>
      <c r="H234" s="1"/>
      <c r="I234" s="1"/>
      <c r="J234" s="2"/>
      <c r="K234" s="1"/>
      <c r="L234" s="1"/>
      <c r="M234" s="1"/>
      <c r="N234" s="1"/>
      <c r="O234" s="3"/>
      <c r="P234" s="18" t="str">
        <f t="shared" si="6"/>
        <v/>
      </c>
      <c r="Q234" s="18" t="str">
        <f t="shared" si="7"/>
        <v/>
      </c>
      <c r="R234" s="18" t="str">
        <f t="shared" si="8"/>
        <v/>
      </c>
      <c r="S234" s="18" t="str">
        <f t="shared" si="9"/>
        <v/>
      </c>
      <c r="T234" s="18" t="str">
        <f t="shared" si="10"/>
        <v/>
      </c>
      <c r="U234" s="18" t="str">
        <f t="shared" si="11"/>
        <v/>
      </c>
      <c r="V234" s="1"/>
    </row>
    <row r="235" spans="1:22" x14ac:dyDescent="0.25">
      <c r="A235" s="14"/>
      <c r="B235" s="34"/>
      <c r="C235" s="22"/>
      <c r="D235" s="28"/>
      <c r="E235" s="23"/>
      <c r="F235" s="42"/>
      <c r="G235" s="11"/>
      <c r="H235" s="1"/>
      <c r="I235" s="1"/>
      <c r="J235" s="2"/>
      <c r="K235" s="1"/>
      <c r="L235" s="1"/>
      <c r="M235" s="1"/>
      <c r="N235" s="1"/>
      <c r="O235" s="3"/>
      <c r="P235" s="18" t="str">
        <f t="shared" si="0"/>
        <v/>
      </c>
      <c r="Q235" s="18" t="str">
        <f t="shared" si="1"/>
        <v/>
      </c>
      <c r="R235" s="18" t="str">
        <f t="shared" si="2"/>
        <v/>
      </c>
      <c r="S235" s="18" t="str">
        <f t="shared" si="3"/>
        <v/>
      </c>
      <c r="T235" s="18" t="str">
        <f t="shared" si="4"/>
        <v/>
      </c>
      <c r="U235" s="18" t="str">
        <f t="shared" si="5"/>
        <v/>
      </c>
      <c r="V235" s="1"/>
    </row>
    <row r="236" spans="1:22" x14ac:dyDescent="0.25">
      <c r="A236" s="14">
        <v>9</v>
      </c>
      <c r="B236" s="14" t="s">
        <v>44</v>
      </c>
      <c r="C236" s="22"/>
      <c r="D236" s="4"/>
      <c r="E236" s="23"/>
      <c r="F236" s="42"/>
      <c r="G236" s="11"/>
      <c r="H236" s="1"/>
      <c r="I236" s="1"/>
      <c r="J236" s="9"/>
      <c r="K236" s="5"/>
      <c r="L236" s="5"/>
      <c r="M236" s="1"/>
      <c r="N236" s="5"/>
      <c r="O236" s="5"/>
      <c r="P236" s="18" t="str">
        <f>IF($G236=8,$O236,"")</f>
        <v/>
      </c>
      <c r="Q236" s="18" t="str">
        <f>IF($G236=10,$O236,"")</f>
        <v/>
      </c>
      <c r="R236" s="18" t="str">
        <f>IF($G236=12,$O236,"")</f>
        <v/>
      </c>
      <c r="S236" s="18" t="str">
        <f>IF($G236=16,$O236,"")</f>
        <v/>
      </c>
      <c r="T236" s="18" t="str">
        <f>IF($G236=20,$O236,"")</f>
        <v/>
      </c>
      <c r="U236" s="18" t="str">
        <f>IF($G236=25,$O236,"")</f>
        <v/>
      </c>
      <c r="V236" s="1"/>
    </row>
    <row r="237" spans="1:22" x14ac:dyDescent="0.25">
      <c r="A237" s="14"/>
      <c r="B237" s="33" t="s">
        <v>18</v>
      </c>
      <c r="C237" s="22"/>
      <c r="D237" s="38">
        <f>2.8+0.15-0.075-0.032+1.8</f>
        <v>4.6429999999999998</v>
      </c>
      <c r="E237" s="23"/>
      <c r="F237" s="42"/>
      <c r="G237" s="11">
        <v>16</v>
      </c>
      <c r="H237" s="1">
        <v>2</v>
      </c>
      <c r="I237" s="1">
        <v>8</v>
      </c>
      <c r="J237" s="9">
        <f>D237</f>
        <v>4.6429999999999998</v>
      </c>
      <c r="K237" s="5"/>
      <c r="L237" s="5"/>
      <c r="M237" s="1">
        <f>2*G237/1000</f>
        <v>3.2000000000000001E-2</v>
      </c>
      <c r="N237" s="5">
        <f>J237+E239-M237</f>
        <v>4.9109999999999996</v>
      </c>
      <c r="O237" s="5">
        <f>H237*I237*N237</f>
        <v>78.575999999999993</v>
      </c>
      <c r="P237" s="18" t="str">
        <f t="shared" si="0"/>
        <v/>
      </c>
      <c r="Q237" s="18" t="str">
        <f t="shared" si="1"/>
        <v/>
      </c>
      <c r="R237" s="18" t="str">
        <f t="shared" si="2"/>
        <v/>
      </c>
      <c r="S237" s="18">
        <f t="shared" si="3"/>
        <v>78.575999999999993</v>
      </c>
      <c r="T237" s="18" t="str">
        <f t="shared" si="4"/>
        <v/>
      </c>
      <c r="U237" s="18" t="str">
        <f t="shared" si="5"/>
        <v/>
      </c>
      <c r="V237" s="1"/>
    </row>
    <row r="238" spans="1:22" x14ac:dyDescent="0.25">
      <c r="A238" s="14"/>
      <c r="B238" s="33" t="s">
        <v>32</v>
      </c>
      <c r="C238" s="22"/>
      <c r="D238" s="4"/>
      <c r="E238" s="23"/>
      <c r="F238" s="42"/>
      <c r="G238" s="11">
        <v>12</v>
      </c>
      <c r="H238" s="1">
        <v>2</v>
      </c>
      <c r="I238" s="1">
        <v>16</v>
      </c>
      <c r="J238" s="9">
        <f>D237</f>
        <v>4.6429999999999998</v>
      </c>
      <c r="K238" s="5"/>
      <c r="L238" s="5"/>
      <c r="M238" s="1">
        <f>2*G238/1000</f>
        <v>2.4E-2</v>
      </c>
      <c r="N238" s="5">
        <f>J238+E239-M238</f>
        <v>4.9189999999999996</v>
      </c>
      <c r="O238" s="5">
        <f>H238*I238*N238</f>
        <v>157.40799999999999</v>
      </c>
      <c r="P238" s="18" t="str">
        <f t="shared" si="0"/>
        <v/>
      </c>
      <c r="Q238" s="18" t="str">
        <f t="shared" si="1"/>
        <v/>
      </c>
      <c r="R238" s="18">
        <f t="shared" si="2"/>
        <v>157.40799999999999</v>
      </c>
      <c r="S238" s="18" t="str">
        <f t="shared" si="3"/>
        <v/>
      </c>
      <c r="T238" s="18" t="str">
        <f t="shared" si="4"/>
        <v/>
      </c>
      <c r="U238" s="18" t="str">
        <f t="shared" si="5"/>
        <v/>
      </c>
      <c r="V238" s="1"/>
    </row>
    <row r="239" spans="1:22" x14ac:dyDescent="0.25">
      <c r="A239" s="14"/>
      <c r="B239" s="33" t="s">
        <v>26</v>
      </c>
      <c r="C239" s="24"/>
      <c r="D239" s="25"/>
      <c r="E239" s="39">
        <v>0.3</v>
      </c>
      <c r="F239" s="42"/>
      <c r="G239" s="11">
        <v>10</v>
      </c>
      <c r="H239" s="1">
        <v>2</v>
      </c>
      <c r="I239" s="1">
        <v>8</v>
      </c>
      <c r="J239" s="9">
        <f>D237</f>
        <v>4.6429999999999998</v>
      </c>
      <c r="K239" s="5"/>
      <c r="L239" s="5"/>
      <c r="M239" s="1">
        <f>2*G239/1000</f>
        <v>0.02</v>
      </c>
      <c r="N239" s="5">
        <f>J239+E239-M239</f>
        <v>4.923</v>
      </c>
      <c r="O239" s="5">
        <f>H239*I239*N239</f>
        <v>78.768000000000001</v>
      </c>
      <c r="P239" s="18" t="str">
        <f t="shared" si="0"/>
        <v/>
      </c>
      <c r="Q239" s="18">
        <f t="shared" si="1"/>
        <v>78.768000000000001</v>
      </c>
      <c r="R239" s="18" t="str">
        <f t="shared" si="2"/>
        <v/>
      </c>
      <c r="S239" s="18" t="str">
        <f t="shared" si="3"/>
        <v/>
      </c>
      <c r="T239" s="18" t="str">
        <f t="shared" si="4"/>
        <v/>
      </c>
      <c r="U239" s="18" t="str">
        <f t="shared" si="5"/>
        <v/>
      </c>
      <c r="V239" s="1"/>
    </row>
    <row r="240" spans="1:22" x14ac:dyDescent="0.25">
      <c r="A240" s="14"/>
      <c r="B240" s="33"/>
      <c r="C240" s="22"/>
      <c r="D240" s="4"/>
      <c r="E240" s="23"/>
      <c r="F240" s="42"/>
      <c r="G240" s="11"/>
      <c r="H240" s="1"/>
      <c r="I240" s="1"/>
      <c r="J240" s="9"/>
      <c r="K240" s="5"/>
      <c r="L240" s="5"/>
      <c r="M240" s="1"/>
      <c r="N240" s="5"/>
      <c r="O240" s="5"/>
      <c r="P240" s="18" t="str">
        <f t="shared" si="0"/>
        <v/>
      </c>
      <c r="Q240" s="18" t="str">
        <f t="shared" si="1"/>
        <v/>
      </c>
      <c r="R240" s="18" t="str">
        <f t="shared" si="2"/>
        <v/>
      </c>
      <c r="S240" s="18" t="str">
        <f t="shared" si="3"/>
        <v/>
      </c>
      <c r="T240" s="18" t="str">
        <f t="shared" si="4"/>
        <v/>
      </c>
      <c r="U240" s="18" t="str">
        <f t="shared" si="5"/>
        <v/>
      </c>
      <c r="V240" s="1"/>
    </row>
    <row r="241" spans="1:22" x14ac:dyDescent="0.25">
      <c r="A241" s="14"/>
      <c r="B241" s="33"/>
      <c r="C241" s="22"/>
      <c r="D241" s="4"/>
      <c r="E241" s="23"/>
      <c r="F241" s="42"/>
      <c r="G241" s="11"/>
      <c r="H241" s="1"/>
      <c r="I241" s="1"/>
      <c r="J241" s="2"/>
      <c r="K241" s="1"/>
      <c r="L241" s="1"/>
      <c r="M241" s="1"/>
      <c r="N241" s="1"/>
      <c r="O241" s="3"/>
      <c r="P241" s="18" t="str">
        <f t="shared" si="0"/>
        <v/>
      </c>
      <c r="Q241" s="18" t="str">
        <f t="shared" si="1"/>
        <v/>
      </c>
      <c r="R241" s="18" t="str">
        <f t="shared" si="2"/>
        <v/>
      </c>
      <c r="S241" s="18" t="str">
        <f t="shared" si="3"/>
        <v/>
      </c>
      <c r="T241" s="18" t="str">
        <f t="shared" si="4"/>
        <v/>
      </c>
      <c r="U241" s="18" t="str">
        <f t="shared" si="5"/>
        <v/>
      </c>
      <c r="V241" s="1"/>
    </row>
    <row r="242" spans="1:22" x14ac:dyDescent="0.25">
      <c r="A242" s="14"/>
      <c r="B242" s="14"/>
      <c r="C242" s="29">
        <v>80</v>
      </c>
      <c r="D242" s="4"/>
      <c r="E242" s="23"/>
      <c r="F242" s="42"/>
      <c r="G242" s="11"/>
      <c r="H242" s="1"/>
      <c r="I242" s="1"/>
      <c r="J242" s="2"/>
      <c r="K242" s="1"/>
      <c r="L242" s="1"/>
      <c r="M242" s="1"/>
      <c r="N242" s="1"/>
      <c r="O242" s="3"/>
      <c r="P242" s="18" t="str">
        <f t="shared" si="0"/>
        <v/>
      </c>
      <c r="Q242" s="18" t="str">
        <f t="shared" si="1"/>
        <v/>
      </c>
      <c r="R242" s="18" t="str">
        <f t="shared" si="2"/>
        <v/>
      </c>
      <c r="S242" s="18" t="str">
        <f t="shared" si="3"/>
        <v/>
      </c>
      <c r="T242" s="18" t="str">
        <f t="shared" si="4"/>
        <v/>
      </c>
      <c r="U242" s="18" t="str">
        <f t="shared" si="5"/>
        <v/>
      </c>
      <c r="V242" s="1"/>
    </row>
    <row r="243" spans="1:22" x14ac:dyDescent="0.25">
      <c r="A243" s="14"/>
      <c r="B243" s="34" t="s">
        <v>20</v>
      </c>
      <c r="C243" s="26"/>
      <c r="D243" s="4"/>
      <c r="E243" s="40">
        <f>((1.65-0.05-0.08-0.06)/11)</f>
        <v>0.13272727272727269</v>
      </c>
      <c r="F243" s="42">
        <v>7.4999999999999997E-2</v>
      </c>
      <c r="G243" s="11">
        <v>10</v>
      </c>
      <c r="H243" s="1">
        <v>2</v>
      </c>
      <c r="I243" s="1">
        <f>ROUND(D237/F243+1,0)</f>
        <v>63</v>
      </c>
      <c r="J243" s="41">
        <f>2*(D245+E243)+16*10/1000</f>
        <v>0.86545454545454537</v>
      </c>
      <c r="K243" s="1"/>
      <c r="L243" s="1"/>
      <c r="M243" s="1"/>
      <c r="N243" s="5">
        <f>(J243+K243-M243)</f>
        <v>0.86545454545454537</v>
      </c>
      <c r="O243" s="5">
        <f>(H243*I243*N243)</f>
        <v>109.04727272727271</v>
      </c>
      <c r="P243" s="18" t="str">
        <f t="shared" si="0"/>
        <v/>
      </c>
      <c r="Q243" s="18">
        <f t="shared" si="1"/>
        <v>109.04727272727271</v>
      </c>
      <c r="R243" s="18" t="str">
        <f t="shared" si="2"/>
        <v/>
      </c>
      <c r="S243" s="18" t="str">
        <f t="shared" si="3"/>
        <v/>
      </c>
      <c r="T243" s="18" t="str">
        <f t="shared" si="4"/>
        <v/>
      </c>
      <c r="U243" s="18" t="str">
        <f t="shared" si="5"/>
        <v/>
      </c>
      <c r="V243" s="1"/>
    </row>
    <row r="244" spans="1:22" x14ac:dyDescent="0.25">
      <c r="A244" s="14"/>
      <c r="B244" s="34"/>
      <c r="C244" s="22"/>
      <c r="D244" s="4"/>
      <c r="E244" s="27"/>
      <c r="F244" s="42"/>
      <c r="G244" s="11"/>
      <c r="H244" s="1"/>
      <c r="I244" s="1"/>
      <c r="J244" s="2"/>
      <c r="K244" s="1"/>
      <c r="L244" s="1"/>
      <c r="M244" s="1"/>
      <c r="N244" s="1"/>
      <c r="O244" s="5"/>
      <c r="P244" s="18" t="str">
        <f t="shared" si="0"/>
        <v/>
      </c>
      <c r="Q244" s="18" t="str">
        <f t="shared" si="1"/>
        <v/>
      </c>
      <c r="R244" s="18" t="str">
        <f t="shared" si="2"/>
        <v/>
      </c>
      <c r="S244" s="18" t="str">
        <f t="shared" si="3"/>
        <v/>
      </c>
      <c r="T244" s="18" t="str">
        <f t="shared" si="4"/>
        <v/>
      </c>
      <c r="U244" s="18" t="str">
        <f t="shared" si="5"/>
        <v/>
      </c>
      <c r="V244" s="1"/>
    </row>
    <row r="245" spans="1:22" x14ac:dyDescent="0.25">
      <c r="A245" s="14"/>
      <c r="B245" s="34"/>
      <c r="C245" s="22"/>
      <c r="D245" s="9">
        <f>0.3-0.08</f>
        <v>0.21999999999999997</v>
      </c>
      <c r="E245" s="23"/>
      <c r="F245" s="42"/>
      <c r="G245" s="11"/>
      <c r="H245" s="1"/>
      <c r="I245" s="1"/>
      <c r="J245" s="2"/>
      <c r="K245" s="1"/>
      <c r="L245" s="1"/>
      <c r="M245" s="1"/>
      <c r="N245" s="1"/>
      <c r="O245" s="5"/>
      <c r="P245" s="18" t="str">
        <f t="shared" si="0"/>
        <v/>
      </c>
      <c r="Q245" s="18" t="str">
        <f t="shared" si="1"/>
        <v/>
      </c>
      <c r="R245" s="18" t="str">
        <f t="shared" si="2"/>
        <v/>
      </c>
      <c r="S245" s="18" t="str">
        <f t="shared" si="3"/>
        <v/>
      </c>
      <c r="T245" s="18" t="str">
        <f t="shared" si="4"/>
        <v/>
      </c>
      <c r="U245" s="18" t="str">
        <f t="shared" si="5"/>
        <v/>
      </c>
      <c r="V245" s="1"/>
    </row>
    <row r="246" spans="1:22" x14ac:dyDescent="0.25">
      <c r="A246" s="14"/>
      <c r="B246" s="33"/>
      <c r="C246" s="22"/>
      <c r="D246" s="4"/>
      <c r="E246" s="23"/>
      <c r="F246" s="42"/>
      <c r="G246" s="11"/>
      <c r="H246" s="1"/>
      <c r="I246" s="1"/>
      <c r="J246" s="2"/>
      <c r="K246" s="1"/>
      <c r="L246" s="1"/>
      <c r="M246" s="1"/>
      <c r="N246" s="1"/>
      <c r="O246" s="5"/>
      <c r="P246" s="18" t="str">
        <f t="shared" si="0"/>
        <v/>
      </c>
      <c r="Q246" s="18" t="str">
        <f t="shared" si="1"/>
        <v/>
      </c>
      <c r="R246" s="18" t="str">
        <f t="shared" si="2"/>
        <v/>
      </c>
      <c r="S246" s="18" t="str">
        <f t="shared" si="3"/>
        <v/>
      </c>
      <c r="T246" s="18" t="str">
        <f t="shared" si="4"/>
        <v/>
      </c>
      <c r="U246" s="18" t="str">
        <f t="shared" si="5"/>
        <v/>
      </c>
      <c r="V246" s="1"/>
    </row>
    <row r="247" spans="1:22" x14ac:dyDescent="0.25">
      <c r="A247" s="14"/>
      <c r="B247" s="14"/>
      <c r="C247" s="29">
        <v>80</v>
      </c>
      <c r="D247" s="4"/>
      <c r="E247" s="23"/>
      <c r="F247" s="42"/>
      <c r="G247" s="11"/>
      <c r="H247" s="1"/>
      <c r="I247" s="1"/>
      <c r="J247" s="2"/>
      <c r="K247" s="1"/>
      <c r="L247" s="1"/>
      <c r="M247" s="1"/>
      <c r="N247" s="1"/>
      <c r="O247" s="5"/>
      <c r="P247" s="18" t="str">
        <f t="shared" si="0"/>
        <v/>
      </c>
      <c r="Q247" s="18" t="str">
        <f t="shared" si="1"/>
        <v/>
      </c>
      <c r="R247" s="18" t="str">
        <f t="shared" si="2"/>
        <v/>
      </c>
      <c r="S247" s="18" t="str">
        <f t="shared" si="3"/>
        <v/>
      </c>
      <c r="T247" s="18" t="str">
        <f t="shared" si="4"/>
        <v/>
      </c>
      <c r="U247" s="18" t="str">
        <f t="shared" si="5"/>
        <v/>
      </c>
      <c r="V247" s="1"/>
    </row>
    <row r="248" spans="1:22" x14ac:dyDescent="0.25">
      <c r="A248" s="14"/>
      <c r="B248" s="34" t="s">
        <v>21</v>
      </c>
      <c r="C248" s="26"/>
      <c r="D248" s="4"/>
      <c r="E248" s="40">
        <f>((0.6-0.08-0.016)/5)+0.012+0.02</f>
        <v>0.1328</v>
      </c>
      <c r="F248" s="42">
        <v>7.4999999999999997E-2</v>
      </c>
      <c r="G248" s="11">
        <v>10</v>
      </c>
      <c r="H248" s="1">
        <v>2</v>
      </c>
      <c r="I248" s="1">
        <f>ROUND(D237/F248+1,0)</f>
        <v>63</v>
      </c>
      <c r="J248" s="41">
        <f>2*(D250+E248)+16*10/1000</f>
        <v>0.86560000000000004</v>
      </c>
      <c r="K248" s="1"/>
      <c r="L248" s="1"/>
      <c r="M248" s="1"/>
      <c r="N248" s="5">
        <f>(J248+K248-M248)</f>
        <v>0.86560000000000004</v>
      </c>
      <c r="O248" s="5">
        <f>(H248*I248*N248)</f>
        <v>109.0656</v>
      </c>
      <c r="P248" s="18" t="str">
        <f t="shared" si="0"/>
        <v/>
      </c>
      <c r="Q248" s="18">
        <f t="shared" si="1"/>
        <v>109.0656</v>
      </c>
      <c r="R248" s="18" t="str">
        <f t="shared" si="2"/>
        <v/>
      </c>
      <c r="S248" s="18" t="str">
        <f t="shared" si="3"/>
        <v/>
      </c>
      <c r="T248" s="18" t="str">
        <f t="shared" si="4"/>
        <v/>
      </c>
      <c r="U248" s="18" t="str">
        <f t="shared" si="5"/>
        <v/>
      </c>
      <c r="V248" s="1"/>
    </row>
    <row r="249" spans="1:22" x14ac:dyDescent="0.25">
      <c r="A249" s="14"/>
      <c r="B249" s="34"/>
      <c r="C249" s="22"/>
      <c r="D249" s="4"/>
      <c r="E249" s="27"/>
      <c r="F249" s="42"/>
      <c r="G249" s="11"/>
      <c r="H249" s="1"/>
      <c r="I249" s="1"/>
      <c r="J249" s="2"/>
      <c r="K249" s="1"/>
      <c r="L249" s="1"/>
      <c r="M249" s="1"/>
      <c r="N249" s="1"/>
      <c r="O249" s="5"/>
      <c r="P249" s="18" t="str">
        <f t="shared" si="0"/>
        <v/>
      </c>
      <c r="Q249" s="18" t="str">
        <f t="shared" si="1"/>
        <v/>
      </c>
      <c r="R249" s="18" t="str">
        <f t="shared" si="2"/>
        <v/>
      </c>
      <c r="S249" s="18" t="str">
        <f t="shared" si="3"/>
        <v/>
      </c>
      <c r="T249" s="18" t="str">
        <f t="shared" si="4"/>
        <v/>
      </c>
      <c r="U249" s="18" t="str">
        <f t="shared" si="5"/>
        <v/>
      </c>
      <c r="V249" s="1"/>
    </row>
    <row r="250" spans="1:22" x14ac:dyDescent="0.25">
      <c r="A250" s="14"/>
      <c r="B250" s="34"/>
      <c r="C250" s="22"/>
      <c r="D250" s="9">
        <f>0.3-0.08</f>
        <v>0.21999999999999997</v>
      </c>
      <c r="E250" s="23"/>
      <c r="F250" s="42"/>
      <c r="G250" s="11"/>
      <c r="H250" s="1"/>
      <c r="I250" s="1"/>
      <c r="J250" s="2"/>
      <c r="K250" s="1"/>
      <c r="L250" s="1"/>
      <c r="M250" s="1"/>
      <c r="N250" s="1"/>
      <c r="O250" s="5"/>
      <c r="P250" s="18" t="str">
        <f t="shared" si="0"/>
        <v/>
      </c>
      <c r="Q250" s="18" t="str">
        <f t="shared" si="1"/>
        <v/>
      </c>
      <c r="R250" s="18" t="str">
        <f t="shared" si="2"/>
        <v/>
      </c>
      <c r="S250" s="18" t="str">
        <f t="shared" si="3"/>
        <v/>
      </c>
      <c r="T250" s="18" t="str">
        <f t="shared" si="4"/>
        <v/>
      </c>
      <c r="U250" s="18" t="str">
        <f t="shared" si="5"/>
        <v/>
      </c>
      <c r="V250" s="1"/>
    </row>
    <row r="251" spans="1:22" x14ac:dyDescent="0.25">
      <c r="A251" s="14"/>
      <c r="B251" s="34"/>
      <c r="C251" s="22"/>
      <c r="D251" s="4"/>
      <c r="E251" s="23"/>
      <c r="F251" s="42"/>
      <c r="G251" s="11"/>
      <c r="H251" s="1"/>
      <c r="I251" s="1"/>
      <c r="J251" s="2"/>
      <c r="K251" s="1"/>
      <c r="L251" s="1"/>
      <c r="M251" s="1"/>
      <c r="N251" s="1"/>
      <c r="O251" s="5"/>
      <c r="P251" s="18" t="str">
        <f t="shared" si="0"/>
        <v/>
      </c>
      <c r="Q251" s="18" t="str">
        <f t="shared" si="1"/>
        <v/>
      </c>
      <c r="R251" s="18" t="str">
        <f t="shared" si="2"/>
        <v/>
      </c>
      <c r="S251" s="18" t="str">
        <f t="shared" si="3"/>
        <v/>
      </c>
      <c r="T251" s="18" t="str">
        <f t="shared" si="4"/>
        <v/>
      </c>
      <c r="U251" s="18" t="str">
        <f t="shared" si="5"/>
        <v/>
      </c>
      <c r="V251" s="1"/>
    </row>
    <row r="252" spans="1:22" x14ac:dyDescent="0.25">
      <c r="A252" s="14"/>
      <c r="B252" s="34" t="s">
        <v>22</v>
      </c>
      <c r="C252" s="22"/>
      <c r="D252" s="25"/>
      <c r="E252" s="23"/>
      <c r="F252" s="42">
        <v>7.4999999999999997E-2</v>
      </c>
      <c r="G252" s="11">
        <v>10</v>
      </c>
      <c r="H252" s="1">
        <v>2</v>
      </c>
      <c r="I252" s="1">
        <f>ROUND(D237/F252+1,0)</f>
        <v>63</v>
      </c>
      <c r="J252" s="41">
        <f>C253+D255+E253+2*10*G252/1000</f>
        <v>0.77</v>
      </c>
      <c r="K252" s="1"/>
      <c r="L252" s="1"/>
      <c r="M252" s="5">
        <f>4*3*G252/1000</f>
        <v>0.12</v>
      </c>
      <c r="N252" s="5">
        <f>(J252+K252-M252)</f>
        <v>0.65</v>
      </c>
      <c r="O252" s="5">
        <f>(H252*I252*N252)</f>
        <v>81.900000000000006</v>
      </c>
      <c r="P252" s="18" t="str">
        <f t="shared" si="0"/>
        <v/>
      </c>
      <c r="Q252" s="18">
        <f t="shared" si="1"/>
        <v>81.900000000000006</v>
      </c>
      <c r="R252" s="18" t="str">
        <f t="shared" si="2"/>
        <v/>
      </c>
      <c r="S252" s="18" t="str">
        <f t="shared" si="3"/>
        <v/>
      </c>
      <c r="T252" s="18" t="str">
        <f t="shared" si="4"/>
        <v/>
      </c>
      <c r="U252" s="18" t="str">
        <f t="shared" si="5"/>
        <v/>
      </c>
      <c r="V252" s="1"/>
    </row>
    <row r="253" spans="1:22" x14ac:dyDescent="0.25">
      <c r="A253" s="14"/>
      <c r="B253" s="34"/>
      <c r="C253" s="29">
        <v>0.17499999999999999</v>
      </c>
      <c r="D253" s="4"/>
      <c r="E253" s="23">
        <v>0.17499999999999999</v>
      </c>
      <c r="F253" s="42"/>
      <c r="G253" s="11"/>
      <c r="H253" s="1"/>
      <c r="I253" s="1"/>
      <c r="J253" s="2"/>
      <c r="K253" s="1"/>
      <c r="L253" s="1"/>
      <c r="M253" s="1"/>
      <c r="N253" s="1"/>
      <c r="O253" s="5"/>
      <c r="P253" s="18" t="str">
        <f>IF($G253=8,$O253,"")</f>
        <v/>
      </c>
      <c r="Q253" s="18" t="str">
        <f>IF($G253=10,$O253,"")</f>
        <v/>
      </c>
      <c r="R253" s="18" t="str">
        <f>IF($G253=12,$O253,"")</f>
        <v/>
      </c>
      <c r="S253" s="18" t="str">
        <f>IF($G253=16,$O253,"")</f>
        <v/>
      </c>
      <c r="T253" s="18" t="str">
        <f>IF($G253=20,$O253,"")</f>
        <v/>
      </c>
      <c r="U253" s="18" t="str">
        <f>IF($G253=25,$O253,"")</f>
        <v/>
      </c>
      <c r="V253" s="1"/>
    </row>
    <row r="254" spans="1:22" x14ac:dyDescent="0.25">
      <c r="A254" s="14"/>
      <c r="B254" s="34"/>
      <c r="C254" s="22"/>
      <c r="D254" s="4"/>
      <c r="E254" s="23"/>
      <c r="F254" s="42"/>
      <c r="G254" s="11"/>
      <c r="H254" s="1"/>
      <c r="I254" s="1"/>
      <c r="J254" s="2"/>
      <c r="K254" s="1"/>
      <c r="L254" s="1"/>
      <c r="M254" s="1"/>
      <c r="N254" s="1"/>
      <c r="O254" s="5"/>
      <c r="P254" s="18" t="str">
        <f t="shared" si="0"/>
        <v/>
      </c>
      <c r="Q254" s="18" t="str">
        <f t="shared" si="1"/>
        <v/>
      </c>
      <c r="R254" s="18" t="str">
        <f t="shared" si="2"/>
        <v/>
      </c>
      <c r="S254" s="18" t="str">
        <f t="shared" si="3"/>
        <v/>
      </c>
      <c r="T254" s="18" t="str">
        <f t="shared" si="4"/>
        <v/>
      </c>
      <c r="U254" s="18" t="str">
        <f t="shared" si="5"/>
        <v/>
      </c>
      <c r="V254" s="1"/>
    </row>
    <row r="255" spans="1:22" x14ac:dyDescent="0.25">
      <c r="A255" s="14"/>
      <c r="B255" s="34"/>
      <c r="C255" s="22"/>
      <c r="D255" s="9">
        <f>0.3-0.08</f>
        <v>0.21999999999999997</v>
      </c>
      <c r="E255" s="23"/>
      <c r="F255" s="42"/>
      <c r="G255" s="11"/>
      <c r="H255" s="1"/>
      <c r="I255" s="1"/>
      <c r="J255" s="2"/>
      <c r="K255" s="1"/>
      <c r="L255" s="1"/>
      <c r="M255" s="1"/>
      <c r="N255" s="1"/>
      <c r="O255" s="5"/>
      <c r="P255" s="18" t="str">
        <f t="shared" si="0"/>
        <v/>
      </c>
      <c r="Q255" s="18" t="str">
        <f t="shared" si="1"/>
        <v/>
      </c>
      <c r="R255" s="18" t="str">
        <f t="shared" si="2"/>
        <v/>
      </c>
      <c r="S255" s="18" t="str">
        <f t="shared" si="3"/>
        <v/>
      </c>
      <c r="T255" s="18" t="str">
        <f t="shared" si="4"/>
        <v/>
      </c>
      <c r="U255" s="18" t="str">
        <f t="shared" si="5"/>
        <v/>
      </c>
      <c r="V255" s="1"/>
    </row>
    <row r="256" spans="1:22" x14ac:dyDescent="0.25">
      <c r="A256" s="14"/>
      <c r="B256" s="34"/>
      <c r="C256" s="22"/>
      <c r="D256" s="4"/>
      <c r="E256" s="23"/>
      <c r="F256" s="42"/>
      <c r="G256" s="11"/>
      <c r="H256" s="1"/>
      <c r="I256" s="1"/>
      <c r="J256" s="2"/>
      <c r="K256" s="1"/>
      <c r="L256" s="1"/>
      <c r="M256" s="1"/>
      <c r="N256" s="1"/>
      <c r="O256" s="5"/>
      <c r="P256" s="18" t="str">
        <f t="shared" si="0"/>
        <v/>
      </c>
      <c r="Q256" s="18" t="str">
        <f t="shared" si="1"/>
        <v/>
      </c>
      <c r="R256" s="18" t="str">
        <f t="shared" si="2"/>
        <v/>
      </c>
      <c r="S256" s="18" t="str">
        <f t="shared" si="3"/>
        <v/>
      </c>
      <c r="T256" s="18" t="str">
        <f t="shared" si="4"/>
        <v/>
      </c>
      <c r="U256" s="18" t="str">
        <f t="shared" si="5"/>
        <v/>
      </c>
      <c r="V256" s="1"/>
    </row>
    <row r="257" spans="1:22" x14ac:dyDescent="0.25">
      <c r="A257" s="14"/>
      <c r="B257" s="34" t="s">
        <v>36</v>
      </c>
      <c r="C257" s="22"/>
      <c r="D257" s="25"/>
      <c r="E257" s="23"/>
      <c r="F257" s="42">
        <v>7.4999999999999997E-2</v>
      </c>
      <c r="G257" s="11">
        <v>10</v>
      </c>
      <c r="H257" s="1">
        <v>2</v>
      </c>
      <c r="I257" s="1">
        <f>ROUND(D237/F257+1,0)</f>
        <v>63</v>
      </c>
      <c r="J257" s="41">
        <f>C258+D260+E258+2*10*G257/1000</f>
        <v>0.77</v>
      </c>
      <c r="K257" s="1"/>
      <c r="L257" s="1"/>
      <c r="M257" s="5">
        <f>4*3*G257/1000</f>
        <v>0.12</v>
      </c>
      <c r="N257" s="5">
        <f>(J257+K257-M257)</f>
        <v>0.65</v>
      </c>
      <c r="O257" s="5">
        <f>(H257*I257*N257)</f>
        <v>81.900000000000006</v>
      </c>
      <c r="P257" s="18" t="str">
        <f t="shared" si="0"/>
        <v/>
      </c>
      <c r="Q257" s="18">
        <f t="shared" si="1"/>
        <v>81.900000000000006</v>
      </c>
      <c r="R257" s="18" t="str">
        <f t="shared" si="2"/>
        <v/>
      </c>
      <c r="S257" s="18" t="str">
        <f t="shared" si="3"/>
        <v/>
      </c>
      <c r="T257" s="18" t="str">
        <f t="shared" si="4"/>
        <v/>
      </c>
      <c r="U257" s="18" t="str">
        <f t="shared" si="5"/>
        <v/>
      </c>
      <c r="V257" s="1"/>
    </row>
    <row r="258" spans="1:22" x14ac:dyDescent="0.25">
      <c r="A258" s="14"/>
      <c r="B258" s="34"/>
      <c r="C258" s="29">
        <v>0.17499999999999999</v>
      </c>
      <c r="D258" s="4"/>
      <c r="E258" s="23">
        <v>0.17499999999999999</v>
      </c>
      <c r="F258" s="42"/>
      <c r="G258" s="11"/>
      <c r="H258" s="1"/>
      <c r="I258" s="1"/>
      <c r="J258" s="2"/>
      <c r="K258" s="1"/>
      <c r="L258" s="1"/>
      <c r="M258" s="1"/>
      <c r="N258" s="1"/>
      <c r="O258" s="5"/>
      <c r="P258" s="18" t="str">
        <f>IF($G258=8,$O258,"")</f>
        <v/>
      </c>
      <c r="Q258" s="18" t="str">
        <f>IF($G258=10,$O258,"")</f>
        <v/>
      </c>
      <c r="R258" s="18" t="str">
        <f>IF($G258=12,$O258,"")</f>
        <v/>
      </c>
      <c r="S258" s="18" t="str">
        <f>IF($G258=16,$O258,"")</f>
        <v/>
      </c>
      <c r="T258" s="18" t="str">
        <f>IF($G258=20,$O258,"")</f>
        <v/>
      </c>
      <c r="U258" s="18" t="str">
        <f>IF($G258=25,$O258,"")</f>
        <v/>
      </c>
      <c r="V258" s="1"/>
    </row>
    <row r="259" spans="1:22" x14ac:dyDescent="0.25">
      <c r="A259" s="14"/>
      <c r="B259" s="34"/>
      <c r="C259" s="22"/>
      <c r="D259" s="4"/>
      <c r="E259" s="23"/>
      <c r="F259" s="42"/>
      <c r="G259" s="11"/>
      <c r="H259" s="1"/>
      <c r="I259" s="1"/>
      <c r="J259" s="2"/>
      <c r="K259" s="1"/>
      <c r="L259" s="1"/>
      <c r="M259" s="1"/>
      <c r="N259" s="1"/>
      <c r="O259" s="3"/>
      <c r="P259" s="18" t="str">
        <f t="shared" si="0"/>
        <v/>
      </c>
      <c r="Q259" s="18" t="str">
        <f t="shared" si="1"/>
        <v/>
      </c>
      <c r="R259" s="18" t="str">
        <f t="shared" si="2"/>
        <v/>
      </c>
      <c r="S259" s="18" t="str">
        <f t="shared" si="3"/>
        <v/>
      </c>
      <c r="T259" s="18" t="str">
        <f t="shared" si="4"/>
        <v/>
      </c>
      <c r="U259" s="18" t="str">
        <f t="shared" si="5"/>
        <v/>
      </c>
      <c r="V259" s="1"/>
    </row>
    <row r="260" spans="1:22" x14ac:dyDescent="0.25">
      <c r="A260" s="14"/>
      <c r="B260" s="34"/>
      <c r="C260" s="22"/>
      <c r="D260" s="9">
        <f>0.3-0.08</f>
        <v>0.21999999999999997</v>
      </c>
      <c r="E260" s="23"/>
      <c r="F260" s="42"/>
      <c r="G260" s="11"/>
      <c r="H260" s="1"/>
      <c r="I260" s="1"/>
      <c r="J260" s="2"/>
      <c r="K260" s="1"/>
      <c r="L260" s="1"/>
      <c r="M260" s="1"/>
      <c r="N260" s="1"/>
      <c r="O260" s="3"/>
      <c r="P260" s="18" t="str">
        <f t="shared" si="0"/>
        <v/>
      </c>
      <c r="Q260" s="18" t="str">
        <f t="shared" si="1"/>
        <v/>
      </c>
      <c r="R260" s="18" t="str">
        <f t="shared" si="2"/>
        <v/>
      </c>
      <c r="S260" s="18" t="str">
        <f t="shared" si="3"/>
        <v/>
      </c>
      <c r="T260" s="18" t="str">
        <f t="shared" si="4"/>
        <v/>
      </c>
      <c r="U260" s="18" t="str">
        <f t="shared" si="5"/>
        <v/>
      </c>
      <c r="V260" s="1"/>
    </row>
    <row r="261" spans="1:22" x14ac:dyDescent="0.25">
      <c r="A261" s="14"/>
      <c r="B261" s="33"/>
      <c r="C261" s="22"/>
      <c r="D261" s="4"/>
      <c r="E261" s="23"/>
      <c r="F261" s="42"/>
      <c r="G261" s="11"/>
      <c r="H261" s="1"/>
      <c r="I261" s="1"/>
      <c r="J261" s="2"/>
      <c r="K261" s="1"/>
      <c r="L261" s="1"/>
      <c r="M261" s="1"/>
      <c r="N261" s="1"/>
      <c r="O261" s="3"/>
      <c r="P261" s="18" t="str">
        <f t="shared" si="0"/>
        <v/>
      </c>
      <c r="Q261" s="18" t="str">
        <f t="shared" si="1"/>
        <v/>
      </c>
      <c r="R261" s="18" t="str">
        <f t="shared" si="2"/>
        <v/>
      </c>
      <c r="S261" s="18" t="str">
        <f t="shared" si="3"/>
        <v/>
      </c>
      <c r="T261" s="18" t="str">
        <f t="shared" si="4"/>
        <v/>
      </c>
      <c r="U261" s="18" t="str">
        <f t="shared" si="5"/>
        <v/>
      </c>
      <c r="V261" s="1"/>
    </row>
    <row r="262" spans="1:22" x14ac:dyDescent="0.25">
      <c r="A262" s="14"/>
      <c r="B262" s="33"/>
      <c r="C262" s="22"/>
      <c r="D262" s="4"/>
      <c r="E262" s="23"/>
      <c r="F262" s="42"/>
      <c r="G262" s="11"/>
      <c r="H262" s="1"/>
      <c r="I262" s="1"/>
      <c r="J262" s="2"/>
      <c r="K262" s="1"/>
      <c r="L262" s="1"/>
      <c r="M262" s="1"/>
      <c r="N262" s="1"/>
      <c r="O262" s="3"/>
      <c r="P262" s="18" t="str">
        <f t="shared" si="0"/>
        <v/>
      </c>
      <c r="Q262" s="18" t="str">
        <f t="shared" si="1"/>
        <v/>
      </c>
      <c r="R262" s="18" t="str">
        <f t="shared" si="2"/>
        <v/>
      </c>
      <c r="S262" s="18" t="str">
        <f t="shared" si="3"/>
        <v/>
      </c>
      <c r="T262" s="18" t="str">
        <f t="shared" si="4"/>
        <v/>
      </c>
      <c r="U262" s="18" t="str">
        <f t="shared" si="5"/>
        <v/>
      </c>
      <c r="V262" s="1"/>
    </row>
    <row r="263" spans="1:22" x14ac:dyDescent="0.25">
      <c r="A263" s="14"/>
      <c r="B263" s="34"/>
      <c r="C263" s="22"/>
      <c r="D263" s="28"/>
      <c r="E263" s="23"/>
      <c r="F263" s="42"/>
      <c r="G263" s="11"/>
      <c r="H263" s="1"/>
      <c r="I263" s="1"/>
      <c r="J263" s="2"/>
      <c r="K263" s="1"/>
      <c r="L263" s="1"/>
      <c r="M263" s="1"/>
      <c r="N263" s="1"/>
      <c r="O263" s="3"/>
      <c r="P263" s="18" t="str">
        <f t="shared" si="0"/>
        <v/>
      </c>
      <c r="Q263" s="18" t="str">
        <f t="shared" si="1"/>
        <v/>
      </c>
      <c r="R263" s="18" t="str">
        <f t="shared" si="2"/>
        <v/>
      </c>
      <c r="S263" s="18" t="str">
        <f t="shared" si="3"/>
        <v/>
      </c>
      <c r="T263" s="18" t="str">
        <f t="shared" si="4"/>
        <v/>
      </c>
      <c r="U263" s="18" t="str">
        <f t="shared" si="5"/>
        <v/>
      </c>
      <c r="V263" s="1"/>
    </row>
    <row r="264" spans="1:22" x14ac:dyDescent="0.25">
      <c r="A264" s="14"/>
      <c r="B264" s="34"/>
      <c r="C264" s="22"/>
      <c r="D264" s="28"/>
      <c r="E264" s="23"/>
      <c r="F264" s="42"/>
      <c r="G264" s="11"/>
      <c r="H264" s="1"/>
      <c r="I264" s="1"/>
      <c r="J264" s="2"/>
      <c r="K264" s="1"/>
      <c r="L264" s="1"/>
      <c r="M264" s="1"/>
      <c r="N264" s="1"/>
      <c r="O264" s="3"/>
      <c r="P264" s="18" t="str">
        <f t="shared" si="0"/>
        <v/>
      </c>
      <c r="Q264" s="18" t="str">
        <f t="shared" si="1"/>
        <v/>
      </c>
      <c r="R264" s="18" t="str">
        <f t="shared" si="2"/>
        <v/>
      </c>
      <c r="S264" s="18" t="str">
        <f t="shared" si="3"/>
        <v/>
      </c>
      <c r="T264" s="18" t="str">
        <f t="shared" si="4"/>
        <v/>
      </c>
      <c r="U264" s="18" t="str">
        <f t="shared" si="5"/>
        <v/>
      </c>
      <c r="V264" s="1"/>
    </row>
    <row r="265" spans="1:22" x14ac:dyDescent="0.25">
      <c r="A265" s="14"/>
      <c r="B265" s="34"/>
      <c r="C265" s="22"/>
      <c r="D265" s="28"/>
      <c r="E265" s="23"/>
      <c r="F265" s="42"/>
      <c r="G265" s="11"/>
      <c r="H265" s="1"/>
      <c r="I265" s="1"/>
      <c r="J265" s="2"/>
      <c r="K265" s="1"/>
      <c r="L265" s="1"/>
      <c r="M265" s="1"/>
      <c r="N265" s="1"/>
      <c r="O265" s="3"/>
      <c r="P265" s="18" t="str">
        <f t="shared" si="0"/>
        <v/>
      </c>
      <c r="Q265" s="18" t="str">
        <f t="shared" si="1"/>
        <v/>
      </c>
      <c r="R265" s="18" t="str">
        <f t="shared" si="2"/>
        <v/>
      </c>
      <c r="S265" s="18" t="str">
        <f t="shared" si="3"/>
        <v/>
      </c>
      <c r="T265" s="18" t="str">
        <f t="shared" si="4"/>
        <v/>
      </c>
      <c r="U265" s="18" t="str">
        <f t="shared" si="5"/>
        <v/>
      </c>
      <c r="V265" s="1"/>
    </row>
    <row r="266" spans="1:22" x14ac:dyDescent="0.25">
      <c r="A266" s="14"/>
      <c r="B266" s="34"/>
      <c r="C266" s="22"/>
      <c r="D266" s="28"/>
      <c r="E266" s="23"/>
      <c r="F266" s="42"/>
      <c r="G266" s="11"/>
      <c r="H266" s="1"/>
      <c r="I266" s="1"/>
      <c r="J266" s="2"/>
      <c r="K266" s="1"/>
      <c r="L266" s="1"/>
      <c r="M266" s="1"/>
      <c r="N266" s="1"/>
      <c r="O266" s="3"/>
      <c r="P266" s="18" t="str">
        <f t="shared" si="0"/>
        <v/>
      </c>
      <c r="Q266" s="18" t="str">
        <f t="shared" si="1"/>
        <v/>
      </c>
      <c r="R266" s="18" t="str">
        <f t="shared" si="2"/>
        <v/>
      </c>
      <c r="S266" s="18" t="str">
        <f t="shared" si="3"/>
        <v/>
      </c>
      <c r="T266" s="18" t="str">
        <f t="shared" si="4"/>
        <v/>
      </c>
      <c r="U266" s="18" t="str">
        <f t="shared" si="5"/>
        <v/>
      </c>
      <c r="V266" s="1"/>
    </row>
    <row r="267" spans="1:22" x14ac:dyDescent="0.25">
      <c r="A267" s="14"/>
      <c r="B267" s="34"/>
      <c r="C267" s="22"/>
      <c r="D267" s="28"/>
      <c r="E267" s="23"/>
      <c r="F267" s="42"/>
      <c r="G267" s="11"/>
      <c r="H267" s="1"/>
      <c r="I267" s="1"/>
      <c r="J267" s="2"/>
      <c r="K267" s="1"/>
      <c r="L267" s="1"/>
      <c r="M267" s="1"/>
      <c r="N267" s="1"/>
      <c r="O267" s="3"/>
      <c r="P267" s="18" t="str">
        <f t="shared" si="0"/>
        <v/>
      </c>
      <c r="Q267" s="18" t="str">
        <f t="shared" si="1"/>
        <v/>
      </c>
      <c r="R267" s="18" t="str">
        <f t="shared" si="2"/>
        <v/>
      </c>
      <c r="S267" s="18" t="str">
        <f t="shared" si="3"/>
        <v/>
      </c>
      <c r="T267" s="18" t="str">
        <f t="shared" si="4"/>
        <v/>
      </c>
      <c r="U267" s="18" t="str">
        <f t="shared" si="5"/>
        <v/>
      </c>
      <c r="V267" s="1"/>
    </row>
    <row r="268" spans="1:22" x14ac:dyDescent="0.25">
      <c r="A268" s="14"/>
      <c r="B268" s="34"/>
      <c r="C268" s="22"/>
      <c r="D268" s="28"/>
      <c r="E268" s="23"/>
      <c r="F268" s="42"/>
      <c r="G268" s="11"/>
      <c r="H268" s="1"/>
      <c r="I268" s="1"/>
      <c r="J268" s="2"/>
      <c r="K268" s="1"/>
      <c r="L268" s="1"/>
      <c r="M268" s="1"/>
      <c r="N268" s="1"/>
      <c r="O268" s="3"/>
      <c r="P268" s="18" t="str">
        <f t="shared" si="0"/>
        <v/>
      </c>
      <c r="Q268" s="18" t="str">
        <f t="shared" si="1"/>
        <v/>
      </c>
      <c r="R268" s="18" t="str">
        <f t="shared" si="2"/>
        <v/>
      </c>
      <c r="S268" s="18" t="str">
        <f t="shared" si="3"/>
        <v/>
      </c>
      <c r="T268" s="18" t="str">
        <f t="shared" si="4"/>
        <v/>
      </c>
      <c r="U268" s="18" t="str">
        <f t="shared" si="5"/>
        <v/>
      </c>
      <c r="V268" s="1"/>
    </row>
    <row r="269" spans="1:22" x14ac:dyDescent="0.25">
      <c r="A269" s="14"/>
      <c r="B269" s="35"/>
      <c r="C269" s="30"/>
      <c r="D269" s="31"/>
      <c r="E269" s="32"/>
      <c r="F269" s="42"/>
      <c r="G269" s="11"/>
      <c r="H269" s="1"/>
      <c r="I269" s="1"/>
      <c r="J269" s="2"/>
      <c r="K269" s="1"/>
      <c r="L269" s="1"/>
      <c r="M269" s="1"/>
      <c r="N269" s="1"/>
      <c r="O269" s="3"/>
      <c r="P269" s="18" t="str">
        <f t="shared" si="0"/>
        <v/>
      </c>
      <c r="Q269" s="18" t="str">
        <f t="shared" si="1"/>
        <v/>
      </c>
      <c r="R269" s="18" t="str">
        <f t="shared" si="2"/>
        <v/>
      </c>
      <c r="S269" s="18" t="str">
        <f t="shared" si="3"/>
        <v/>
      </c>
      <c r="T269" s="18" t="str">
        <f t="shared" si="4"/>
        <v/>
      </c>
      <c r="U269" s="18" t="str">
        <f t="shared" si="5"/>
        <v/>
      </c>
      <c r="V269" s="11" t="s">
        <v>27</v>
      </c>
    </row>
    <row r="270" spans="1:22" x14ac:dyDescent="0.25">
      <c r="A270" s="17"/>
      <c r="B270" s="36" t="s">
        <v>23</v>
      </c>
      <c r="C270" s="48"/>
      <c r="D270" s="48"/>
      <c r="E270" s="49"/>
      <c r="F270" s="12"/>
      <c r="G270" s="12"/>
      <c r="H270" s="16"/>
      <c r="I270" s="16"/>
      <c r="J270" s="6"/>
      <c r="K270" s="16"/>
      <c r="L270" s="16"/>
      <c r="M270" s="16"/>
      <c r="N270" s="16"/>
      <c r="O270" s="16"/>
      <c r="P270" s="7">
        <f t="shared" ref="P270:U270" si="12">SUM(P5:P269)</f>
        <v>0</v>
      </c>
      <c r="Q270" s="7">
        <f t="shared" si="12"/>
        <v>29079.56704415584</v>
      </c>
      <c r="R270" s="7">
        <f t="shared" si="12"/>
        <v>2190.5119999999997</v>
      </c>
      <c r="S270" s="7">
        <f t="shared" si="12"/>
        <v>3370.3679999999999</v>
      </c>
      <c r="T270" s="7">
        <f t="shared" si="12"/>
        <v>2520.3479999999995</v>
      </c>
      <c r="U270" s="7">
        <f t="shared" si="12"/>
        <v>195.71999999999997</v>
      </c>
      <c r="V270" s="20"/>
    </row>
    <row r="271" spans="1:22" x14ac:dyDescent="0.25">
      <c r="A271" s="17"/>
      <c r="B271" s="36" t="s">
        <v>24</v>
      </c>
      <c r="C271" s="50"/>
      <c r="D271" s="50"/>
      <c r="E271" s="50"/>
      <c r="F271" s="12"/>
      <c r="G271" s="12"/>
      <c r="H271" s="16"/>
      <c r="I271" s="16"/>
      <c r="J271" s="6"/>
      <c r="K271" s="16"/>
      <c r="L271" s="16"/>
      <c r="M271" s="16"/>
      <c r="N271" s="16"/>
      <c r="O271" s="16"/>
      <c r="P271" s="16">
        <v>0.39500000000000002</v>
      </c>
      <c r="Q271" s="16">
        <v>0.61699999999999999</v>
      </c>
      <c r="R271" s="16">
        <v>0.88800000000000001</v>
      </c>
      <c r="S271" s="16">
        <v>1.58</v>
      </c>
      <c r="T271" s="16">
        <v>2.4689999999999999</v>
      </c>
      <c r="U271" s="16">
        <v>3.8580000000000001</v>
      </c>
      <c r="V271" s="20"/>
    </row>
    <row r="272" spans="1:22" x14ac:dyDescent="0.25">
      <c r="A272" s="17"/>
      <c r="B272" s="36" t="s">
        <v>25</v>
      </c>
      <c r="C272" s="50"/>
      <c r="D272" s="50"/>
      <c r="E272" s="50"/>
      <c r="F272" s="12"/>
      <c r="G272" s="12"/>
      <c r="H272" s="16"/>
      <c r="I272" s="16"/>
      <c r="J272" s="6"/>
      <c r="K272" s="16"/>
      <c r="L272" s="16"/>
      <c r="M272" s="16"/>
      <c r="N272" s="16"/>
      <c r="O272" s="16"/>
      <c r="P272" s="8">
        <f>P270*P271</f>
        <v>0</v>
      </c>
      <c r="Q272" s="8">
        <f t="shared" ref="Q272:U272" si="13">Q270*Q271</f>
        <v>17942.092866244151</v>
      </c>
      <c r="R272" s="8">
        <f t="shared" si="13"/>
        <v>1945.1746559999997</v>
      </c>
      <c r="S272" s="8">
        <f t="shared" si="13"/>
        <v>5325.1814400000003</v>
      </c>
      <c r="T272" s="8">
        <f t="shared" si="13"/>
        <v>6222.7392119999986</v>
      </c>
      <c r="U272" s="8">
        <f t="shared" si="13"/>
        <v>755.08775999999989</v>
      </c>
      <c r="V272" s="20">
        <f>SUM(P272:U272)</f>
        <v>32190.275934244146</v>
      </c>
    </row>
    <row r="273" spans="1:1" s="19" customFormat="1" x14ac:dyDescent="0.25">
      <c r="A273" s="14"/>
    </row>
  </sheetData>
  <mergeCells count="19">
    <mergeCell ref="A1:V1"/>
    <mergeCell ref="A3:A4"/>
    <mergeCell ref="B3:B4"/>
    <mergeCell ref="F3:F4"/>
    <mergeCell ref="G3:G4"/>
    <mergeCell ref="H3:H4"/>
    <mergeCell ref="I3:I4"/>
    <mergeCell ref="J3:J4"/>
    <mergeCell ref="K3:K4"/>
    <mergeCell ref="N3:N4"/>
    <mergeCell ref="O3:O4"/>
    <mergeCell ref="C3:E4"/>
    <mergeCell ref="P3:U3"/>
    <mergeCell ref="V3:V4"/>
    <mergeCell ref="C270:E270"/>
    <mergeCell ref="C271:E271"/>
    <mergeCell ref="C272:E272"/>
    <mergeCell ref="L3:L4"/>
    <mergeCell ref="M3:M4"/>
  </mergeCells>
  <pageMargins left="0.7" right="0.7" top="0.75" bottom="0.75" header="0.3" footer="0.3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6"/>
  <sheetViews>
    <sheetView tabSelected="1" topLeftCell="A25" zoomScale="85" zoomScaleNormal="85" workbookViewId="0">
      <selection activeCell="A2" sqref="A2"/>
    </sheetView>
  </sheetViews>
  <sheetFormatPr defaultRowHeight="15" x14ac:dyDescent="0.25"/>
  <cols>
    <col min="1" max="1" width="7" style="15" customWidth="1"/>
    <col min="2" max="2" width="24" style="37" customWidth="1"/>
    <col min="3" max="4" width="10.7109375" style="21" customWidth="1"/>
    <col min="5" max="5" width="11.5703125" style="21" customWidth="1"/>
    <col min="6" max="6" width="8" style="13" customWidth="1"/>
    <col min="7" max="7" width="9.140625" style="13"/>
    <col min="8" max="9" width="9.140625" style="19"/>
    <col min="10" max="10" width="9.140625" style="21"/>
    <col min="11" max="11" width="6.7109375" style="19" customWidth="1"/>
    <col min="12" max="12" width="8.5703125" style="19" customWidth="1"/>
    <col min="13" max="13" width="10.28515625" style="19" customWidth="1"/>
    <col min="14" max="14" width="9.140625" style="19"/>
    <col min="15" max="15" width="12.140625" style="19" customWidth="1"/>
    <col min="16" max="16" width="10" style="19" customWidth="1"/>
    <col min="17" max="17" width="10.5703125" style="19" bestFit="1" customWidth="1"/>
    <col min="18" max="21" width="10" style="19" customWidth="1"/>
    <col min="22" max="22" width="12" style="19" customWidth="1"/>
    <col min="23" max="16384" width="9.140625" style="19"/>
  </cols>
  <sheetData>
    <row r="1" spans="1:22" ht="18.75" x14ac:dyDescent="0.25">
      <c r="A1" s="54" t="s">
        <v>62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2" ht="15.75" x14ac:dyDescent="0.25">
      <c r="A2" s="10"/>
      <c r="B2" s="10"/>
      <c r="C2" s="15"/>
      <c r="D2" s="15"/>
      <c r="E2" s="15"/>
      <c r="F2" s="15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5" customHeight="1" x14ac:dyDescent="0.25">
      <c r="A3" s="53" t="s">
        <v>0</v>
      </c>
      <c r="B3" s="53" t="s">
        <v>1</v>
      </c>
      <c r="C3" s="59" t="s">
        <v>2</v>
      </c>
      <c r="D3" s="60"/>
      <c r="E3" s="61"/>
      <c r="F3" s="55" t="s">
        <v>3</v>
      </c>
      <c r="G3" s="56" t="s">
        <v>28</v>
      </c>
      <c r="H3" s="51" t="s">
        <v>29</v>
      </c>
      <c r="I3" s="56" t="s">
        <v>30</v>
      </c>
      <c r="J3" s="56" t="s">
        <v>4</v>
      </c>
      <c r="K3" s="53" t="s">
        <v>5</v>
      </c>
      <c r="L3" s="51" t="s">
        <v>6</v>
      </c>
      <c r="M3" s="53" t="s">
        <v>7</v>
      </c>
      <c r="N3" s="56" t="s">
        <v>8</v>
      </c>
      <c r="O3" s="57" t="s">
        <v>9</v>
      </c>
      <c r="P3" s="65" t="s">
        <v>10</v>
      </c>
      <c r="Q3" s="66"/>
      <c r="R3" s="66"/>
      <c r="S3" s="66"/>
      <c r="T3" s="66"/>
      <c r="U3" s="66"/>
      <c r="V3" s="53" t="s">
        <v>11</v>
      </c>
    </row>
    <row r="4" spans="1:22" x14ac:dyDescent="0.25">
      <c r="A4" s="53"/>
      <c r="B4" s="53"/>
      <c r="C4" s="62"/>
      <c r="D4" s="63"/>
      <c r="E4" s="64"/>
      <c r="F4" s="55"/>
      <c r="G4" s="56"/>
      <c r="H4" s="52"/>
      <c r="I4" s="56"/>
      <c r="J4" s="56"/>
      <c r="K4" s="53"/>
      <c r="L4" s="52"/>
      <c r="M4" s="53"/>
      <c r="N4" s="56"/>
      <c r="O4" s="58"/>
      <c r="P4" s="44" t="s">
        <v>12</v>
      </c>
      <c r="Q4" s="44" t="s">
        <v>13</v>
      </c>
      <c r="R4" s="44" t="s">
        <v>14</v>
      </c>
      <c r="S4" s="44" t="s">
        <v>15</v>
      </c>
      <c r="T4" s="44" t="s">
        <v>16</v>
      </c>
      <c r="U4" s="44" t="s">
        <v>17</v>
      </c>
      <c r="V4" s="53"/>
    </row>
    <row r="5" spans="1:22" ht="25.5" customHeight="1" x14ac:dyDescent="0.25">
      <c r="A5" s="14"/>
      <c r="B5" s="14"/>
      <c r="C5" s="22"/>
      <c r="D5" s="4"/>
      <c r="E5" s="23"/>
      <c r="F5" s="42"/>
      <c r="G5" s="11"/>
      <c r="H5" s="1"/>
      <c r="I5" s="1"/>
      <c r="J5" s="2"/>
      <c r="K5" s="1"/>
      <c r="L5" s="1"/>
      <c r="M5" s="1"/>
      <c r="N5" s="1"/>
      <c r="O5" s="3"/>
      <c r="P5" s="18" t="str">
        <f>IF($G5=8,$O5,"")</f>
        <v/>
      </c>
      <c r="Q5" s="18" t="str">
        <f>IF($G5=10,$O5,"")</f>
        <v/>
      </c>
      <c r="R5" s="18" t="str">
        <f>IF($G5=12,$O5,"")</f>
        <v/>
      </c>
      <c r="S5" s="18" t="str">
        <f>IF($G5=16,$O5,"")</f>
        <v/>
      </c>
      <c r="T5" s="18" t="str">
        <f>IF($G5=20,$O5,"")</f>
        <v/>
      </c>
      <c r="U5" s="18" t="str">
        <f>IF($G5=25,$O5,"")</f>
        <v/>
      </c>
      <c r="V5" s="1"/>
    </row>
    <row r="6" spans="1:22" x14ac:dyDescent="0.25">
      <c r="A6" s="14">
        <v>1</v>
      </c>
      <c r="B6" s="14" t="s">
        <v>31</v>
      </c>
      <c r="C6" s="22"/>
      <c r="D6" s="4"/>
      <c r="E6" s="23"/>
      <c r="F6" s="42"/>
      <c r="G6" s="11"/>
      <c r="H6" s="1"/>
      <c r="I6" s="1"/>
      <c r="J6" s="9"/>
      <c r="K6" s="5"/>
      <c r="L6" s="5"/>
      <c r="M6" s="1"/>
      <c r="N6" s="5"/>
      <c r="O6" s="5"/>
      <c r="P6" s="18" t="str">
        <f>IF($G6=8,$O6,"")</f>
        <v/>
      </c>
      <c r="Q6" s="18" t="str">
        <f>IF($G6=10,$O6,"")</f>
        <v/>
      </c>
      <c r="R6" s="18" t="str">
        <f>IF($G6=12,$O6,"")</f>
        <v/>
      </c>
      <c r="S6" s="18" t="str">
        <f>IF($G6=16,$O6,"")</f>
        <v/>
      </c>
      <c r="T6" s="18" t="str">
        <f>IF($G6=20,$O6,"")</f>
        <v/>
      </c>
      <c r="U6" s="18" t="str">
        <f>IF($G6=25,$O6,"")</f>
        <v/>
      </c>
      <c r="V6" s="1"/>
    </row>
    <row r="7" spans="1:22" x14ac:dyDescent="0.25">
      <c r="A7" s="14"/>
      <c r="B7" s="33" t="s">
        <v>18</v>
      </c>
      <c r="C7" s="22"/>
      <c r="D7" s="25">
        <f>0.85-0.075-2*0.016</f>
        <v>0.74299999999999999</v>
      </c>
      <c r="E7" s="23"/>
      <c r="F7" s="42"/>
      <c r="G7" s="11">
        <v>16</v>
      </c>
      <c r="H7" s="1">
        <v>16</v>
      </c>
      <c r="I7" s="1">
        <v>4</v>
      </c>
      <c r="J7" s="9">
        <f>D7</f>
        <v>0.74299999999999999</v>
      </c>
      <c r="K7" s="46" t="str">
        <f>IF(N7&lt;12,"0",0.049*G7)</f>
        <v>0</v>
      </c>
      <c r="L7" s="45">
        <v>1</v>
      </c>
      <c r="M7" s="1">
        <f>2*G7*L7/1000</f>
        <v>3.2000000000000001E-2</v>
      </c>
      <c r="N7" s="5">
        <f>J7+E9-M7</f>
        <v>1.0109999999999999</v>
      </c>
      <c r="O7" s="5">
        <f>H7*I7*N7</f>
        <v>64.703999999999994</v>
      </c>
      <c r="P7" s="18" t="str">
        <f t="shared" ref="P7:P582" si="0">IF($G7=8,$O7,"")</f>
        <v/>
      </c>
      <c r="Q7" s="18" t="str">
        <f t="shared" ref="Q7:Q582" si="1">IF($G7=10,$O7,"")</f>
        <v/>
      </c>
      <c r="R7" s="18" t="str">
        <f t="shared" ref="R7:R582" si="2">IF($G7=12,$O7,"")</f>
        <v/>
      </c>
      <c r="S7" s="18">
        <f t="shared" ref="S7:S582" si="3">IF($G7=16,$O7,"")</f>
        <v>64.703999999999994</v>
      </c>
      <c r="T7" s="18" t="str">
        <f t="shared" ref="T7:T582" si="4">IF($G7=20,$O7,"")</f>
        <v/>
      </c>
      <c r="U7" s="18" t="str">
        <f t="shared" ref="U7:U582" si="5">IF($G7=25,$O7,"")</f>
        <v/>
      </c>
      <c r="V7" s="1"/>
    </row>
    <row r="8" spans="1:22" x14ac:dyDescent="0.25">
      <c r="A8" s="14"/>
      <c r="B8" s="33" t="s">
        <v>32</v>
      </c>
      <c r="C8" s="22"/>
      <c r="D8" s="4"/>
      <c r="E8" s="23"/>
      <c r="F8" s="42"/>
      <c r="G8" s="11">
        <v>12</v>
      </c>
      <c r="H8" s="1">
        <v>16</v>
      </c>
      <c r="I8" s="1">
        <v>2</v>
      </c>
      <c r="J8" s="9">
        <f>D7</f>
        <v>0.74299999999999999</v>
      </c>
      <c r="K8" s="46" t="str">
        <f t="shared" ref="K8:K10" si="6">IF(N8&lt;12,"0",0.049*G8)</f>
        <v>0</v>
      </c>
      <c r="L8" s="45">
        <v>1</v>
      </c>
      <c r="M8" s="1">
        <f t="shared" ref="M8:M10" si="7">2*G8*L8/1000</f>
        <v>2.4E-2</v>
      </c>
      <c r="N8" s="5">
        <f>J8+E9-M8</f>
        <v>1.0189999999999999</v>
      </c>
      <c r="O8" s="5">
        <f>H8*I8*N8</f>
        <v>32.607999999999997</v>
      </c>
      <c r="P8" s="18" t="str">
        <f t="shared" si="0"/>
        <v/>
      </c>
      <c r="Q8" s="18" t="str">
        <f t="shared" si="1"/>
        <v/>
      </c>
      <c r="R8" s="18">
        <f t="shared" si="2"/>
        <v>32.607999999999997</v>
      </c>
      <c r="S8" s="18" t="str">
        <f t="shared" si="3"/>
        <v/>
      </c>
      <c r="T8" s="18" t="str">
        <f t="shared" si="4"/>
        <v/>
      </c>
      <c r="U8" s="18" t="str">
        <f t="shared" si="5"/>
        <v/>
      </c>
      <c r="V8" s="1"/>
    </row>
    <row r="9" spans="1:22" x14ac:dyDescent="0.25">
      <c r="A9" s="14"/>
      <c r="B9" s="33" t="s">
        <v>26</v>
      </c>
      <c r="C9" s="24"/>
      <c r="D9" s="25"/>
      <c r="E9" s="39">
        <v>0.3</v>
      </c>
      <c r="F9" s="42"/>
      <c r="G9" s="11">
        <v>16</v>
      </c>
      <c r="H9" s="1">
        <v>16</v>
      </c>
      <c r="I9" s="1">
        <v>4</v>
      </c>
      <c r="J9" s="9">
        <f>D7</f>
        <v>0.74299999999999999</v>
      </c>
      <c r="K9" s="46" t="str">
        <f t="shared" si="6"/>
        <v>0</v>
      </c>
      <c r="L9" s="45">
        <v>1</v>
      </c>
      <c r="M9" s="1">
        <f t="shared" si="7"/>
        <v>3.2000000000000001E-2</v>
      </c>
      <c r="N9" s="5">
        <f>J9+E9-M9</f>
        <v>1.0109999999999999</v>
      </c>
      <c r="O9" s="5">
        <f>H9*I9*N9</f>
        <v>64.703999999999994</v>
      </c>
      <c r="P9" s="18" t="str">
        <f t="shared" si="0"/>
        <v/>
      </c>
      <c r="Q9" s="18" t="str">
        <f t="shared" si="1"/>
        <v/>
      </c>
      <c r="R9" s="18" t="str">
        <f t="shared" si="2"/>
        <v/>
      </c>
      <c r="S9" s="18">
        <f t="shared" si="3"/>
        <v>64.703999999999994</v>
      </c>
      <c r="T9" s="18" t="str">
        <f t="shared" si="4"/>
        <v/>
      </c>
      <c r="U9" s="18" t="str">
        <f t="shared" si="5"/>
        <v/>
      </c>
      <c r="V9" s="1"/>
    </row>
    <row r="10" spans="1:22" x14ac:dyDescent="0.25">
      <c r="A10" s="14"/>
      <c r="B10" s="33" t="s">
        <v>19</v>
      </c>
      <c r="C10" s="22"/>
      <c r="D10" s="4"/>
      <c r="E10" s="23"/>
      <c r="F10" s="42"/>
      <c r="G10" s="11">
        <v>12</v>
      </c>
      <c r="H10" s="1">
        <v>16</v>
      </c>
      <c r="I10" s="1">
        <v>4</v>
      </c>
      <c r="J10" s="9">
        <f>D7</f>
        <v>0.74299999999999999</v>
      </c>
      <c r="K10" s="46" t="str">
        <f t="shared" si="6"/>
        <v>0</v>
      </c>
      <c r="L10" s="45">
        <v>1</v>
      </c>
      <c r="M10" s="1">
        <f t="shared" si="7"/>
        <v>2.4E-2</v>
      </c>
      <c r="N10" s="5">
        <f>J10+E9-M10</f>
        <v>1.0189999999999999</v>
      </c>
      <c r="O10" s="5">
        <f>H10*I10*N10</f>
        <v>65.215999999999994</v>
      </c>
      <c r="P10" s="18" t="str">
        <f t="shared" si="0"/>
        <v/>
      </c>
      <c r="Q10" s="18" t="str">
        <f t="shared" si="1"/>
        <v/>
      </c>
      <c r="R10" s="18">
        <f t="shared" si="2"/>
        <v>65.215999999999994</v>
      </c>
      <c r="S10" s="18" t="str">
        <f t="shared" si="3"/>
        <v/>
      </c>
      <c r="T10" s="18" t="str">
        <f t="shared" si="4"/>
        <v/>
      </c>
      <c r="U10" s="18" t="str">
        <f t="shared" si="5"/>
        <v/>
      </c>
      <c r="V10" s="1"/>
    </row>
    <row r="11" spans="1:22" x14ac:dyDescent="0.25">
      <c r="A11" s="14"/>
      <c r="B11" s="33"/>
      <c r="C11" s="22"/>
      <c r="D11" s="4"/>
      <c r="E11" s="23"/>
      <c r="F11" s="42"/>
      <c r="G11" s="11"/>
      <c r="H11" s="1"/>
      <c r="I11" s="1"/>
      <c r="J11" s="2"/>
      <c r="K11" s="1"/>
      <c r="L11" s="1"/>
      <c r="M11" s="1"/>
      <c r="N11" s="1"/>
      <c r="O11" s="3"/>
      <c r="P11" s="18" t="str">
        <f t="shared" si="0"/>
        <v/>
      </c>
      <c r="Q11" s="18" t="str">
        <f t="shared" si="1"/>
        <v/>
      </c>
      <c r="R11" s="18" t="str">
        <f t="shared" si="2"/>
        <v/>
      </c>
      <c r="S11" s="18" t="str">
        <f t="shared" si="3"/>
        <v/>
      </c>
      <c r="T11" s="18" t="str">
        <f t="shared" si="4"/>
        <v/>
      </c>
      <c r="U11" s="18" t="str">
        <f t="shared" si="5"/>
        <v/>
      </c>
      <c r="V11" s="1"/>
    </row>
    <row r="12" spans="1:22" x14ac:dyDescent="0.25">
      <c r="A12" s="14"/>
      <c r="B12" s="14"/>
      <c r="C12" s="47">
        <v>0.1</v>
      </c>
      <c r="D12" s="4"/>
      <c r="E12" s="23"/>
      <c r="F12" s="42"/>
      <c r="G12" s="11"/>
      <c r="H12" s="1"/>
      <c r="I12" s="1"/>
      <c r="J12" s="2"/>
      <c r="K12" s="1"/>
      <c r="L12" s="1"/>
      <c r="M12" s="1"/>
      <c r="N12" s="1"/>
      <c r="O12" s="3"/>
      <c r="P12" s="18" t="str">
        <f t="shared" si="0"/>
        <v/>
      </c>
      <c r="Q12" s="18" t="str">
        <f t="shared" si="1"/>
        <v/>
      </c>
      <c r="R12" s="18" t="str">
        <f t="shared" si="2"/>
        <v/>
      </c>
      <c r="S12" s="18" t="str">
        <f t="shared" si="3"/>
        <v/>
      </c>
      <c r="T12" s="18" t="str">
        <f t="shared" si="4"/>
        <v/>
      </c>
      <c r="U12" s="18" t="str">
        <f t="shared" si="5"/>
        <v/>
      </c>
      <c r="V12" s="1"/>
    </row>
    <row r="13" spans="1:22" x14ac:dyDescent="0.25">
      <c r="A13" s="14"/>
      <c r="B13" s="34" t="s">
        <v>20</v>
      </c>
      <c r="C13" s="26"/>
      <c r="D13" s="4"/>
      <c r="E13" s="40">
        <f>0.6-0.08</f>
        <v>0.52</v>
      </c>
      <c r="F13" s="42"/>
      <c r="G13" s="11">
        <v>10</v>
      </c>
      <c r="H13" s="1">
        <v>16</v>
      </c>
      <c r="I13" s="1">
        <v>4</v>
      </c>
      <c r="J13" s="41">
        <f>2*(D15+E13)+16*10/1000</f>
        <v>1.64</v>
      </c>
      <c r="K13" s="1"/>
      <c r="L13" s="1"/>
      <c r="M13" s="1"/>
      <c r="N13" s="5">
        <f>(J13+K13-M13)</f>
        <v>1.64</v>
      </c>
      <c r="O13" s="5">
        <f>(H13*I13*N13)</f>
        <v>104.96</v>
      </c>
      <c r="P13" s="18" t="str">
        <f t="shared" si="0"/>
        <v/>
      </c>
      <c r="Q13" s="18">
        <f t="shared" si="1"/>
        <v>104.96</v>
      </c>
      <c r="R13" s="18" t="str">
        <f t="shared" si="2"/>
        <v/>
      </c>
      <c r="S13" s="18" t="str">
        <f t="shared" si="3"/>
        <v/>
      </c>
      <c r="T13" s="18" t="str">
        <f t="shared" si="4"/>
        <v/>
      </c>
      <c r="U13" s="18" t="str">
        <f t="shared" si="5"/>
        <v/>
      </c>
      <c r="V13" s="1"/>
    </row>
    <row r="14" spans="1:22" x14ac:dyDescent="0.25">
      <c r="A14" s="14"/>
      <c r="B14" s="34"/>
      <c r="C14" s="22"/>
      <c r="D14" s="4"/>
      <c r="E14" s="27"/>
      <c r="F14" s="42"/>
      <c r="G14" s="11"/>
      <c r="H14" s="1"/>
      <c r="I14" s="1"/>
      <c r="J14" s="2"/>
      <c r="K14" s="1"/>
      <c r="L14" s="1"/>
      <c r="M14" s="1"/>
      <c r="N14" s="1"/>
      <c r="O14" s="5"/>
      <c r="P14" s="18" t="str">
        <f t="shared" si="0"/>
        <v/>
      </c>
      <c r="Q14" s="18" t="str">
        <f t="shared" si="1"/>
        <v/>
      </c>
      <c r="R14" s="18" t="str">
        <f t="shared" si="2"/>
        <v/>
      </c>
      <c r="S14" s="18" t="str">
        <f t="shared" si="3"/>
        <v/>
      </c>
      <c r="T14" s="18" t="str">
        <f t="shared" si="4"/>
        <v/>
      </c>
      <c r="U14" s="18" t="str">
        <f t="shared" si="5"/>
        <v/>
      </c>
      <c r="V14" s="1"/>
    </row>
    <row r="15" spans="1:22" x14ac:dyDescent="0.25">
      <c r="A15" s="14"/>
      <c r="B15" s="34"/>
      <c r="C15" s="22"/>
      <c r="D15" s="9">
        <f>0.3-0.08</f>
        <v>0.21999999999999997</v>
      </c>
      <c r="E15" s="23"/>
      <c r="F15" s="42"/>
      <c r="G15" s="11"/>
      <c r="H15" s="1"/>
      <c r="I15" s="1"/>
      <c r="J15" s="2"/>
      <c r="K15" s="1"/>
      <c r="L15" s="1"/>
      <c r="M15" s="1"/>
      <c r="N15" s="1"/>
      <c r="O15" s="5"/>
      <c r="P15" s="18" t="str">
        <f t="shared" si="0"/>
        <v/>
      </c>
      <c r="Q15" s="18" t="str">
        <f t="shared" si="1"/>
        <v/>
      </c>
      <c r="R15" s="18" t="str">
        <f t="shared" si="2"/>
        <v/>
      </c>
      <c r="S15" s="18" t="str">
        <f t="shared" si="3"/>
        <v/>
      </c>
      <c r="T15" s="18" t="str">
        <f t="shared" si="4"/>
        <v/>
      </c>
      <c r="U15" s="18" t="str">
        <f t="shared" si="5"/>
        <v/>
      </c>
      <c r="V15" s="1"/>
    </row>
    <row r="16" spans="1:22" x14ac:dyDescent="0.25">
      <c r="A16" s="14"/>
      <c r="B16" s="33"/>
      <c r="C16" s="22"/>
      <c r="D16" s="4"/>
      <c r="E16" s="23"/>
      <c r="F16" s="42"/>
      <c r="G16" s="11"/>
      <c r="H16" s="1"/>
      <c r="I16" s="1"/>
      <c r="J16" s="2"/>
      <c r="K16" s="1"/>
      <c r="L16" s="1"/>
      <c r="M16" s="1"/>
      <c r="N16" s="1"/>
      <c r="O16" s="5"/>
      <c r="P16" s="18" t="str">
        <f t="shared" si="0"/>
        <v/>
      </c>
      <c r="Q16" s="18" t="str">
        <f t="shared" si="1"/>
        <v/>
      </c>
      <c r="R16" s="18" t="str">
        <f t="shared" si="2"/>
        <v/>
      </c>
      <c r="S16" s="18" t="str">
        <f t="shared" si="3"/>
        <v/>
      </c>
      <c r="T16" s="18" t="str">
        <f t="shared" si="4"/>
        <v/>
      </c>
      <c r="U16" s="18" t="str">
        <f t="shared" si="5"/>
        <v/>
      </c>
      <c r="V16" s="1"/>
    </row>
    <row r="17" spans="1:22" x14ac:dyDescent="0.25">
      <c r="A17" s="14"/>
      <c r="B17" s="14"/>
      <c r="C17" s="47">
        <v>0.1</v>
      </c>
      <c r="D17" s="4"/>
      <c r="E17" s="23"/>
      <c r="F17" s="42"/>
      <c r="G17" s="11"/>
      <c r="H17" s="1"/>
      <c r="I17" s="1"/>
      <c r="J17" s="2"/>
      <c r="K17" s="1"/>
      <c r="L17" s="1"/>
      <c r="M17" s="1"/>
      <c r="N17" s="1"/>
      <c r="O17" s="5"/>
      <c r="P17" s="18" t="str">
        <f t="shared" si="0"/>
        <v/>
      </c>
      <c r="Q17" s="18" t="str">
        <f t="shared" si="1"/>
        <v/>
      </c>
      <c r="R17" s="18" t="str">
        <f t="shared" si="2"/>
        <v/>
      </c>
      <c r="S17" s="18" t="str">
        <f t="shared" si="3"/>
        <v/>
      </c>
      <c r="T17" s="18" t="str">
        <f t="shared" si="4"/>
        <v/>
      </c>
      <c r="U17" s="18" t="str">
        <f t="shared" si="5"/>
        <v/>
      </c>
      <c r="V17" s="1"/>
    </row>
    <row r="18" spans="1:22" x14ac:dyDescent="0.25">
      <c r="A18" s="14"/>
      <c r="B18" s="34" t="s">
        <v>21</v>
      </c>
      <c r="C18" s="26"/>
      <c r="D18" s="4"/>
      <c r="E18" s="40">
        <f>((0.6-0.08-0.016)/5)+0.012+0.02</f>
        <v>0.1328</v>
      </c>
      <c r="F18" s="42"/>
      <c r="G18" s="11">
        <v>10</v>
      </c>
      <c r="H18" s="1">
        <v>16</v>
      </c>
      <c r="I18" s="1">
        <v>1</v>
      </c>
      <c r="J18" s="41">
        <f>2*(D20+E18)+16*10/1000</f>
        <v>0.86560000000000004</v>
      </c>
      <c r="K18" s="1"/>
      <c r="L18" s="1"/>
      <c r="M18" s="1"/>
      <c r="N18" s="5">
        <f>(J18+K18-M18)</f>
        <v>0.86560000000000004</v>
      </c>
      <c r="O18" s="5">
        <f>(H18*I18*N18)</f>
        <v>13.849600000000001</v>
      </c>
      <c r="P18" s="18" t="str">
        <f t="shared" si="0"/>
        <v/>
      </c>
      <c r="Q18" s="18">
        <f t="shared" si="1"/>
        <v>13.849600000000001</v>
      </c>
      <c r="R18" s="18" t="str">
        <f t="shared" si="2"/>
        <v/>
      </c>
      <c r="S18" s="18" t="str">
        <f t="shared" si="3"/>
        <v/>
      </c>
      <c r="T18" s="18" t="str">
        <f t="shared" si="4"/>
        <v/>
      </c>
      <c r="U18" s="18" t="str">
        <f t="shared" si="5"/>
        <v/>
      </c>
      <c r="V18" s="1"/>
    </row>
    <row r="19" spans="1:22" x14ac:dyDescent="0.25">
      <c r="A19" s="14"/>
      <c r="B19" s="34"/>
      <c r="C19" s="22"/>
      <c r="D19" s="4"/>
      <c r="E19" s="27"/>
      <c r="F19" s="42"/>
      <c r="G19" s="11"/>
      <c r="H19" s="1"/>
      <c r="I19" s="1"/>
      <c r="J19" s="2"/>
      <c r="K19" s="1"/>
      <c r="L19" s="1"/>
      <c r="M19" s="1"/>
      <c r="N19" s="1"/>
      <c r="O19" s="5"/>
      <c r="P19" s="18" t="str">
        <f t="shared" si="0"/>
        <v/>
      </c>
      <c r="Q19" s="18" t="str">
        <f t="shared" si="1"/>
        <v/>
      </c>
      <c r="R19" s="18" t="str">
        <f t="shared" si="2"/>
        <v/>
      </c>
      <c r="S19" s="18" t="str">
        <f t="shared" si="3"/>
        <v/>
      </c>
      <c r="T19" s="18" t="str">
        <f t="shared" si="4"/>
        <v/>
      </c>
      <c r="U19" s="18" t="str">
        <f t="shared" si="5"/>
        <v/>
      </c>
      <c r="V19" s="1"/>
    </row>
    <row r="20" spans="1:22" x14ac:dyDescent="0.25">
      <c r="A20" s="14"/>
      <c r="B20" s="34"/>
      <c r="C20" s="22"/>
      <c r="D20" s="9">
        <f>0.3-0.08</f>
        <v>0.21999999999999997</v>
      </c>
      <c r="E20" s="23"/>
      <c r="F20" s="42"/>
      <c r="G20" s="11"/>
      <c r="H20" s="1"/>
      <c r="I20" s="1"/>
      <c r="J20" s="2"/>
      <c r="K20" s="1"/>
      <c r="L20" s="1"/>
      <c r="M20" s="1"/>
      <c r="N20" s="1"/>
      <c r="O20" s="5"/>
      <c r="P20" s="18" t="str">
        <f t="shared" si="0"/>
        <v/>
      </c>
      <c r="Q20" s="18" t="str">
        <f t="shared" si="1"/>
        <v/>
      </c>
      <c r="R20" s="18" t="str">
        <f t="shared" si="2"/>
        <v/>
      </c>
      <c r="S20" s="18" t="str">
        <f t="shared" si="3"/>
        <v/>
      </c>
      <c r="T20" s="18" t="str">
        <f t="shared" si="4"/>
        <v/>
      </c>
      <c r="U20" s="18" t="str">
        <f t="shared" si="5"/>
        <v/>
      </c>
      <c r="V20" s="1"/>
    </row>
    <row r="21" spans="1:22" x14ac:dyDescent="0.25">
      <c r="A21" s="14"/>
      <c r="B21" s="34"/>
      <c r="C21" s="22"/>
      <c r="D21" s="4"/>
      <c r="E21" s="23"/>
      <c r="F21" s="42"/>
      <c r="G21" s="11"/>
      <c r="H21" s="1"/>
      <c r="I21" s="1"/>
      <c r="J21" s="2"/>
      <c r="K21" s="1"/>
      <c r="L21" s="1"/>
      <c r="M21" s="1"/>
      <c r="N21" s="1"/>
      <c r="O21" s="5"/>
      <c r="P21" s="18" t="str">
        <f t="shared" si="0"/>
        <v/>
      </c>
      <c r="Q21" s="18" t="str">
        <f t="shared" si="1"/>
        <v/>
      </c>
      <c r="R21" s="18" t="str">
        <f t="shared" si="2"/>
        <v/>
      </c>
      <c r="S21" s="18" t="str">
        <f t="shared" si="3"/>
        <v/>
      </c>
      <c r="T21" s="18" t="str">
        <f t="shared" si="4"/>
        <v/>
      </c>
      <c r="U21" s="18" t="str">
        <f t="shared" si="5"/>
        <v/>
      </c>
      <c r="V21" s="1"/>
    </row>
    <row r="22" spans="1:22" x14ac:dyDescent="0.25">
      <c r="A22" s="14"/>
      <c r="B22" s="34" t="s">
        <v>22</v>
      </c>
      <c r="C22" s="22"/>
      <c r="D22" s="25"/>
      <c r="E22" s="23"/>
      <c r="F22" s="42"/>
      <c r="G22" s="11">
        <v>10</v>
      </c>
      <c r="H22" s="1">
        <v>16</v>
      </c>
      <c r="I22" s="1">
        <v>1</v>
      </c>
      <c r="J22" s="41">
        <f>C23+D25+E23+2*10*G22/1000</f>
        <v>0.77</v>
      </c>
      <c r="K22" s="1"/>
      <c r="L22" s="1"/>
      <c r="M22" s="5">
        <f>4*3*G22/1000</f>
        <v>0.12</v>
      </c>
      <c r="N22" s="5">
        <f>(J22+K22-M22)</f>
        <v>0.65</v>
      </c>
      <c r="O22" s="5">
        <f>(H22*I22*N22)</f>
        <v>10.4</v>
      </c>
      <c r="P22" s="18" t="str">
        <f t="shared" si="0"/>
        <v/>
      </c>
      <c r="Q22" s="18">
        <f t="shared" si="1"/>
        <v>10.4</v>
      </c>
      <c r="R22" s="18" t="str">
        <f t="shared" si="2"/>
        <v/>
      </c>
      <c r="S22" s="18" t="str">
        <f t="shared" si="3"/>
        <v/>
      </c>
      <c r="T22" s="18" t="str">
        <f t="shared" si="4"/>
        <v/>
      </c>
      <c r="U22" s="18" t="str">
        <f t="shared" si="5"/>
        <v/>
      </c>
      <c r="V22" s="1"/>
    </row>
    <row r="23" spans="1:22" x14ac:dyDescent="0.25">
      <c r="A23" s="14"/>
      <c r="B23" s="34"/>
      <c r="C23" s="29">
        <v>0.17499999999999999</v>
      </c>
      <c r="D23" s="4"/>
      <c r="E23" s="23">
        <v>0.17499999999999999</v>
      </c>
      <c r="F23" s="42"/>
      <c r="G23" s="11"/>
      <c r="H23" s="1"/>
      <c r="I23" s="1"/>
      <c r="J23" s="2"/>
      <c r="K23" s="1"/>
      <c r="L23" s="1"/>
      <c r="M23" s="1"/>
      <c r="N23" s="1"/>
      <c r="O23" s="5"/>
      <c r="P23" s="18" t="str">
        <f>IF($G23=8,$O23,"")</f>
        <v/>
      </c>
      <c r="Q23" s="18" t="str">
        <f>IF($G23=10,$O23,"")</f>
        <v/>
      </c>
      <c r="R23" s="18" t="str">
        <f>IF($G23=12,$O23,"")</f>
        <v/>
      </c>
      <c r="S23" s="18" t="str">
        <f>IF($G23=16,$O23,"")</f>
        <v/>
      </c>
      <c r="T23" s="18" t="str">
        <f>IF($G23=20,$O23,"")</f>
        <v/>
      </c>
      <c r="U23" s="18" t="str">
        <f>IF($G23=25,$O23,"")</f>
        <v/>
      </c>
      <c r="V23" s="1"/>
    </row>
    <row r="24" spans="1:22" x14ac:dyDescent="0.25">
      <c r="A24" s="14"/>
      <c r="B24" s="34"/>
      <c r="C24" s="22"/>
      <c r="D24" s="4"/>
      <c r="E24" s="23"/>
      <c r="F24" s="42"/>
      <c r="G24" s="11"/>
      <c r="H24" s="1"/>
      <c r="I24" s="1"/>
      <c r="J24" s="2"/>
      <c r="K24" s="1"/>
      <c r="L24" s="1"/>
      <c r="M24" s="1"/>
      <c r="N24" s="1"/>
      <c r="O24" s="5"/>
      <c r="P24" s="18" t="str">
        <f t="shared" si="0"/>
        <v/>
      </c>
      <c r="Q24" s="18" t="str">
        <f t="shared" si="1"/>
        <v/>
      </c>
      <c r="R24" s="18" t="str">
        <f t="shared" si="2"/>
        <v/>
      </c>
      <c r="S24" s="18" t="str">
        <f t="shared" si="3"/>
        <v/>
      </c>
      <c r="T24" s="18" t="str">
        <f t="shared" si="4"/>
        <v/>
      </c>
      <c r="U24" s="18" t="str">
        <f t="shared" si="5"/>
        <v/>
      </c>
      <c r="V24" s="1"/>
    </row>
    <row r="25" spans="1:22" x14ac:dyDescent="0.25">
      <c r="A25" s="14"/>
      <c r="B25" s="34"/>
      <c r="C25" s="22"/>
      <c r="D25" s="9">
        <f>0.3-0.08</f>
        <v>0.21999999999999997</v>
      </c>
      <c r="E25" s="23"/>
      <c r="F25" s="42"/>
      <c r="G25" s="11"/>
      <c r="H25" s="1"/>
      <c r="I25" s="1"/>
      <c r="J25" s="2"/>
      <c r="K25" s="1"/>
      <c r="L25" s="1"/>
      <c r="M25" s="1"/>
      <c r="N25" s="1"/>
      <c r="O25" s="5"/>
      <c r="P25" s="18" t="str">
        <f t="shared" si="0"/>
        <v/>
      </c>
      <c r="Q25" s="18" t="str">
        <f t="shared" si="1"/>
        <v/>
      </c>
      <c r="R25" s="18" t="str">
        <f t="shared" si="2"/>
        <v/>
      </c>
      <c r="S25" s="18" t="str">
        <f t="shared" si="3"/>
        <v/>
      </c>
      <c r="T25" s="18" t="str">
        <f t="shared" si="4"/>
        <v/>
      </c>
      <c r="U25" s="18" t="str">
        <f t="shared" si="5"/>
        <v/>
      </c>
      <c r="V25" s="1"/>
    </row>
    <row r="26" spans="1:22" x14ac:dyDescent="0.25">
      <c r="A26" s="14"/>
      <c r="B26" s="34"/>
      <c r="C26" s="22"/>
      <c r="D26" s="4"/>
      <c r="E26" s="23"/>
      <c r="F26" s="42"/>
      <c r="G26" s="11"/>
      <c r="H26" s="1"/>
      <c r="I26" s="1"/>
      <c r="J26" s="2"/>
      <c r="K26" s="1"/>
      <c r="L26" s="1"/>
      <c r="M26" s="1"/>
      <c r="N26" s="1"/>
      <c r="O26" s="5"/>
      <c r="P26" s="18" t="str">
        <f t="shared" si="0"/>
        <v/>
      </c>
      <c r="Q26" s="18" t="str">
        <f t="shared" si="1"/>
        <v/>
      </c>
      <c r="R26" s="18" t="str">
        <f t="shared" si="2"/>
        <v/>
      </c>
      <c r="S26" s="18" t="str">
        <f t="shared" si="3"/>
        <v/>
      </c>
      <c r="T26" s="18" t="str">
        <f t="shared" si="4"/>
        <v/>
      </c>
      <c r="U26" s="18" t="str">
        <f t="shared" si="5"/>
        <v/>
      </c>
      <c r="V26" s="1"/>
    </row>
    <row r="27" spans="1:22" x14ac:dyDescent="0.25">
      <c r="A27" s="14"/>
      <c r="B27" s="34" t="s">
        <v>36</v>
      </c>
      <c r="C27" s="22"/>
      <c r="D27" s="25"/>
      <c r="E27" s="23"/>
      <c r="F27" s="42"/>
      <c r="G27" s="11">
        <v>10</v>
      </c>
      <c r="H27" s="1">
        <v>16</v>
      </c>
      <c r="I27" s="1">
        <v>1</v>
      </c>
      <c r="J27" s="41">
        <f>C28+D30+E28+2*10*G27/1000</f>
        <v>0.77</v>
      </c>
      <c r="K27" s="1"/>
      <c r="L27" s="1"/>
      <c r="M27" s="5">
        <f>4*3*G27/1000</f>
        <v>0.12</v>
      </c>
      <c r="N27" s="5">
        <f>(J27+K27-M27)</f>
        <v>0.65</v>
      </c>
      <c r="O27" s="5">
        <f>(H27*I27*N27)</f>
        <v>10.4</v>
      </c>
      <c r="P27" s="18" t="str">
        <f t="shared" si="0"/>
        <v/>
      </c>
      <c r="Q27" s="18">
        <f t="shared" si="1"/>
        <v>10.4</v>
      </c>
      <c r="R27" s="18" t="str">
        <f t="shared" si="2"/>
        <v/>
      </c>
      <c r="S27" s="18" t="str">
        <f t="shared" si="3"/>
        <v/>
      </c>
      <c r="T27" s="18" t="str">
        <f t="shared" si="4"/>
        <v/>
      </c>
      <c r="U27" s="18" t="str">
        <f t="shared" si="5"/>
        <v/>
      </c>
      <c r="V27" s="1"/>
    </row>
    <row r="28" spans="1:22" x14ac:dyDescent="0.25">
      <c r="A28" s="14"/>
      <c r="B28" s="34"/>
      <c r="C28" s="29">
        <v>0.17499999999999999</v>
      </c>
      <c r="D28" s="4"/>
      <c r="E28" s="23">
        <v>0.17499999999999999</v>
      </c>
      <c r="F28" s="42"/>
      <c r="G28" s="11"/>
      <c r="H28" s="1"/>
      <c r="I28" s="1"/>
      <c r="J28" s="2"/>
      <c r="K28" s="1"/>
      <c r="L28" s="1"/>
      <c r="M28" s="1"/>
      <c r="N28" s="1"/>
      <c r="O28" s="5"/>
      <c r="P28" s="18" t="str">
        <f>IF($G28=8,$O28,"")</f>
        <v/>
      </c>
      <c r="Q28" s="18" t="str">
        <f>IF($G28=10,$O28,"")</f>
        <v/>
      </c>
      <c r="R28" s="18" t="str">
        <f>IF($G28=12,$O28,"")</f>
        <v/>
      </c>
      <c r="S28" s="18" t="str">
        <f>IF($G28=16,$O28,"")</f>
        <v/>
      </c>
      <c r="T28" s="18" t="str">
        <f>IF($G28=20,$O28,"")</f>
        <v/>
      </c>
      <c r="U28" s="18" t="str">
        <f>IF($G28=25,$O28,"")</f>
        <v/>
      </c>
      <c r="V28" s="1"/>
    </row>
    <row r="29" spans="1:22" x14ac:dyDescent="0.25">
      <c r="A29" s="14"/>
      <c r="B29" s="34"/>
      <c r="C29" s="22"/>
      <c r="D29" s="4"/>
      <c r="E29" s="23"/>
      <c r="F29" s="42"/>
      <c r="G29" s="11"/>
      <c r="H29" s="1"/>
      <c r="I29" s="1"/>
      <c r="J29" s="2"/>
      <c r="K29" s="1"/>
      <c r="L29" s="1"/>
      <c r="M29" s="1"/>
      <c r="N29" s="1"/>
      <c r="O29" s="3"/>
      <c r="P29" s="18" t="str">
        <f t="shared" si="0"/>
        <v/>
      </c>
      <c r="Q29" s="18" t="str">
        <f t="shared" si="1"/>
        <v/>
      </c>
      <c r="R29" s="18" t="str">
        <f t="shared" si="2"/>
        <v/>
      </c>
      <c r="S29" s="18" t="str">
        <f t="shared" si="3"/>
        <v/>
      </c>
      <c r="T29" s="18" t="str">
        <f t="shared" si="4"/>
        <v/>
      </c>
      <c r="U29" s="18" t="str">
        <f t="shared" si="5"/>
        <v/>
      </c>
      <c r="V29" s="1"/>
    </row>
    <row r="30" spans="1:22" x14ac:dyDescent="0.25">
      <c r="A30" s="14"/>
      <c r="B30" s="34"/>
      <c r="C30" s="22"/>
      <c r="D30" s="9">
        <f>0.3-0.08</f>
        <v>0.21999999999999997</v>
      </c>
      <c r="E30" s="23"/>
      <c r="F30" s="42"/>
      <c r="G30" s="11"/>
      <c r="H30" s="1"/>
      <c r="I30" s="1"/>
      <c r="J30" s="2"/>
      <c r="K30" s="1"/>
      <c r="L30" s="1"/>
      <c r="M30" s="1"/>
      <c r="N30" s="1"/>
      <c r="O30" s="3"/>
      <c r="P30" s="18" t="str">
        <f t="shared" si="0"/>
        <v/>
      </c>
      <c r="Q30" s="18" t="str">
        <f t="shared" si="1"/>
        <v/>
      </c>
      <c r="R30" s="18" t="str">
        <f t="shared" si="2"/>
        <v/>
      </c>
      <c r="S30" s="18" t="str">
        <f t="shared" si="3"/>
        <v/>
      </c>
      <c r="T30" s="18" t="str">
        <f t="shared" si="4"/>
        <v/>
      </c>
      <c r="U30" s="18" t="str">
        <f t="shared" si="5"/>
        <v/>
      </c>
      <c r="V30" s="1"/>
    </row>
    <row r="31" spans="1:22" x14ac:dyDescent="0.25">
      <c r="A31" s="14"/>
      <c r="B31" s="33"/>
      <c r="C31" s="22"/>
      <c r="D31" s="4"/>
      <c r="E31" s="23"/>
      <c r="F31" s="42"/>
      <c r="G31" s="11"/>
      <c r="H31" s="1"/>
      <c r="I31" s="1"/>
      <c r="J31" s="2"/>
      <c r="K31" s="1"/>
      <c r="L31" s="1"/>
      <c r="M31" s="1"/>
      <c r="N31" s="1"/>
      <c r="O31" s="3"/>
      <c r="P31" s="18" t="str">
        <f t="shared" si="0"/>
        <v/>
      </c>
      <c r="Q31" s="18" t="str">
        <f t="shared" si="1"/>
        <v/>
      </c>
      <c r="R31" s="18" t="str">
        <f t="shared" si="2"/>
        <v/>
      </c>
      <c r="S31" s="18" t="str">
        <f t="shared" si="3"/>
        <v/>
      </c>
      <c r="T31" s="18" t="str">
        <f t="shared" si="4"/>
        <v/>
      </c>
      <c r="U31" s="18" t="str">
        <f t="shared" si="5"/>
        <v/>
      </c>
      <c r="V31" s="1"/>
    </row>
    <row r="32" spans="1:22" x14ac:dyDescent="0.25">
      <c r="A32" s="14">
        <v>2</v>
      </c>
      <c r="B32" s="14" t="s">
        <v>33</v>
      </c>
      <c r="C32" s="22"/>
      <c r="D32" s="4"/>
      <c r="E32" s="23"/>
      <c r="F32" s="42"/>
      <c r="G32" s="11"/>
      <c r="H32" s="1"/>
      <c r="I32" s="1"/>
      <c r="J32" s="9"/>
      <c r="K32" s="5"/>
      <c r="L32" s="5"/>
      <c r="M32" s="1"/>
      <c r="N32" s="5"/>
      <c r="O32" s="5"/>
      <c r="P32" s="18" t="str">
        <f>IF($G32=8,$O32,"")</f>
        <v/>
      </c>
      <c r="Q32" s="18" t="str">
        <f>IF($G32=10,$O32,"")</f>
        <v/>
      </c>
      <c r="R32" s="18" t="str">
        <f>IF($G32=12,$O32,"")</f>
        <v/>
      </c>
      <c r="S32" s="18" t="str">
        <f>IF($G32=16,$O32,"")</f>
        <v/>
      </c>
      <c r="T32" s="18" t="str">
        <f>IF($G32=20,$O32,"")</f>
        <v/>
      </c>
      <c r="U32" s="18" t="str">
        <f>IF($G32=25,$O32,"")</f>
        <v/>
      </c>
      <c r="V32" s="1"/>
    </row>
    <row r="33" spans="1:22" x14ac:dyDescent="0.25">
      <c r="A33" s="14"/>
      <c r="B33" s="33" t="s">
        <v>18</v>
      </c>
      <c r="C33" s="22"/>
      <c r="D33" s="25">
        <f>0.85-0.075-2*0.016</f>
        <v>0.74299999999999999</v>
      </c>
      <c r="E33" s="23"/>
      <c r="F33" s="42"/>
      <c r="G33" s="11">
        <v>20</v>
      </c>
      <c r="H33" s="1">
        <v>11</v>
      </c>
      <c r="I33" s="1">
        <v>4</v>
      </c>
      <c r="J33" s="9">
        <f>D33</f>
        <v>0.74299999999999999</v>
      </c>
      <c r="K33" s="46" t="str">
        <f>IF(N33&lt;12,"0",0.049*G33)</f>
        <v>0</v>
      </c>
      <c r="L33" s="45">
        <v>1</v>
      </c>
      <c r="M33" s="1">
        <f>2*G33*L33/1000</f>
        <v>0.04</v>
      </c>
      <c r="N33" s="5">
        <f>J33+E35-M33</f>
        <v>1.0029999999999999</v>
      </c>
      <c r="O33" s="5">
        <f>H33*I33*N33</f>
        <v>44.131999999999998</v>
      </c>
      <c r="P33" s="18" t="str">
        <f t="shared" si="0"/>
        <v/>
      </c>
      <c r="Q33" s="18" t="str">
        <f t="shared" si="1"/>
        <v/>
      </c>
      <c r="R33" s="18" t="str">
        <f t="shared" si="2"/>
        <v/>
      </c>
      <c r="S33" s="18" t="str">
        <f t="shared" si="3"/>
        <v/>
      </c>
      <c r="T33" s="18">
        <f t="shared" si="4"/>
        <v>44.131999999999998</v>
      </c>
      <c r="U33" s="18" t="str">
        <f t="shared" si="5"/>
        <v/>
      </c>
      <c r="V33" s="1"/>
    </row>
    <row r="34" spans="1:22" x14ac:dyDescent="0.25">
      <c r="A34" s="14"/>
      <c r="B34" s="33" t="s">
        <v>32</v>
      </c>
      <c r="C34" s="22"/>
      <c r="D34" s="4"/>
      <c r="E34" s="23"/>
      <c r="F34" s="42"/>
      <c r="G34" s="11">
        <v>20</v>
      </c>
      <c r="H34" s="1">
        <v>11</v>
      </c>
      <c r="I34" s="1">
        <v>2</v>
      </c>
      <c r="J34" s="9">
        <f>D33</f>
        <v>0.74299999999999999</v>
      </c>
      <c r="K34" s="46" t="str">
        <f t="shared" ref="K34:K36" si="8">IF(N34&lt;12,"0",0.049*G34)</f>
        <v>0</v>
      </c>
      <c r="L34" s="45">
        <v>1</v>
      </c>
      <c r="M34" s="1">
        <f t="shared" ref="M34:M36" si="9">2*G34*L34/1000</f>
        <v>0.04</v>
      </c>
      <c r="N34" s="5">
        <f>J34+E35-M34</f>
        <v>1.0029999999999999</v>
      </c>
      <c r="O34" s="5">
        <f>H34*I34*N34</f>
        <v>22.065999999999999</v>
      </c>
      <c r="P34" s="18" t="str">
        <f t="shared" si="0"/>
        <v/>
      </c>
      <c r="Q34" s="18" t="str">
        <f t="shared" si="1"/>
        <v/>
      </c>
      <c r="R34" s="18" t="str">
        <f t="shared" si="2"/>
        <v/>
      </c>
      <c r="S34" s="18" t="str">
        <f t="shared" si="3"/>
        <v/>
      </c>
      <c r="T34" s="18">
        <f t="shared" si="4"/>
        <v>22.065999999999999</v>
      </c>
      <c r="U34" s="18" t="str">
        <f t="shared" si="5"/>
        <v/>
      </c>
      <c r="V34" s="1"/>
    </row>
    <row r="35" spans="1:22" x14ac:dyDescent="0.25">
      <c r="A35" s="14"/>
      <c r="B35" s="33" t="s">
        <v>26</v>
      </c>
      <c r="C35" s="24"/>
      <c r="D35" s="25"/>
      <c r="E35" s="39">
        <v>0.3</v>
      </c>
      <c r="F35" s="42"/>
      <c r="G35" s="11">
        <v>16</v>
      </c>
      <c r="H35" s="1">
        <v>11</v>
      </c>
      <c r="I35" s="1">
        <v>4</v>
      </c>
      <c r="J35" s="9">
        <f>D33</f>
        <v>0.74299999999999999</v>
      </c>
      <c r="K35" s="46" t="str">
        <f t="shared" si="8"/>
        <v>0</v>
      </c>
      <c r="L35" s="45">
        <v>1</v>
      </c>
      <c r="M35" s="1">
        <f t="shared" si="9"/>
        <v>3.2000000000000001E-2</v>
      </c>
      <c r="N35" s="5">
        <f>J35+E35-M35</f>
        <v>1.0109999999999999</v>
      </c>
      <c r="O35" s="5">
        <f>H35*I35*N35</f>
        <v>44.483999999999995</v>
      </c>
      <c r="P35" s="18" t="str">
        <f t="shared" si="0"/>
        <v/>
      </c>
      <c r="Q35" s="18" t="str">
        <f t="shared" si="1"/>
        <v/>
      </c>
      <c r="R35" s="18" t="str">
        <f t="shared" si="2"/>
        <v/>
      </c>
      <c r="S35" s="18">
        <f t="shared" si="3"/>
        <v>44.483999999999995</v>
      </c>
      <c r="T35" s="18" t="str">
        <f t="shared" si="4"/>
        <v/>
      </c>
      <c r="U35" s="18" t="str">
        <f t="shared" si="5"/>
        <v/>
      </c>
      <c r="V35" s="1"/>
    </row>
    <row r="36" spans="1:22" x14ac:dyDescent="0.25">
      <c r="A36" s="14"/>
      <c r="B36" s="33" t="s">
        <v>19</v>
      </c>
      <c r="C36" s="22"/>
      <c r="D36" s="4"/>
      <c r="E36" s="23"/>
      <c r="F36" s="42"/>
      <c r="G36" s="11">
        <v>16</v>
      </c>
      <c r="H36" s="1">
        <v>11</v>
      </c>
      <c r="I36" s="1">
        <v>4</v>
      </c>
      <c r="J36" s="9">
        <f>D33</f>
        <v>0.74299999999999999</v>
      </c>
      <c r="K36" s="46" t="str">
        <f t="shared" si="8"/>
        <v>0</v>
      </c>
      <c r="L36" s="45">
        <v>1</v>
      </c>
      <c r="M36" s="1">
        <f t="shared" si="9"/>
        <v>3.2000000000000001E-2</v>
      </c>
      <c r="N36" s="5">
        <f>J36+E35-M36</f>
        <v>1.0109999999999999</v>
      </c>
      <c r="O36" s="5">
        <f>H36*I36*N36</f>
        <v>44.483999999999995</v>
      </c>
      <c r="P36" s="18" t="str">
        <f t="shared" si="0"/>
        <v/>
      </c>
      <c r="Q36" s="18" t="str">
        <f t="shared" si="1"/>
        <v/>
      </c>
      <c r="R36" s="18" t="str">
        <f t="shared" si="2"/>
        <v/>
      </c>
      <c r="S36" s="18">
        <f t="shared" si="3"/>
        <v>44.483999999999995</v>
      </c>
      <c r="T36" s="18" t="str">
        <f t="shared" si="4"/>
        <v/>
      </c>
      <c r="U36" s="18" t="str">
        <f t="shared" si="5"/>
        <v/>
      </c>
      <c r="V36" s="1"/>
    </row>
    <row r="37" spans="1:22" x14ac:dyDescent="0.25">
      <c r="A37" s="14"/>
      <c r="B37" s="33"/>
      <c r="C37" s="22"/>
      <c r="D37" s="4"/>
      <c r="E37" s="23"/>
      <c r="F37" s="42"/>
      <c r="G37" s="11"/>
      <c r="H37" s="1"/>
      <c r="I37" s="1"/>
      <c r="J37" s="2"/>
      <c r="K37" s="1"/>
      <c r="L37" s="1"/>
      <c r="M37" s="1"/>
      <c r="N37" s="1"/>
      <c r="O37" s="3"/>
      <c r="P37" s="18" t="str">
        <f t="shared" si="0"/>
        <v/>
      </c>
      <c r="Q37" s="18" t="str">
        <f t="shared" si="1"/>
        <v/>
      </c>
      <c r="R37" s="18" t="str">
        <f t="shared" si="2"/>
        <v/>
      </c>
      <c r="S37" s="18" t="str">
        <f t="shared" si="3"/>
        <v/>
      </c>
      <c r="T37" s="18" t="str">
        <f t="shared" si="4"/>
        <v/>
      </c>
      <c r="U37" s="18" t="str">
        <f t="shared" si="5"/>
        <v/>
      </c>
      <c r="V37" s="1"/>
    </row>
    <row r="38" spans="1:22" x14ac:dyDescent="0.25">
      <c r="A38" s="14"/>
      <c r="B38" s="14"/>
      <c r="C38" s="47">
        <v>0.1</v>
      </c>
      <c r="D38" s="4"/>
      <c r="E38" s="23"/>
      <c r="F38" s="42"/>
      <c r="G38" s="11"/>
      <c r="H38" s="1"/>
      <c r="I38" s="1"/>
      <c r="J38" s="2"/>
      <c r="K38" s="1"/>
      <c r="L38" s="1"/>
      <c r="M38" s="1"/>
      <c r="N38" s="1"/>
      <c r="O38" s="3"/>
      <c r="P38" s="18" t="str">
        <f t="shared" si="0"/>
        <v/>
      </c>
      <c r="Q38" s="18" t="str">
        <f t="shared" si="1"/>
        <v/>
      </c>
      <c r="R38" s="18" t="str">
        <f t="shared" si="2"/>
        <v/>
      </c>
      <c r="S38" s="18" t="str">
        <f t="shared" si="3"/>
        <v/>
      </c>
      <c r="T38" s="18" t="str">
        <f t="shared" si="4"/>
        <v/>
      </c>
      <c r="U38" s="18" t="str">
        <f t="shared" si="5"/>
        <v/>
      </c>
      <c r="V38" s="1"/>
    </row>
    <row r="39" spans="1:22" x14ac:dyDescent="0.25">
      <c r="A39" s="14"/>
      <c r="B39" s="34" t="s">
        <v>20</v>
      </c>
      <c r="C39" s="26"/>
      <c r="D39" s="4"/>
      <c r="E39" s="40">
        <f>0.6-0.08</f>
        <v>0.52</v>
      </c>
      <c r="F39" s="42"/>
      <c r="G39" s="11">
        <v>10</v>
      </c>
      <c r="H39" s="1">
        <v>11</v>
      </c>
      <c r="I39" s="1">
        <v>4</v>
      </c>
      <c r="J39" s="41">
        <f>2*(D41+E39)+16*10/1000</f>
        <v>1.64</v>
      </c>
      <c r="K39" s="1"/>
      <c r="L39" s="1"/>
      <c r="M39" s="1"/>
      <c r="N39" s="5">
        <f>(J39+K39-M39)</f>
        <v>1.64</v>
      </c>
      <c r="O39" s="5">
        <f>(H39*I39*N39)</f>
        <v>72.16</v>
      </c>
      <c r="P39" s="18" t="str">
        <f t="shared" si="0"/>
        <v/>
      </c>
      <c r="Q39" s="18">
        <f t="shared" si="1"/>
        <v>72.16</v>
      </c>
      <c r="R39" s="18" t="str">
        <f t="shared" si="2"/>
        <v/>
      </c>
      <c r="S39" s="18" t="str">
        <f t="shared" si="3"/>
        <v/>
      </c>
      <c r="T39" s="18" t="str">
        <f t="shared" si="4"/>
        <v/>
      </c>
      <c r="U39" s="18" t="str">
        <f t="shared" si="5"/>
        <v/>
      </c>
      <c r="V39" s="1"/>
    </row>
    <row r="40" spans="1:22" x14ac:dyDescent="0.25">
      <c r="A40" s="14"/>
      <c r="B40" s="34"/>
      <c r="C40" s="22"/>
      <c r="D40" s="4"/>
      <c r="E40" s="27"/>
      <c r="F40" s="42"/>
      <c r="G40" s="11"/>
      <c r="H40" s="1"/>
      <c r="I40" s="1"/>
      <c r="J40" s="2"/>
      <c r="K40" s="1"/>
      <c r="L40" s="1"/>
      <c r="M40" s="1"/>
      <c r="N40" s="1"/>
      <c r="O40" s="5"/>
      <c r="P40" s="18" t="str">
        <f t="shared" si="0"/>
        <v/>
      </c>
      <c r="Q40" s="18" t="str">
        <f t="shared" si="1"/>
        <v/>
      </c>
      <c r="R40" s="18" t="str">
        <f t="shared" si="2"/>
        <v/>
      </c>
      <c r="S40" s="18" t="str">
        <f t="shared" si="3"/>
        <v/>
      </c>
      <c r="T40" s="18" t="str">
        <f t="shared" si="4"/>
        <v/>
      </c>
      <c r="U40" s="18" t="str">
        <f t="shared" si="5"/>
        <v/>
      </c>
      <c r="V40" s="1"/>
    </row>
    <row r="41" spans="1:22" x14ac:dyDescent="0.25">
      <c r="A41" s="14"/>
      <c r="B41" s="34"/>
      <c r="C41" s="22"/>
      <c r="D41" s="9">
        <f>0.3-0.08</f>
        <v>0.21999999999999997</v>
      </c>
      <c r="E41" s="23"/>
      <c r="F41" s="42"/>
      <c r="G41" s="11"/>
      <c r="H41" s="1"/>
      <c r="I41" s="1"/>
      <c r="J41" s="2"/>
      <c r="K41" s="1"/>
      <c r="L41" s="1"/>
      <c r="M41" s="1"/>
      <c r="N41" s="1"/>
      <c r="O41" s="5"/>
      <c r="P41" s="18" t="str">
        <f t="shared" si="0"/>
        <v/>
      </c>
      <c r="Q41" s="18" t="str">
        <f t="shared" si="1"/>
        <v/>
      </c>
      <c r="R41" s="18" t="str">
        <f t="shared" si="2"/>
        <v/>
      </c>
      <c r="S41" s="18" t="str">
        <f t="shared" si="3"/>
        <v/>
      </c>
      <c r="T41" s="18" t="str">
        <f t="shared" si="4"/>
        <v/>
      </c>
      <c r="U41" s="18" t="str">
        <f t="shared" si="5"/>
        <v/>
      </c>
      <c r="V41" s="1"/>
    </row>
    <row r="42" spans="1:22" x14ac:dyDescent="0.25">
      <c r="A42" s="14"/>
      <c r="B42" s="33"/>
      <c r="C42" s="22"/>
      <c r="D42" s="4"/>
      <c r="E42" s="23"/>
      <c r="F42" s="42"/>
      <c r="G42" s="11"/>
      <c r="H42" s="1"/>
      <c r="I42" s="1"/>
      <c r="J42" s="2"/>
      <c r="K42" s="1"/>
      <c r="L42" s="1"/>
      <c r="M42" s="1"/>
      <c r="N42" s="1"/>
      <c r="O42" s="5"/>
      <c r="P42" s="18" t="str">
        <f t="shared" si="0"/>
        <v/>
      </c>
      <c r="Q42" s="18" t="str">
        <f t="shared" si="1"/>
        <v/>
      </c>
      <c r="R42" s="18" t="str">
        <f t="shared" si="2"/>
        <v/>
      </c>
      <c r="S42" s="18" t="str">
        <f t="shared" si="3"/>
        <v/>
      </c>
      <c r="T42" s="18" t="str">
        <f t="shared" si="4"/>
        <v/>
      </c>
      <c r="U42" s="18" t="str">
        <f t="shared" si="5"/>
        <v/>
      </c>
      <c r="V42" s="1"/>
    </row>
    <row r="43" spans="1:22" x14ac:dyDescent="0.25">
      <c r="A43" s="14"/>
      <c r="B43" s="14"/>
      <c r="C43" s="47">
        <v>0.1</v>
      </c>
      <c r="D43" s="4"/>
      <c r="E43" s="23"/>
      <c r="F43" s="42"/>
      <c r="G43" s="11"/>
      <c r="H43" s="1"/>
      <c r="I43" s="1"/>
      <c r="J43" s="2"/>
      <c r="K43" s="1"/>
      <c r="L43" s="1"/>
      <c r="M43" s="1"/>
      <c r="N43" s="1"/>
      <c r="O43" s="5"/>
      <c r="P43" s="18" t="str">
        <f t="shared" si="0"/>
        <v/>
      </c>
      <c r="Q43" s="18" t="str">
        <f t="shared" si="1"/>
        <v/>
      </c>
      <c r="R43" s="18" t="str">
        <f t="shared" si="2"/>
        <v/>
      </c>
      <c r="S43" s="18" t="str">
        <f t="shared" si="3"/>
        <v/>
      </c>
      <c r="T43" s="18" t="str">
        <f t="shared" si="4"/>
        <v/>
      </c>
      <c r="U43" s="18" t="str">
        <f t="shared" si="5"/>
        <v/>
      </c>
      <c r="V43" s="1"/>
    </row>
    <row r="44" spans="1:22" x14ac:dyDescent="0.25">
      <c r="A44" s="14"/>
      <c r="B44" s="34" t="s">
        <v>21</v>
      </c>
      <c r="C44" s="26"/>
      <c r="D44" s="4"/>
      <c r="E44" s="40">
        <f>((0.6-0.08-0.016)/5)+0.012+0.02</f>
        <v>0.1328</v>
      </c>
      <c r="F44" s="42"/>
      <c r="G44" s="11">
        <v>10</v>
      </c>
      <c r="H44" s="1">
        <v>11</v>
      </c>
      <c r="I44" s="1">
        <v>1</v>
      </c>
      <c r="J44" s="41">
        <f>2*(D46+E44)+16*10/1000</f>
        <v>0.86560000000000004</v>
      </c>
      <c r="K44" s="1"/>
      <c r="L44" s="1"/>
      <c r="M44" s="1"/>
      <c r="N44" s="5">
        <f>(J44+K44-M44)</f>
        <v>0.86560000000000004</v>
      </c>
      <c r="O44" s="5">
        <f>(H44*I44*N44)</f>
        <v>9.5216000000000012</v>
      </c>
      <c r="P44" s="18" t="str">
        <f t="shared" si="0"/>
        <v/>
      </c>
      <c r="Q44" s="18">
        <f t="shared" si="1"/>
        <v>9.5216000000000012</v>
      </c>
      <c r="R44" s="18" t="str">
        <f t="shared" si="2"/>
        <v/>
      </c>
      <c r="S44" s="18" t="str">
        <f t="shared" si="3"/>
        <v/>
      </c>
      <c r="T44" s="18" t="str">
        <f t="shared" si="4"/>
        <v/>
      </c>
      <c r="U44" s="18" t="str">
        <f t="shared" si="5"/>
        <v/>
      </c>
      <c r="V44" s="1"/>
    </row>
    <row r="45" spans="1:22" x14ac:dyDescent="0.25">
      <c r="A45" s="14"/>
      <c r="B45" s="34"/>
      <c r="C45" s="22"/>
      <c r="D45" s="4"/>
      <c r="E45" s="27"/>
      <c r="F45" s="42"/>
      <c r="G45" s="11"/>
      <c r="H45" s="1"/>
      <c r="I45" s="1"/>
      <c r="J45" s="2"/>
      <c r="K45" s="1"/>
      <c r="L45" s="1"/>
      <c r="M45" s="1"/>
      <c r="N45" s="1"/>
      <c r="O45" s="5"/>
      <c r="P45" s="18" t="str">
        <f t="shared" si="0"/>
        <v/>
      </c>
      <c r="Q45" s="18" t="str">
        <f t="shared" si="1"/>
        <v/>
      </c>
      <c r="R45" s="18" t="str">
        <f t="shared" si="2"/>
        <v/>
      </c>
      <c r="S45" s="18" t="str">
        <f t="shared" si="3"/>
        <v/>
      </c>
      <c r="T45" s="18" t="str">
        <f t="shared" si="4"/>
        <v/>
      </c>
      <c r="U45" s="18" t="str">
        <f t="shared" si="5"/>
        <v/>
      </c>
      <c r="V45" s="1"/>
    </row>
    <row r="46" spans="1:22" x14ac:dyDescent="0.25">
      <c r="A46" s="14"/>
      <c r="B46" s="34"/>
      <c r="C46" s="22"/>
      <c r="D46" s="9">
        <f>0.3-0.08</f>
        <v>0.21999999999999997</v>
      </c>
      <c r="E46" s="23"/>
      <c r="F46" s="42"/>
      <c r="G46" s="11"/>
      <c r="H46" s="1"/>
      <c r="I46" s="1"/>
      <c r="J46" s="2"/>
      <c r="K46" s="1"/>
      <c r="L46" s="1"/>
      <c r="M46" s="1"/>
      <c r="N46" s="1"/>
      <c r="O46" s="5"/>
      <c r="P46" s="18" t="str">
        <f t="shared" si="0"/>
        <v/>
      </c>
      <c r="Q46" s="18" t="str">
        <f t="shared" si="1"/>
        <v/>
      </c>
      <c r="R46" s="18" t="str">
        <f t="shared" si="2"/>
        <v/>
      </c>
      <c r="S46" s="18" t="str">
        <f t="shared" si="3"/>
        <v/>
      </c>
      <c r="T46" s="18" t="str">
        <f t="shared" si="4"/>
        <v/>
      </c>
      <c r="U46" s="18" t="str">
        <f t="shared" si="5"/>
        <v/>
      </c>
      <c r="V46" s="1"/>
    </row>
    <row r="47" spans="1:22" x14ac:dyDescent="0.25">
      <c r="A47" s="14"/>
      <c r="B47" s="34"/>
      <c r="C47" s="22"/>
      <c r="D47" s="4"/>
      <c r="E47" s="23"/>
      <c r="F47" s="42"/>
      <c r="G47" s="11"/>
      <c r="H47" s="1"/>
      <c r="I47" s="1"/>
      <c r="J47" s="2"/>
      <c r="K47" s="1"/>
      <c r="L47" s="1"/>
      <c r="M47" s="1"/>
      <c r="N47" s="1"/>
      <c r="O47" s="5"/>
      <c r="P47" s="18" t="str">
        <f t="shared" si="0"/>
        <v/>
      </c>
      <c r="Q47" s="18" t="str">
        <f t="shared" si="1"/>
        <v/>
      </c>
      <c r="R47" s="18" t="str">
        <f t="shared" si="2"/>
        <v/>
      </c>
      <c r="S47" s="18" t="str">
        <f t="shared" si="3"/>
        <v/>
      </c>
      <c r="T47" s="18" t="str">
        <f t="shared" si="4"/>
        <v/>
      </c>
      <c r="U47" s="18" t="str">
        <f t="shared" si="5"/>
        <v/>
      </c>
      <c r="V47" s="1"/>
    </row>
    <row r="48" spans="1:22" x14ac:dyDescent="0.25">
      <c r="A48" s="14"/>
      <c r="B48" s="34" t="s">
        <v>22</v>
      </c>
      <c r="C48" s="22"/>
      <c r="D48" s="25"/>
      <c r="E48" s="23"/>
      <c r="F48" s="42"/>
      <c r="G48" s="11">
        <v>10</v>
      </c>
      <c r="H48" s="1">
        <v>11</v>
      </c>
      <c r="I48" s="1">
        <v>1</v>
      </c>
      <c r="J48" s="41">
        <f>C49+D51+E49+2*10*G48/1000</f>
        <v>0.77</v>
      </c>
      <c r="K48" s="1"/>
      <c r="L48" s="1"/>
      <c r="M48" s="5">
        <f>4*3*G48/1000</f>
        <v>0.12</v>
      </c>
      <c r="N48" s="5">
        <f>(J48+K48-M48)</f>
        <v>0.65</v>
      </c>
      <c r="O48" s="5">
        <f>(H48*I48*N48)</f>
        <v>7.15</v>
      </c>
      <c r="P48" s="18" t="str">
        <f t="shared" si="0"/>
        <v/>
      </c>
      <c r="Q48" s="18">
        <f t="shared" si="1"/>
        <v>7.15</v>
      </c>
      <c r="R48" s="18" t="str">
        <f t="shared" si="2"/>
        <v/>
      </c>
      <c r="S48" s="18" t="str">
        <f t="shared" si="3"/>
        <v/>
      </c>
      <c r="T48" s="18" t="str">
        <f t="shared" si="4"/>
        <v/>
      </c>
      <c r="U48" s="18" t="str">
        <f t="shared" si="5"/>
        <v/>
      </c>
      <c r="V48" s="1"/>
    </row>
    <row r="49" spans="1:22" x14ac:dyDescent="0.25">
      <c r="A49" s="14"/>
      <c r="B49" s="34"/>
      <c r="C49" s="29">
        <v>0.17499999999999999</v>
      </c>
      <c r="D49" s="4"/>
      <c r="E49" s="23">
        <v>0.17499999999999999</v>
      </c>
      <c r="F49" s="42"/>
      <c r="G49" s="11"/>
      <c r="H49" s="1"/>
      <c r="I49" s="1"/>
      <c r="J49" s="2"/>
      <c r="K49" s="1"/>
      <c r="L49" s="1"/>
      <c r="M49" s="1"/>
      <c r="N49" s="1"/>
      <c r="O49" s="5"/>
      <c r="P49" s="18" t="str">
        <f>IF($G49=8,$O49,"")</f>
        <v/>
      </c>
      <c r="Q49" s="18" t="str">
        <f>IF($G49=10,$O49,"")</f>
        <v/>
      </c>
      <c r="R49" s="18" t="str">
        <f>IF($G49=12,$O49,"")</f>
        <v/>
      </c>
      <c r="S49" s="18" t="str">
        <f>IF($G49=16,$O49,"")</f>
        <v/>
      </c>
      <c r="T49" s="18" t="str">
        <f>IF($G49=20,$O49,"")</f>
        <v/>
      </c>
      <c r="U49" s="18" t="str">
        <f>IF($G49=25,$O49,"")</f>
        <v/>
      </c>
      <c r="V49" s="1"/>
    </row>
    <row r="50" spans="1:22" x14ac:dyDescent="0.25">
      <c r="A50" s="14"/>
      <c r="B50" s="34"/>
      <c r="C50" s="22"/>
      <c r="D50" s="4"/>
      <c r="E50" s="23"/>
      <c r="F50" s="42"/>
      <c r="G50" s="11"/>
      <c r="H50" s="1"/>
      <c r="I50" s="1"/>
      <c r="J50" s="2"/>
      <c r="K50" s="1"/>
      <c r="L50" s="1"/>
      <c r="M50" s="1"/>
      <c r="N50" s="1"/>
      <c r="O50" s="5"/>
      <c r="P50" s="18" t="str">
        <f t="shared" si="0"/>
        <v/>
      </c>
      <c r="Q50" s="18" t="str">
        <f t="shared" si="1"/>
        <v/>
      </c>
      <c r="R50" s="18" t="str">
        <f t="shared" si="2"/>
        <v/>
      </c>
      <c r="S50" s="18" t="str">
        <f t="shared" si="3"/>
        <v/>
      </c>
      <c r="T50" s="18" t="str">
        <f t="shared" si="4"/>
        <v/>
      </c>
      <c r="U50" s="18" t="str">
        <f t="shared" si="5"/>
        <v/>
      </c>
      <c r="V50" s="1"/>
    </row>
    <row r="51" spans="1:22" x14ac:dyDescent="0.25">
      <c r="A51" s="14"/>
      <c r="B51" s="34"/>
      <c r="C51" s="22"/>
      <c r="D51" s="9">
        <f>0.3-0.08</f>
        <v>0.21999999999999997</v>
      </c>
      <c r="E51" s="23"/>
      <c r="F51" s="42"/>
      <c r="G51" s="11"/>
      <c r="H51" s="1"/>
      <c r="I51" s="1"/>
      <c r="J51" s="2"/>
      <c r="K51" s="1"/>
      <c r="L51" s="1"/>
      <c r="M51" s="1"/>
      <c r="N51" s="1"/>
      <c r="O51" s="5"/>
      <c r="P51" s="18" t="str">
        <f t="shared" si="0"/>
        <v/>
      </c>
      <c r="Q51" s="18" t="str">
        <f t="shared" si="1"/>
        <v/>
      </c>
      <c r="R51" s="18" t="str">
        <f t="shared" si="2"/>
        <v/>
      </c>
      <c r="S51" s="18" t="str">
        <f t="shared" si="3"/>
        <v/>
      </c>
      <c r="T51" s="18" t="str">
        <f t="shared" si="4"/>
        <v/>
      </c>
      <c r="U51" s="18" t="str">
        <f t="shared" si="5"/>
        <v/>
      </c>
      <c r="V51" s="1"/>
    </row>
    <row r="52" spans="1:22" x14ac:dyDescent="0.25">
      <c r="A52" s="14"/>
      <c r="B52" s="34"/>
      <c r="C52" s="22"/>
      <c r="D52" s="4"/>
      <c r="E52" s="23"/>
      <c r="F52" s="42"/>
      <c r="G52" s="11"/>
      <c r="H52" s="1"/>
      <c r="I52" s="1"/>
      <c r="J52" s="2"/>
      <c r="K52" s="1"/>
      <c r="L52" s="1"/>
      <c r="M52" s="1"/>
      <c r="N52" s="1"/>
      <c r="O52" s="5"/>
      <c r="P52" s="18" t="str">
        <f t="shared" si="0"/>
        <v/>
      </c>
      <c r="Q52" s="18" t="str">
        <f t="shared" si="1"/>
        <v/>
      </c>
      <c r="R52" s="18" t="str">
        <f t="shared" si="2"/>
        <v/>
      </c>
      <c r="S52" s="18" t="str">
        <f t="shared" si="3"/>
        <v/>
      </c>
      <c r="T52" s="18" t="str">
        <f t="shared" si="4"/>
        <v/>
      </c>
      <c r="U52" s="18" t="str">
        <f t="shared" si="5"/>
        <v/>
      </c>
      <c r="V52" s="1"/>
    </row>
    <row r="53" spans="1:22" x14ac:dyDescent="0.25">
      <c r="A53" s="14"/>
      <c r="B53" s="34" t="s">
        <v>36</v>
      </c>
      <c r="C53" s="22"/>
      <c r="D53" s="25"/>
      <c r="E53" s="23"/>
      <c r="F53" s="42"/>
      <c r="G53" s="11">
        <v>10</v>
      </c>
      <c r="H53" s="1">
        <v>11</v>
      </c>
      <c r="I53" s="1">
        <v>1</v>
      </c>
      <c r="J53" s="41">
        <f>C54+D56+E54+2*10*G53/1000</f>
        <v>0.77</v>
      </c>
      <c r="K53" s="1"/>
      <c r="L53" s="1"/>
      <c r="M53" s="5">
        <f>4*3*G53/1000</f>
        <v>0.12</v>
      </c>
      <c r="N53" s="5">
        <f>(J53+K53-M53)</f>
        <v>0.65</v>
      </c>
      <c r="O53" s="5">
        <f>(H53*I53*N53)</f>
        <v>7.15</v>
      </c>
      <c r="P53" s="18" t="str">
        <f t="shared" si="0"/>
        <v/>
      </c>
      <c r="Q53" s="18">
        <f t="shared" si="1"/>
        <v>7.15</v>
      </c>
      <c r="R53" s="18" t="str">
        <f t="shared" si="2"/>
        <v/>
      </c>
      <c r="S53" s="18" t="str">
        <f t="shared" si="3"/>
        <v/>
      </c>
      <c r="T53" s="18" t="str">
        <f t="shared" si="4"/>
        <v/>
      </c>
      <c r="U53" s="18" t="str">
        <f t="shared" si="5"/>
        <v/>
      </c>
      <c r="V53" s="1"/>
    </row>
    <row r="54" spans="1:22" x14ac:dyDescent="0.25">
      <c r="A54" s="14"/>
      <c r="B54" s="34"/>
      <c r="C54" s="29">
        <v>0.17499999999999999</v>
      </c>
      <c r="D54" s="4"/>
      <c r="E54" s="23">
        <v>0.17499999999999999</v>
      </c>
      <c r="F54" s="42"/>
      <c r="G54" s="11"/>
      <c r="H54" s="1"/>
      <c r="I54" s="1"/>
      <c r="J54" s="2"/>
      <c r="K54" s="1"/>
      <c r="L54" s="1"/>
      <c r="M54" s="1"/>
      <c r="N54" s="1"/>
      <c r="O54" s="5"/>
      <c r="P54" s="18" t="str">
        <f>IF($G54=8,$O54,"")</f>
        <v/>
      </c>
      <c r="Q54" s="18" t="str">
        <f>IF($G54=10,$O54,"")</f>
        <v/>
      </c>
      <c r="R54" s="18" t="str">
        <f>IF($G54=12,$O54,"")</f>
        <v/>
      </c>
      <c r="S54" s="18" t="str">
        <f>IF($G54=16,$O54,"")</f>
        <v/>
      </c>
      <c r="T54" s="18" t="str">
        <f>IF($G54=20,$O54,"")</f>
        <v/>
      </c>
      <c r="U54" s="18" t="str">
        <f>IF($G54=25,$O54,"")</f>
        <v/>
      </c>
      <c r="V54" s="1"/>
    </row>
    <row r="55" spans="1:22" x14ac:dyDescent="0.25">
      <c r="A55" s="14"/>
      <c r="B55" s="34"/>
      <c r="C55" s="22"/>
      <c r="D55" s="4"/>
      <c r="E55" s="23"/>
      <c r="F55" s="42"/>
      <c r="G55" s="11"/>
      <c r="H55" s="1"/>
      <c r="I55" s="1"/>
      <c r="J55" s="2"/>
      <c r="K55" s="1"/>
      <c r="L55" s="1"/>
      <c r="M55" s="1"/>
      <c r="N55" s="1"/>
      <c r="O55" s="3"/>
      <c r="P55" s="18" t="str">
        <f t="shared" si="0"/>
        <v/>
      </c>
      <c r="Q55" s="18" t="str">
        <f t="shared" si="1"/>
        <v/>
      </c>
      <c r="R55" s="18" t="str">
        <f t="shared" si="2"/>
        <v/>
      </c>
      <c r="S55" s="18" t="str">
        <f t="shared" si="3"/>
        <v/>
      </c>
      <c r="T55" s="18" t="str">
        <f t="shared" si="4"/>
        <v/>
      </c>
      <c r="U55" s="18" t="str">
        <f t="shared" si="5"/>
        <v/>
      </c>
      <c r="V55" s="1"/>
    </row>
    <row r="56" spans="1:22" x14ac:dyDescent="0.25">
      <c r="A56" s="14"/>
      <c r="B56" s="34"/>
      <c r="C56" s="22"/>
      <c r="D56" s="9">
        <f>0.3-0.08</f>
        <v>0.21999999999999997</v>
      </c>
      <c r="E56" s="23"/>
      <c r="F56" s="42"/>
      <c r="G56" s="11"/>
      <c r="H56" s="1"/>
      <c r="I56" s="1"/>
      <c r="J56" s="2"/>
      <c r="K56" s="1"/>
      <c r="L56" s="1"/>
      <c r="M56" s="1"/>
      <c r="N56" s="1"/>
      <c r="O56" s="3"/>
      <c r="P56" s="18" t="str">
        <f t="shared" si="0"/>
        <v/>
      </c>
      <c r="Q56" s="18" t="str">
        <f t="shared" si="1"/>
        <v/>
      </c>
      <c r="R56" s="18" t="str">
        <f t="shared" si="2"/>
        <v/>
      </c>
      <c r="S56" s="18" t="str">
        <f t="shared" si="3"/>
        <v/>
      </c>
      <c r="T56" s="18" t="str">
        <f t="shared" si="4"/>
        <v/>
      </c>
      <c r="U56" s="18" t="str">
        <f t="shared" si="5"/>
        <v/>
      </c>
      <c r="V56" s="1"/>
    </row>
    <row r="57" spans="1:22" x14ac:dyDescent="0.25">
      <c r="A57" s="14"/>
      <c r="B57" s="33"/>
      <c r="C57" s="22"/>
      <c r="D57" s="4"/>
      <c r="E57" s="23"/>
      <c r="F57" s="42"/>
      <c r="G57" s="11"/>
      <c r="H57" s="1"/>
      <c r="I57" s="1"/>
      <c r="J57" s="2"/>
      <c r="K57" s="1"/>
      <c r="L57" s="1"/>
      <c r="M57" s="1"/>
      <c r="N57" s="1"/>
      <c r="O57" s="3"/>
      <c r="P57" s="18" t="str">
        <f t="shared" si="0"/>
        <v/>
      </c>
      <c r="Q57" s="18" t="str">
        <f t="shared" si="1"/>
        <v/>
      </c>
      <c r="R57" s="18" t="str">
        <f t="shared" si="2"/>
        <v/>
      </c>
      <c r="S57" s="18" t="str">
        <f t="shared" si="3"/>
        <v/>
      </c>
      <c r="T57" s="18" t="str">
        <f t="shared" si="4"/>
        <v/>
      </c>
      <c r="U57" s="18" t="str">
        <f t="shared" si="5"/>
        <v/>
      </c>
      <c r="V57" s="1"/>
    </row>
    <row r="58" spans="1:22" x14ac:dyDescent="0.25">
      <c r="A58" s="14">
        <v>3</v>
      </c>
      <c r="B58" s="14" t="s">
        <v>34</v>
      </c>
      <c r="C58" s="22"/>
      <c r="D58" s="4"/>
      <c r="E58" s="23"/>
      <c r="F58" s="42"/>
      <c r="G58" s="11"/>
      <c r="H58" s="1"/>
      <c r="I58" s="1"/>
      <c r="J58" s="9"/>
      <c r="K58" s="5"/>
      <c r="L58" s="5"/>
      <c r="M58" s="1"/>
      <c r="N58" s="5"/>
      <c r="O58" s="5"/>
      <c r="P58" s="18" t="str">
        <f>IF($G58=8,$O58,"")</f>
        <v/>
      </c>
      <c r="Q58" s="18" t="str">
        <f>IF($G58=10,$O58,"")</f>
        <v/>
      </c>
      <c r="R58" s="18" t="str">
        <f>IF($G58=12,$O58,"")</f>
        <v/>
      </c>
      <c r="S58" s="18" t="str">
        <f>IF($G58=16,$O58,"")</f>
        <v/>
      </c>
      <c r="T58" s="18" t="str">
        <f>IF($G58=20,$O58,"")</f>
        <v/>
      </c>
      <c r="U58" s="18" t="str">
        <f>IF($G58=25,$O58,"")</f>
        <v/>
      </c>
      <c r="V58" s="1"/>
    </row>
    <row r="59" spans="1:22" x14ac:dyDescent="0.25">
      <c r="A59" s="14"/>
      <c r="B59" s="33" t="s">
        <v>18</v>
      </c>
      <c r="C59" s="22"/>
      <c r="D59" s="25">
        <f>0.85-0.075-2*0.016</f>
        <v>0.74299999999999999</v>
      </c>
      <c r="E59" s="23"/>
      <c r="F59" s="42"/>
      <c r="G59" s="11">
        <v>25</v>
      </c>
      <c r="H59" s="1">
        <v>2</v>
      </c>
      <c r="I59" s="1">
        <v>4</v>
      </c>
      <c r="J59" s="9">
        <f>D59</f>
        <v>0.74299999999999999</v>
      </c>
      <c r="K59" s="46" t="str">
        <f>IF(N59&lt;12,"0",0.049*G59)</f>
        <v>0</v>
      </c>
      <c r="L59" s="45">
        <v>1</v>
      </c>
      <c r="M59" s="1">
        <f>2*G59*L59/1000</f>
        <v>0.05</v>
      </c>
      <c r="N59" s="5">
        <f>J59+E61-M59</f>
        <v>0.99299999999999988</v>
      </c>
      <c r="O59" s="5">
        <f>H59*I59*N59</f>
        <v>7.9439999999999991</v>
      </c>
      <c r="P59" s="18" t="str">
        <f t="shared" si="0"/>
        <v/>
      </c>
      <c r="Q59" s="18" t="str">
        <f t="shared" si="1"/>
        <v/>
      </c>
      <c r="R59" s="18" t="str">
        <f t="shared" si="2"/>
        <v/>
      </c>
      <c r="S59" s="18" t="str">
        <f t="shared" si="3"/>
        <v/>
      </c>
      <c r="T59" s="18" t="str">
        <f t="shared" si="4"/>
        <v/>
      </c>
      <c r="U59" s="18">
        <f t="shared" si="5"/>
        <v>7.9439999999999991</v>
      </c>
      <c r="V59" s="1"/>
    </row>
    <row r="60" spans="1:22" x14ac:dyDescent="0.25">
      <c r="A60" s="14"/>
      <c r="B60" s="33" t="s">
        <v>32</v>
      </c>
      <c r="C60" s="22"/>
      <c r="D60" s="4"/>
      <c r="E60" s="23"/>
      <c r="F60" s="42"/>
      <c r="G60" s="11">
        <v>25</v>
      </c>
      <c r="H60" s="1">
        <v>2</v>
      </c>
      <c r="I60" s="1">
        <v>2</v>
      </c>
      <c r="J60" s="9">
        <f>D59</f>
        <v>0.74299999999999999</v>
      </c>
      <c r="K60" s="46" t="str">
        <f t="shared" ref="K60:K62" si="10">IF(N60&lt;12,"0",0.049*G60)</f>
        <v>0</v>
      </c>
      <c r="L60" s="45">
        <v>1</v>
      </c>
      <c r="M60" s="1">
        <f t="shared" ref="M60:M62" si="11">2*G60*L60/1000</f>
        <v>0.05</v>
      </c>
      <c r="N60" s="5">
        <f>J60+E61-M60</f>
        <v>0.99299999999999988</v>
      </c>
      <c r="O60" s="5">
        <f>H60*I60*N60</f>
        <v>3.9719999999999995</v>
      </c>
      <c r="P60" s="18" t="str">
        <f t="shared" si="0"/>
        <v/>
      </c>
      <c r="Q60" s="18" t="str">
        <f t="shared" si="1"/>
        <v/>
      </c>
      <c r="R60" s="18" t="str">
        <f t="shared" si="2"/>
        <v/>
      </c>
      <c r="S60" s="18" t="str">
        <f t="shared" si="3"/>
        <v/>
      </c>
      <c r="T60" s="18" t="str">
        <f t="shared" si="4"/>
        <v/>
      </c>
      <c r="U60" s="18">
        <f t="shared" si="5"/>
        <v>3.9719999999999995</v>
      </c>
      <c r="V60" s="1"/>
    </row>
    <row r="61" spans="1:22" x14ac:dyDescent="0.25">
      <c r="A61" s="14"/>
      <c r="B61" s="33" t="s">
        <v>26</v>
      </c>
      <c r="C61" s="24"/>
      <c r="D61" s="25"/>
      <c r="E61" s="39">
        <v>0.3</v>
      </c>
      <c r="F61" s="42"/>
      <c r="G61" s="11">
        <v>25</v>
      </c>
      <c r="H61" s="1">
        <v>2</v>
      </c>
      <c r="I61" s="1">
        <v>4</v>
      </c>
      <c r="J61" s="9">
        <f>D59</f>
        <v>0.74299999999999999</v>
      </c>
      <c r="K61" s="46" t="str">
        <f t="shared" si="10"/>
        <v>0</v>
      </c>
      <c r="L61" s="45">
        <v>1</v>
      </c>
      <c r="M61" s="1">
        <f t="shared" si="11"/>
        <v>0.05</v>
      </c>
      <c r="N61" s="5">
        <f>J61+E61-M61</f>
        <v>0.99299999999999988</v>
      </c>
      <c r="O61" s="5">
        <f>H61*I61*N61</f>
        <v>7.9439999999999991</v>
      </c>
      <c r="P61" s="18" t="str">
        <f t="shared" si="0"/>
        <v/>
      </c>
      <c r="Q61" s="18" t="str">
        <f t="shared" si="1"/>
        <v/>
      </c>
      <c r="R61" s="18" t="str">
        <f t="shared" si="2"/>
        <v/>
      </c>
      <c r="S61" s="18" t="str">
        <f t="shared" si="3"/>
        <v/>
      </c>
      <c r="T61" s="18" t="str">
        <f t="shared" si="4"/>
        <v/>
      </c>
      <c r="U61" s="18">
        <f t="shared" si="5"/>
        <v>7.9439999999999991</v>
      </c>
      <c r="V61" s="1"/>
    </row>
    <row r="62" spans="1:22" x14ac:dyDescent="0.25">
      <c r="A62" s="14"/>
      <c r="B62" s="33" t="s">
        <v>19</v>
      </c>
      <c r="C62" s="22"/>
      <c r="D62" s="4"/>
      <c r="E62" s="23"/>
      <c r="F62" s="42"/>
      <c r="G62" s="11">
        <v>20</v>
      </c>
      <c r="H62" s="1">
        <v>2</v>
      </c>
      <c r="I62" s="1">
        <v>4</v>
      </c>
      <c r="J62" s="9">
        <f>D59</f>
        <v>0.74299999999999999</v>
      </c>
      <c r="K62" s="46" t="str">
        <f t="shared" si="10"/>
        <v>0</v>
      </c>
      <c r="L62" s="45">
        <v>1</v>
      </c>
      <c r="M62" s="1">
        <f t="shared" si="11"/>
        <v>0.04</v>
      </c>
      <c r="N62" s="5">
        <f>J62+E61-M62</f>
        <v>1.0029999999999999</v>
      </c>
      <c r="O62" s="5">
        <f>H62*I62*N62</f>
        <v>8.0239999999999991</v>
      </c>
      <c r="P62" s="18" t="str">
        <f t="shared" si="0"/>
        <v/>
      </c>
      <c r="Q62" s="18" t="str">
        <f t="shared" si="1"/>
        <v/>
      </c>
      <c r="R62" s="18" t="str">
        <f t="shared" si="2"/>
        <v/>
      </c>
      <c r="S62" s="18" t="str">
        <f t="shared" si="3"/>
        <v/>
      </c>
      <c r="T62" s="18">
        <f t="shared" si="4"/>
        <v>8.0239999999999991</v>
      </c>
      <c r="U62" s="18" t="str">
        <f t="shared" si="5"/>
        <v/>
      </c>
      <c r="V62" s="1"/>
    </row>
    <row r="63" spans="1:22" x14ac:dyDescent="0.25">
      <c r="A63" s="14"/>
      <c r="B63" s="33"/>
      <c r="C63" s="22"/>
      <c r="D63" s="4"/>
      <c r="E63" s="23"/>
      <c r="F63" s="42"/>
      <c r="G63" s="11"/>
      <c r="H63" s="1"/>
      <c r="I63" s="1"/>
      <c r="J63" s="2"/>
      <c r="K63" s="1"/>
      <c r="L63" s="1"/>
      <c r="M63" s="1"/>
      <c r="N63" s="1"/>
      <c r="O63" s="3"/>
      <c r="P63" s="18" t="str">
        <f t="shared" si="0"/>
        <v/>
      </c>
      <c r="Q63" s="18" t="str">
        <f t="shared" si="1"/>
        <v/>
      </c>
      <c r="R63" s="18" t="str">
        <f t="shared" si="2"/>
        <v/>
      </c>
      <c r="S63" s="18" t="str">
        <f t="shared" si="3"/>
        <v/>
      </c>
      <c r="T63" s="18" t="str">
        <f t="shared" si="4"/>
        <v/>
      </c>
      <c r="U63" s="18" t="str">
        <f t="shared" si="5"/>
        <v/>
      </c>
      <c r="V63" s="1"/>
    </row>
    <row r="64" spans="1:22" x14ac:dyDescent="0.25">
      <c r="A64" s="14"/>
      <c r="B64" s="14"/>
      <c r="C64" s="47">
        <v>0.1</v>
      </c>
      <c r="D64" s="4"/>
      <c r="E64" s="23"/>
      <c r="F64" s="42"/>
      <c r="G64" s="11"/>
      <c r="H64" s="1"/>
      <c r="I64" s="1"/>
      <c r="J64" s="2"/>
      <c r="K64" s="1"/>
      <c r="L64" s="1"/>
      <c r="M64" s="1"/>
      <c r="N64" s="1"/>
      <c r="O64" s="3"/>
      <c r="P64" s="18" t="str">
        <f t="shared" si="0"/>
        <v/>
      </c>
      <c r="Q64" s="18" t="str">
        <f t="shared" si="1"/>
        <v/>
      </c>
      <c r="R64" s="18" t="str">
        <f t="shared" si="2"/>
        <v/>
      </c>
      <c r="S64" s="18" t="str">
        <f t="shared" si="3"/>
        <v/>
      </c>
      <c r="T64" s="18" t="str">
        <f t="shared" si="4"/>
        <v/>
      </c>
      <c r="U64" s="18" t="str">
        <f t="shared" si="5"/>
        <v/>
      </c>
      <c r="V64" s="1"/>
    </row>
    <row r="65" spans="1:22" x14ac:dyDescent="0.25">
      <c r="A65" s="14"/>
      <c r="B65" s="34" t="s">
        <v>20</v>
      </c>
      <c r="C65" s="26"/>
      <c r="D65" s="4"/>
      <c r="E65" s="40">
        <f>0.6-0.08</f>
        <v>0.52</v>
      </c>
      <c r="F65" s="42"/>
      <c r="G65" s="11">
        <v>10</v>
      </c>
      <c r="H65" s="1">
        <v>2</v>
      </c>
      <c r="I65" s="1">
        <v>4</v>
      </c>
      <c r="J65" s="41">
        <f>2*(D67+E65)+16*10/1000</f>
        <v>1.64</v>
      </c>
      <c r="K65" s="1"/>
      <c r="L65" s="1"/>
      <c r="M65" s="1"/>
      <c r="N65" s="5">
        <f>(J65+K65-M65)</f>
        <v>1.64</v>
      </c>
      <c r="O65" s="5">
        <f>(H65*I65*N65)</f>
        <v>13.12</v>
      </c>
      <c r="P65" s="18" t="str">
        <f t="shared" si="0"/>
        <v/>
      </c>
      <c r="Q65" s="18">
        <f t="shared" si="1"/>
        <v>13.12</v>
      </c>
      <c r="R65" s="18" t="str">
        <f t="shared" si="2"/>
        <v/>
      </c>
      <c r="S65" s="18" t="str">
        <f t="shared" si="3"/>
        <v/>
      </c>
      <c r="T65" s="18" t="str">
        <f t="shared" si="4"/>
        <v/>
      </c>
      <c r="U65" s="18" t="str">
        <f t="shared" si="5"/>
        <v/>
      </c>
      <c r="V65" s="1"/>
    </row>
    <row r="66" spans="1:22" x14ac:dyDescent="0.25">
      <c r="A66" s="14"/>
      <c r="B66" s="34"/>
      <c r="C66" s="22"/>
      <c r="D66" s="4"/>
      <c r="E66" s="27"/>
      <c r="F66" s="42"/>
      <c r="G66" s="11"/>
      <c r="H66" s="1"/>
      <c r="I66" s="1"/>
      <c r="J66" s="2"/>
      <c r="K66" s="1"/>
      <c r="L66" s="1"/>
      <c r="M66" s="1"/>
      <c r="N66" s="1"/>
      <c r="O66" s="5"/>
      <c r="P66" s="18" t="str">
        <f t="shared" si="0"/>
        <v/>
      </c>
      <c r="Q66" s="18" t="str">
        <f t="shared" si="1"/>
        <v/>
      </c>
      <c r="R66" s="18" t="str">
        <f t="shared" si="2"/>
        <v/>
      </c>
      <c r="S66" s="18" t="str">
        <f t="shared" si="3"/>
        <v/>
      </c>
      <c r="T66" s="18" t="str">
        <f t="shared" si="4"/>
        <v/>
      </c>
      <c r="U66" s="18" t="str">
        <f t="shared" si="5"/>
        <v/>
      </c>
      <c r="V66" s="1"/>
    </row>
    <row r="67" spans="1:22" x14ac:dyDescent="0.25">
      <c r="A67" s="14"/>
      <c r="B67" s="34"/>
      <c r="C67" s="22"/>
      <c r="D67" s="9">
        <f>0.3-0.08</f>
        <v>0.21999999999999997</v>
      </c>
      <c r="E67" s="23"/>
      <c r="F67" s="42"/>
      <c r="G67" s="11"/>
      <c r="H67" s="1"/>
      <c r="I67" s="1"/>
      <c r="J67" s="2"/>
      <c r="K67" s="1"/>
      <c r="L67" s="1"/>
      <c r="M67" s="1"/>
      <c r="N67" s="1"/>
      <c r="O67" s="5"/>
      <c r="P67" s="18" t="str">
        <f t="shared" si="0"/>
        <v/>
      </c>
      <c r="Q67" s="18" t="str">
        <f t="shared" si="1"/>
        <v/>
      </c>
      <c r="R67" s="18" t="str">
        <f t="shared" si="2"/>
        <v/>
      </c>
      <c r="S67" s="18" t="str">
        <f t="shared" si="3"/>
        <v/>
      </c>
      <c r="T67" s="18" t="str">
        <f t="shared" si="4"/>
        <v/>
      </c>
      <c r="U67" s="18" t="str">
        <f t="shared" si="5"/>
        <v/>
      </c>
      <c r="V67" s="1"/>
    </row>
    <row r="68" spans="1:22" x14ac:dyDescent="0.25">
      <c r="A68" s="14"/>
      <c r="B68" s="33"/>
      <c r="C68" s="22"/>
      <c r="D68" s="4"/>
      <c r="E68" s="23"/>
      <c r="F68" s="42"/>
      <c r="G68" s="11"/>
      <c r="H68" s="1"/>
      <c r="I68" s="1"/>
      <c r="J68" s="2"/>
      <c r="K68" s="1"/>
      <c r="L68" s="1"/>
      <c r="M68" s="1"/>
      <c r="N68" s="1"/>
      <c r="O68" s="5"/>
      <c r="P68" s="18" t="str">
        <f t="shared" si="0"/>
        <v/>
      </c>
      <c r="Q68" s="18" t="str">
        <f t="shared" si="1"/>
        <v/>
      </c>
      <c r="R68" s="18" t="str">
        <f t="shared" si="2"/>
        <v/>
      </c>
      <c r="S68" s="18" t="str">
        <f t="shared" si="3"/>
        <v/>
      </c>
      <c r="T68" s="18" t="str">
        <f t="shared" si="4"/>
        <v/>
      </c>
      <c r="U68" s="18" t="str">
        <f t="shared" si="5"/>
        <v/>
      </c>
      <c r="V68" s="1"/>
    </row>
    <row r="69" spans="1:22" x14ac:dyDescent="0.25">
      <c r="A69" s="14"/>
      <c r="B69" s="14"/>
      <c r="C69" s="47">
        <v>0.1</v>
      </c>
      <c r="D69" s="4"/>
      <c r="E69" s="23"/>
      <c r="F69" s="42"/>
      <c r="G69" s="11"/>
      <c r="H69" s="1"/>
      <c r="I69" s="1"/>
      <c r="J69" s="2"/>
      <c r="K69" s="1"/>
      <c r="L69" s="1"/>
      <c r="M69" s="1"/>
      <c r="N69" s="1"/>
      <c r="O69" s="5"/>
      <c r="P69" s="18" t="str">
        <f t="shared" si="0"/>
        <v/>
      </c>
      <c r="Q69" s="18" t="str">
        <f t="shared" si="1"/>
        <v/>
      </c>
      <c r="R69" s="18" t="str">
        <f t="shared" si="2"/>
        <v/>
      </c>
      <c r="S69" s="18" t="str">
        <f t="shared" si="3"/>
        <v/>
      </c>
      <c r="T69" s="18" t="str">
        <f t="shared" si="4"/>
        <v/>
      </c>
      <c r="U69" s="18" t="str">
        <f t="shared" si="5"/>
        <v/>
      </c>
      <c r="V69" s="1"/>
    </row>
    <row r="70" spans="1:22" x14ac:dyDescent="0.25">
      <c r="A70" s="14"/>
      <c r="B70" s="34" t="s">
        <v>21</v>
      </c>
      <c r="C70" s="26"/>
      <c r="D70" s="4"/>
      <c r="E70" s="40">
        <f>((0.6-0.08-0.016)/5)+0.012+0.02</f>
        <v>0.1328</v>
      </c>
      <c r="F70" s="42"/>
      <c r="G70" s="11">
        <v>10</v>
      </c>
      <c r="H70" s="1">
        <v>2</v>
      </c>
      <c r="I70" s="1">
        <v>1</v>
      </c>
      <c r="J70" s="41">
        <f>2*(D72+E70)+16*10/1000</f>
        <v>0.86560000000000004</v>
      </c>
      <c r="K70" s="1"/>
      <c r="L70" s="1"/>
      <c r="M70" s="1"/>
      <c r="N70" s="5">
        <f>(J70+K70-M70)</f>
        <v>0.86560000000000004</v>
      </c>
      <c r="O70" s="5">
        <f>(H70*I70*N70)</f>
        <v>1.7312000000000001</v>
      </c>
      <c r="P70" s="18" t="str">
        <f t="shared" si="0"/>
        <v/>
      </c>
      <c r="Q70" s="18">
        <f t="shared" si="1"/>
        <v>1.7312000000000001</v>
      </c>
      <c r="R70" s="18" t="str">
        <f t="shared" si="2"/>
        <v/>
      </c>
      <c r="S70" s="18" t="str">
        <f t="shared" si="3"/>
        <v/>
      </c>
      <c r="T70" s="18" t="str">
        <f t="shared" si="4"/>
        <v/>
      </c>
      <c r="U70" s="18" t="str">
        <f t="shared" si="5"/>
        <v/>
      </c>
      <c r="V70" s="1"/>
    </row>
    <row r="71" spans="1:22" x14ac:dyDescent="0.25">
      <c r="A71" s="14"/>
      <c r="B71" s="34"/>
      <c r="C71" s="22"/>
      <c r="D71" s="4"/>
      <c r="E71" s="27"/>
      <c r="F71" s="42"/>
      <c r="G71" s="11"/>
      <c r="H71" s="1"/>
      <c r="I71" s="1"/>
      <c r="J71" s="2"/>
      <c r="K71" s="1"/>
      <c r="L71" s="1"/>
      <c r="M71" s="1"/>
      <c r="N71" s="1"/>
      <c r="O71" s="5"/>
      <c r="P71" s="18" t="str">
        <f t="shared" si="0"/>
        <v/>
      </c>
      <c r="Q71" s="18" t="str">
        <f t="shared" si="1"/>
        <v/>
      </c>
      <c r="R71" s="18" t="str">
        <f t="shared" si="2"/>
        <v/>
      </c>
      <c r="S71" s="18" t="str">
        <f t="shared" si="3"/>
        <v/>
      </c>
      <c r="T71" s="18" t="str">
        <f t="shared" si="4"/>
        <v/>
      </c>
      <c r="U71" s="18" t="str">
        <f t="shared" si="5"/>
        <v/>
      </c>
      <c r="V71" s="1"/>
    </row>
    <row r="72" spans="1:22" x14ac:dyDescent="0.25">
      <c r="A72" s="14"/>
      <c r="B72" s="34"/>
      <c r="C72" s="22"/>
      <c r="D72" s="9">
        <f>0.3-0.08</f>
        <v>0.21999999999999997</v>
      </c>
      <c r="E72" s="23"/>
      <c r="F72" s="42"/>
      <c r="G72" s="11"/>
      <c r="H72" s="1"/>
      <c r="I72" s="1"/>
      <c r="J72" s="2"/>
      <c r="K72" s="1"/>
      <c r="L72" s="1"/>
      <c r="M72" s="1"/>
      <c r="N72" s="1"/>
      <c r="O72" s="5"/>
      <c r="P72" s="18" t="str">
        <f t="shared" si="0"/>
        <v/>
      </c>
      <c r="Q72" s="18" t="str">
        <f t="shared" si="1"/>
        <v/>
      </c>
      <c r="R72" s="18" t="str">
        <f t="shared" si="2"/>
        <v/>
      </c>
      <c r="S72" s="18" t="str">
        <f t="shared" si="3"/>
        <v/>
      </c>
      <c r="T72" s="18" t="str">
        <f t="shared" si="4"/>
        <v/>
      </c>
      <c r="U72" s="18" t="str">
        <f t="shared" si="5"/>
        <v/>
      </c>
      <c r="V72" s="1"/>
    </row>
    <row r="73" spans="1:22" x14ac:dyDescent="0.25">
      <c r="A73" s="14"/>
      <c r="B73" s="34"/>
      <c r="C73" s="22"/>
      <c r="D73" s="4"/>
      <c r="E73" s="23"/>
      <c r="F73" s="42"/>
      <c r="G73" s="11"/>
      <c r="H73" s="1"/>
      <c r="I73" s="1"/>
      <c r="J73" s="2"/>
      <c r="K73" s="1"/>
      <c r="L73" s="1"/>
      <c r="M73" s="1"/>
      <c r="N73" s="1"/>
      <c r="O73" s="5"/>
      <c r="P73" s="18" t="str">
        <f t="shared" si="0"/>
        <v/>
      </c>
      <c r="Q73" s="18" t="str">
        <f t="shared" si="1"/>
        <v/>
      </c>
      <c r="R73" s="18" t="str">
        <f t="shared" si="2"/>
        <v/>
      </c>
      <c r="S73" s="18" t="str">
        <f t="shared" si="3"/>
        <v/>
      </c>
      <c r="T73" s="18" t="str">
        <f t="shared" si="4"/>
        <v/>
      </c>
      <c r="U73" s="18" t="str">
        <f t="shared" si="5"/>
        <v/>
      </c>
      <c r="V73" s="1"/>
    </row>
    <row r="74" spans="1:22" x14ac:dyDescent="0.25">
      <c r="A74" s="14"/>
      <c r="B74" s="34" t="s">
        <v>22</v>
      </c>
      <c r="C74" s="22"/>
      <c r="D74" s="25"/>
      <c r="E74" s="23"/>
      <c r="F74" s="42"/>
      <c r="G74" s="11">
        <v>10</v>
      </c>
      <c r="H74" s="1">
        <v>2</v>
      </c>
      <c r="I74" s="1">
        <v>1</v>
      </c>
      <c r="J74" s="41">
        <f>C75+D77+E75+2*10*G74/1000</f>
        <v>0.77</v>
      </c>
      <c r="K74" s="1"/>
      <c r="L74" s="1"/>
      <c r="M74" s="5">
        <f>4*3*G74/1000</f>
        <v>0.12</v>
      </c>
      <c r="N74" s="5">
        <f>(J74+K74-M74)</f>
        <v>0.65</v>
      </c>
      <c r="O74" s="5">
        <f>(H74*I74*N74)</f>
        <v>1.3</v>
      </c>
      <c r="P74" s="18" t="str">
        <f t="shared" si="0"/>
        <v/>
      </c>
      <c r="Q74" s="18">
        <f t="shared" si="1"/>
        <v>1.3</v>
      </c>
      <c r="R74" s="18" t="str">
        <f t="shared" si="2"/>
        <v/>
      </c>
      <c r="S74" s="18" t="str">
        <f t="shared" si="3"/>
        <v/>
      </c>
      <c r="T74" s="18" t="str">
        <f t="shared" si="4"/>
        <v/>
      </c>
      <c r="U74" s="18" t="str">
        <f t="shared" si="5"/>
        <v/>
      </c>
      <c r="V74" s="1"/>
    </row>
    <row r="75" spans="1:22" x14ac:dyDescent="0.25">
      <c r="A75" s="14"/>
      <c r="B75" s="34"/>
      <c r="C75" s="29">
        <v>0.17499999999999999</v>
      </c>
      <c r="D75" s="4"/>
      <c r="E75" s="23">
        <v>0.17499999999999999</v>
      </c>
      <c r="F75" s="42"/>
      <c r="G75" s="11"/>
      <c r="H75" s="1"/>
      <c r="I75" s="1"/>
      <c r="J75" s="2"/>
      <c r="K75" s="1"/>
      <c r="L75" s="1"/>
      <c r="M75" s="1"/>
      <c r="N75" s="1"/>
      <c r="O75" s="5"/>
      <c r="P75" s="18" t="str">
        <f>IF($G75=8,$O75,"")</f>
        <v/>
      </c>
      <c r="Q75" s="18" t="str">
        <f>IF($G75=10,$O75,"")</f>
        <v/>
      </c>
      <c r="R75" s="18" t="str">
        <f>IF($G75=12,$O75,"")</f>
        <v/>
      </c>
      <c r="S75" s="18" t="str">
        <f>IF($G75=16,$O75,"")</f>
        <v/>
      </c>
      <c r="T75" s="18" t="str">
        <f>IF($G75=20,$O75,"")</f>
        <v/>
      </c>
      <c r="U75" s="18" t="str">
        <f>IF($G75=25,$O75,"")</f>
        <v/>
      </c>
      <c r="V75" s="1"/>
    </row>
    <row r="76" spans="1:22" x14ac:dyDescent="0.25">
      <c r="A76" s="14"/>
      <c r="B76" s="34"/>
      <c r="C76" s="22"/>
      <c r="D76" s="4"/>
      <c r="E76" s="23"/>
      <c r="F76" s="42"/>
      <c r="G76" s="11"/>
      <c r="H76" s="1"/>
      <c r="I76" s="1"/>
      <c r="J76" s="2"/>
      <c r="K76" s="1"/>
      <c r="L76" s="1"/>
      <c r="M76" s="1"/>
      <c r="N76" s="1"/>
      <c r="O76" s="5"/>
      <c r="P76" s="18" t="str">
        <f t="shared" si="0"/>
        <v/>
      </c>
      <c r="Q76" s="18" t="str">
        <f t="shared" si="1"/>
        <v/>
      </c>
      <c r="R76" s="18" t="str">
        <f t="shared" si="2"/>
        <v/>
      </c>
      <c r="S76" s="18" t="str">
        <f t="shared" si="3"/>
        <v/>
      </c>
      <c r="T76" s="18" t="str">
        <f t="shared" si="4"/>
        <v/>
      </c>
      <c r="U76" s="18" t="str">
        <f t="shared" si="5"/>
        <v/>
      </c>
      <c r="V76" s="1"/>
    </row>
    <row r="77" spans="1:22" x14ac:dyDescent="0.25">
      <c r="A77" s="14"/>
      <c r="B77" s="34"/>
      <c r="C77" s="22"/>
      <c r="D77" s="9">
        <f>0.3-0.08</f>
        <v>0.21999999999999997</v>
      </c>
      <c r="E77" s="23"/>
      <c r="F77" s="42"/>
      <c r="G77" s="11"/>
      <c r="H77" s="1"/>
      <c r="I77" s="1"/>
      <c r="J77" s="2"/>
      <c r="K77" s="1"/>
      <c r="L77" s="1"/>
      <c r="M77" s="1"/>
      <c r="N77" s="1"/>
      <c r="O77" s="5"/>
      <c r="P77" s="18" t="str">
        <f t="shared" si="0"/>
        <v/>
      </c>
      <c r="Q77" s="18" t="str">
        <f t="shared" si="1"/>
        <v/>
      </c>
      <c r="R77" s="18" t="str">
        <f t="shared" si="2"/>
        <v/>
      </c>
      <c r="S77" s="18" t="str">
        <f t="shared" si="3"/>
        <v/>
      </c>
      <c r="T77" s="18" t="str">
        <f t="shared" si="4"/>
        <v/>
      </c>
      <c r="U77" s="18" t="str">
        <f t="shared" si="5"/>
        <v/>
      </c>
      <c r="V77" s="1"/>
    </row>
    <row r="78" spans="1:22" x14ac:dyDescent="0.25">
      <c r="A78" s="14"/>
      <c r="B78" s="34"/>
      <c r="C78" s="22"/>
      <c r="D78" s="4"/>
      <c r="E78" s="23"/>
      <c r="F78" s="42"/>
      <c r="G78" s="11"/>
      <c r="H78" s="1"/>
      <c r="I78" s="1"/>
      <c r="J78" s="2"/>
      <c r="K78" s="1"/>
      <c r="L78" s="1"/>
      <c r="M78" s="1"/>
      <c r="N78" s="1"/>
      <c r="O78" s="5"/>
      <c r="P78" s="18" t="str">
        <f t="shared" si="0"/>
        <v/>
      </c>
      <c r="Q78" s="18" t="str">
        <f t="shared" si="1"/>
        <v/>
      </c>
      <c r="R78" s="18" t="str">
        <f t="shared" si="2"/>
        <v/>
      </c>
      <c r="S78" s="18" t="str">
        <f t="shared" si="3"/>
        <v/>
      </c>
      <c r="T78" s="18" t="str">
        <f t="shared" si="4"/>
        <v/>
      </c>
      <c r="U78" s="18" t="str">
        <f t="shared" si="5"/>
        <v/>
      </c>
      <c r="V78" s="1"/>
    </row>
    <row r="79" spans="1:22" x14ac:dyDescent="0.25">
      <c r="A79" s="14"/>
      <c r="B79" s="34" t="s">
        <v>36</v>
      </c>
      <c r="C79" s="22"/>
      <c r="D79" s="25"/>
      <c r="E79" s="23"/>
      <c r="F79" s="42"/>
      <c r="G79" s="11">
        <v>10</v>
      </c>
      <c r="H79" s="1">
        <v>2</v>
      </c>
      <c r="I79" s="1">
        <v>1</v>
      </c>
      <c r="J79" s="41">
        <f>C80+D82+E80+2*10*G79/1000</f>
        <v>0.77</v>
      </c>
      <c r="K79" s="1"/>
      <c r="L79" s="1"/>
      <c r="M79" s="5">
        <f>4*3*G79/1000</f>
        <v>0.12</v>
      </c>
      <c r="N79" s="5">
        <f>(J79+K79-M79)</f>
        <v>0.65</v>
      </c>
      <c r="O79" s="5">
        <f>(H79*I79*N79)</f>
        <v>1.3</v>
      </c>
      <c r="P79" s="18" t="str">
        <f t="shared" si="0"/>
        <v/>
      </c>
      <c r="Q79" s="18">
        <f t="shared" si="1"/>
        <v>1.3</v>
      </c>
      <c r="R79" s="18" t="str">
        <f t="shared" si="2"/>
        <v/>
      </c>
      <c r="S79" s="18" t="str">
        <f t="shared" si="3"/>
        <v/>
      </c>
      <c r="T79" s="18" t="str">
        <f t="shared" si="4"/>
        <v/>
      </c>
      <c r="U79" s="18" t="str">
        <f t="shared" si="5"/>
        <v/>
      </c>
      <c r="V79" s="1"/>
    </row>
    <row r="80" spans="1:22" x14ac:dyDescent="0.25">
      <c r="A80" s="14"/>
      <c r="B80" s="34"/>
      <c r="C80" s="29">
        <v>0.17499999999999999</v>
      </c>
      <c r="D80" s="4"/>
      <c r="E80" s="23">
        <v>0.17499999999999999</v>
      </c>
      <c r="F80" s="42"/>
      <c r="G80" s="11"/>
      <c r="H80" s="1"/>
      <c r="I80" s="1"/>
      <c r="J80" s="2"/>
      <c r="K80" s="1"/>
      <c r="L80" s="1"/>
      <c r="M80" s="1"/>
      <c r="N80" s="1"/>
      <c r="O80" s="5"/>
      <c r="P80" s="18" t="str">
        <f>IF($G80=8,$O80,"")</f>
        <v/>
      </c>
      <c r="Q80" s="18" t="str">
        <f>IF($G80=10,$O80,"")</f>
        <v/>
      </c>
      <c r="R80" s="18" t="str">
        <f>IF($G80=12,$O80,"")</f>
        <v/>
      </c>
      <c r="S80" s="18" t="str">
        <f>IF($G80=16,$O80,"")</f>
        <v/>
      </c>
      <c r="T80" s="18" t="str">
        <f>IF($G80=20,$O80,"")</f>
        <v/>
      </c>
      <c r="U80" s="18" t="str">
        <f>IF($G80=25,$O80,"")</f>
        <v/>
      </c>
      <c r="V80" s="1"/>
    </row>
    <row r="81" spans="1:22" x14ac:dyDescent="0.25">
      <c r="A81" s="14"/>
      <c r="B81" s="34"/>
      <c r="C81" s="22"/>
      <c r="D81" s="4"/>
      <c r="E81" s="23"/>
      <c r="F81" s="42"/>
      <c r="G81" s="11"/>
      <c r="H81" s="1"/>
      <c r="I81" s="1"/>
      <c r="J81" s="2"/>
      <c r="K81" s="1"/>
      <c r="L81" s="1"/>
      <c r="M81" s="1"/>
      <c r="N81" s="1"/>
      <c r="O81" s="3"/>
      <c r="P81" s="18" t="str">
        <f t="shared" si="0"/>
        <v/>
      </c>
      <c r="Q81" s="18" t="str">
        <f t="shared" si="1"/>
        <v/>
      </c>
      <c r="R81" s="18" t="str">
        <f t="shared" si="2"/>
        <v/>
      </c>
      <c r="S81" s="18" t="str">
        <f t="shared" si="3"/>
        <v/>
      </c>
      <c r="T81" s="18" t="str">
        <f t="shared" si="4"/>
        <v/>
      </c>
      <c r="U81" s="18" t="str">
        <f t="shared" si="5"/>
        <v/>
      </c>
      <c r="V81" s="1"/>
    </row>
    <row r="82" spans="1:22" x14ac:dyDescent="0.25">
      <c r="A82" s="14"/>
      <c r="B82" s="34"/>
      <c r="C82" s="22"/>
      <c r="D82" s="9">
        <f>0.3-0.08</f>
        <v>0.21999999999999997</v>
      </c>
      <c r="E82" s="23"/>
      <c r="F82" s="42"/>
      <c r="G82" s="11"/>
      <c r="H82" s="1"/>
      <c r="I82" s="1"/>
      <c r="J82" s="2"/>
      <c r="K82" s="1"/>
      <c r="L82" s="1"/>
      <c r="M82" s="1"/>
      <c r="N82" s="1"/>
      <c r="O82" s="3"/>
      <c r="P82" s="18" t="str">
        <f t="shared" si="0"/>
        <v/>
      </c>
      <c r="Q82" s="18" t="str">
        <f t="shared" si="1"/>
        <v/>
      </c>
      <c r="R82" s="18" t="str">
        <f t="shared" si="2"/>
        <v/>
      </c>
      <c r="S82" s="18" t="str">
        <f t="shared" si="3"/>
        <v/>
      </c>
      <c r="T82" s="18" t="str">
        <f t="shared" si="4"/>
        <v/>
      </c>
      <c r="U82" s="18" t="str">
        <f t="shared" si="5"/>
        <v/>
      </c>
      <c r="V82" s="1"/>
    </row>
    <row r="83" spans="1:22" x14ac:dyDescent="0.25">
      <c r="A83" s="14"/>
      <c r="B83" s="33"/>
      <c r="C83" s="22"/>
      <c r="D83" s="4"/>
      <c r="E83" s="23"/>
      <c r="F83" s="42"/>
      <c r="G83" s="11"/>
      <c r="H83" s="1"/>
      <c r="I83" s="1"/>
      <c r="J83" s="2"/>
      <c r="K83" s="1"/>
      <c r="L83" s="1"/>
      <c r="M83" s="1"/>
      <c r="N83" s="1"/>
      <c r="O83" s="3"/>
      <c r="P83" s="18" t="str">
        <f t="shared" si="0"/>
        <v/>
      </c>
      <c r="Q83" s="18" t="str">
        <f t="shared" si="1"/>
        <v/>
      </c>
      <c r="R83" s="18" t="str">
        <f t="shared" si="2"/>
        <v/>
      </c>
      <c r="S83" s="18" t="str">
        <f t="shared" si="3"/>
        <v/>
      </c>
      <c r="T83" s="18" t="str">
        <f t="shared" si="4"/>
        <v/>
      </c>
      <c r="U83" s="18" t="str">
        <f t="shared" si="5"/>
        <v/>
      </c>
      <c r="V83" s="1"/>
    </row>
    <row r="84" spans="1:22" x14ac:dyDescent="0.25">
      <c r="A84" s="14">
        <v>4</v>
      </c>
      <c r="B84" s="14" t="s">
        <v>38</v>
      </c>
      <c r="C84" s="22"/>
      <c r="D84" s="4"/>
      <c r="E84" s="23"/>
      <c r="F84" s="42"/>
      <c r="G84" s="11"/>
      <c r="H84" s="1"/>
      <c r="I84" s="1"/>
      <c r="J84" s="9"/>
      <c r="K84" s="5"/>
      <c r="L84" s="5"/>
      <c r="M84" s="1"/>
      <c r="N84" s="5"/>
      <c r="O84" s="5"/>
      <c r="P84" s="18" t="str">
        <f>IF($G84=8,$O84,"")</f>
        <v/>
      </c>
      <c r="Q84" s="18" t="str">
        <f>IF($G84=10,$O84,"")</f>
        <v/>
      </c>
      <c r="R84" s="18" t="str">
        <f>IF($G84=12,$O84,"")</f>
        <v/>
      </c>
      <c r="S84" s="18" t="str">
        <f>IF($G84=16,$O84,"")</f>
        <v/>
      </c>
      <c r="T84" s="18" t="str">
        <f>IF($G84=20,$O84,"")</f>
        <v/>
      </c>
      <c r="U84" s="18" t="str">
        <f>IF($G84=25,$O84,"")</f>
        <v/>
      </c>
      <c r="V84" s="1"/>
    </row>
    <row r="85" spans="1:22" x14ac:dyDescent="0.25">
      <c r="A85" s="14"/>
      <c r="B85" s="33" t="s">
        <v>18</v>
      </c>
      <c r="C85" s="22"/>
      <c r="D85" s="25">
        <f>0.85-0.075-2*0.016</f>
        <v>0.74299999999999999</v>
      </c>
      <c r="E85" s="23"/>
      <c r="F85" s="42"/>
      <c r="G85" s="11">
        <v>20</v>
      </c>
      <c r="H85" s="1">
        <v>8</v>
      </c>
      <c r="I85" s="1">
        <v>4</v>
      </c>
      <c r="J85" s="9">
        <f>D85</f>
        <v>0.74299999999999999</v>
      </c>
      <c r="K85" s="46" t="str">
        <f>IF(N85&lt;12,"0",0.049*G85)</f>
        <v>0</v>
      </c>
      <c r="L85" s="45">
        <v>1</v>
      </c>
      <c r="M85" s="1">
        <f>2*G85*L85/1000</f>
        <v>0.04</v>
      </c>
      <c r="N85" s="5">
        <f>J85+E87-M85</f>
        <v>1.0029999999999999</v>
      </c>
      <c r="O85" s="5">
        <f>H85*I85*N85</f>
        <v>32.095999999999997</v>
      </c>
      <c r="P85" s="18" t="str">
        <f t="shared" si="0"/>
        <v/>
      </c>
      <c r="Q85" s="18" t="str">
        <f t="shared" si="1"/>
        <v/>
      </c>
      <c r="R85" s="18" t="str">
        <f t="shared" si="2"/>
        <v/>
      </c>
      <c r="S85" s="18" t="str">
        <f t="shared" si="3"/>
        <v/>
      </c>
      <c r="T85" s="18">
        <f t="shared" si="4"/>
        <v>32.095999999999997</v>
      </c>
      <c r="U85" s="18" t="str">
        <f t="shared" si="5"/>
        <v/>
      </c>
      <c r="V85" s="1"/>
    </row>
    <row r="86" spans="1:22" x14ac:dyDescent="0.25">
      <c r="A86" s="14"/>
      <c r="B86" s="33" t="s">
        <v>32</v>
      </c>
      <c r="C86" s="22"/>
      <c r="D86" s="4"/>
      <c r="E86" s="23"/>
      <c r="F86" s="42"/>
      <c r="G86" s="11">
        <v>20</v>
      </c>
      <c r="H86" s="1">
        <v>8</v>
      </c>
      <c r="I86" s="1">
        <v>2</v>
      </c>
      <c r="J86" s="9">
        <f>D85</f>
        <v>0.74299999999999999</v>
      </c>
      <c r="K86" s="46" t="str">
        <f t="shared" ref="K86:K88" si="12">IF(N86&lt;12,"0",0.049*G86)</f>
        <v>0</v>
      </c>
      <c r="L86" s="45">
        <v>1</v>
      </c>
      <c r="M86" s="1">
        <f t="shared" ref="M86:M88" si="13">2*G86*L86/1000</f>
        <v>0.04</v>
      </c>
      <c r="N86" s="5">
        <f>J86+E87-M86</f>
        <v>1.0029999999999999</v>
      </c>
      <c r="O86" s="5">
        <f>H86*I86*N86</f>
        <v>16.047999999999998</v>
      </c>
      <c r="P86" s="18" t="str">
        <f t="shared" si="0"/>
        <v/>
      </c>
      <c r="Q86" s="18" t="str">
        <f t="shared" si="1"/>
        <v/>
      </c>
      <c r="R86" s="18" t="str">
        <f t="shared" si="2"/>
        <v/>
      </c>
      <c r="S86" s="18" t="str">
        <f t="shared" si="3"/>
        <v/>
      </c>
      <c r="T86" s="18">
        <f t="shared" si="4"/>
        <v>16.047999999999998</v>
      </c>
      <c r="U86" s="18" t="str">
        <f t="shared" si="5"/>
        <v/>
      </c>
      <c r="V86" s="1"/>
    </row>
    <row r="87" spans="1:22" x14ac:dyDescent="0.25">
      <c r="A87" s="14"/>
      <c r="B87" s="33" t="s">
        <v>26</v>
      </c>
      <c r="C87" s="24"/>
      <c r="D87" s="25"/>
      <c r="E87" s="39">
        <v>0.3</v>
      </c>
      <c r="F87" s="42"/>
      <c r="G87" s="11">
        <v>20</v>
      </c>
      <c r="H87" s="1">
        <v>8</v>
      </c>
      <c r="I87" s="1">
        <v>4</v>
      </c>
      <c r="J87" s="9">
        <f>D85</f>
        <v>0.74299999999999999</v>
      </c>
      <c r="K87" s="46" t="str">
        <f t="shared" si="12"/>
        <v>0</v>
      </c>
      <c r="L87" s="45">
        <v>1</v>
      </c>
      <c r="M87" s="1">
        <f t="shared" si="13"/>
        <v>0.04</v>
      </c>
      <c r="N87" s="5">
        <f>J87+E87-M87</f>
        <v>1.0029999999999999</v>
      </c>
      <c r="O87" s="5">
        <f>H87*I87*N87</f>
        <v>32.095999999999997</v>
      </c>
      <c r="P87" s="18" t="str">
        <f t="shared" si="0"/>
        <v/>
      </c>
      <c r="Q87" s="18" t="str">
        <f t="shared" si="1"/>
        <v/>
      </c>
      <c r="R87" s="18" t="str">
        <f t="shared" si="2"/>
        <v/>
      </c>
      <c r="S87" s="18" t="str">
        <f t="shared" si="3"/>
        <v/>
      </c>
      <c r="T87" s="18">
        <f t="shared" si="4"/>
        <v>32.095999999999997</v>
      </c>
      <c r="U87" s="18" t="str">
        <f t="shared" si="5"/>
        <v/>
      </c>
      <c r="V87" s="1"/>
    </row>
    <row r="88" spans="1:22" x14ac:dyDescent="0.25">
      <c r="A88" s="14"/>
      <c r="B88" s="33" t="s">
        <v>19</v>
      </c>
      <c r="C88" s="22"/>
      <c r="D88" s="4"/>
      <c r="E88" s="23"/>
      <c r="F88" s="42"/>
      <c r="G88" s="11">
        <v>20</v>
      </c>
      <c r="H88" s="1">
        <v>8</v>
      </c>
      <c r="I88" s="1">
        <v>4</v>
      </c>
      <c r="J88" s="9">
        <f>D85</f>
        <v>0.74299999999999999</v>
      </c>
      <c r="K88" s="46" t="str">
        <f t="shared" si="12"/>
        <v>0</v>
      </c>
      <c r="L88" s="45">
        <v>1</v>
      </c>
      <c r="M88" s="1">
        <f t="shared" si="13"/>
        <v>0.04</v>
      </c>
      <c r="N88" s="5">
        <f>J88+E87-M88</f>
        <v>1.0029999999999999</v>
      </c>
      <c r="O88" s="5">
        <f>H88*I88*N88</f>
        <v>32.095999999999997</v>
      </c>
      <c r="P88" s="18" t="str">
        <f t="shared" si="0"/>
        <v/>
      </c>
      <c r="Q88" s="18" t="str">
        <f t="shared" si="1"/>
        <v/>
      </c>
      <c r="R88" s="18" t="str">
        <f t="shared" si="2"/>
        <v/>
      </c>
      <c r="S88" s="18" t="str">
        <f t="shared" si="3"/>
        <v/>
      </c>
      <c r="T88" s="18">
        <f t="shared" si="4"/>
        <v>32.095999999999997</v>
      </c>
      <c r="U88" s="18" t="str">
        <f t="shared" si="5"/>
        <v/>
      </c>
      <c r="V88" s="1"/>
    </row>
    <row r="89" spans="1:22" x14ac:dyDescent="0.25">
      <c r="A89" s="14"/>
      <c r="B89" s="33" t="s">
        <v>35</v>
      </c>
      <c r="C89" s="22"/>
      <c r="D89" s="4"/>
      <c r="E89" s="23"/>
      <c r="F89" s="42"/>
      <c r="G89" s="11">
        <v>20</v>
      </c>
      <c r="H89" s="1">
        <v>8</v>
      </c>
      <c r="I89" s="1">
        <v>2</v>
      </c>
      <c r="J89" s="9">
        <f>D85</f>
        <v>0.74299999999999999</v>
      </c>
      <c r="K89" s="46" t="str">
        <f t="shared" ref="K89" si="14">IF(N89&lt;12,"0",0.049*G89)</f>
        <v>0</v>
      </c>
      <c r="L89" s="45">
        <v>1</v>
      </c>
      <c r="M89" s="1">
        <f t="shared" ref="M89" si="15">2*G89*L89/1000</f>
        <v>0.04</v>
      </c>
      <c r="N89" s="5">
        <f>J89+E88-M89</f>
        <v>0.70299999999999996</v>
      </c>
      <c r="O89" s="5">
        <f>H89*I89*N89</f>
        <v>11.247999999999999</v>
      </c>
      <c r="P89" s="18" t="str">
        <f t="shared" si="0"/>
        <v/>
      </c>
      <c r="Q89" s="18" t="str">
        <f t="shared" si="1"/>
        <v/>
      </c>
      <c r="R89" s="18" t="str">
        <f t="shared" si="2"/>
        <v/>
      </c>
      <c r="S89" s="18" t="str">
        <f t="shared" si="3"/>
        <v/>
      </c>
      <c r="T89" s="18">
        <f t="shared" si="4"/>
        <v>11.247999999999999</v>
      </c>
      <c r="U89" s="18" t="str">
        <f t="shared" si="5"/>
        <v/>
      </c>
      <c r="V89" s="1"/>
    </row>
    <row r="90" spans="1:22" x14ac:dyDescent="0.25">
      <c r="A90" s="14"/>
      <c r="B90" s="33"/>
      <c r="C90" s="22"/>
      <c r="D90" s="4"/>
      <c r="E90" s="23"/>
      <c r="F90" s="42"/>
      <c r="G90" s="11"/>
      <c r="H90" s="1"/>
      <c r="I90" s="1"/>
      <c r="J90" s="2"/>
      <c r="K90" s="1"/>
      <c r="L90" s="1"/>
      <c r="M90" s="1"/>
      <c r="N90" s="1"/>
      <c r="O90" s="3"/>
      <c r="P90" s="18" t="str">
        <f t="shared" si="0"/>
        <v/>
      </c>
      <c r="Q90" s="18" t="str">
        <f t="shared" si="1"/>
        <v/>
      </c>
      <c r="R90" s="18" t="str">
        <f t="shared" si="2"/>
        <v/>
      </c>
      <c r="S90" s="18" t="str">
        <f t="shared" si="3"/>
        <v/>
      </c>
      <c r="T90" s="18" t="str">
        <f t="shared" si="4"/>
        <v/>
      </c>
      <c r="U90" s="18" t="str">
        <f t="shared" si="5"/>
        <v/>
      </c>
      <c r="V90" s="1"/>
    </row>
    <row r="91" spans="1:22" x14ac:dyDescent="0.25">
      <c r="A91" s="14"/>
      <c r="B91" s="14"/>
      <c r="C91" s="47">
        <v>0.1</v>
      </c>
      <c r="D91" s="4"/>
      <c r="E91" s="23"/>
      <c r="F91" s="42"/>
      <c r="G91" s="11"/>
      <c r="H91" s="1"/>
      <c r="I91" s="1"/>
      <c r="J91" s="2"/>
      <c r="K91" s="1"/>
      <c r="L91" s="1"/>
      <c r="M91" s="1"/>
      <c r="N91" s="1"/>
      <c r="O91" s="3"/>
      <c r="P91" s="18" t="str">
        <f t="shared" si="0"/>
        <v/>
      </c>
      <c r="Q91" s="18" t="str">
        <f t="shared" si="1"/>
        <v/>
      </c>
      <c r="R91" s="18" t="str">
        <f t="shared" si="2"/>
        <v/>
      </c>
      <c r="S91" s="18" t="str">
        <f t="shared" si="3"/>
        <v/>
      </c>
      <c r="T91" s="18" t="str">
        <f t="shared" si="4"/>
        <v/>
      </c>
      <c r="U91" s="18" t="str">
        <f t="shared" si="5"/>
        <v/>
      </c>
      <c r="V91" s="1"/>
    </row>
    <row r="92" spans="1:22" x14ac:dyDescent="0.25">
      <c r="A92" s="14"/>
      <c r="B92" s="34" t="s">
        <v>20</v>
      </c>
      <c r="C92" s="26"/>
      <c r="D92" s="4"/>
      <c r="E92" s="40">
        <f>0.75-0.08</f>
        <v>0.67</v>
      </c>
      <c r="F92" s="42"/>
      <c r="G92" s="11">
        <v>10</v>
      </c>
      <c r="H92" s="1">
        <v>8</v>
      </c>
      <c r="I92" s="1">
        <v>4</v>
      </c>
      <c r="J92" s="41">
        <f>2*(D94+E92)+16*10/1000</f>
        <v>1.94</v>
      </c>
      <c r="K92" s="1"/>
      <c r="L92" s="1"/>
      <c r="M92" s="1"/>
      <c r="N92" s="5">
        <f>(J92+K92-M92)</f>
        <v>1.94</v>
      </c>
      <c r="O92" s="5">
        <f>(H92*I92*N92)</f>
        <v>62.08</v>
      </c>
      <c r="P92" s="18" t="str">
        <f t="shared" si="0"/>
        <v/>
      </c>
      <c r="Q92" s="18">
        <f t="shared" si="1"/>
        <v>62.08</v>
      </c>
      <c r="R92" s="18" t="str">
        <f t="shared" si="2"/>
        <v/>
      </c>
      <c r="S92" s="18" t="str">
        <f t="shared" si="3"/>
        <v/>
      </c>
      <c r="T92" s="18" t="str">
        <f t="shared" si="4"/>
        <v/>
      </c>
      <c r="U92" s="18" t="str">
        <f t="shared" si="5"/>
        <v/>
      </c>
      <c r="V92" s="1"/>
    </row>
    <row r="93" spans="1:22" x14ac:dyDescent="0.25">
      <c r="A93" s="14"/>
      <c r="B93" s="34"/>
      <c r="C93" s="22"/>
      <c r="D93" s="4"/>
      <c r="E93" s="27"/>
      <c r="F93" s="42"/>
      <c r="G93" s="11"/>
      <c r="H93" s="1"/>
      <c r="I93" s="1"/>
      <c r="J93" s="2"/>
      <c r="K93" s="1"/>
      <c r="L93" s="1"/>
      <c r="M93" s="1"/>
      <c r="N93" s="1"/>
      <c r="O93" s="5"/>
      <c r="P93" s="18" t="str">
        <f t="shared" si="0"/>
        <v/>
      </c>
      <c r="Q93" s="18" t="str">
        <f t="shared" si="1"/>
        <v/>
      </c>
      <c r="R93" s="18" t="str">
        <f t="shared" si="2"/>
        <v/>
      </c>
      <c r="S93" s="18" t="str">
        <f t="shared" si="3"/>
        <v/>
      </c>
      <c r="T93" s="18" t="str">
        <f t="shared" si="4"/>
        <v/>
      </c>
      <c r="U93" s="18" t="str">
        <f t="shared" si="5"/>
        <v/>
      </c>
      <c r="V93" s="1"/>
    </row>
    <row r="94" spans="1:22" x14ac:dyDescent="0.25">
      <c r="A94" s="14"/>
      <c r="B94" s="34"/>
      <c r="C94" s="22"/>
      <c r="D94" s="9">
        <f>0.3-0.08</f>
        <v>0.21999999999999997</v>
      </c>
      <c r="E94" s="23"/>
      <c r="F94" s="42"/>
      <c r="G94" s="11"/>
      <c r="H94" s="1"/>
      <c r="I94" s="1"/>
      <c r="J94" s="2"/>
      <c r="K94" s="1"/>
      <c r="L94" s="1"/>
      <c r="M94" s="1"/>
      <c r="N94" s="1"/>
      <c r="O94" s="5"/>
      <c r="P94" s="18" t="str">
        <f t="shared" si="0"/>
        <v/>
      </c>
      <c r="Q94" s="18" t="str">
        <f t="shared" si="1"/>
        <v/>
      </c>
      <c r="R94" s="18" t="str">
        <f t="shared" si="2"/>
        <v/>
      </c>
      <c r="S94" s="18" t="str">
        <f t="shared" si="3"/>
        <v/>
      </c>
      <c r="T94" s="18" t="str">
        <f t="shared" si="4"/>
        <v/>
      </c>
      <c r="U94" s="18" t="str">
        <f t="shared" si="5"/>
        <v/>
      </c>
      <c r="V94" s="1"/>
    </row>
    <row r="95" spans="1:22" x14ac:dyDescent="0.25">
      <c r="A95" s="14"/>
      <c r="B95" s="33"/>
      <c r="C95" s="22"/>
      <c r="D95" s="4"/>
      <c r="E95" s="23"/>
      <c r="F95" s="42"/>
      <c r="G95" s="11"/>
      <c r="H95" s="1"/>
      <c r="I95" s="1"/>
      <c r="J95" s="2"/>
      <c r="K95" s="1"/>
      <c r="L95" s="1"/>
      <c r="M95" s="1"/>
      <c r="N95" s="1"/>
      <c r="O95" s="5"/>
      <c r="P95" s="18" t="str">
        <f t="shared" si="0"/>
        <v/>
      </c>
      <c r="Q95" s="18" t="str">
        <f t="shared" si="1"/>
        <v/>
      </c>
      <c r="R95" s="18" t="str">
        <f t="shared" si="2"/>
        <v/>
      </c>
      <c r="S95" s="18" t="str">
        <f t="shared" si="3"/>
        <v/>
      </c>
      <c r="T95" s="18" t="str">
        <f t="shared" si="4"/>
        <v/>
      </c>
      <c r="U95" s="18" t="str">
        <f t="shared" si="5"/>
        <v/>
      </c>
      <c r="V95" s="1"/>
    </row>
    <row r="96" spans="1:22" x14ac:dyDescent="0.25">
      <c r="A96" s="14"/>
      <c r="B96" s="14"/>
      <c r="C96" s="47">
        <v>0.1</v>
      </c>
      <c r="D96" s="4"/>
      <c r="E96" s="23"/>
      <c r="F96" s="42"/>
      <c r="G96" s="11"/>
      <c r="H96" s="1"/>
      <c r="I96" s="1"/>
      <c r="J96" s="2"/>
      <c r="K96" s="1"/>
      <c r="L96" s="1"/>
      <c r="M96" s="1"/>
      <c r="N96" s="1"/>
      <c r="O96" s="5"/>
      <c r="P96" s="18" t="str">
        <f t="shared" si="0"/>
        <v/>
      </c>
      <c r="Q96" s="18" t="str">
        <f t="shared" si="1"/>
        <v/>
      </c>
      <c r="R96" s="18" t="str">
        <f t="shared" si="2"/>
        <v/>
      </c>
      <c r="S96" s="18" t="str">
        <f t="shared" si="3"/>
        <v/>
      </c>
      <c r="T96" s="18" t="str">
        <f t="shared" si="4"/>
        <v/>
      </c>
      <c r="U96" s="18" t="str">
        <f t="shared" si="5"/>
        <v/>
      </c>
      <c r="V96" s="1"/>
    </row>
    <row r="97" spans="1:22" x14ac:dyDescent="0.25">
      <c r="A97" s="14"/>
      <c r="B97" s="34" t="s">
        <v>21</v>
      </c>
      <c r="C97" s="26"/>
      <c r="D97" s="4"/>
      <c r="E97" s="40">
        <f>(2*((0.75-0.08-0.016)/6))+0.012+0.02</f>
        <v>0.25</v>
      </c>
      <c r="F97" s="42"/>
      <c r="G97" s="11">
        <v>10</v>
      </c>
      <c r="H97" s="1">
        <v>8</v>
      </c>
      <c r="I97" s="1">
        <v>1</v>
      </c>
      <c r="J97" s="41">
        <f>2*(D99+E97)+16*10/1000</f>
        <v>1.0999999999999999</v>
      </c>
      <c r="K97" s="1"/>
      <c r="L97" s="1"/>
      <c r="M97" s="1"/>
      <c r="N97" s="5">
        <f>(J97+K97-M97)</f>
        <v>1.0999999999999999</v>
      </c>
      <c r="O97" s="5">
        <f>(H97*I97*N97)</f>
        <v>8.7999999999999989</v>
      </c>
      <c r="P97" s="18" t="str">
        <f t="shared" si="0"/>
        <v/>
      </c>
      <c r="Q97" s="18">
        <f t="shared" si="1"/>
        <v>8.7999999999999989</v>
      </c>
      <c r="R97" s="18" t="str">
        <f t="shared" si="2"/>
        <v/>
      </c>
      <c r="S97" s="18" t="str">
        <f t="shared" si="3"/>
        <v/>
      </c>
      <c r="T97" s="18" t="str">
        <f t="shared" si="4"/>
        <v/>
      </c>
      <c r="U97" s="18" t="str">
        <f t="shared" si="5"/>
        <v/>
      </c>
      <c r="V97" s="1"/>
    </row>
    <row r="98" spans="1:22" x14ac:dyDescent="0.25">
      <c r="A98" s="14"/>
      <c r="B98" s="34"/>
      <c r="C98" s="22"/>
      <c r="D98" s="4"/>
      <c r="E98" s="27"/>
      <c r="F98" s="42"/>
      <c r="G98" s="11"/>
      <c r="H98" s="1"/>
      <c r="I98" s="1"/>
      <c r="J98" s="2"/>
      <c r="K98" s="1"/>
      <c r="L98" s="1"/>
      <c r="M98" s="1"/>
      <c r="N98" s="1"/>
      <c r="O98" s="5"/>
      <c r="P98" s="18" t="str">
        <f t="shared" si="0"/>
        <v/>
      </c>
      <c r="Q98" s="18" t="str">
        <f t="shared" si="1"/>
        <v/>
      </c>
      <c r="R98" s="18" t="str">
        <f t="shared" si="2"/>
        <v/>
      </c>
      <c r="S98" s="18" t="str">
        <f t="shared" si="3"/>
        <v/>
      </c>
      <c r="T98" s="18" t="str">
        <f t="shared" si="4"/>
        <v/>
      </c>
      <c r="U98" s="18" t="str">
        <f t="shared" si="5"/>
        <v/>
      </c>
      <c r="V98" s="1"/>
    </row>
    <row r="99" spans="1:22" x14ac:dyDescent="0.25">
      <c r="A99" s="14"/>
      <c r="B99" s="34"/>
      <c r="C99" s="22"/>
      <c r="D99" s="9">
        <f>0.3-0.08</f>
        <v>0.21999999999999997</v>
      </c>
      <c r="E99" s="23"/>
      <c r="F99" s="42"/>
      <c r="G99" s="11"/>
      <c r="H99" s="1"/>
      <c r="I99" s="1"/>
      <c r="J99" s="2"/>
      <c r="K99" s="1"/>
      <c r="L99" s="1"/>
      <c r="M99" s="1"/>
      <c r="N99" s="1"/>
      <c r="O99" s="5"/>
      <c r="P99" s="18" t="str">
        <f t="shared" si="0"/>
        <v/>
      </c>
      <c r="Q99" s="18" t="str">
        <f t="shared" si="1"/>
        <v/>
      </c>
      <c r="R99" s="18" t="str">
        <f t="shared" si="2"/>
        <v/>
      </c>
      <c r="S99" s="18" t="str">
        <f t="shared" si="3"/>
        <v/>
      </c>
      <c r="T99" s="18" t="str">
        <f t="shared" si="4"/>
        <v/>
      </c>
      <c r="U99" s="18" t="str">
        <f t="shared" si="5"/>
        <v/>
      </c>
      <c r="V99" s="1"/>
    </row>
    <row r="100" spans="1:22" x14ac:dyDescent="0.25">
      <c r="A100" s="14"/>
      <c r="B100" s="34"/>
      <c r="C100" s="22"/>
      <c r="D100" s="4"/>
      <c r="E100" s="23"/>
      <c r="F100" s="42"/>
      <c r="G100" s="11"/>
      <c r="H100" s="1"/>
      <c r="I100" s="1"/>
      <c r="J100" s="2"/>
      <c r="K100" s="1"/>
      <c r="L100" s="1"/>
      <c r="M100" s="1"/>
      <c r="N100" s="1"/>
      <c r="O100" s="5"/>
      <c r="P100" s="18" t="str">
        <f t="shared" si="0"/>
        <v/>
      </c>
      <c r="Q100" s="18" t="str">
        <f t="shared" si="1"/>
        <v/>
      </c>
      <c r="R100" s="18" t="str">
        <f t="shared" si="2"/>
        <v/>
      </c>
      <c r="S100" s="18" t="str">
        <f t="shared" si="3"/>
        <v/>
      </c>
      <c r="T100" s="18" t="str">
        <f t="shared" si="4"/>
        <v/>
      </c>
      <c r="U100" s="18" t="str">
        <f t="shared" si="5"/>
        <v/>
      </c>
      <c r="V100" s="1"/>
    </row>
    <row r="101" spans="1:22" x14ac:dyDescent="0.25">
      <c r="A101" s="14"/>
      <c r="B101" s="34" t="s">
        <v>22</v>
      </c>
      <c r="C101" s="22"/>
      <c r="D101" s="25"/>
      <c r="E101" s="23"/>
      <c r="F101" s="42"/>
      <c r="G101" s="11">
        <v>10</v>
      </c>
      <c r="H101" s="1">
        <v>8</v>
      </c>
      <c r="I101" s="1">
        <v>1</v>
      </c>
      <c r="J101" s="41">
        <f>C102+D104+E102+2*10*G101/1000</f>
        <v>0.72399999999999998</v>
      </c>
      <c r="K101" s="1"/>
      <c r="L101" s="1"/>
      <c r="M101" s="5">
        <f>4*3*G101/1000</f>
        <v>0.12</v>
      </c>
      <c r="N101" s="5">
        <f>(J101+K101-M101)</f>
        <v>0.60399999999999998</v>
      </c>
      <c r="O101" s="5">
        <f>(H101*I101*N101)</f>
        <v>4.8319999999999999</v>
      </c>
      <c r="P101" s="18" t="str">
        <f t="shared" si="0"/>
        <v/>
      </c>
      <c r="Q101" s="18">
        <f t="shared" si="1"/>
        <v>4.8319999999999999</v>
      </c>
      <c r="R101" s="18" t="str">
        <f t="shared" si="2"/>
        <v/>
      </c>
      <c r="S101" s="18" t="str">
        <f t="shared" si="3"/>
        <v/>
      </c>
      <c r="T101" s="18" t="str">
        <f t="shared" si="4"/>
        <v/>
      </c>
      <c r="U101" s="18" t="str">
        <f t="shared" si="5"/>
        <v/>
      </c>
      <c r="V101" s="1"/>
    </row>
    <row r="102" spans="1:22" x14ac:dyDescent="0.25">
      <c r="A102" s="14"/>
      <c r="B102" s="34"/>
      <c r="C102" s="29">
        <v>0.152</v>
      </c>
      <c r="D102" s="4"/>
      <c r="E102" s="23">
        <v>0.152</v>
      </c>
      <c r="F102" s="42"/>
      <c r="G102" s="11"/>
      <c r="H102" s="1"/>
      <c r="I102" s="1"/>
      <c r="J102" s="2"/>
      <c r="K102" s="1"/>
      <c r="L102" s="1"/>
      <c r="M102" s="1"/>
      <c r="N102" s="1"/>
      <c r="O102" s="5"/>
      <c r="P102" s="18" t="str">
        <f>IF($G102=8,$O102,"")</f>
        <v/>
      </c>
      <c r="Q102" s="18" t="str">
        <f>IF($G102=10,$O102,"")</f>
        <v/>
      </c>
      <c r="R102" s="18" t="str">
        <f>IF($G102=12,$O102,"")</f>
        <v/>
      </c>
      <c r="S102" s="18" t="str">
        <f>IF($G102=16,$O102,"")</f>
        <v/>
      </c>
      <c r="T102" s="18" t="str">
        <f>IF($G102=20,$O102,"")</f>
        <v/>
      </c>
      <c r="U102" s="18" t="str">
        <f>IF($G102=25,$O102,"")</f>
        <v/>
      </c>
      <c r="V102" s="1"/>
    </row>
    <row r="103" spans="1:22" x14ac:dyDescent="0.25">
      <c r="A103" s="14"/>
      <c r="B103" s="34"/>
      <c r="C103" s="22"/>
      <c r="D103" s="4"/>
      <c r="E103" s="23"/>
      <c r="F103" s="42"/>
      <c r="G103" s="11"/>
      <c r="H103" s="1"/>
      <c r="I103" s="1"/>
      <c r="J103" s="2"/>
      <c r="K103" s="1"/>
      <c r="L103" s="1"/>
      <c r="M103" s="1"/>
      <c r="N103" s="1"/>
      <c r="O103" s="5"/>
      <c r="P103" s="18" t="str">
        <f t="shared" si="0"/>
        <v/>
      </c>
      <c r="Q103" s="18" t="str">
        <f t="shared" si="1"/>
        <v/>
      </c>
      <c r="R103" s="18" t="str">
        <f t="shared" si="2"/>
        <v/>
      </c>
      <c r="S103" s="18" t="str">
        <f t="shared" si="3"/>
        <v/>
      </c>
      <c r="T103" s="18" t="str">
        <f t="shared" si="4"/>
        <v/>
      </c>
      <c r="U103" s="18" t="str">
        <f t="shared" si="5"/>
        <v/>
      </c>
      <c r="V103" s="1"/>
    </row>
    <row r="104" spans="1:22" x14ac:dyDescent="0.25">
      <c r="A104" s="14"/>
      <c r="B104" s="34"/>
      <c r="C104" s="22"/>
      <c r="D104" s="9">
        <f>0.3-0.08</f>
        <v>0.21999999999999997</v>
      </c>
      <c r="E104" s="23"/>
      <c r="F104" s="42"/>
      <c r="G104" s="11"/>
      <c r="H104" s="1"/>
      <c r="I104" s="1"/>
      <c r="J104" s="2"/>
      <c r="K104" s="1"/>
      <c r="L104" s="1"/>
      <c r="M104" s="1"/>
      <c r="N104" s="1"/>
      <c r="O104" s="5"/>
      <c r="P104" s="18" t="str">
        <f t="shared" si="0"/>
        <v/>
      </c>
      <c r="Q104" s="18" t="str">
        <f t="shared" si="1"/>
        <v/>
      </c>
      <c r="R104" s="18" t="str">
        <f t="shared" si="2"/>
        <v/>
      </c>
      <c r="S104" s="18" t="str">
        <f t="shared" si="3"/>
        <v/>
      </c>
      <c r="T104" s="18" t="str">
        <f t="shared" si="4"/>
        <v/>
      </c>
      <c r="U104" s="18" t="str">
        <f t="shared" si="5"/>
        <v/>
      </c>
      <c r="V104" s="1"/>
    </row>
    <row r="105" spans="1:22" x14ac:dyDescent="0.25">
      <c r="A105" s="14"/>
      <c r="B105" s="34"/>
      <c r="C105" s="22"/>
      <c r="D105" s="4"/>
      <c r="E105" s="23"/>
      <c r="F105" s="42"/>
      <c r="G105" s="11"/>
      <c r="H105" s="1"/>
      <c r="I105" s="1"/>
      <c r="J105" s="2"/>
      <c r="K105" s="1"/>
      <c r="L105" s="1"/>
      <c r="M105" s="1"/>
      <c r="N105" s="1"/>
      <c r="O105" s="5"/>
      <c r="P105" s="18" t="str">
        <f t="shared" si="0"/>
        <v/>
      </c>
      <c r="Q105" s="18" t="str">
        <f t="shared" si="1"/>
        <v/>
      </c>
      <c r="R105" s="18" t="str">
        <f t="shared" si="2"/>
        <v/>
      </c>
      <c r="S105" s="18" t="str">
        <f t="shared" si="3"/>
        <v/>
      </c>
      <c r="T105" s="18" t="str">
        <f t="shared" si="4"/>
        <v/>
      </c>
      <c r="U105" s="18" t="str">
        <f t="shared" si="5"/>
        <v/>
      </c>
      <c r="V105" s="1"/>
    </row>
    <row r="106" spans="1:22" x14ac:dyDescent="0.25">
      <c r="A106" s="14"/>
      <c r="B106" s="34" t="s">
        <v>36</v>
      </c>
      <c r="C106" s="22"/>
      <c r="D106" s="25"/>
      <c r="E106" s="23"/>
      <c r="F106" s="42"/>
      <c r="G106" s="11">
        <v>10</v>
      </c>
      <c r="H106" s="1">
        <v>8</v>
      </c>
      <c r="I106" s="1">
        <v>1</v>
      </c>
      <c r="J106" s="41">
        <f>C107+D109+E107+2*10*G106/1000</f>
        <v>0.72399999999999998</v>
      </c>
      <c r="K106" s="1"/>
      <c r="L106" s="1"/>
      <c r="M106" s="5">
        <f>4*3*G106/1000</f>
        <v>0.12</v>
      </c>
      <c r="N106" s="5">
        <f>(J106+K106-M106)</f>
        <v>0.60399999999999998</v>
      </c>
      <c r="O106" s="5">
        <f>(H106*I106*N106)</f>
        <v>4.8319999999999999</v>
      </c>
      <c r="P106" s="18" t="str">
        <f t="shared" si="0"/>
        <v/>
      </c>
      <c r="Q106" s="18">
        <f t="shared" si="1"/>
        <v>4.8319999999999999</v>
      </c>
      <c r="R106" s="18" t="str">
        <f t="shared" si="2"/>
        <v/>
      </c>
      <c r="S106" s="18" t="str">
        <f t="shared" si="3"/>
        <v/>
      </c>
      <c r="T106" s="18" t="str">
        <f t="shared" si="4"/>
        <v/>
      </c>
      <c r="U106" s="18" t="str">
        <f t="shared" si="5"/>
        <v/>
      </c>
      <c r="V106" s="1"/>
    </row>
    <row r="107" spans="1:22" x14ac:dyDescent="0.25">
      <c r="A107" s="14"/>
      <c r="B107" s="34"/>
      <c r="C107" s="29">
        <v>0.152</v>
      </c>
      <c r="D107" s="4"/>
      <c r="E107" s="23">
        <v>0.152</v>
      </c>
      <c r="F107" s="42"/>
      <c r="G107" s="11"/>
      <c r="H107" s="1"/>
      <c r="I107" s="1"/>
      <c r="J107" s="2"/>
      <c r="K107" s="1"/>
      <c r="L107" s="1"/>
      <c r="M107" s="1"/>
      <c r="N107" s="1"/>
      <c r="O107" s="5"/>
      <c r="P107" s="18" t="str">
        <f t="shared" si="0"/>
        <v/>
      </c>
      <c r="Q107" s="18" t="str">
        <f t="shared" si="1"/>
        <v/>
      </c>
      <c r="R107" s="18" t="str">
        <f t="shared" si="2"/>
        <v/>
      </c>
      <c r="S107" s="18" t="str">
        <f t="shared" si="3"/>
        <v/>
      </c>
      <c r="T107" s="18" t="str">
        <f t="shared" si="4"/>
        <v/>
      </c>
      <c r="U107" s="18" t="str">
        <f t="shared" si="5"/>
        <v/>
      </c>
      <c r="V107" s="1"/>
    </row>
    <row r="108" spans="1:22" x14ac:dyDescent="0.25">
      <c r="A108" s="14"/>
      <c r="B108" s="34"/>
      <c r="C108" s="22"/>
      <c r="D108" s="4"/>
      <c r="E108" s="23"/>
      <c r="F108" s="42"/>
      <c r="G108" s="11"/>
      <c r="H108" s="1"/>
      <c r="I108" s="1"/>
      <c r="J108" s="2"/>
      <c r="K108" s="1"/>
      <c r="L108" s="1"/>
      <c r="M108" s="1"/>
      <c r="N108" s="1"/>
      <c r="O108" s="3"/>
      <c r="P108" s="18" t="str">
        <f t="shared" si="0"/>
        <v/>
      </c>
      <c r="Q108" s="18" t="str">
        <f t="shared" si="1"/>
        <v/>
      </c>
      <c r="R108" s="18" t="str">
        <f t="shared" si="2"/>
        <v/>
      </c>
      <c r="S108" s="18" t="str">
        <f t="shared" si="3"/>
        <v/>
      </c>
      <c r="T108" s="18" t="str">
        <f t="shared" si="4"/>
        <v/>
      </c>
      <c r="U108" s="18" t="str">
        <f t="shared" si="5"/>
        <v/>
      </c>
      <c r="V108" s="1"/>
    </row>
    <row r="109" spans="1:22" x14ac:dyDescent="0.25">
      <c r="A109" s="14"/>
      <c r="B109" s="34"/>
      <c r="C109" s="22"/>
      <c r="D109" s="9">
        <f>0.3-0.08</f>
        <v>0.21999999999999997</v>
      </c>
      <c r="E109" s="23"/>
      <c r="F109" s="42"/>
      <c r="G109" s="11"/>
      <c r="H109" s="1"/>
      <c r="I109" s="1"/>
      <c r="J109" s="2"/>
      <c r="K109" s="1"/>
      <c r="L109" s="1"/>
      <c r="M109" s="1"/>
      <c r="N109" s="1"/>
      <c r="O109" s="3"/>
      <c r="P109" s="18" t="str">
        <f t="shared" si="0"/>
        <v/>
      </c>
      <c r="Q109" s="18" t="str">
        <f t="shared" si="1"/>
        <v/>
      </c>
      <c r="R109" s="18" t="str">
        <f t="shared" si="2"/>
        <v/>
      </c>
      <c r="S109" s="18" t="str">
        <f t="shared" si="3"/>
        <v/>
      </c>
      <c r="T109" s="18" t="str">
        <f t="shared" si="4"/>
        <v/>
      </c>
      <c r="U109" s="18" t="str">
        <f t="shared" si="5"/>
        <v/>
      </c>
      <c r="V109" s="1"/>
    </row>
    <row r="110" spans="1:22" x14ac:dyDescent="0.25">
      <c r="A110" s="14"/>
      <c r="B110" s="33"/>
      <c r="C110" s="22"/>
      <c r="D110" s="4"/>
      <c r="E110" s="23"/>
      <c r="F110" s="42"/>
      <c r="G110" s="11"/>
      <c r="H110" s="1"/>
      <c r="I110" s="1"/>
      <c r="J110" s="2"/>
      <c r="K110" s="1"/>
      <c r="L110" s="1"/>
      <c r="M110" s="1"/>
      <c r="N110" s="1"/>
      <c r="O110" s="3"/>
      <c r="P110" s="18" t="str">
        <f t="shared" si="0"/>
        <v/>
      </c>
      <c r="Q110" s="18" t="str">
        <f t="shared" si="1"/>
        <v/>
      </c>
      <c r="R110" s="18" t="str">
        <f t="shared" si="2"/>
        <v/>
      </c>
      <c r="S110" s="18" t="str">
        <f t="shared" si="3"/>
        <v/>
      </c>
      <c r="T110" s="18" t="str">
        <f t="shared" si="4"/>
        <v/>
      </c>
      <c r="U110" s="18" t="str">
        <f t="shared" si="5"/>
        <v/>
      </c>
      <c r="V110" s="1"/>
    </row>
    <row r="111" spans="1:22" x14ac:dyDescent="0.25">
      <c r="A111" s="14"/>
      <c r="B111" s="33"/>
      <c r="C111" s="22"/>
      <c r="D111" s="4"/>
      <c r="E111" s="39">
        <v>0.1</v>
      </c>
      <c r="F111" s="42"/>
      <c r="G111" s="11"/>
      <c r="H111" s="1"/>
      <c r="I111" s="1"/>
      <c r="J111" s="2"/>
      <c r="K111" s="1"/>
      <c r="L111" s="1"/>
      <c r="M111" s="1"/>
      <c r="N111" s="1"/>
      <c r="O111" s="3"/>
      <c r="P111" s="18" t="str">
        <f t="shared" si="0"/>
        <v/>
      </c>
      <c r="Q111" s="18" t="str">
        <f t="shared" si="1"/>
        <v/>
      </c>
      <c r="R111" s="18" t="str">
        <f t="shared" si="2"/>
        <v/>
      </c>
      <c r="S111" s="18" t="str">
        <f t="shared" si="3"/>
        <v/>
      </c>
      <c r="T111" s="18" t="str">
        <f t="shared" si="4"/>
        <v/>
      </c>
      <c r="U111" s="18" t="str">
        <f t="shared" si="5"/>
        <v/>
      </c>
      <c r="V111" s="1"/>
    </row>
    <row r="112" spans="1:22" x14ac:dyDescent="0.25">
      <c r="A112" s="14"/>
      <c r="B112" s="34" t="s">
        <v>37</v>
      </c>
      <c r="C112" s="22"/>
      <c r="D112" s="25">
        <f>0.3-0.08</f>
        <v>0.21999999999999997</v>
      </c>
      <c r="E112" s="39"/>
      <c r="F112" s="42"/>
      <c r="G112" s="11">
        <v>10</v>
      </c>
      <c r="H112" s="1">
        <v>8</v>
      </c>
      <c r="I112" s="1">
        <v>1</v>
      </c>
      <c r="J112" s="41">
        <f>D112+E111+E113</f>
        <v>0.41999999999999993</v>
      </c>
      <c r="K112" s="1"/>
      <c r="L112" s="1"/>
      <c r="M112" s="5">
        <f>2*3*G112/1000</f>
        <v>0.06</v>
      </c>
      <c r="N112" s="5">
        <f>(J112+K112-M112)</f>
        <v>0.35999999999999993</v>
      </c>
      <c r="O112" s="5">
        <f>(H112*I112*N112)</f>
        <v>2.8799999999999994</v>
      </c>
      <c r="P112" s="18" t="str">
        <f t="shared" si="0"/>
        <v/>
      </c>
      <c r="Q112" s="18">
        <f t="shared" si="1"/>
        <v>2.8799999999999994</v>
      </c>
      <c r="R112" s="18" t="str">
        <f t="shared" si="2"/>
        <v/>
      </c>
      <c r="S112" s="18" t="str">
        <f t="shared" si="3"/>
        <v/>
      </c>
      <c r="T112" s="18" t="str">
        <f t="shared" si="4"/>
        <v/>
      </c>
      <c r="U112" s="18" t="str">
        <f t="shared" si="5"/>
        <v/>
      </c>
      <c r="V112" s="1"/>
    </row>
    <row r="113" spans="1:22" x14ac:dyDescent="0.25">
      <c r="A113" s="14"/>
      <c r="B113" s="33"/>
      <c r="C113" s="22"/>
      <c r="D113" s="4"/>
      <c r="E113" s="39">
        <v>0.1</v>
      </c>
      <c r="F113" s="42"/>
      <c r="G113" s="11"/>
      <c r="H113" s="1"/>
      <c r="I113" s="1"/>
      <c r="J113" s="2"/>
      <c r="K113" s="1"/>
      <c r="L113" s="1"/>
      <c r="M113" s="1"/>
      <c r="N113" s="1"/>
      <c r="O113" s="3"/>
      <c r="P113" s="18" t="str">
        <f t="shared" si="0"/>
        <v/>
      </c>
      <c r="Q113" s="18" t="str">
        <f t="shared" si="1"/>
        <v/>
      </c>
      <c r="R113" s="18" t="str">
        <f t="shared" si="2"/>
        <v/>
      </c>
      <c r="S113" s="18" t="str">
        <f t="shared" si="3"/>
        <v/>
      </c>
      <c r="T113" s="18" t="str">
        <f t="shared" si="4"/>
        <v/>
      </c>
      <c r="U113" s="18" t="str">
        <f t="shared" si="5"/>
        <v/>
      </c>
      <c r="V113" s="1"/>
    </row>
    <row r="114" spans="1:22" x14ac:dyDescent="0.25">
      <c r="A114" s="14"/>
      <c r="B114" s="34"/>
      <c r="C114" s="22"/>
      <c r="D114" s="28"/>
      <c r="E114" s="23"/>
      <c r="F114" s="42"/>
      <c r="G114" s="11"/>
      <c r="H114" s="1"/>
      <c r="I114" s="1"/>
      <c r="J114" s="2"/>
      <c r="K114" s="1"/>
      <c r="L114" s="1"/>
      <c r="M114" s="1"/>
      <c r="N114" s="1"/>
      <c r="O114" s="3"/>
      <c r="P114" s="18" t="str">
        <f t="shared" si="0"/>
        <v/>
      </c>
      <c r="Q114" s="18" t="str">
        <f t="shared" si="1"/>
        <v/>
      </c>
      <c r="R114" s="18" t="str">
        <f t="shared" si="2"/>
        <v/>
      </c>
      <c r="S114" s="18" t="str">
        <f t="shared" si="3"/>
        <v/>
      </c>
      <c r="T114" s="18" t="str">
        <f t="shared" si="4"/>
        <v/>
      </c>
      <c r="U114" s="18" t="str">
        <f t="shared" si="5"/>
        <v/>
      </c>
      <c r="V114" s="1"/>
    </row>
    <row r="115" spans="1:22" x14ac:dyDescent="0.25">
      <c r="A115" s="14"/>
      <c r="B115" s="33"/>
      <c r="C115" s="22"/>
      <c r="D115" s="4"/>
      <c r="E115" s="23"/>
      <c r="F115" s="42"/>
      <c r="G115" s="11"/>
      <c r="H115" s="1"/>
      <c r="I115" s="1"/>
      <c r="J115" s="2"/>
      <c r="K115" s="1"/>
      <c r="L115" s="1"/>
      <c r="M115" s="1"/>
      <c r="N115" s="1"/>
      <c r="O115" s="3"/>
      <c r="P115" s="18" t="str">
        <f t="shared" si="0"/>
        <v/>
      </c>
      <c r="Q115" s="18" t="str">
        <f t="shared" si="1"/>
        <v/>
      </c>
      <c r="R115" s="18" t="str">
        <f t="shared" si="2"/>
        <v/>
      </c>
      <c r="S115" s="18" t="str">
        <f t="shared" si="3"/>
        <v/>
      </c>
      <c r="T115" s="18" t="str">
        <f t="shared" si="4"/>
        <v/>
      </c>
      <c r="U115" s="18" t="str">
        <f t="shared" si="5"/>
        <v/>
      </c>
      <c r="V115" s="1"/>
    </row>
    <row r="116" spans="1:22" x14ac:dyDescent="0.25">
      <c r="A116" s="14">
        <v>5</v>
      </c>
      <c r="B116" s="14" t="s">
        <v>39</v>
      </c>
      <c r="C116" s="22"/>
      <c r="D116" s="4"/>
      <c r="E116" s="23"/>
      <c r="F116" s="42"/>
      <c r="G116" s="11"/>
      <c r="H116" s="1"/>
      <c r="I116" s="1"/>
      <c r="J116" s="9"/>
      <c r="K116" s="5"/>
      <c r="L116" s="5"/>
      <c r="M116" s="1"/>
      <c r="N116" s="5"/>
      <c r="O116" s="5"/>
      <c r="P116" s="18" t="str">
        <f>IF($G116=8,$O116,"")</f>
        <v/>
      </c>
      <c r="Q116" s="18" t="str">
        <f>IF($G116=10,$O116,"")</f>
        <v/>
      </c>
      <c r="R116" s="18" t="str">
        <f>IF($G116=12,$O116,"")</f>
        <v/>
      </c>
      <c r="S116" s="18" t="str">
        <f>IF($G116=16,$O116,"")</f>
        <v/>
      </c>
      <c r="T116" s="18" t="str">
        <f>IF($G116=20,$O116,"")</f>
        <v/>
      </c>
      <c r="U116" s="18" t="str">
        <f>IF($G116=25,$O116,"")</f>
        <v/>
      </c>
      <c r="V116" s="1"/>
    </row>
    <row r="117" spans="1:22" x14ac:dyDescent="0.25">
      <c r="A117" s="14"/>
      <c r="B117" s="33" t="s">
        <v>18</v>
      </c>
      <c r="C117" s="22"/>
      <c r="D117" s="25">
        <f>0.85-0.075-2*0.016</f>
        <v>0.74299999999999999</v>
      </c>
      <c r="E117" s="23"/>
      <c r="F117" s="42"/>
      <c r="G117" s="11">
        <v>20</v>
      </c>
      <c r="H117" s="1">
        <v>7</v>
      </c>
      <c r="I117" s="1">
        <v>4</v>
      </c>
      <c r="J117" s="9">
        <f>D117</f>
        <v>0.74299999999999999</v>
      </c>
      <c r="K117" s="46" t="str">
        <f>IF(N117&lt;12,"0",0.049*G117)</f>
        <v>0</v>
      </c>
      <c r="L117" s="45">
        <v>1</v>
      </c>
      <c r="M117" s="1">
        <f>2*G117*L117/1000</f>
        <v>0.04</v>
      </c>
      <c r="N117" s="5">
        <f>J117+E119-M117</f>
        <v>1.0029999999999999</v>
      </c>
      <c r="O117" s="5">
        <f>H117*I117*N117</f>
        <v>28.083999999999996</v>
      </c>
      <c r="P117" s="18" t="str">
        <f t="shared" si="0"/>
        <v/>
      </c>
      <c r="Q117" s="18" t="str">
        <f t="shared" si="1"/>
        <v/>
      </c>
      <c r="R117" s="18" t="str">
        <f t="shared" si="2"/>
        <v/>
      </c>
      <c r="S117" s="18" t="str">
        <f t="shared" si="3"/>
        <v/>
      </c>
      <c r="T117" s="18">
        <f t="shared" si="4"/>
        <v>28.083999999999996</v>
      </c>
      <c r="U117" s="18" t="str">
        <f t="shared" si="5"/>
        <v/>
      </c>
      <c r="V117" s="1"/>
    </row>
    <row r="118" spans="1:22" x14ac:dyDescent="0.25">
      <c r="A118" s="14"/>
      <c r="B118" s="33" t="s">
        <v>32</v>
      </c>
      <c r="C118" s="22"/>
      <c r="D118" s="4"/>
      <c r="E118" s="23"/>
      <c r="F118" s="42"/>
      <c r="G118" s="11">
        <v>16</v>
      </c>
      <c r="H118" s="1">
        <v>7</v>
      </c>
      <c r="I118" s="1">
        <v>2</v>
      </c>
      <c r="J118" s="9">
        <f>D117</f>
        <v>0.74299999999999999</v>
      </c>
      <c r="K118" s="46" t="str">
        <f t="shared" ref="K118:K120" si="16">IF(N118&lt;12,"0",0.049*G118)</f>
        <v>0</v>
      </c>
      <c r="L118" s="45">
        <v>1</v>
      </c>
      <c r="M118" s="1">
        <f t="shared" ref="M118:M120" si="17">2*G118*L118/1000</f>
        <v>3.2000000000000001E-2</v>
      </c>
      <c r="N118" s="5">
        <f>J118+E119-M118</f>
        <v>1.0109999999999999</v>
      </c>
      <c r="O118" s="5">
        <f>H118*I118*N118</f>
        <v>14.153999999999998</v>
      </c>
      <c r="P118" s="18" t="str">
        <f t="shared" si="0"/>
        <v/>
      </c>
      <c r="Q118" s="18" t="str">
        <f t="shared" si="1"/>
        <v/>
      </c>
      <c r="R118" s="18" t="str">
        <f t="shared" si="2"/>
        <v/>
      </c>
      <c r="S118" s="18">
        <f t="shared" si="3"/>
        <v>14.153999999999998</v>
      </c>
      <c r="T118" s="18" t="str">
        <f t="shared" si="4"/>
        <v/>
      </c>
      <c r="U118" s="18" t="str">
        <f t="shared" si="5"/>
        <v/>
      </c>
      <c r="V118" s="1"/>
    </row>
    <row r="119" spans="1:22" x14ac:dyDescent="0.25">
      <c r="A119" s="14"/>
      <c r="B119" s="33" t="s">
        <v>26</v>
      </c>
      <c r="C119" s="24"/>
      <c r="D119" s="25"/>
      <c r="E119" s="39">
        <v>0.3</v>
      </c>
      <c r="F119" s="42"/>
      <c r="G119" s="11">
        <v>16</v>
      </c>
      <c r="H119" s="1">
        <v>7</v>
      </c>
      <c r="I119" s="1">
        <v>4</v>
      </c>
      <c r="J119" s="9">
        <f>D117</f>
        <v>0.74299999999999999</v>
      </c>
      <c r="K119" s="46" t="str">
        <f t="shared" si="16"/>
        <v>0</v>
      </c>
      <c r="L119" s="45">
        <v>1</v>
      </c>
      <c r="M119" s="1">
        <f t="shared" si="17"/>
        <v>3.2000000000000001E-2</v>
      </c>
      <c r="N119" s="5">
        <f>J119+E119-M119</f>
        <v>1.0109999999999999</v>
      </c>
      <c r="O119" s="5">
        <f>H119*I119*N119</f>
        <v>28.307999999999996</v>
      </c>
      <c r="P119" s="18" t="str">
        <f t="shared" si="0"/>
        <v/>
      </c>
      <c r="Q119" s="18" t="str">
        <f t="shared" si="1"/>
        <v/>
      </c>
      <c r="R119" s="18" t="str">
        <f t="shared" si="2"/>
        <v/>
      </c>
      <c r="S119" s="18">
        <f t="shared" si="3"/>
        <v>28.307999999999996</v>
      </c>
      <c r="T119" s="18" t="str">
        <f t="shared" si="4"/>
        <v/>
      </c>
      <c r="U119" s="18" t="str">
        <f t="shared" si="5"/>
        <v/>
      </c>
      <c r="V119" s="1"/>
    </row>
    <row r="120" spans="1:22" x14ac:dyDescent="0.25">
      <c r="A120" s="14"/>
      <c r="B120" s="33" t="s">
        <v>19</v>
      </c>
      <c r="C120" s="22"/>
      <c r="D120" s="4"/>
      <c r="E120" s="23"/>
      <c r="F120" s="42"/>
      <c r="G120" s="11">
        <v>16</v>
      </c>
      <c r="H120" s="1">
        <v>7</v>
      </c>
      <c r="I120" s="1">
        <v>4</v>
      </c>
      <c r="J120" s="9">
        <f>D117</f>
        <v>0.74299999999999999</v>
      </c>
      <c r="K120" s="46" t="str">
        <f t="shared" si="16"/>
        <v>0</v>
      </c>
      <c r="L120" s="45">
        <v>1</v>
      </c>
      <c r="M120" s="1">
        <f t="shared" si="17"/>
        <v>3.2000000000000001E-2</v>
      </c>
      <c r="N120" s="5">
        <f>J120+E119-M120</f>
        <v>1.0109999999999999</v>
      </c>
      <c r="O120" s="5">
        <f>H120*I120*N120</f>
        <v>28.307999999999996</v>
      </c>
      <c r="P120" s="18" t="str">
        <f t="shared" si="0"/>
        <v/>
      </c>
      <c r="Q120" s="18" t="str">
        <f t="shared" si="1"/>
        <v/>
      </c>
      <c r="R120" s="18" t="str">
        <f t="shared" si="2"/>
        <v/>
      </c>
      <c r="S120" s="18">
        <f t="shared" si="3"/>
        <v>28.307999999999996</v>
      </c>
      <c r="T120" s="18" t="str">
        <f t="shared" si="4"/>
        <v/>
      </c>
      <c r="U120" s="18" t="str">
        <f t="shared" si="5"/>
        <v/>
      </c>
      <c r="V120" s="1"/>
    </row>
    <row r="121" spans="1:22" x14ac:dyDescent="0.25">
      <c r="A121" s="14"/>
      <c r="B121" s="33" t="s">
        <v>35</v>
      </c>
      <c r="C121" s="22"/>
      <c r="D121" s="4"/>
      <c r="E121" s="23"/>
      <c r="F121" s="42"/>
      <c r="G121" s="11">
        <v>16</v>
      </c>
      <c r="H121" s="1">
        <v>7</v>
      </c>
      <c r="I121" s="1">
        <v>2</v>
      </c>
      <c r="J121" s="9">
        <f>D117</f>
        <v>0.74299999999999999</v>
      </c>
      <c r="K121" s="46" t="str">
        <f t="shared" ref="K121" si="18">IF(N121&lt;12,"0",0.049*G121)</f>
        <v>0</v>
      </c>
      <c r="L121" s="45">
        <v>1</v>
      </c>
      <c r="M121" s="1">
        <f t="shared" ref="M121" si="19">2*G121*L121/1000</f>
        <v>3.2000000000000001E-2</v>
      </c>
      <c r="N121" s="5">
        <f>J121+E120-M121</f>
        <v>0.71099999999999997</v>
      </c>
      <c r="O121" s="5">
        <f>H121*I121*N121</f>
        <v>9.9539999999999988</v>
      </c>
      <c r="P121" s="18" t="str">
        <f t="shared" si="0"/>
        <v/>
      </c>
      <c r="Q121" s="18" t="str">
        <f t="shared" si="1"/>
        <v/>
      </c>
      <c r="R121" s="18" t="str">
        <f t="shared" si="2"/>
        <v/>
      </c>
      <c r="S121" s="18">
        <f t="shared" si="3"/>
        <v>9.9539999999999988</v>
      </c>
      <c r="T121" s="18" t="str">
        <f t="shared" si="4"/>
        <v/>
      </c>
      <c r="U121" s="18" t="str">
        <f t="shared" si="5"/>
        <v/>
      </c>
      <c r="V121" s="1"/>
    </row>
    <row r="122" spans="1:22" x14ac:dyDescent="0.25">
      <c r="A122" s="14"/>
      <c r="B122" s="33"/>
      <c r="C122" s="22"/>
      <c r="D122" s="4"/>
      <c r="E122" s="23"/>
      <c r="F122" s="42"/>
      <c r="G122" s="11"/>
      <c r="H122" s="1"/>
      <c r="I122" s="1"/>
      <c r="J122" s="2"/>
      <c r="K122" s="1"/>
      <c r="L122" s="1"/>
      <c r="M122" s="1"/>
      <c r="N122" s="1"/>
      <c r="O122" s="3"/>
      <c r="P122" s="18" t="str">
        <f t="shared" si="0"/>
        <v/>
      </c>
      <c r="Q122" s="18" t="str">
        <f t="shared" si="1"/>
        <v/>
      </c>
      <c r="R122" s="18" t="str">
        <f t="shared" si="2"/>
        <v/>
      </c>
      <c r="S122" s="18" t="str">
        <f t="shared" si="3"/>
        <v/>
      </c>
      <c r="T122" s="18" t="str">
        <f t="shared" si="4"/>
        <v/>
      </c>
      <c r="U122" s="18" t="str">
        <f t="shared" si="5"/>
        <v/>
      </c>
      <c r="V122" s="1"/>
    </row>
    <row r="123" spans="1:22" x14ac:dyDescent="0.25">
      <c r="A123" s="14"/>
      <c r="B123" s="14"/>
      <c r="C123" s="47">
        <v>0.1</v>
      </c>
      <c r="D123" s="4"/>
      <c r="E123" s="23"/>
      <c r="F123" s="42"/>
      <c r="G123" s="11"/>
      <c r="H123" s="1"/>
      <c r="I123" s="1"/>
      <c r="J123" s="2"/>
      <c r="K123" s="1"/>
      <c r="L123" s="1"/>
      <c r="M123" s="1"/>
      <c r="N123" s="1"/>
      <c r="O123" s="3"/>
      <c r="P123" s="18" t="str">
        <f t="shared" si="0"/>
        <v/>
      </c>
      <c r="Q123" s="18" t="str">
        <f t="shared" si="1"/>
        <v/>
      </c>
      <c r="R123" s="18" t="str">
        <f t="shared" si="2"/>
        <v/>
      </c>
      <c r="S123" s="18" t="str">
        <f t="shared" si="3"/>
        <v/>
      </c>
      <c r="T123" s="18" t="str">
        <f t="shared" si="4"/>
        <v/>
      </c>
      <c r="U123" s="18" t="str">
        <f t="shared" si="5"/>
        <v/>
      </c>
      <c r="V123" s="1"/>
    </row>
    <row r="124" spans="1:22" x14ac:dyDescent="0.25">
      <c r="A124" s="14"/>
      <c r="B124" s="34" t="s">
        <v>20</v>
      </c>
      <c r="C124" s="26"/>
      <c r="D124" s="4"/>
      <c r="E124" s="40">
        <f>0.75-0.08</f>
        <v>0.67</v>
      </c>
      <c r="F124" s="42"/>
      <c r="G124" s="11">
        <v>10</v>
      </c>
      <c r="H124" s="1">
        <v>7</v>
      </c>
      <c r="I124" s="1">
        <v>4</v>
      </c>
      <c r="J124" s="41">
        <f>2*(D126+E124)+16*10/1000</f>
        <v>1.94</v>
      </c>
      <c r="K124" s="1"/>
      <c r="L124" s="1"/>
      <c r="M124" s="1"/>
      <c r="N124" s="5">
        <f>(J124+K124-M124)</f>
        <v>1.94</v>
      </c>
      <c r="O124" s="5">
        <f>(H124*I124*N124)</f>
        <v>54.32</v>
      </c>
      <c r="P124" s="18" t="str">
        <f t="shared" si="0"/>
        <v/>
      </c>
      <c r="Q124" s="18">
        <f t="shared" si="1"/>
        <v>54.32</v>
      </c>
      <c r="R124" s="18" t="str">
        <f t="shared" si="2"/>
        <v/>
      </c>
      <c r="S124" s="18" t="str">
        <f t="shared" si="3"/>
        <v/>
      </c>
      <c r="T124" s="18" t="str">
        <f t="shared" si="4"/>
        <v/>
      </c>
      <c r="U124" s="18" t="str">
        <f t="shared" si="5"/>
        <v/>
      </c>
      <c r="V124" s="1"/>
    </row>
    <row r="125" spans="1:22" x14ac:dyDescent="0.25">
      <c r="A125" s="14"/>
      <c r="B125" s="34"/>
      <c r="C125" s="22"/>
      <c r="D125" s="4"/>
      <c r="E125" s="27"/>
      <c r="F125" s="42"/>
      <c r="G125" s="11"/>
      <c r="H125" s="1"/>
      <c r="I125" s="1"/>
      <c r="J125" s="2"/>
      <c r="K125" s="1"/>
      <c r="L125" s="1"/>
      <c r="M125" s="1"/>
      <c r="N125" s="1"/>
      <c r="O125" s="5"/>
      <c r="P125" s="18" t="str">
        <f t="shared" si="0"/>
        <v/>
      </c>
      <c r="Q125" s="18" t="str">
        <f t="shared" si="1"/>
        <v/>
      </c>
      <c r="R125" s="18" t="str">
        <f t="shared" si="2"/>
        <v/>
      </c>
      <c r="S125" s="18" t="str">
        <f t="shared" si="3"/>
        <v/>
      </c>
      <c r="T125" s="18" t="str">
        <f t="shared" si="4"/>
        <v/>
      </c>
      <c r="U125" s="18" t="str">
        <f t="shared" si="5"/>
        <v/>
      </c>
      <c r="V125" s="1"/>
    </row>
    <row r="126" spans="1:22" x14ac:dyDescent="0.25">
      <c r="A126" s="14"/>
      <c r="B126" s="34"/>
      <c r="C126" s="22"/>
      <c r="D126" s="9">
        <f>0.3-0.08</f>
        <v>0.21999999999999997</v>
      </c>
      <c r="E126" s="23"/>
      <c r="F126" s="42"/>
      <c r="G126" s="11"/>
      <c r="H126" s="1"/>
      <c r="I126" s="1"/>
      <c r="J126" s="2"/>
      <c r="K126" s="1"/>
      <c r="L126" s="1"/>
      <c r="M126" s="1"/>
      <c r="N126" s="1"/>
      <c r="O126" s="5"/>
      <c r="P126" s="18" t="str">
        <f t="shared" si="0"/>
        <v/>
      </c>
      <c r="Q126" s="18" t="str">
        <f t="shared" si="1"/>
        <v/>
      </c>
      <c r="R126" s="18" t="str">
        <f t="shared" si="2"/>
        <v/>
      </c>
      <c r="S126" s="18" t="str">
        <f t="shared" si="3"/>
        <v/>
      </c>
      <c r="T126" s="18" t="str">
        <f t="shared" si="4"/>
        <v/>
      </c>
      <c r="U126" s="18" t="str">
        <f t="shared" si="5"/>
        <v/>
      </c>
      <c r="V126" s="1"/>
    </row>
    <row r="127" spans="1:22" x14ac:dyDescent="0.25">
      <c r="A127" s="14"/>
      <c r="B127" s="33"/>
      <c r="C127" s="22"/>
      <c r="D127" s="4"/>
      <c r="E127" s="23"/>
      <c r="F127" s="42"/>
      <c r="G127" s="11"/>
      <c r="H127" s="1"/>
      <c r="I127" s="1"/>
      <c r="J127" s="2"/>
      <c r="K127" s="1"/>
      <c r="L127" s="1"/>
      <c r="M127" s="1"/>
      <c r="N127" s="1"/>
      <c r="O127" s="5"/>
      <c r="P127" s="18" t="str">
        <f t="shared" si="0"/>
        <v/>
      </c>
      <c r="Q127" s="18" t="str">
        <f t="shared" si="1"/>
        <v/>
      </c>
      <c r="R127" s="18" t="str">
        <f t="shared" si="2"/>
        <v/>
      </c>
      <c r="S127" s="18" t="str">
        <f t="shared" si="3"/>
        <v/>
      </c>
      <c r="T127" s="18" t="str">
        <f t="shared" si="4"/>
        <v/>
      </c>
      <c r="U127" s="18" t="str">
        <f t="shared" si="5"/>
        <v/>
      </c>
      <c r="V127" s="1"/>
    </row>
    <row r="128" spans="1:22" x14ac:dyDescent="0.25">
      <c r="A128" s="14"/>
      <c r="B128" s="14"/>
      <c r="C128" s="47">
        <v>0.1</v>
      </c>
      <c r="D128" s="4"/>
      <c r="E128" s="23"/>
      <c r="F128" s="42"/>
      <c r="G128" s="11"/>
      <c r="H128" s="1"/>
      <c r="I128" s="1"/>
      <c r="J128" s="2"/>
      <c r="K128" s="1"/>
      <c r="L128" s="1"/>
      <c r="M128" s="1"/>
      <c r="N128" s="1"/>
      <c r="O128" s="5"/>
      <c r="P128" s="18" t="str">
        <f t="shared" si="0"/>
        <v/>
      </c>
      <c r="Q128" s="18" t="str">
        <f t="shared" si="1"/>
        <v/>
      </c>
      <c r="R128" s="18" t="str">
        <f t="shared" si="2"/>
        <v/>
      </c>
      <c r="S128" s="18" t="str">
        <f t="shared" si="3"/>
        <v/>
      </c>
      <c r="T128" s="18" t="str">
        <f t="shared" si="4"/>
        <v/>
      </c>
      <c r="U128" s="18" t="str">
        <f t="shared" si="5"/>
        <v/>
      </c>
      <c r="V128" s="1"/>
    </row>
    <row r="129" spans="1:22" x14ac:dyDescent="0.25">
      <c r="A129" s="14"/>
      <c r="B129" s="34" t="s">
        <v>21</v>
      </c>
      <c r="C129" s="26"/>
      <c r="D129" s="4"/>
      <c r="E129" s="40">
        <f>(2*((0.75-0.08-0.016)/6))+0.012+0.02</f>
        <v>0.25</v>
      </c>
      <c r="F129" s="42"/>
      <c r="G129" s="11">
        <v>10</v>
      </c>
      <c r="H129" s="1">
        <v>7</v>
      </c>
      <c r="I129" s="1">
        <v>1</v>
      </c>
      <c r="J129" s="41">
        <f>2*(D131+E129)+16*10/1000</f>
        <v>1.0999999999999999</v>
      </c>
      <c r="K129" s="1"/>
      <c r="L129" s="1"/>
      <c r="M129" s="1"/>
      <c r="N129" s="5">
        <f>(J129+K129-M129)</f>
        <v>1.0999999999999999</v>
      </c>
      <c r="O129" s="5">
        <f>(H129*I129*N129)</f>
        <v>7.6999999999999993</v>
      </c>
      <c r="P129" s="18" t="str">
        <f t="shared" si="0"/>
        <v/>
      </c>
      <c r="Q129" s="18">
        <f t="shared" si="1"/>
        <v>7.6999999999999993</v>
      </c>
      <c r="R129" s="18" t="str">
        <f t="shared" si="2"/>
        <v/>
      </c>
      <c r="S129" s="18" t="str">
        <f t="shared" si="3"/>
        <v/>
      </c>
      <c r="T129" s="18" t="str">
        <f t="shared" si="4"/>
        <v/>
      </c>
      <c r="U129" s="18" t="str">
        <f t="shared" si="5"/>
        <v/>
      </c>
      <c r="V129" s="1"/>
    </row>
    <row r="130" spans="1:22" x14ac:dyDescent="0.25">
      <c r="A130" s="14"/>
      <c r="B130" s="34"/>
      <c r="C130" s="22"/>
      <c r="D130" s="4"/>
      <c r="E130" s="27"/>
      <c r="F130" s="42"/>
      <c r="G130" s="11"/>
      <c r="H130" s="1"/>
      <c r="I130" s="1"/>
      <c r="J130" s="2"/>
      <c r="K130" s="1"/>
      <c r="L130" s="1"/>
      <c r="M130" s="1"/>
      <c r="N130" s="1"/>
      <c r="O130" s="5"/>
      <c r="P130" s="18" t="str">
        <f t="shared" si="0"/>
        <v/>
      </c>
      <c r="Q130" s="18" t="str">
        <f t="shared" si="1"/>
        <v/>
      </c>
      <c r="R130" s="18" t="str">
        <f t="shared" si="2"/>
        <v/>
      </c>
      <c r="S130" s="18" t="str">
        <f t="shared" si="3"/>
        <v/>
      </c>
      <c r="T130" s="18" t="str">
        <f t="shared" si="4"/>
        <v/>
      </c>
      <c r="U130" s="18" t="str">
        <f t="shared" si="5"/>
        <v/>
      </c>
      <c r="V130" s="1"/>
    </row>
    <row r="131" spans="1:22" x14ac:dyDescent="0.25">
      <c r="A131" s="14"/>
      <c r="B131" s="34"/>
      <c r="C131" s="22"/>
      <c r="D131" s="9">
        <f>0.3-0.08</f>
        <v>0.21999999999999997</v>
      </c>
      <c r="E131" s="23"/>
      <c r="F131" s="42"/>
      <c r="G131" s="11"/>
      <c r="H131" s="1"/>
      <c r="I131" s="1"/>
      <c r="J131" s="2"/>
      <c r="K131" s="1"/>
      <c r="L131" s="1"/>
      <c r="M131" s="1"/>
      <c r="N131" s="1"/>
      <c r="O131" s="5"/>
      <c r="P131" s="18" t="str">
        <f t="shared" si="0"/>
        <v/>
      </c>
      <c r="Q131" s="18" t="str">
        <f t="shared" si="1"/>
        <v/>
      </c>
      <c r="R131" s="18" t="str">
        <f t="shared" si="2"/>
        <v/>
      </c>
      <c r="S131" s="18" t="str">
        <f t="shared" si="3"/>
        <v/>
      </c>
      <c r="T131" s="18" t="str">
        <f t="shared" si="4"/>
        <v/>
      </c>
      <c r="U131" s="18" t="str">
        <f t="shared" si="5"/>
        <v/>
      </c>
      <c r="V131" s="1"/>
    </row>
    <row r="132" spans="1:22" x14ac:dyDescent="0.25">
      <c r="A132" s="14"/>
      <c r="B132" s="34"/>
      <c r="C132" s="22"/>
      <c r="D132" s="4"/>
      <c r="E132" s="23"/>
      <c r="F132" s="42"/>
      <c r="G132" s="11"/>
      <c r="H132" s="1"/>
      <c r="I132" s="1"/>
      <c r="J132" s="2"/>
      <c r="K132" s="1"/>
      <c r="L132" s="1"/>
      <c r="M132" s="1"/>
      <c r="N132" s="1"/>
      <c r="O132" s="5"/>
      <c r="P132" s="18" t="str">
        <f t="shared" si="0"/>
        <v/>
      </c>
      <c r="Q132" s="18" t="str">
        <f t="shared" si="1"/>
        <v/>
      </c>
      <c r="R132" s="18" t="str">
        <f t="shared" si="2"/>
        <v/>
      </c>
      <c r="S132" s="18" t="str">
        <f t="shared" si="3"/>
        <v/>
      </c>
      <c r="T132" s="18" t="str">
        <f t="shared" si="4"/>
        <v/>
      </c>
      <c r="U132" s="18" t="str">
        <f t="shared" si="5"/>
        <v/>
      </c>
      <c r="V132" s="1"/>
    </row>
    <row r="133" spans="1:22" x14ac:dyDescent="0.25">
      <c r="A133" s="14"/>
      <c r="B133" s="34" t="s">
        <v>22</v>
      </c>
      <c r="C133" s="22"/>
      <c r="D133" s="25"/>
      <c r="E133" s="23"/>
      <c r="F133" s="42"/>
      <c r="G133" s="11">
        <v>10</v>
      </c>
      <c r="H133" s="1">
        <v>7</v>
      </c>
      <c r="I133" s="1">
        <v>1</v>
      </c>
      <c r="J133" s="41">
        <f>C134+D136+E134+2*10*G133/1000</f>
        <v>0.72399999999999998</v>
      </c>
      <c r="K133" s="1"/>
      <c r="L133" s="1"/>
      <c r="M133" s="5">
        <f>4*3*G133/1000</f>
        <v>0.12</v>
      </c>
      <c r="N133" s="5">
        <f>(J133+K133-M133)</f>
        <v>0.60399999999999998</v>
      </c>
      <c r="O133" s="5">
        <f>(H133*I133*N133)</f>
        <v>4.2279999999999998</v>
      </c>
      <c r="P133" s="18" t="str">
        <f t="shared" si="0"/>
        <v/>
      </c>
      <c r="Q133" s="18">
        <f t="shared" si="1"/>
        <v>4.2279999999999998</v>
      </c>
      <c r="R133" s="18" t="str">
        <f t="shared" si="2"/>
        <v/>
      </c>
      <c r="S133" s="18" t="str">
        <f t="shared" si="3"/>
        <v/>
      </c>
      <c r="T133" s="18" t="str">
        <f t="shared" si="4"/>
        <v/>
      </c>
      <c r="U133" s="18" t="str">
        <f t="shared" si="5"/>
        <v/>
      </c>
      <c r="V133" s="1"/>
    </row>
    <row r="134" spans="1:22" x14ac:dyDescent="0.25">
      <c r="A134" s="14"/>
      <c r="B134" s="34"/>
      <c r="C134" s="29">
        <v>0.152</v>
      </c>
      <c r="D134" s="4"/>
      <c r="E134" s="23">
        <v>0.152</v>
      </c>
      <c r="F134" s="42"/>
      <c r="G134" s="11"/>
      <c r="H134" s="1"/>
      <c r="I134" s="1"/>
      <c r="J134" s="2"/>
      <c r="K134" s="1"/>
      <c r="L134" s="1"/>
      <c r="M134" s="1"/>
      <c r="N134" s="1"/>
      <c r="O134" s="5"/>
      <c r="P134" s="18" t="str">
        <f>IF($G134=8,$O134,"")</f>
        <v/>
      </c>
      <c r="Q134" s="18" t="str">
        <f>IF($G134=10,$O134,"")</f>
        <v/>
      </c>
      <c r="R134" s="18" t="str">
        <f>IF($G134=12,$O134,"")</f>
        <v/>
      </c>
      <c r="S134" s="18" t="str">
        <f>IF($G134=16,$O134,"")</f>
        <v/>
      </c>
      <c r="T134" s="18" t="str">
        <f>IF($G134=20,$O134,"")</f>
        <v/>
      </c>
      <c r="U134" s="18" t="str">
        <f>IF($G134=25,$O134,"")</f>
        <v/>
      </c>
      <c r="V134" s="1"/>
    </row>
    <row r="135" spans="1:22" x14ac:dyDescent="0.25">
      <c r="A135" s="14"/>
      <c r="B135" s="34"/>
      <c r="C135" s="22"/>
      <c r="D135" s="4"/>
      <c r="E135" s="23"/>
      <c r="F135" s="42"/>
      <c r="G135" s="11"/>
      <c r="H135" s="1"/>
      <c r="I135" s="1"/>
      <c r="J135" s="2"/>
      <c r="K135" s="1"/>
      <c r="L135" s="1"/>
      <c r="M135" s="1"/>
      <c r="N135" s="1"/>
      <c r="O135" s="5"/>
      <c r="P135" s="18" t="str">
        <f t="shared" si="0"/>
        <v/>
      </c>
      <c r="Q135" s="18" t="str">
        <f t="shared" si="1"/>
        <v/>
      </c>
      <c r="R135" s="18" t="str">
        <f t="shared" si="2"/>
        <v/>
      </c>
      <c r="S135" s="18" t="str">
        <f t="shared" si="3"/>
        <v/>
      </c>
      <c r="T135" s="18" t="str">
        <f t="shared" si="4"/>
        <v/>
      </c>
      <c r="U135" s="18" t="str">
        <f t="shared" si="5"/>
        <v/>
      </c>
      <c r="V135" s="1"/>
    </row>
    <row r="136" spans="1:22" x14ac:dyDescent="0.25">
      <c r="A136" s="14"/>
      <c r="B136" s="34"/>
      <c r="C136" s="22"/>
      <c r="D136" s="9">
        <f>0.3-0.08</f>
        <v>0.21999999999999997</v>
      </c>
      <c r="E136" s="23"/>
      <c r="F136" s="42"/>
      <c r="G136" s="11"/>
      <c r="H136" s="1"/>
      <c r="I136" s="1"/>
      <c r="J136" s="2"/>
      <c r="K136" s="1"/>
      <c r="L136" s="1"/>
      <c r="M136" s="1"/>
      <c r="N136" s="1"/>
      <c r="O136" s="5"/>
      <c r="P136" s="18" t="str">
        <f t="shared" si="0"/>
        <v/>
      </c>
      <c r="Q136" s="18" t="str">
        <f t="shared" si="1"/>
        <v/>
      </c>
      <c r="R136" s="18" t="str">
        <f t="shared" si="2"/>
        <v/>
      </c>
      <c r="S136" s="18" t="str">
        <f t="shared" si="3"/>
        <v/>
      </c>
      <c r="T136" s="18" t="str">
        <f t="shared" si="4"/>
        <v/>
      </c>
      <c r="U136" s="18" t="str">
        <f t="shared" si="5"/>
        <v/>
      </c>
      <c r="V136" s="1"/>
    </row>
    <row r="137" spans="1:22" x14ac:dyDescent="0.25">
      <c r="A137" s="14"/>
      <c r="B137" s="34"/>
      <c r="C137" s="22"/>
      <c r="D137" s="4"/>
      <c r="E137" s="23"/>
      <c r="F137" s="42"/>
      <c r="G137" s="11"/>
      <c r="H137" s="1"/>
      <c r="I137" s="1"/>
      <c r="J137" s="2"/>
      <c r="K137" s="1"/>
      <c r="L137" s="1"/>
      <c r="M137" s="1"/>
      <c r="N137" s="1"/>
      <c r="O137" s="5"/>
      <c r="P137" s="18" t="str">
        <f t="shared" si="0"/>
        <v/>
      </c>
      <c r="Q137" s="18" t="str">
        <f t="shared" si="1"/>
        <v/>
      </c>
      <c r="R137" s="18" t="str">
        <f t="shared" si="2"/>
        <v/>
      </c>
      <c r="S137" s="18" t="str">
        <f t="shared" si="3"/>
        <v/>
      </c>
      <c r="T137" s="18" t="str">
        <f t="shared" si="4"/>
        <v/>
      </c>
      <c r="U137" s="18" t="str">
        <f t="shared" si="5"/>
        <v/>
      </c>
      <c r="V137" s="1"/>
    </row>
    <row r="138" spans="1:22" x14ac:dyDescent="0.25">
      <c r="A138" s="14"/>
      <c r="B138" s="34" t="s">
        <v>36</v>
      </c>
      <c r="C138" s="22"/>
      <c r="D138" s="25"/>
      <c r="E138" s="23"/>
      <c r="F138" s="42"/>
      <c r="G138" s="11">
        <v>10</v>
      </c>
      <c r="H138" s="1">
        <v>7</v>
      </c>
      <c r="I138" s="1">
        <v>1</v>
      </c>
      <c r="J138" s="41">
        <f>C139+D141+E139+2*10*G138/1000</f>
        <v>0.72399999999999998</v>
      </c>
      <c r="K138" s="1"/>
      <c r="L138" s="1"/>
      <c r="M138" s="5">
        <f>4*3*G138/1000</f>
        <v>0.12</v>
      </c>
      <c r="N138" s="5">
        <f>(J138+K138-M138)</f>
        <v>0.60399999999999998</v>
      </c>
      <c r="O138" s="5">
        <f>(H138*I138*N138)</f>
        <v>4.2279999999999998</v>
      </c>
      <c r="P138" s="18" t="str">
        <f t="shared" si="0"/>
        <v/>
      </c>
      <c r="Q138" s="18">
        <f t="shared" si="1"/>
        <v>4.2279999999999998</v>
      </c>
      <c r="R138" s="18" t="str">
        <f t="shared" si="2"/>
        <v/>
      </c>
      <c r="S138" s="18" t="str">
        <f t="shared" si="3"/>
        <v/>
      </c>
      <c r="T138" s="18" t="str">
        <f t="shared" si="4"/>
        <v/>
      </c>
      <c r="U138" s="18" t="str">
        <f t="shared" si="5"/>
        <v/>
      </c>
      <c r="V138" s="1"/>
    </row>
    <row r="139" spans="1:22" x14ac:dyDescent="0.25">
      <c r="A139" s="14"/>
      <c r="B139" s="34"/>
      <c r="C139" s="29">
        <v>0.152</v>
      </c>
      <c r="D139" s="4"/>
      <c r="E139" s="23">
        <v>0.152</v>
      </c>
      <c r="F139" s="42"/>
      <c r="G139" s="11"/>
      <c r="H139" s="1"/>
      <c r="I139" s="1"/>
      <c r="J139" s="2"/>
      <c r="K139" s="1"/>
      <c r="L139" s="1"/>
      <c r="M139" s="1"/>
      <c r="N139" s="1"/>
      <c r="O139" s="5"/>
      <c r="P139" s="18" t="str">
        <f t="shared" si="0"/>
        <v/>
      </c>
      <c r="Q139" s="18" t="str">
        <f t="shared" si="1"/>
        <v/>
      </c>
      <c r="R139" s="18" t="str">
        <f t="shared" si="2"/>
        <v/>
      </c>
      <c r="S139" s="18" t="str">
        <f t="shared" si="3"/>
        <v/>
      </c>
      <c r="T139" s="18" t="str">
        <f t="shared" si="4"/>
        <v/>
      </c>
      <c r="U139" s="18" t="str">
        <f t="shared" si="5"/>
        <v/>
      </c>
      <c r="V139" s="1"/>
    </row>
    <row r="140" spans="1:22" x14ac:dyDescent="0.25">
      <c r="A140" s="14"/>
      <c r="B140" s="34"/>
      <c r="C140" s="22"/>
      <c r="D140" s="4"/>
      <c r="E140" s="23"/>
      <c r="F140" s="42"/>
      <c r="G140" s="11"/>
      <c r="H140" s="1"/>
      <c r="I140" s="1"/>
      <c r="J140" s="2"/>
      <c r="K140" s="1"/>
      <c r="L140" s="1"/>
      <c r="M140" s="1"/>
      <c r="N140" s="1"/>
      <c r="O140" s="3"/>
      <c r="P140" s="18" t="str">
        <f t="shared" si="0"/>
        <v/>
      </c>
      <c r="Q140" s="18" t="str">
        <f t="shared" si="1"/>
        <v/>
      </c>
      <c r="R140" s="18" t="str">
        <f t="shared" si="2"/>
        <v/>
      </c>
      <c r="S140" s="18" t="str">
        <f t="shared" si="3"/>
        <v/>
      </c>
      <c r="T140" s="18" t="str">
        <f t="shared" si="4"/>
        <v/>
      </c>
      <c r="U140" s="18" t="str">
        <f t="shared" si="5"/>
        <v/>
      </c>
      <c r="V140" s="1"/>
    </row>
    <row r="141" spans="1:22" x14ac:dyDescent="0.25">
      <c r="A141" s="14"/>
      <c r="B141" s="34"/>
      <c r="C141" s="22"/>
      <c r="D141" s="9">
        <f>0.3-0.08</f>
        <v>0.21999999999999997</v>
      </c>
      <c r="E141" s="23"/>
      <c r="F141" s="42"/>
      <c r="G141" s="11"/>
      <c r="H141" s="1"/>
      <c r="I141" s="1"/>
      <c r="J141" s="2"/>
      <c r="K141" s="1"/>
      <c r="L141" s="1"/>
      <c r="M141" s="1"/>
      <c r="N141" s="1"/>
      <c r="O141" s="3"/>
      <c r="P141" s="18" t="str">
        <f t="shared" si="0"/>
        <v/>
      </c>
      <c r="Q141" s="18" t="str">
        <f t="shared" si="1"/>
        <v/>
      </c>
      <c r="R141" s="18" t="str">
        <f t="shared" si="2"/>
        <v/>
      </c>
      <c r="S141" s="18" t="str">
        <f t="shared" si="3"/>
        <v/>
      </c>
      <c r="T141" s="18" t="str">
        <f t="shared" si="4"/>
        <v/>
      </c>
      <c r="U141" s="18" t="str">
        <f t="shared" si="5"/>
        <v/>
      </c>
      <c r="V141" s="1"/>
    </row>
    <row r="142" spans="1:22" x14ac:dyDescent="0.25">
      <c r="A142" s="14"/>
      <c r="B142" s="33"/>
      <c r="C142" s="22"/>
      <c r="D142" s="4"/>
      <c r="E142" s="23"/>
      <c r="F142" s="42"/>
      <c r="G142" s="11"/>
      <c r="H142" s="1"/>
      <c r="I142" s="1"/>
      <c r="J142" s="2"/>
      <c r="K142" s="1"/>
      <c r="L142" s="1"/>
      <c r="M142" s="1"/>
      <c r="N142" s="1"/>
      <c r="O142" s="3"/>
      <c r="P142" s="18" t="str">
        <f t="shared" si="0"/>
        <v/>
      </c>
      <c r="Q142" s="18" t="str">
        <f t="shared" si="1"/>
        <v/>
      </c>
      <c r="R142" s="18" t="str">
        <f t="shared" si="2"/>
        <v/>
      </c>
      <c r="S142" s="18" t="str">
        <f t="shared" si="3"/>
        <v/>
      </c>
      <c r="T142" s="18" t="str">
        <f t="shared" si="4"/>
        <v/>
      </c>
      <c r="U142" s="18" t="str">
        <f t="shared" si="5"/>
        <v/>
      </c>
      <c r="V142" s="1"/>
    </row>
    <row r="143" spans="1:22" x14ac:dyDescent="0.25">
      <c r="A143" s="14"/>
      <c r="B143" s="33"/>
      <c r="C143" s="22"/>
      <c r="D143" s="4"/>
      <c r="E143" s="39">
        <v>0.1</v>
      </c>
      <c r="F143" s="42"/>
      <c r="G143" s="11"/>
      <c r="H143" s="1"/>
      <c r="I143" s="1"/>
      <c r="J143" s="2"/>
      <c r="K143" s="1"/>
      <c r="L143" s="1"/>
      <c r="M143" s="1"/>
      <c r="N143" s="1"/>
      <c r="O143" s="3"/>
      <c r="P143" s="18" t="str">
        <f t="shared" si="0"/>
        <v/>
      </c>
      <c r="Q143" s="18" t="str">
        <f t="shared" si="1"/>
        <v/>
      </c>
      <c r="R143" s="18" t="str">
        <f t="shared" si="2"/>
        <v/>
      </c>
      <c r="S143" s="18" t="str">
        <f t="shared" si="3"/>
        <v/>
      </c>
      <c r="T143" s="18" t="str">
        <f t="shared" si="4"/>
        <v/>
      </c>
      <c r="U143" s="18" t="str">
        <f t="shared" si="5"/>
        <v/>
      </c>
      <c r="V143" s="1"/>
    </row>
    <row r="144" spans="1:22" x14ac:dyDescent="0.25">
      <c r="A144" s="14"/>
      <c r="B144" s="34" t="s">
        <v>37</v>
      </c>
      <c r="C144" s="22"/>
      <c r="D144" s="25">
        <f>0.3-0.08</f>
        <v>0.21999999999999997</v>
      </c>
      <c r="E144" s="39"/>
      <c r="F144" s="42"/>
      <c r="G144" s="11">
        <v>10</v>
      </c>
      <c r="H144" s="1">
        <v>7</v>
      </c>
      <c r="I144" s="1">
        <v>1</v>
      </c>
      <c r="J144" s="41">
        <f>D144+E143+E145</f>
        <v>0.41999999999999993</v>
      </c>
      <c r="K144" s="1"/>
      <c r="L144" s="1"/>
      <c r="M144" s="5">
        <f>2*3*G144/1000</f>
        <v>0.06</v>
      </c>
      <c r="N144" s="5">
        <f>(J144+K144-M144)</f>
        <v>0.35999999999999993</v>
      </c>
      <c r="O144" s="5">
        <f>(H144*I144*N144)</f>
        <v>2.5199999999999996</v>
      </c>
      <c r="P144" s="18" t="str">
        <f t="shared" si="0"/>
        <v/>
      </c>
      <c r="Q144" s="18">
        <f t="shared" si="1"/>
        <v>2.5199999999999996</v>
      </c>
      <c r="R144" s="18" t="str">
        <f t="shared" si="2"/>
        <v/>
      </c>
      <c r="S144" s="18" t="str">
        <f t="shared" si="3"/>
        <v/>
      </c>
      <c r="T144" s="18" t="str">
        <f t="shared" si="4"/>
        <v/>
      </c>
      <c r="U144" s="18" t="str">
        <f t="shared" si="5"/>
        <v/>
      </c>
      <c r="V144" s="1"/>
    </row>
    <row r="145" spans="1:22" x14ac:dyDescent="0.25">
      <c r="A145" s="14"/>
      <c r="B145" s="33"/>
      <c r="C145" s="22"/>
      <c r="D145" s="4"/>
      <c r="E145" s="39">
        <v>0.1</v>
      </c>
      <c r="F145" s="42"/>
      <c r="G145" s="11"/>
      <c r="H145" s="1"/>
      <c r="I145" s="1"/>
      <c r="J145" s="2"/>
      <c r="K145" s="1"/>
      <c r="L145" s="1"/>
      <c r="M145" s="1"/>
      <c r="N145" s="1"/>
      <c r="O145" s="3"/>
      <c r="P145" s="18" t="str">
        <f t="shared" si="0"/>
        <v/>
      </c>
      <c r="Q145" s="18" t="str">
        <f t="shared" si="1"/>
        <v/>
      </c>
      <c r="R145" s="18" t="str">
        <f t="shared" si="2"/>
        <v/>
      </c>
      <c r="S145" s="18" t="str">
        <f t="shared" si="3"/>
        <v/>
      </c>
      <c r="T145" s="18" t="str">
        <f t="shared" si="4"/>
        <v/>
      </c>
      <c r="U145" s="18" t="str">
        <f t="shared" si="5"/>
        <v/>
      </c>
      <c r="V145" s="1"/>
    </row>
    <row r="146" spans="1:22" x14ac:dyDescent="0.25">
      <c r="A146" s="14"/>
      <c r="B146" s="34"/>
      <c r="C146" s="22"/>
      <c r="D146" s="28"/>
      <c r="E146" s="23"/>
      <c r="F146" s="42"/>
      <c r="G146" s="11"/>
      <c r="H146" s="1"/>
      <c r="I146" s="1"/>
      <c r="J146" s="2"/>
      <c r="K146" s="1"/>
      <c r="L146" s="1"/>
      <c r="M146" s="1"/>
      <c r="N146" s="1"/>
      <c r="O146" s="3"/>
      <c r="P146" s="18" t="str">
        <f t="shared" si="0"/>
        <v/>
      </c>
      <c r="Q146" s="18" t="str">
        <f t="shared" si="1"/>
        <v/>
      </c>
      <c r="R146" s="18" t="str">
        <f t="shared" si="2"/>
        <v/>
      </c>
      <c r="S146" s="18" t="str">
        <f t="shared" si="3"/>
        <v/>
      </c>
      <c r="T146" s="18" t="str">
        <f t="shared" si="4"/>
        <v/>
      </c>
      <c r="U146" s="18" t="str">
        <f t="shared" si="5"/>
        <v/>
      </c>
      <c r="V146" s="1"/>
    </row>
    <row r="147" spans="1:22" x14ac:dyDescent="0.25">
      <c r="A147" s="14">
        <v>6</v>
      </c>
      <c r="B147" s="14" t="s">
        <v>40</v>
      </c>
      <c r="C147" s="22"/>
      <c r="D147" s="4"/>
      <c r="E147" s="23"/>
      <c r="F147" s="42"/>
      <c r="G147" s="11"/>
      <c r="H147" s="1"/>
      <c r="I147" s="1"/>
      <c r="J147" s="9"/>
      <c r="K147" s="5"/>
      <c r="L147" s="5"/>
      <c r="M147" s="1"/>
      <c r="N147" s="5"/>
      <c r="O147" s="5"/>
      <c r="P147" s="18" t="str">
        <f>IF($G147=8,$O147,"")</f>
        <v/>
      </c>
      <c r="Q147" s="18" t="str">
        <f>IF($G147=10,$O147,"")</f>
        <v/>
      </c>
      <c r="R147" s="18" t="str">
        <f>IF($G147=12,$O147,"")</f>
        <v/>
      </c>
      <c r="S147" s="18" t="str">
        <f>IF($G147=16,$O147,"")</f>
        <v/>
      </c>
      <c r="T147" s="18" t="str">
        <f>IF($G147=20,$O147,"")</f>
        <v/>
      </c>
      <c r="U147" s="18" t="str">
        <f>IF($G147=25,$O147,"")</f>
        <v/>
      </c>
      <c r="V147" s="1"/>
    </row>
    <row r="148" spans="1:22" x14ac:dyDescent="0.25">
      <c r="A148" s="14"/>
      <c r="B148" s="33" t="s">
        <v>18</v>
      </c>
      <c r="C148" s="22"/>
      <c r="D148" s="25">
        <f>0.85-0.075-2*0.016</f>
        <v>0.74299999999999999</v>
      </c>
      <c r="E148" s="23"/>
      <c r="F148" s="42"/>
      <c r="G148" s="11">
        <v>16</v>
      </c>
      <c r="H148" s="1">
        <v>7</v>
      </c>
      <c r="I148" s="1">
        <v>4</v>
      </c>
      <c r="J148" s="9">
        <f>D148</f>
        <v>0.74299999999999999</v>
      </c>
      <c r="K148" s="46" t="str">
        <f>IF(N148&lt;12,"0",0.049*G148)</f>
        <v>0</v>
      </c>
      <c r="L148" s="45">
        <v>1</v>
      </c>
      <c r="M148" s="1">
        <f>2*G148*L148/1000</f>
        <v>3.2000000000000001E-2</v>
      </c>
      <c r="N148" s="5">
        <f>J148+E150-M148</f>
        <v>1.0109999999999999</v>
      </c>
      <c r="O148" s="5">
        <f>H148*I148*N148</f>
        <v>28.307999999999996</v>
      </c>
      <c r="P148" s="18" t="str">
        <f t="shared" si="0"/>
        <v/>
      </c>
      <c r="Q148" s="18" t="str">
        <f t="shared" si="1"/>
        <v/>
      </c>
      <c r="R148" s="18" t="str">
        <f t="shared" si="2"/>
        <v/>
      </c>
      <c r="S148" s="18">
        <f t="shared" si="3"/>
        <v>28.307999999999996</v>
      </c>
      <c r="T148" s="18" t="str">
        <f t="shared" si="4"/>
        <v/>
      </c>
      <c r="U148" s="18" t="str">
        <f t="shared" si="5"/>
        <v/>
      </c>
      <c r="V148" s="1"/>
    </row>
    <row r="149" spans="1:22" x14ac:dyDescent="0.25">
      <c r="A149" s="14"/>
      <c r="B149" s="33" t="s">
        <v>32</v>
      </c>
      <c r="C149" s="22"/>
      <c r="D149" s="4"/>
      <c r="E149" s="23"/>
      <c r="F149" s="42"/>
      <c r="G149" s="11">
        <v>12</v>
      </c>
      <c r="H149" s="1">
        <v>7</v>
      </c>
      <c r="I149" s="1">
        <v>2</v>
      </c>
      <c r="J149" s="9">
        <f>D148</f>
        <v>0.74299999999999999</v>
      </c>
      <c r="K149" s="46" t="str">
        <f t="shared" ref="K149:K151" si="20">IF(N149&lt;12,"0",0.049*G149)</f>
        <v>0</v>
      </c>
      <c r="L149" s="45">
        <v>1</v>
      </c>
      <c r="M149" s="1">
        <f t="shared" ref="M149:M151" si="21">2*G149*L149/1000</f>
        <v>2.4E-2</v>
      </c>
      <c r="N149" s="5">
        <f>J149+E150-M149</f>
        <v>1.0189999999999999</v>
      </c>
      <c r="O149" s="5">
        <f>H149*I149*N149</f>
        <v>14.265999999999998</v>
      </c>
      <c r="P149" s="18" t="str">
        <f t="shared" si="0"/>
        <v/>
      </c>
      <c r="Q149" s="18" t="str">
        <f t="shared" si="1"/>
        <v/>
      </c>
      <c r="R149" s="18">
        <f t="shared" si="2"/>
        <v>14.265999999999998</v>
      </c>
      <c r="S149" s="18" t="str">
        <f t="shared" si="3"/>
        <v/>
      </c>
      <c r="T149" s="18" t="str">
        <f t="shared" si="4"/>
        <v/>
      </c>
      <c r="U149" s="18" t="str">
        <f t="shared" si="5"/>
        <v/>
      </c>
      <c r="V149" s="1"/>
    </row>
    <row r="150" spans="1:22" x14ac:dyDescent="0.25">
      <c r="A150" s="14"/>
      <c r="B150" s="33" t="s">
        <v>26</v>
      </c>
      <c r="C150" s="24"/>
      <c r="D150" s="25"/>
      <c r="E150" s="39">
        <v>0.3</v>
      </c>
      <c r="F150" s="42"/>
      <c r="G150" s="11">
        <v>12</v>
      </c>
      <c r="H150" s="1">
        <v>7</v>
      </c>
      <c r="I150" s="1">
        <v>4</v>
      </c>
      <c r="J150" s="9">
        <f>D148</f>
        <v>0.74299999999999999</v>
      </c>
      <c r="K150" s="46" t="str">
        <f t="shared" si="20"/>
        <v>0</v>
      </c>
      <c r="L150" s="45">
        <v>1</v>
      </c>
      <c r="M150" s="1">
        <f t="shared" si="21"/>
        <v>2.4E-2</v>
      </c>
      <c r="N150" s="5">
        <f>J150+E150-M150</f>
        <v>1.0189999999999999</v>
      </c>
      <c r="O150" s="5">
        <f>H150*I150*N150</f>
        <v>28.531999999999996</v>
      </c>
      <c r="P150" s="18" t="str">
        <f t="shared" si="0"/>
        <v/>
      </c>
      <c r="Q150" s="18" t="str">
        <f t="shared" si="1"/>
        <v/>
      </c>
      <c r="R150" s="18">
        <f t="shared" si="2"/>
        <v>28.531999999999996</v>
      </c>
      <c r="S150" s="18" t="str">
        <f t="shared" si="3"/>
        <v/>
      </c>
      <c r="T150" s="18" t="str">
        <f t="shared" si="4"/>
        <v/>
      </c>
      <c r="U150" s="18" t="str">
        <f t="shared" si="5"/>
        <v/>
      </c>
      <c r="V150" s="1"/>
    </row>
    <row r="151" spans="1:22" x14ac:dyDescent="0.25">
      <c r="A151" s="14"/>
      <c r="B151" s="33" t="s">
        <v>19</v>
      </c>
      <c r="C151" s="22"/>
      <c r="D151" s="4"/>
      <c r="E151" s="23"/>
      <c r="F151" s="42"/>
      <c r="G151" s="11">
        <v>12</v>
      </c>
      <c r="H151" s="1">
        <v>7</v>
      </c>
      <c r="I151" s="1">
        <v>4</v>
      </c>
      <c r="J151" s="9">
        <f>D148</f>
        <v>0.74299999999999999</v>
      </c>
      <c r="K151" s="46" t="str">
        <f t="shared" si="20"/>
        <v>0</v>
      </c>
      <c r="L151" s="45">
        <v>1</v>
      </c>
      <c r="M151" s="1">
        <f t="shared" si="21"/>
        <v>2.4E-2</v>
      </c>
      <c r="N151" s="5">
        <f>J151+E150-M151</f>
        <v>1.0189999999999999</v>
      </c>
      <c r="O151" s="5">
        <f>H151*I151*N151</f>
        <v>28.531999999999996</v>
      </c>
      <c r="P151" s="18" t="str">
        <f t="shared" si="0"/>
        <v/>
      </c>
      <c r="Q151" s="18" t="str">
        <f t="shared" si="1"/>
        <v/>
      </c>
      <c r="R151" s="18">
        <f t="shared" si="2"/>
        <v>28.531999999999996</v>
      </c>
      <c r="S151" s="18" t="str">
        <f t="shared" si="3"/>
        <v/>
      </c>
      <c r="T151" s="18" t="str">
        <f t="shared" si="4"/>
        <v/>
      </c>
      <c r="U151" s="18" t="str">
        <f t="shared" si="5"/>
        <v/>
      </c>
      <c r="V151" s="1"/>
    </row>
    <row r="152" spans="1:22" x14ac:dyDescent="0.25">
      <c r="A152" s="14"/>
      <c r="B152" s="33" t="s">
        <v>35</v>
      </c>
      <c r="C152" s="22"/>
      <c r="D152" s="4"/>
      <c r="E152" s="23"/>
      <c r="F152" s="42"/>
      <c r="G152" s="11">
        <v>12</v>
      </c>
      <c r="H152" s="1">
        <v>7</v>
      </c>
      <c r="I152" s="1">
        <v>2</v>
      </c>
      <c r="J152" s="9">
        <f>D148</f>
        <v>0.74299999999999999</v>
      </c>
      <c r="K152" s="46" t="str">
        <f t="shared" ref="K152" si="22">IF(N152&lt;12,"0",0.049*G152)</f>
        <v>0</v>
      </c>
      <c r="L152" s="45">
        <v>1</v>
      </c>
      <c r="M152" s="1">
        <f t="shared" ref="M152" si="23">2*G152*L152/1000</f>
        <v>2.4E-2</v>
      </c>
      <c r="N152" s="5">
        <f>J152+E151-M152</f>
        <v>0.71899999999999997</v>
      </c>
      <c r="O152" s="5">
        <f>H152*I152*N152</f>
        <v>10.065999999999999</v>
      </c>
      <c r="P152" s="18" t="str">
        <f t="shared" si="0"/>
        <v/>
      </c>
      <c r="Q152" s="18" t="str">
        <f t="shared" si="1"/>
        <v/>
      </c>
      <c r="R152" s="18">
        <f t="shared" si="2"/>
        <v>10.065999999999999</v>
      </c>
      <c r="S152" s="18" t="str">
        <f t="shared" si="3"/>
        <v/>
      </c>
      <c r="T152" s="18" t="str">
        <f t="shared" si="4"/>
        <v/>
      </c>
      <c r="U152" s="18" t="str">
        <f t="shared" si="5"/>
        <v/>
      </c>
      <c r="V152" s="1"/>
    </row>
    <row r="153" spans="1:22" x14ac:dyDescent="0.25">
      <c r="A153" s="14"/>
      <c r="B153" s="33"/>
      <c r="C153" s="22"/>
      <c r="D153" s="4"/>
      <c r="E153" s="23"/>
      <c r="F153" s="42"/>
      <c r="G153" s="11"/>
      <c r="H153" s="1"/>
      <c r="I153" s="1"/>
      <c r="J153" s="2"/>
      <c r="K153" s="1"/>
      <c r="L153" s="1"/>
      <c r="M153" s="1"/>
      <c r="N153" s="1"/>
      <c r="O153" s="3"/>
      <c r="P153" s="18" t="str">
        <f t="shared" si="0"/>
        <v/>
      </c>
      <c r="Q153" s="18" t="str">
        <f t="shared" si="1"/>
        <v/>
      </c>
      <c r="R153" s="18" t="str">
        <f t="shared" si="2"/>
        <v/>
      </c>
      <c r="S153" s="18" t="str">
        <f t="shared" si="3"/>
        <v/>
      </c>
      <c r="T153" s="18" t="str">
        <f t="shared" si="4"/>
        <v/>
      </c>
      <c r="U153" s="18" t="str">
        <f t="shared" si="5"/>
        <v/>
      </c>
      <c r="V153" s="1"/>
    </row>
    <row r="154" spans="1:22" x14ac:dyDescent="0.25">
      <c r="A154" s="14"/>
      <c r="B154" s="14"/>
      <c r="C154" s="47">
        <v>0.1</v>
      </c>
      <c r="D154" s="4"/>
      <c r="E154" s="23"/>
      <c r="F154" s="42"/>
      <c r="G154" s="11"/>
      <c r="H154" s="1"/>
      <c r="I154" s="1"/>
      <c r="J154" s="2"/>
      <c r="K154" s="1"/>
      <c r="L154" s="1"/>
      <c r="M154" s="1"/>
      <c r="N154" s="1"/>
      <c r="O154" s="3"/>
      <c r="P154" s="18" t="str">
        <f t="shared" si="0"/>
        <v/>
      </c>
      <c r="Q154" s="18" t="str">
        <f t="shared" si="1"/>
        <v/>
      </c>
      <c r="R154" s="18" t="str">
        <f t="shared" si="2"/>
        <v/>
      </c>
      <c r="S154" s="18" t="str">
        <f t="shared" si="3"/>
        <v/>
      </c>
      <c r="T154" s="18" t="str">
        <f t="shared" si="4"/>
        <v/>
      </c>
      <c r="U154" s="18" t="str">
        <f t="shared" si="5"/>
        <v/>
      </c>
      <c r="V154" s="1"/>
    </row>
    <row r="155" spans="1:22" x14ac:dyDescent="0.25">
      <c r="A155" s="14"/>
      <c r="B155" s="34" t="s">
        <v>20</v>
      </c>
      <c r="C155" s="26"/>
      <c r="D155" s="4"/>
      <c r="E155" s="40">
        <f>0.715-0.08</f>
        <v>0.63500000000000001</v>
      </c>
      <c r="F155" s="42"/>
      <c r="G155" s="11">
        <v>10</v>
      </c>
      <c r="H155" s="1">
        <v>7</v>
      </c>
      <c r="I155" s="1">
        <v>4</v>
      </c>
      <c r="J155" s="41">
        <f>2*(D157+E155)+16*10/1000</f>
        <v>1.8699999999999999</v>
      </c>
      <c r="K155" s="1"/>
      <c r="L155" s="1"/>
      <c r="M155" s="1"/>
      <c r="N155" s="5">
        <f>(J155+K155-M155)</f>
        <v>1.8699999999999999</v>
      </c>
      <c r="O155" s="5">
        <f>(H155*I155*N155)</f>
        <v>52.36</v>
      </c>
      <c r="P155" s="18" t="str">
        <f t="shared" si="0"/>
        <v/>
      </c>
      <c r="Q155" s="18">
        <f t="shared" si="1"/>
        <v>52.36</v>
      </c>
      <c r="R155" s="18" t="str">
        <f t="shared" si="2"/>
        <v/>
      </c>
      <c r="S155" s="18" t="str">
        <f t="shared" si="3"/>
        <v/>
      </c>
      <c r="T155" s="18" t="str">
        <f t="shared" si="4"/>
        <v/>
      </c>
      <c r="U155" s="18" t="str">
        <f t="shared" si="5"/>
        <v/>
      </c>
      <c r="V155" s="1"/>
    </row>
    <row r="156" spans="1:22" x14ac:dyDescent="0.25">
      <c r="A156" s="14"/>
      <c r="B156" s="34"/>
      <c r="C156" s="22"/>
      <c r="D156" s="4"/>
      <c r="E156" s="27"/>
      <c r="F156" s="42"/>
      <c r="G156" s="11"/>
      <c r="H156" s="1"/>
      <c r="I156" s="1"/>
      <c r="J156" s="2"/>
      <c r="K156" s="1"/>
      <c r="L156" s="1"/>
      <c r="M156" s="1"/>
      <c r="N156" s="1"/>
      <c r="O156" s="5"/>
      <c r="P156" s="18" t="str">
        <f t="shared" si="0"/>
        <v/>
      </c>
      <c r="Q156" s="18" t="str">
        <f t="shared" si="1"/>
        <v/>
      </c>
      <c r="R156" s="18" t="str">
        <f t="shared" si="2"/>
        <v/>
      </c>
      <c r="S156" s="18" t="str">
        <f t="shared" si="3"/>
        <v/>
      </c>
      <c r="T156" s="18" t="str">
        <f t="shared" si="4"/>
        <v/>
      </c>
      <c r="U156" s="18" t="str">
        <f t="shared" si="5"/>
        <v/>
      </c>
      <c r="V156" s="1"/>
    </row>
    <row r="157" spans="1:22" x14ac:dyDescent="0.25">
      <c r="A157" s="14"/>
      <c r="B157" s="34"/>
      <c r="C157" s="22"/>
      <c r="D157" s="9">
        <f>0.3-0.08</f>
        <v>0.21999999999999997</v>
      </c>
      <c r="E157" s="23"/>
      <c r="F157" s="42"/>
      <c r="G157" s="11"/>
      <c r="H157" s="1"/>
      <c r="I157" s="1"/>
      <c r="J157" s="2"/>
      <c r="K157" s="1"/>
      <c r="L157" s="1"/>
      <c r="M157" s="1"/>
      <c r="N157" s="1"/>
      <c r="O157" s="5"/>
      <c r="P157" s="18" t="str">
        <f t="shared" si="0"/>
        <v/>
      </c>
      <c r="Q157" s="18" t="str">
        <f t="shared" si="1"/>
        <v/>
      </c>
      <c r="R157" s="18" t="str">
        <f t="shared" si="2"/>
        <v/>
      </c>
      <c r="S157" s="18" t="str">
        <f t="shared" si="3"/>
        <v/>
      </c>
      <c r="T157" s="18" t="str">
        <f t="shared" si="4"/>
        <v/>
      </c>
      <c r="U157" s="18" t="str">
        <f t="shared" si="5"/>
        <v/>
      </c>
      <c r="V157" s="1"/>
    </row>
    <row r="158" spans="1:22" x14ac:dyDescent="0.25">
      <c r="A158" s="14"/>
      <c r="B158" s="33"/>
      <c r="C158" s="22"/>
      <c r="D158" s="4"/>
      <c r="E158" s="23"/>
      <c r="F158" s="42"/>
      <c r="G158" s="11"/>
      <c r="H158" s="1"/>
      <c r="I158" s="1"/>
      <c r="J158" s="2"/>
      <c r="K158" s="1"/>
      <c r="L158" s="1"/>
      <c r="M158" s="1"/>
      <c r="N158" s="1"/>
      <c r="O158" s="5"/>
      <c r="P158" s="18" t="str">
        <f t="shared" si="0"/>
        <v/>
      </c>
      <c r="Q158" s="18" t="str">
        <f t="shared" si="1"/>
        <v/>
      </c>
      <c r="R158" s="18" t="str">
        <f t="shared" si="2"/>
        <v/>
      </c>
      <c r="S158" s="18" t="str">
        <f t="shared" si="3"/>
        <v/>
      </c>
      <c r="T158" s="18" t="str">
        <f t="shared" si="4"/>
        <v/>
      </c>
      <c r="U158" s="18" t="str">
        <f t="shared" si="5"/>
        <v/>
      </c>
      <c r="V158" s="1"/>
    </row>
    <row r="159" spans="1:22" x14ac:dyDescent="0.25">
      <c r="A159" s="14"/>
      <c r="B159" s="14"/>
      <c r="C159" s="47">
        <v>0.1</v>
      </c>
      <c r="D159" s="4"/>
      <c r="E159" s="23"/>
      <c r="F159" s="42"/>
      <c r="G159" s="11"/>
      <c r="H159" s="1"/>
      <c r="I159" s="1"/>
      <c r="J159" s="2"/>
      <c r="K159" s="1"/>
      <c r="L159" s="1"/>
      <c r="M159" s="1"/>
      <c r="N159" s="1"/>
      <c r="O159" s="5"/>
      <c r="P159" s="18" t="str">
        <f t="shared" si="0"/>
        <v/>
      </c>
      <c r="Q159" s="18" t="str">
        <f t="shared" si="1"/>
        <v/>
      </c>
      <c r="R159" s="18" t="str">
        <f t="shared" si="2"/>
        <v/>
      </c>
      <c r="S159" s="18" t="str">
        <f t="shared" si="3"/>
        <v/>
      </c>
      <c r="T159" s="18" t="str">
        <f t="shared" si="4"/>
        <v/>
      </c>
      <c r="U159" s="18" t="str">
        <f t="shared" si="5"/>
        <v/>
      </c>
      <c r="V159" s="1"/>
    </row>
    <row r="160" spans="1:22" x14ac:dyDescent="0.25">
      <c r="A160" s="14"/>
      <c r="B160" s="34" t="s">
        <v>21</v>
      </c>
      <c r="C160" s="26"/>
      <c r="D160" s="4"/>
      <c r="E160" s="40">
        <f>(2*((0.715-0.08-0.016)/6))+0.012+0.02</f>
        <v>0.23833333333333334</v>
      </c>
      <c r="F160" s="42"/>
      <c r="G160" s="11">
        <v>10</v>
      </c>
      <c r="H160" s="1">
        <v>7</v>
      </c>
      <c r="I160" s="1">
        <v>1</v>
      </c>
      <c r="J160" s="41">
        <f>2*(D162+E160)+16*10/1000</f>
        <v>1.0766666666666667</v>
      </c>
      <c r="K160" s="1"/>
      <c r="L160" s="1"/>
      <c r="M160" s="1"/>
      <c r="N160" s="5">
        <f>(J160+K160-M160)</f>
        <v>1.0766666666666667</v>
      </c>
      <c r="O160" s="5">
        <f>(H160*I160*N160)</f>
        <v>7.5366666666666671</v>
      </c>
      <c r="P160" s="18" t="str">
        <f t="shared" si="0"/>
        <v/>
      </c>
      <c r="Q160" s="18">
        <f t="shared" si="1"/>
        <v>7.5366666666666671</v>
      </c>
      <c r="R160" s="18" t="str">
        <f t="shared" si="2"/>
        <v/>
      </c>
      <c r="S160" s="18" t="str">
        <f t="shared" si="3"/>
        <v/>
      </c>
      <c r="T160" s="18" t="str">
        <f t="shared" si="4"/>
        <v/>
      </c>
      <c r="U160" s="18" t="str">
        <f t="shared" si="5"/>
        <v/>
      </c>
      <c r="V160" s="1"/>
    </row>
    <row r="161" spans="1:22" x14ac:dyDescent="0.25">
      <c r="A161" s="14"/>
      <c r="B161" s="34"/>
      <c r="C161" s="22"/>
      <c r="D161" s="4"/>
      <c r="E161" s="27"/>
      <c r="F161" s="42"/>
      <c r="G161" s="11"/>
      <c r="H161" s="1"/>
      <c r="I161" s="1"/>
      <c r="J161" s="2"/>
      <c r="K161" s="1"/>
      <c r="L161" s="1"/>
      <c r="M161" s="1"/>
      <c r="N161" s="1"/>
      <c r="O161" s="5"/>
      <c r="P161" s="18" t="str">
        <f t="shared" si="0"/>
        <v/>
      </c>
      <c r="Q161" s="18" t="str">
        <f t="shared" si="1"/>
        <v/>
      </c>
      <c r="R161" s="18" t="str">
        <f t="shared" si="2"/>
        <v/>
      </c>
      <c r="S161" s="18" t="str">
        <f t="shared" si="3"/>
        <v/>
      </c>
      <c r="T161" s="18" t="str">
        <f t="shared" si="4"/>
        <v/>
      </c>
      <c r="U161" s="18" t="str">
        <f t="shared" si="5"/>
        <v/>
      </c>
      <c r="V161" s="1"/>
    </row>
    <row r="162" spans="1:22" x14ac:dyDescent="0.25">
      <c r="A162" s="14"/>
      <c r="B162" s="34"/>
      <c r="C162" s="22"/>
      <c r="D162" s="9">
        <f>0.3-0.08</f>
        <v>0.21999999999999997</v>
      </c>
      <c r="E162" s="23"/>
      <c r="F162" s="42"/>
      <c r="G162" s="11"/>
      <c r="H162" s="1"/>
      <c r="I162" s="1"/>
      <c r="J162" s="2"/>
      <c r="K162" s="1"/>
      <c r="L162" s="1"/>
      <c r="M162" s="1"/>
      <c r="N162" s="1"/>
      <c r="O162" s="5"/>
      <c r="P162" s="18" t="str">
        <f t="shared" si="0"/>
        <v/>
      </c>
      <c r="Q162" s="18" t="str">
        <f t="shared" si="1"/>
        <v/>
      </c>
      <c r="R162" s="18" t="str">
        <f t="shared" si="2"/>
        <v/>
      </c>
      <c r="S162" s="18" t="str">
        <f t="shared" si="3"/>
        <v/>
      </c>
      <c r="T162" s="18" t="str">
        <f t="shared" si="4"/>
        <v/>
      </c>
      <c r="U162" s="18" t="str">
        <f t="shared" si="5"/>
        <v/>
      </c>
      <c r="V162" s="1"/>
    </row>
    <row r="163" spans="1:22" x14ac:dyDescent="0.25">
      <c r="A163" s="14"/>
      <c r="B163" s="34"/>
      <c r="C163" s="22"/>
      <c r="D163" s="4"/>
      <c r="E163" s="23"/>
      <c r="F163" s="42"/>
      <c r="G163" s="11"/>
      <c r="H163" s="1"/>
      <c r="I163" s="1"/>
      <c r="J163" s="2"/>
      <c r="K163" s="1"/>
      <c r="L163" s="1"/>
      <c r="M163" s="1"/>
      <c r="N163" s="1"/>
      <c r="O163" s="5"/>
      <c r="P163" s="18" t="str">
        <f t="shared" si="0"/>
        <v/>
      </c>
      <c r="Q163" s="18" t="str">
        <f t="shared" si="1"/>
        <v/>
      </c>
      <c r="R163" s="18" t="str">
        <f t="shared" si="2"/>
        <v/>
      </c>
      <c r="S163" s="18" t="str">
        <f t="shared" si="3"/>
        <v/>
      </c>
      <c r="T163" s="18" t="str">
        <f t="shared" si="4"/>
        <v/>
      </c>
      <c r="U163" s="18" t="str">
        <f t="shared" si="5"/>
        <v/>
      </c>
      <c r="V163" s="1"/>
    </row>
    <row r="164" spans="1:22" x14ac:dyDescent="0.25">
      <c r="A164" s="14"/>
      <c r="B164" s="34" t="s">
        <v>22</v>
      </c>
      <c r="C164" s="22"/>
      <c r="D164" s="25"/>
      <c r="E164" s="23"/>
      <c r="F164" s="42"/>
      <c r="G164" s="11">
        <v>10</v>
      </c>
      <c r="H164" s="1">
        <v>7</v>
      </c>
      <c r="I164" s="1">
        <v>1</v>
      </c>
      <c r="J164" s="41">
        <f>C165+D167+E165+2*10*G164/1000</f>
        <v>0.72399999999999998</v>
      </c>
      <c r="K164" s="1"/>
      <c r="L164" s="1"/>
      <c r="M164" s="5">
        <f>4*3*G164/1000</f>
        <v>0.12</v>
      </c>
      <c r="N164" s="5">
        <f>(J164+K164-M164)</f>
        <v>0.60399999999999998</v>
      </c>
      <c r="O164" s="5">
        <f>(H164*I164*N164)</f>
        <v>4.2279999999999998</v>
      </c>
      <c r="P164" s="18" t="str">
        <f t="shared" si="0"/>
        <v/>
      </c>
      <c r="Q164" s="18">
        <f t="shared" si="1"/>
        <v>4.2279999999999998</v>
      </c>
      <c r="R164" s="18" t="str">
        <f t="shared" si="2"/>
        <v/>
      </c>
      <c r="S164" s="18" t="str">
        <f t="shared" si="3"/>
        <v/>
      </c>
      <c r="T164" s="18" t="str">
        <f t="shared" si="4"/>
        <v/>
      </c>
      <c r="U164" s="18" t="str">
        <f t="shared" si="5"/>
        <v/>
      </c>
      <c r="V164" s="1"/>
    </row>
    <row r="165" spans="1:22" x14ac:dyDescent="0.25">
      <c r="A165" s="14"/>
      <c r="B165" s="34"/>
      <c r="C165" s="29">
        <v>0.152</v>
      </c>
      <c r="D165" s="4"/>
      <c r="E165" s="23">
        <v>0.152</v>
      </c>
      <c r="F165" s="42"/>
      <c r="G165" s="11"/>
      <c r="H165" s="1"/>
      <c r="I165" s="1"/>
      <c r="J165" s="2"/>
      <c r="K165" s="1"/>
      <c r="L165" s="1"/>
      <c r="M165" s="1"/>
      <c r="N165" s="1"/>
      <c r="O165" s="5"/>
      <c r="P165" s="18" t="str">
        <f>IF($G165=8,$O165,"")</f>
        <v/>
      </c>
      <c r="Q165" s="18" t="str">
        <f>IF($G165=10,$O165,"")</f>
        <v/>
      </c>
      <c r="R165" s="18" t="str">
        <f>IF($G165=12,$O165,"")</f>
        <v/>
      </c>
      <c r="S165" s="18" t="str">
        <f>IF($G165=16,$O165,"")</f>
        <v/>
      </c>
      <c r="T165" s="18" t="str">
        <f>IF($G165=20,$O165,"")</f>
        <v/>
      </c>
      <c r="U165" s="18" t="str">
        <f>IF($G165=25,$O165,"")</f>
        <v/>
      </c>
      <c r="V165" s="1"/>
    </row>
    <row r="166" spans="1:22" x14ac:dyDescent="0.25">
      <c r="A166" s="14"/>
      <c r="B166" s="34"/>
      <c r="C166" s="22"/>
      <c r="D166" s="4"/>
      <c r="E166" s="23"/>
      <c r="F166" s="42"/>
      <c r="G166" s="11"/>
      <c r="H166" s="1"/>
      <c r="I166" s="1"/>
      <c r="J166" s="2"/>
      <c r="K166" s="1"/>
      <c r="L166" s="1"/>
      <c r="M166" s="1"/>
      <c r="N166" s="1"/>
      <c r="O166" s="5"/>
      <c r="P166" s="18" t="str">
        <f t="shared" si="0"/>
        <v/>
      </c>
      <c r="Q166" s="18" t="str">
        <f t="shared" si="1"/>
        <v/>
      </c>
      <c r="R166" s="18" t="str">
        <f t="shared" si="2"/>
        <v/>
      </c>
      <c r="S166" s="18" t="str">
        <f t="shared" si="3"/>
        <v/>
      </c>
      <c r="T166" s="18" t="str">
        <f t="shared" si="4"/>
        <v/>
      </c>
      <c r="U166" s="18" t="str">
        <f t="shared" si="5"/>
        <v/>
      </c>
      <c r="V166" s="1"/>
    </row>
    <row r="167" spans="1:22" x14ac:dyDescent="0.25">
      <c r="A167" s="14"/>
      <c r="B167" s="34"/>
      <c r="C167" s="22"/>
      <c r="D167" s="9">
        <f>0.3-0.08</f>
        <v>0.21999999999999997</v>
      </c>
      <c r="E167" s="23"/>
      <c r="F167" s="42"/>
      <c r="G167" s="11"/>
      <c r="H167" s="1"/>
      <c r="I167" s="1"/>
      <c r="J167" s="2"/>
      <c r="K167" s="1"/>
      <c r="L167" s="1"/>
      <c r="M167" s="1"/>
      <c r="N167" s="1"/>
      <c r="O167" s="5"/>
      <c r="P167" s="18" t="str">
        <f t="shared" si="0"/>
        <v/>
      </c>
      <c r="Q167" s="18" t="str">
        <f t="shared" si="1"/>
        <v/>
      </c>
      <c r="R167" s="18" t="str">
        <f t="shared" si="2"/>
        <v/>
      </c>
      <c r="S167" s="18" t="str">
        <f t="shared" si="3"/>
        <v/>
      </c>
      <c r="T167" s="18" t="str">
        <f t="shared" si="4"/>
        <v/>
      </c>
      <c r="U167" s="18" t="str">
        <f t="shared" si="5"/>
        <v/>
      </c>
      <c r="V167" s="1"/>
    </row>
    <row r="168" spans="1:22" x14ac:dyDescent="0.25">
      <c r="A168" s="14"/>
      <c r="B168" s="34"/>
      <c r="C168" s="22"/>
      <c r="D168" s="4"/>
      <c r="E168" s="23"/>
      <c r="F168" s="42"/>
      <c r="G168" s="11"/>
      <c r="H168" s="1"/>
      <c r="I168" s="1"/>
      <c r="J168" s="2"/>
      <c r="K168" s="1"/>
      <c r="L168" s="1"/>
      <c r="M168" s="1"/>
      <c r="N168" s="1"/>
      <c r="O168" s="5"/>
      <c r="P168" s="18" t="str">
        <f t="shared" si="0"/>
        <v/>
      </c>
      <c r="Q168" s="18" t="str">
        <f t="shared" si="1"/>
        <v/>
      </c>
      <c r="R168" s="18" t="str">
        <f t="shared" si="2"/>
        <v/>
      </c>
      <c r="S168" s="18" t="str">
        <f t="shared" si="3"/>
        <v/>
      </c>
      <c r="T168" s="18" t="str">
        <f t="shared" si="4"/>
        <v/>
      </c>
      <c r="U168" s="18" t="str">
        <f t="shared" si="5"/>
        <v/>
      </c>
      <c r="V168" s="1"/>
    </row>
    <row r="169" spans="1:22" x14ac:dyDescent="0.25">
      <c r="A169" s="14"/>
      <c r="B169" s="34" t="s">
        <v>36</v>
      </c>
      <c r="C169" s="22"/>
      <c r="D169" s="25"/>
      <c r="E169" s="23"/>
      <c r="F169" s="42"/>
      <c r="G169" s="11">
        <v>10</v>
      </c>
      <c r="H169" s="1">
        <v>7</v>
      </c>
      <c r="I169" s="1">
        <v>1</v>
      </c>
      <c r="J169" s="41">
        <f>C170+D172+E170+2*10*G169/1000</f>
        <v>0.72399999999999998</v>
      </c>
      <c r="K169" s="1"/>
      <c r="L169" s="1"/>
      <c r="M169" s="5">
        <f>4*3*G169/1000</f>
        <v>0.12</v>
      </c>
      <c r="N169" s="5">
        <f>(J169+K169-M169)</f>
        <v>0.60399999999999998</v>
      </c>
      <c r="O169" s="5">
        <f>(H169*I169*N169)</f>
        <v>4.2279999999999998</v>
      </c>
      <c r="P169" s="18" t="str">
        <f t="shared" si="0"/>
        <v/>
      </c>
      <c r="Q169" s="18">
        <f t="shared" si="1"/>
        <v>4.2279999999999998</v>
      </c>
      <c r="R169" s="18" t="str">
        <f t="shared" si="2"/>
        <v/>
      </c>
      <c r="S169" s="18" t="str">
        <f t="shared" si="3"/>
        <v/>
      </c>
      <c r="T169" s="18" t="str">
        <f t="shared" si="4"/>
        <v/>
      </c>
      <c r="U169" s="18" t="str">
        <f t="shared" si="5"/>
        <v/>
      </c>
      <c r="V169" s="1"/>
    </row>
    <row r="170" spans="1:22" x14ac:dyDescent="0.25">
      <c r="A170" s="14"/>
      <c r="B170" s="34"/>
      <c r="C170" s="29">
        <v>0.152</v>
      </c>
      <c r="D170" s="4"/>
      <c r="E170" s="23">
        <v>0.152</v>
      </c>
      <c r="F170" s="42"/>
      <c r="G170" s="11"/>
      <c r="H170" s="1"/>
      <c r="I170" s="1"/>
      <c r="J170" s="2"/>
      <c r="K170" s="1"/>
      <c r="L170" s="1"/>
      <c r="M170" s="1"/>
      <c r="N170" s="1"/>
      <c r="O170" s="5"/>
      <c r="P170" s="18" t="str">
        <f t="shared" si="0"/>
        <v/>
      </c>
      <c r="Q170" s="18" t="str">
        <f t="shared" si="1"/>
        <v/>
      </c>
      <c r="R170" s="18" t="str">
        <f t="shared" si="2"/>
        <v/>
      </c>
      <c r="S170" s="18" t="str">
        <f t="shared" si="3"/>
        <v/>
      </c>
      <c r="T170" s="18" t="str">
        <f t="shared" si="4"/>
        <v/>
      </c>
      <c r="U170" s="18" t="str">
        <f t="shared" si="5"/>
        <v/>
      </c>
      <c r="V170" s="1"/>
    </row>
    <row r="171" spans="1:22" x14ac:dyDescent="0.25">
      <c r="A171" s="14"/>
      <c r="B171" s="34"/>
      <c r="C171" s="22"/>
      <c r="D171" s="4"/>
      <c r="E171" s="23"/>
      <c r="F171" s="42"/>
      <c r="G171" s="11"/>
      <c r="H171" s="1"/>
      <c r="I171" s="1"/>
      <c r="J171" s="2"/>
      <c r="K171" s="1"/>
      <c r="L171" s="1"/>
      <c r="M171" s="1"/>
      <c r="N171" s="1"/>
      <c r="O171" s="3"/>
      <c r="P171" s="18" t="str">
        <f t="shared" si="0"/>
        <v/>
      </c>
      <c r="Q171" s="18" t="str">
        <f t="shared" si="1"/>
        <v/>
      </c>
      <c r="R171" s="18" t="str">
        <f t="shared" si="2"/>
        <v/>
      </c>
      <c r="S171" s="18" t="str">
        <f t="shared" si="3"/>
        <v/>
      </c>
      <c r="T171" s="18" t="str">
        <f t="shared" si="4"/>
        <v/>
      </c>
      <c r="U171" s="18" t="str">
        <f t="shared" si="5"/>
        <v/>
      </c>
      <c r="V171" s="1"/>
    </row>
    <row r="172" spans="1:22" x14ac:dyDescent="0.25">
      <c r="A172" s="14"/>
      <c r="B172" s="34"/>
      <c r="C172" s="22"/>
      <c r="D172" s="9">
        <f>0.3-0.08</f>
        <v>0.21999999999999997</v>
      </c>
      <c r="E172" s="23"/>
      <c r="F172" s="42"/>
      <c r="G172" s="11"/>
      <c r="H172" s="1"/>
      <c r="I172" s="1"/>
      <c r="J172" s="2"/>
      <c r="K172" s="1"/>
      <c r="L172" s="1"/>
      <c r="M172" s="1"/>
      <c r="N172" s="1"/>
      <c r="O172" s="3"/>
      <c r="P172" s="18" t="str">
        <f t="shared" si="0"/>
        <v/>
      </c>
      <c r="Q172" s="18" t="str">
        <f t="shared" si="1"/>
        <v/>
      </c>
      <c r="R172" s="18" t="str">
        <f t="shared" si="2"/>
        <v/>
      </c>
      <c r="S172" s="18" t="str">
        <f t="shared" si="3"/>
        <v/>
      </c>
      <c r="T172" s="18" t="str">
        <f t="shared" si="4"/>
        <v/>
      </c>
      <c r="U172" s="18" t="str">
        <f t="shared" si="5"/>
        <v/>
      </c>
      <c r="V172" s="1"/>
    </row>
    <row r="173" spans="1:22" x14ac:dyDescent="0.25">
      <c r="A173" s="14"/>
      <c r="B173" s="33"/>
      <c r="C173" s="22"/>
      <c r="D173" s="4"/>
      <c r="E173" s="23"/>
      <c r="F173" s="42"/>
      <c r="G173" s="11"/>
      <c r="H173" s="1"/>
      <c r="I173" s="1"/>
      <c r="J173" s="2"/>
      <c r="K173" s="1"/>
      <c r="L173" s="1"/>
      <c r="M173" s="1"/>
      <c r="N173" s="1"/>
      <c r="O173" s="3"/>
      <c r="P173" s="18" t="str">
        <f t="shared" si="0"/>
        <v/>
      </c>
      <c r="Q173" s="18" t="str">
        <f t="shared" si="1"/>
        <v/>
      </c>
      <c r="R173" s="18" t="str">
        <f t="shared" si="2"/>
        <v/>
      </c>
      <c r="S173" s="18" t="str">
        <f t="shared" si="3"/>
        <v/>
      </c>
      <c r="T173" s="18" t="str">
        <f t="shared" si="4"/>
        <v/>
      </c>
      <c r="U173" s="18" t="str">
        <f t="shared" si="5"/>
        <v/>
      </c>
      <c r="V173" s="1"/>
    </row>
    <row r="174" spans="1:22" x14ac:dyDescent="0.25">
      <c r="A174" s="14"/>
      <c r="B174" s="33"/>
      <c r="C174" s="22"/>
      <c r="D174" s="4"/>
      <c r="E174" s="39">
        <v>0.1</v>
      </c>
      <c r="F174" s="42"/>
      <c r="G174" s="11"/>
      <c r="H174" s="1"/>
      <c r="I174" s="1"/>
      <c r="J174" s="2"/>
      <c r="K174" s="1"/>
      <c r="L174" s="1"/>
      <c r="M174" s="1"/>
      <c r="N174" s="1"/>
      <c r="O174" s="3"/>
      <c r="P174" s="18" t="str">
        <f t="shared" si="0"/>
        <v/>
      </c>
      <c r="Q174" s="18" t="str">
        <f t="shared" si="1"/>
        <v/>
      </c>
      <c r="R174" s="18" t="str">
        <f t="shared" si="2"/>
        <v/>
      </c>
      <c r="S174" s="18" t="str">
        <f t="shared" si="3"/>
        <v/>
      </c>
      <c r="T174" s="18" t="str">
        <f t="shared" si="4"/>
        <v/>
      </c>
      <c r="U174" s="18" t="str">
        <f t="shared" si="5"/>
        <v/>
      </c>
      <c r="V174" s="1"/>
    </row>
    <row r="175" spans="1:22" x14ac:dyDescent="0.25">
      <c r="A175" s="14"/>
      <c r="B175" s="34" t="s">
        <v>37</v>
      </c>
      <c r="C175" s="22"/>
      <c r="D175" s="25">
        <f>0.3-0.08</f>
        <v>0.21999999999999997</v>
      </c>
      <c r="E175" s="39"/>
      <c r="F175" s="42"/>
      <c r="G175" s="11">
        <v>10</v>
      </c>
      <c r="H175" s="1">
        <v>7</v>
      </c>
      <c r="I175" s="1">
        <v>1</v>
      </c>
      <c r="J175" s="41">
        <f>D175+E174+E176</f>
        <v>0.41999999999999993</v>
      </c>
      <c r="K175" s="1"/>
      <c r="L175" s="1"/>
      <c r="M175" s="5">
        <f>2*3*G175/1000</f>
        <v>0.06</v>
      </c>
      <c r="N175" s="5">
        <f>(J175+K175-M175)</f>
        <v>0.35999999999999993</v>
      </c>
      <c r="O175" s="5">
        <f>(H175*I175*N175)</f>
        <v>2.5199999999999996</v>
      </c>
      <c r="P175" s="18" t="str">
        <f t="shared" si="0"/>
        <v/>
      </c>
      <c r="Q175" s="18">
        <f t="shared" si="1"/>
        <v>2.5199999999999996</v>
      </c>
      <c r="R175" s="18" t="str">
        <f t="shared" si="2"/>
        <v/>
      </c>
      <c r="S175" s="18" t="str">
        <f t="shared" si="3"/>
        <v/>
      </c>
      <c r="T175" s="18" t="str">
        <f t="shared" si="4"/>
        <v/>
      </c>
      <c r="U175" s="18" t="str">
        <f t="shared" si="5"/>
        <v/>
      </c>
      <c r="V175" s="1"/>
    </row>
    <row r="176" spans="1:22" x14ac:dyDescent="0.25">
      <c r="A176" s="14"/>
      <c r="B176" s="33"/>
      <c r="C176" s="22"/>
      <c r="D176" s="4"/>
      <c r="E176" s="39">
        <v>0.1</v>
      </c>
      <c r="F176" s="42"/>
      <c r="G176" s="11"/>
      <c r="H176" s="1"/>
      <c r="I176" s="1"/>
      <c r="J176" s="2"/>
      <c r="K176" s="1"/>
      <c r="L176" s="1"/>
      <c r="M176" s="1"/>
      <c r="N176" s="1"/>
      <c r="O176" s="3"/>
      <c r="P176" s="18" t="str">
        <f t="shared" si="0"/>
        <v/>
      </c>
      <c r="Q176" s="18" t="str">
        <f t="shared" si="1"/>
        <v/>
      </c>
      <c r="R176" s="18" t="str">
        <f t="shared" si="2"/>
        <v/>
      </c>
      <c r="S176" s="18" t="str">
        <f t="shared" si="3"/>
        <v/>
      </c>
      <c r="T176" s="18" t="str">
        <f t="shared" si="4"/>
        <v/>
      </c>
      <c r="U176" s="18" t="str">
        <f t="shared" si="5"/>
        <v/>
      </c>
      <c r="V176" s="1"/>
    </row>
    <row r="177" spans="1:22" x14ac:dyDescent="0.25">
      <c r="A177" s="14"/>
      <c r="B177" s="34"/>
      <c r="C177" s="22"/>
      <c r="D177" s="28"/>
      <c r="E177" s="23"/>
      <c r="F177" s="42"/>
      <c r="G177" s="11"/>
      <c r="H177" s="1"/>
      <c r="I177" s="1"/>
      <c r="J177" s="2"/>
      <c r="K177" s="1"/>
      <c r="L177" s="1"/>
      <c r="M177" s="1"/>
      <c r="N177" s="1"/>
      <c r="O177" s="3"/>
      <c r="P177" s="18" t="str">
        <f t="shared" si="0"/>
        <v/>
      </c>
      <c r="Q177" s="18" t="str">
        <f t="shared" si="1"/>
        <v/>
      </c>
      <c r="R177" s="18" t="str">
        <f t="shared" si="2"/>
        <v/>
      </c>
      <c r="S177" s="18" t="str">
        <f t="shared" si="3"/>
        <v/>
      </c>
      <c r="T177" s="18" t="str">
        <f t="shared" si="4"/>
        <v/>
      </c>
      <c r="U177" s="18" t="str">
        <f t="shared" si="5"/>
        <v/>
      </c>
      <c r="V177" s="1"/>
    </row>
    <row r="178" spans="1:22" x14ac:dyDescent="0.25">
      <c r="A178" s="14">
        <v>7</v>
      </c>
      <c r="B178" s="14" t="s">
        <v>41</v>
      </c>
      <c r="C178" s="22"/>
      <c r="D178" s="4"/>
      <c r="E178" s="23"/>
      <c r="F178" s="42"/>
      <c r="G178" s="11"/>
      <c r="H178" s="1"/>
      <c r="I178" s="1"/>
      <c r="J178" s="9"/>
      <c r="K178" s="5"/>
      <c r="L178" s="5"/>
      <c r="M178" s="1"/>
      <c r="N178" s="5"/>
      <c r="O178" s="5"/>
      <c r="P178" s="18" t="str">
        <f>IF($G178=8,$O178,"")</f>
        <v/>
      </c>
      <c r="Q178" s="18" t="str">
        <f>IF($G178=10,$O178,"")</f>
        <v/>
      </c>
      <c r="R178" s="18" t="str">
        <f>IF($G178=12,$O178,"")</f>
        <v/>
      </c>
      <c r="S178" s="18" t="str">
        <f>IF($G178=16,$O178,"")</f>
        <v/>
      </c>
      <c r="T178" s="18" t="str">
        <f>IF($G178=20,$O178,"")</f>
        <v/>
      </c>
      <c r="U178" s="18" t="str">
        <f>IF($G178=25,$O178,"")</f>
        <v/>
      </c>
      <c r="V178" s="1"/>
    </row>
    <row r="179" spans="1:22" x14ac:dyDescent="0.25">
      <c r="A179" s="14"/>
      <c r="B179" s="33" t="s">
        <v>18</v>
      </c>
      <c r="C179" s="22"/>
      <c r="D179" s="25">
        <f>0.85-0.075-2*0.016</f>
        <v>0.74299999999999999</v>
      </c>
      <c r="E179" s="23"/>
      <c r="F179" s="42"/>
      <c r="G179" s="11">
        <v>16</v>
      </c>
      <c r="H179" s="1">
        <v>2</v>
      </c>
      <c r="I179" s="1">
        <v>4</v>
      </c>
      <c r="J179" s="9">
        <f>D179</f>
        <v>0.74299999999999999</v>
      </c>
      <c r="K179" s="46" t="str">
        <f>IF(N179&lt;12,"0",0.049*G179)</f>
        <v>0</v>
      </c>
      <c r="L179" s="45">
        <v>1</v>
      </c>
      <c r="M179" s="1">
        <f>2*G179*L179/1000</f>
        <v>3.2000000000000001E-2</v>
      </c>
      <c r="N179" s="5">
        <f>J179+E181-M179</f>
        <v>1.0109999999999999</v>
      </c>
      <c r="O179" s="5">
        <f>H179*I179*N179</f>
        <v>8.0879999999999992</v>
      </c>
      <c r="P179" s="18" t="str">
        <f t="shared" si="0"/>
        <v/>
      </c>
      <c r="Q179" s="18" t="str">
        <f t="shared" si="1"/>
        <v/>
      </c>
      <c r="R179" s="18" t="str">
        <f t="shared" si="2"/>
        <v/>
      </c>
      <c r="S179" s="18">
        <f t="shared" si="3"/>
        <v>8.0879999999999992</v>
      </c>
      <c r="T179" s="18" t="str">
        <f t="shared" si="4"/>
        <v/>
      </c>
      <c r="U179" s="18" t="str">
        <f t="shared" si="5"/>
        <v/>
      </c>
      <c r="V179" s="1"/>
    </row>
    <row r="180" spans="1:22" x14ac:dyDescent="0.25">
      <c r="A180" s="14"/>
      <c r="B180" s="33" t="s">
        <v>32</v>
      </c>
      <c r="C180" s="22"/>
      <c r="D180" s="4"/>
      <c r="E180" s="23"/>
      <c r="F180" s="42"/>
      <c r="G180" s="11">
        <v>12</v>
      </c>
      <c r="H180" s="1">
        <v>2</v>
      </c>
      <c r="I180" s="1">
        <v>2</v>
      </c>
      <c r="J180" s="9">
        <f>D179</f>
        <v>0.74299999999999999</v>
      </c>
      <c r="K180" s="46" t="str">
        <f t="shared" ref="K180:K182" si="24">IF(N180&lt;12,"0",0.049*G180)</f>
        <v>0</v>
      </c>
      <c r="L180" s="45">
        <v>1</v>
      </c>
      <c r="M180" s="1">
        <f t="shared" ref="M180:M182" si="25">2*G180*L180/1000</f>
        <v>2.4E-2</v>
      </c>
      <c r="N180" s="5">
        <f>J180+E181-M180</f>
        <v>1.0189999999999999</v>
      </c>
      <c r="O180" s="5">
        <f>H180*I180*N180</f>
        <v>4.0759999999999996</v>
      </c>
      <c r="P180" s="18" t="str">
        <f t="shared" si="0"/>
        <v/>
      </c>
      <c r="Q180" s="18" t="str">
        <f t="shared" si="1"/>
        <v/>
      </c>
      <c r="R180" s="18">
        <f t="shared" si="2"/>
        <v>4.0759999999999996</v>
      </c>
      <c r="S180" s="18" t="str">
        <f t="shared" si="3"/>
        <v/>
      </c>
      <c r="T180" s="18" t="str">
        <f t="shared" si="4"/>
        <v/>
      </c>
      <c r="U180" s="18" t="str">
        <f t="shared" si="5"/>
        <v/>
      </c>
      <c r="V180" s="1"/>
    </row>
    <row r="181" spans="1:22" x14ac:dyDescent="0.25">
      <c r="A181" s="14"/>
      <c r="B181" s="33" t="s">
        <v>26</v>
      </c>
      <c r="C181" s="24"/>
      <c r="D181" s="25"/>
      <c r="E181" s="39">
        <v>0.3</v>
      </c>
      <c r="F181" s="42"/>
      <c r="G181" s="11">
        <v>12</v>
      </c>
      <c r="H181" s="1">
        <v>2</v>
      </c>
      <c r="I181" s="1">
        <v>4</v>
      </c>
      <c r="J181" s="9">
        <f>D179</f>
        <v>0.74299999999999999</v>
      </c>
      <c r="K181" s="46" t="str">
        <f t="shared" si="24"/>
        <v>0</v>
      </c>
      <c r="L181" s="45">
        <v>1</v>
      </c>
      <c r="M181" s="1">
        <f t="shared" si="25"/>
        <v>2.4E-2</v>
      </c>
      <c r="N181" s="5">
        <f>J181+E181-M181</f>
        <v>1.0189999999999999</v>
      </c>
      <c r="O181" s="5">
        <f>H181*I181*N181</f>
        <v>8.1519999999999992</v>
      </c>
      <c r="P181" s="18" t="str">
        <f t="shared" si="0"/>
        <v/>
      </c>
      <c r="Q181" s="18" t="str">
        <f t="shared" si="1"/>
        <v/>
      </c>
      <c r="R181" s="18">
        <f t="shared" si="2"/>
        <v>8.1519999999999992</v>
      </c>
      <c r="S181" s="18" t="str">
        <f t="shared" si="3"/>
        <v/>
      </c>
      <c r="T181" s="18" t="str">
        <f t="shared" si="4"/>
        <v/>
      </c>
      <c r="U181" s="18" t="str">
        <f t="shared" si="5"/>
        <v/>
      </c>
      <c r="V181" s="1"/>
    </row>
    <row r="182" spans="1:22" x14ac:dyDescent="0.25">
      <c r="A182" s="14"/>
      <c r="B182" s="33" t="s">
        <v>19</v>
      </c>
      <c r="C182" s="22"/>
      <c r="D182" s="4"/>
      <c r="E182" s="23"/>
      <c r="F182" s="42"/>
      <c r="G182" s="11">
        <v>12</v>
      </c>
      <c r="H182" s="1">
        <v>2</v>
      </c>
      <c r="I182" s="1">
        <v>4</v>
      </c>
      <c r="J182" s="9">
        <f>D179</f>
        <v>0.74299999999999999</v>
      </c>
      <c r="K182" s="46" t="str">
        <f t="shared" si="24"/>
        <v>0</v>
      </c>
      <c r="L182" s="45">
        <v>1</v>
      </c>
      <c r="M182" s="1">
        <f t="shared" si="25"/>
        <v>2.4E-2</v>
      </c>
      <c r="N182" s="5">
        <f>J182+E181-M182</f>
        <v>1.0189999999999999</v>
      </c>
      <c r="O182" s="5">
        <f>H182*I182*N182</f>
        <v>8.1519999999999992</v>
      </c>
      <c r="P182" s="18" t="str">
        <f t="shared" si="0"/>
        <v/>
      </c>
      <c r="Q182" s="18" t="str">
        <f t="shared" si="1"/>
        <v/>
      </c>
      <c r="R182" s="18">
        <f t="shared" si="2"/>
        <v>8.1519999999999992</v>
      </c>
      <c r="S182" s="18" t="str">
        <f t="shared" si="3"/>
        <v/>
      </c>
      <c r="T182" s="18" t="str">
        <f t="shared" si="4"/>
        <v/>
      </c>
      <c r="U182" s="18" t="str">
        <f t="shared" si="5"/>
        <v/>
      </c>
      <c r="V182" s="1"/>
    </row>
    <row r="183" spans="1:22" x14ac:dyDescent="0.25">
      <c r="A183" s="14"/>
      <c r="B183" s="33" t="s">
        <v>35</v>
      </c>
      <c r="C183" s="22"/>
      <c r="D183" s="4"/>
      <c r="E183" s="23"/>
      <c r="F183" s="42"/>
      <c r="G183" s="11">
        <v>12</v>
      </c>
      <c r="H183" s="1">
        <v>2</v>
      </c>
      <c r="I183" s="1">
        <v>4</v>
      </c>
      <c r="J183" s="9">
        <f>D179</f>
        <v>0.74299999999999999</v>
      </c>
      <c r="K183" s="46" t="str">
        <f t="shared" ref="K183" si="26">IF(N183&lt;12,"0",0.049*G183)</f>
        <v>0</v>
      </c>
      <c r="L183" s="45">
        <v>1</v>
      </c>
      <c r="M183" s="1">
        <f t="shared" ref="M183" si="27">2*G183*L183/1000</f>
        <v>2.4E-2</v>
      </c>
      <c r="N183" s="5">
        <f>J183+E182-M183</f>
        <v>0.71899999999999997</v>
      </c>
      <c r="O183" s="5">
        <f>H183*I183*N183</f>
        <v>5.7519999999999998</v>
      </c>
      <c r="P183" s="18" t="str">
        <f t="shared" si="0"/>
        <v/>
      </c>
      <c r="Q183" s="18" t="str">
        <f t="shared" si="1"/>
        <v/>
      </c>
      <c r="R183" s="18">
        <f t="shared" si="2"/>
        <v>5.7519999999999998</v>
      </c>
      <c r="S183" s="18" t="str">
        <f t="shared" si="3"/>
        <v/>
      </c>
      <c r="T183" s="18" t="str">
        <f t="shared" si="4"/>
        <v/>
      </c>
      <c r="U183" s="18" t="str">
        <f t="shared" si="5"/>
        <v/>
      </c>
      <c r="V183" s="1"/>
    </row>
    <row r="184" spans="1:22" x14ac:dyDescent="0.25">
      <c r="A184" s="14"/>
      <c r="B184" s="33"/>
      <c r="C184" s="22"/>
      <c r="D184" s="4"/>
      <c r="E184" s="23"/>
      <c r="F184" s="42"/>
      <c r="G184" s="11"/>
      <c r="H184" s="1"/>
      <c r="I184" s="1"/>
      <c r="J184" s="2"/>
      <c r="K184" s="1"/>
      <c r="L184" s="1"/>
      <c r="M184" s="1"/>
      <c r="N184" s="1"/>
      <c r="O184" s="3"/>
      <c r="P184" s="18" t="str">
        <f t="shared" si="0"/>
        <v/>
      </c>
      <c r="Q184" s="18" t="str">
        <f t="shared" si="1"/>
        <v/>
      </c>
      <c r="R184" s="18" t="str">
        <f t="shared" si="2"/>
        <v/>
      </c>
      <c r="S184" s="18" t="str">
        <f t="shared" si="3"/>
        <v/>
      </c>
      <c r="T184" s="18" t="str">
        <f t="shared" si="4"/>
        <v/>
      </c>
      <c r="U184" s="18" t="str">
        <f t="shared" si="5"/>
        <v/>
      </c>
      <c r="V184" s="1"/>
    </row>
    <row r="185" spans="1:22" x14ac:dyDescent="0.25">
      <c r="A185" s="14"/>
      <c r="B185" s="14"/>
      <c r="C185" s="47">
        <v>0.1</v>
      </c>
      <c r="D185" s="4"/>
      <c r="E185" s="23"/>
      <c r="F185" s="42"/>
      <c r="G185" s="11"/>
      <c r="H185" s="1"/>
      <c r="I185" s="1"/>
      <c r="J185" s="2"/>
      <c r="K185" s="1"/>
      <c r="L185" s="1"/>
      <c r="M185" s="1"/>
      <c r="N185" s="1"/>
      <c r="O185" s="3"/>
      <c r="P185" s="18" t="str">
        <f t="shared" si="0"/>
        <v/>
      </c>
      <c r="Q185" s="18" t="str">
        <f t="shared" si="1"/>
        <v/>
      </c>
      <c r="R185" s="18" t="str">
        <f t="shared" si="2"/>
        <v/>
      </c>
      <c r="S185" s="18" t="str">
        <f t="shared" si="3"/>
        <v/>
      </c>
      <c r="T185" s="18" t="str">
        <f t="shared" si="4"/>
        <v/>
      </c>
      <c r="U185" s="18" t="str">
        <f t="shared" si="5"/>
        <v/>
      </c>
      <c r="V185" s="1"/>
    </row>
    <row r="186" spans="1:22" x14ac:dyDescent="0.25">
      <c r="A186" s="14"/>
      <c r="B186" s="34" t="s">
        <v>20</v>
      </c>
      <c r="C186" s="26"/>
      <c r="D186" s="4"/>
      <c r="E186" s="40">
        <f>0.8-0.08</f>
        <v>0.72000000000000008</v>
      </c>
      <c r="F186" s="42"/>
      <c r="G186" s="11">
        <v>10</v>
      </c>
      <c r="H186" s="1">
        <v>2</v>
      </c>
      <c r="I186" s="1">
        <v>4</v>
      </c>
      <c r="J186" s="41">
        <f>2*(D188+E186)+16*10/1000</f>
        <v>2.04</v>
      </c>
      <c r="K186" s="1"/>
      <c r="L186" s="1"/>
      <c r="M186" s="1"/>
      <c r="N186" s="5">
        <f>(J186+K186-M186)</f>
        <v>2.04</v>
      </c>
      <c r="O186" s="5">
        <f>(H186*I186*N186)</f>
        <v>16.32</v>
      </c>
      <c r="P186" s="18" t="str">
        <f t="shared" si="0"/>
        <v/>
      </c>
      <c r="Q186" s="18">
        <f t="shared" si="1"/>
        <v>16.32</v>
      </c>
      <c r="R186" s="18" t="str">
        <f t="shared" si="2"/>
        <v/>
      </c>
      <c r="S186" s="18" t="str">
        <f t="shared" si="3"/>
        <v/>
      </c>
      <c r="T186" s="18" t="str">
        <f t="shared" si="4"/>
        <v/>
      </c>
      <c r="U186" s="18" t="str">
        <f t="shared" si="5"/>
        <v/>
      </c>
      <c r="V186" s="1"/>
    </row>
    <row r="187" spans="1:22" x14ac:dyDescent="0.25">
      <c r="A187" s="14"/>
      <c r="B187" s="34"/>
      <c r="C187" s="22"/>
      <c r="D187" s="4"/>
      <c r="E187" s="27"/>
      <c r="F187" s="42"/>
      <c r="G187" s="11"/>
      <c r="H187" s="1"/>
      <c r="I187" s="1"/>
      <c r="J187" s="2"/>
      <c r="K187" s="1"/>
      <c r="L187" s="1"/>
      <c r="M187" s="1"/>
      <c r="N187" s="1"/>
      <c r="O187" s="5"/>
      <c r="P187" s="18" t="str">
        <f t="shared" si="0"/>
        <v/>
      </c>
      <c r="Q187" s="18" t="str">
        <f t="shared" si="1"/>
        <v/>
      </c>
      <c r="R187" s="18" t="str">
        <f t="shared" si="2"/>
        <v/>
      </c>
      <c r="S187" s="18" t="str">
        <f t="shared" si="3"/>
        <v/>
      </c>
      <c r="T187" s="18" t="str">
        <f t="shared" si="4"/>
        <v/>
      </c>
      <c r="U187" s="18" t="str">
        <f t="shared" si="5"/>
        <v/>
      </c>
      <c r="V187" s="1"/>
    </row>
    <row r="188" spans="1:22" x14ac:dyDescent="0.25">
      <c r="A188" s="14"/>
      <c r="B188" s="34"/>
      <c r="C188" s="22"/>
      <c r="D188" s="9">
        <f>0.3-0.08</f>
        <v>0.21999999999999997</v>
      </c>
      <c r="E188" s="23"/>
      <c r="F188" s="42"/>
      <c r="G188" s="11"/>
      <c r="H188" s="1"/>
      <c r="I188" s="1"/>
      <c r="J188" s="2"/>
      <c r="K188" s="1"/>
      <c r="L188" s="1"/>
      <c r="M188" s="1"/>
      <c r="N188" s="1"/>
      <c r="O188" s="5"/>
      <c r="P188" s="18" t="str">
        <f t="shared" si="0"/>
        <v/>
      </c>
      <c r="Q188" s="18" t="str">
        <f t="shared" si="1"/>
        <v/>
      </c>
      <c r="R188" s="18" t="str">
        <f t="shared" si="2"/>
        <v/>
      </c>
      <c r="S188" s="18" t="str">
        <f t="shared" si="3"/>
        <v/>
      </c>
      <c r="T188" s="18" t="str">
        <f t="shared" si="4"/>
        <v/>
      </c>
      <c r="U188" s="18" t="str">
        <f t="shared" si="5"/>
        <v/>
      </c>
      <c r="V188" s="1"/>
    </row>
    <row r="189" spans="1:22" x14ac:dyDescent="0.25">
      <c r="A189" s="14"/>
      <c r="B189" s="33"/>
      <c r="C189" s="22"/>
      <c r="D189" s="4"/>
      <c r="E189" s="23"/>
      <c r="F189" s="42"/>
      <c r="G189" s="11"/>
      <c r="H189" s="1"/>
      <c r="I189" s="1"/>
      <c r="J189" s="2"/>
      <c r="K189" s="1"/>
      <c r="L189" s="1"/>
      <c r="M189" s="1"/>
      <c r="N189" s="1"/>
      <c r="O189" s="5"/>
      <c r="P189" s="18" t="str">
        <f t="shared" si="0"/>
        <v/>
      </c>
      <c r="Q189" s="18" t="str">
        <f t="shared" si="1"/>
        <v/>
      </c>
      <c r="R189" s="18" t="str">
        <f t="shared" si="2"/>
        <v/>
      </c>
      <c r="S189" s="18" t="str">
        <f t="shared" si="3"/>
        <v/>
      </c>
      <c r="T189" s="18" t="str">
        <f t="shared" si="4"/>
        <v/>
      </c>
      <c r="U189" s="18" t="str">
        <f t="shared" si="5"/>
        <v/>
      </c>
      <c r="V189" s="1"/>
    </row>
    <row r="190" spans="1:22" x14ac:dyDescent="0.25">
      <c r="A190" s="14"/>
      <c r="B190" s="14"/>
      <c r="C190" s="47">
        <v>0.1</v>
      </c>
      <c r="D190" s="4"/>
      <c r="E190" s="23"/>
      <c r="F190" s="42"/>
      <c r="G190" s="11"/>
      <c r="H190" s="1"/>
      <c r="I190" s="1"/>
      <c r="J190" s="2"/>
      <c r="K190" s="1"/>
      <c r="L190" s="1"/>
      <c r="M190" s="1"/>
      <c r="N190" s="1"/>
      <c r="O190" s="5"/>
      <c r="P190" s="18" t="str">
        <f t="shared" si="0"/>
        <v/>
      </c>
      <c r="Q190" s="18" t="str">
        <f t="shared" si="1"/>
        <v/>
      </c>
      <c r="R190" s="18" t="str">
        <f t="shared" si="2"/>
        <v/>
      </c>
      <c r="S190" s="18" t="str">
        <f t="shared" si="3"/>
        <v/>
      </c>
      <c r="T190" s="18" t="str">
        <f t="shared" si="4"/>
        <v/>
      </c>
      <c r="U190" s="18" t="str">
        <f t="shared" si="5"/>
        <v/>
      </c>
      <c r="V190" s="1"/>
    </row>
    <row r="191" spans="1:22" x14ac:dyDescent="0.25">
      <c r="A191" s="14"/>
      <c r="B191" s="34" t="s">
        <v>21</v>
      </c>
      <c r="C191" s="26"/>
      <c r="D191" s="4"/>
      <c r="E191" s="40">
        <f>((0.8-0.08-0.016)/7)+0.012+0.02</f>
        <v>0.13257142857142856</v>
      </c>
      <c r="F191" s="42"/>
      <c r="G191" s="11">
        <v>10</v>
      </c>
      <c r="H191" s="1">
        <v>2</v>
      </c>
      <c r="I191" s="1">
        <v>1</v>
      </c>
      <c r="J191" s="41">
        <f>2*(D193+E191)+16*10/1000</f>
        <v>0.8651428571428571</v>
      </c>
      <c r="K191" s="1"/>
      <c r="L191" s="1"/>
      <c r="M191" s="1"/>
      <c r="N191" s="5">
        <f>(J191+K191-M191)</f>
        <v>0.8651428571428571</v>
      </c>
      <c r="O191" s="5">
        <f>(H191*I191*N191)</f>
        <v>1.7302857142857142</v>
      </c>
      <c r="P191" s="18" t="str">
        <f t="shared" si="0"/>
        <v/>
      </c>
      <c r="Q191" s="18">
        <f t="shared" si="1"/>
        <v>1.7302857142857142</v>
      </c>
      <c r="R191" s="18" t="str">
        <f t="shared" si="2"/>
        <v/>
      </c>
      <c r="S191" s="18" t="str">
        <f t="shared" si="3"/>
        <v/>
      </c>
      <c r="T191" s="18" t="str">
        <f t="shared" si="4"/>
        <v/>
      </c>
      <c r="U191" s="18" t="str">
        <f t="shared" si="5"/>
        <v/>
      </c>
      <c r="V191" s="1"/>
    </row>
    <row r="192" spans="1:22" x14ac:dyDescent="0.25">
      <c r="A192" s="14"/>
      <c r="B192" s="34"/>
      <c r="C192" s="22"/>
      <c r="D192" s="4"/>
      <c r="E192" s="27"/>
      <c r="F192" s="42"/>
      <c r="G192" s="11"/>
      <c r="H192" s="1"/>
      <c r="I192" s="1"/>
      <c r="J192" s="2"/>
      <c r="K192" s="1"/>
      <c r="L192" s="1"/>
      <c r="M192" s="1"/>
      <c r="N192" s="1"/>
      <c r="O192" s="5"/>
      <c r="P192" s="18" t="str">
        <f t="shared" si="0"/>
        <v/>
      </c>
      <c r="Q192" s="18" t="str">
        <f t="shared" si="1"/>
        <v/>
      </c>
      <c r="R192" s="18" t="str">
        <f t="shared" si="2"/>
        <v/>
      </c>
      <c r="S192" s="18" t="str">
        <f t="shared" si="3"/>
        <v/>
      </c>
      <c r="T192" s="18" t="str">
        <f t="shared" si="4"/>
        <v/>
      </c>
      <c r="U192" s="18" t="str">
        <f t="shared" si="5"/>
        <v/>
      </c>
      <c r="V192" s="1"/>
    </row>
    <row r="193" spans="1:22" x14ac:dyDescent="0.25">
      <c r="A193" s="14"/>
      <c r="B193" s="34"/>
      <c r="C193" s="22"/>
      <c r="D193" s="9">
        <f>0.3-0.08</f>
        <v>0.21999999999999997</v>
      </c>
      <c r="E193" s="23"/>
      <c r="F193" s="42"/>
      <c r="G193" s="11"/>
      <c r="H193" s="1"/>
      <c r="I193" s="1"/>
      <c r="J193" s="2"/>
      <c r="K193" s="1"/>
      <c r="L193" s="1"/>
      <c r="M193" s="1"/>
      <c r="N193" s="1"/>
      <c r="O193" s="5"/>
      <c r="P193" s="18" t="str">
        <f t="shared" si="0"/>
        <v/>
      </c>
      <c r="Q193" s="18" t="str">
        <f t="shared" si="1"/>
        <v/>
      </c>
      <c r="R193" s="18" t="str">
        <f t="shared" si="2"/>
        <v/>
      </c>
      <c r="S193" s="18" t="str">
        <f t="shared" si="3"/>
        <v/>
      </c>
      <c r="T193" s="18" t="str">
        <f t="shared" si="4"/>
        <v/>
      </c>
      <c r="U193" s="18" t="str">
        <f t="shared" si="5"/>
        <v/>
      </c>
      <c r="V193" s="1"/>
    </row>
    <row r="194" spans="1:22" x14ac:dyDescent="0.25">
      <c r="A194" s="14"/>
      <c r="B194" s="33"/>
      <c r="C194" s="22"/>
      <c r="D194" s="4"/>
      <c r="E194" s="23"/>
      <c r="F194" s="42"/>
      <c r="G194" s="11"/>
      <c r="H194" s="1"/>
      <c r="I194" s="1"/>
      <c r="J194" s="2"/>
      <c r="K194" s="1"/>
      <c r="L194" s="1"/>
      <c r="M194" s="1"/>
      <c r="N194" s="1"/>
      <c r="O194" s="5"/>
      <c r="P194" s="18" t="str">
        <f t="shared" si="0"/>
        <v/>
      </c>
      <c r="Q194" s="18" t="str">
        <f t="shared" si="1"/>
        <v/>
      </c>
      <c r="R194" s="18" t="str">
        <f t="shared" si="2"/>
        <v/>
      </c>
      <c r="S194" s="18" t="str">
        <f t="shared" si="3"/>
        <v/>
      </c>
      <c r="T194" s="18" t="str">
        <f t="shared" si="4"/>
        <v/>
      </c>
      <c r="U194" s="18" t="str">
        <f t="shared" si="5"/>
        <v/>
      </c>
      <c r="V194" s="1"/>
    </row>
    <row r="195" spans="1:22" x14ac:dyDescent="0.25">
      <c r="A195" s="14"/>
      <c r="B195" s="14"/>
      <c r="C195" s="47">
        <v>0.1</v>
      </c>
      <c r="D195" s="4"/>
      <c r="E195" s="23"/>
      <c r="F195" s="42"/>
      <c r="G195" s="11"/>
      <c r="H195" s="1"/>
      <c r="I195" s="1"/>
      <c r="J195" s="2"/>
      <c r="K195" s="1"/>
      <c r="L195" s="1"/>
      <c r="M195" s="1"/>
      <c r="N195" s="1"/>
      <c r="O195" s="5"/>
      <c r="P195" s="18" t="str">
        <f t="shared" si="0"/>
        <v/>
      </c>
      <c r="Q195" s="18" t="str">
        <f t="shared" si="1"/>
        <v/>
      </c>
      <c r="R195" s="18" t="str">
        <f t="shared" si="2"/>
        <v/>
      </c>
      <c r="S195" s="18" t="str">
        <f t="shared" si="3"/>
        <v/>
      </c>
      <c r="T195" s="18" t="str">
        <f t="shared" si="4"/>
        <v/>
      </c>
      <c r="U195" s="18" t="str">
        <f t="shared" si="5"/>
        <v/>
      </c>
      <c r="V195" s="1"/>
    </row>
    <row r="196" spans="1:22" x14ac:dyDescent="0.25">
      <c r="A196" s="14"/>
      <c r="B196" s="34" t="s">
        <v>22</v>
      </c>
      <c r="C196" s="26"/>
      <c r="D196" s="4"/>
      <c r="E196" s="40">
        <f>((0.8-0.08-0.016)/7)+0.012+0.02</f>
        <v>0.13257142857142856</v>
      </c>
      <c r="F196" s="42"/>
      <c r="G196" s="11">
        <v>10</v>
      </c>
      <c r="H196" s="1">
        <v>2</v>
      </c>
      <c r="I196" s="1">
        <v>1</v>
      </c>
      <c r="J196" s="41">
        <f>2*(D198+E196)+16*10/1000</f>
        <v>0.8651428571428571</v>
      </c>
      <c r="K196" s="1"/>
      <c r="L196" s="1"/>
      <c r="M196" s="1"/>
      <c r="N196" s="5">
        <f>(J196+K196-M196)</f>
        <v>0.8651428571428571</v>
      </c>
      <c r="O196" s="5">
        <f>(H196*I196*N196)</f>
        <v>1.7302857142857142</v>
      </c>
      <c r="P196" s="18" t="str">
        <f t="shared" si="0"/>
        <v/>
      </c>
      <c r="Q196" s="18">
        <f t="shared" si="1"/>
        <v>1.7302857142857142</v>
      </c>
      <c r="R196" s="18" t="str">
        <f t="shared" si="2"/>
        <v/>
      </c>
      <c r="S196" s="18" t="str">
        <f t="shared" si="3"/>
        <v/>
      </c>
      <c r="T196" s="18" t="str">
        <f t="shared" si="4"/>
        <v/>
      </c>
      <c r="U196" s="18" t="str">
        <f t="shared" si="5"/>
        <v/>
      </c>
      <c r="V196" s="1"/>
    </row>
    <row r="197" spans="1:22" x14ac:dyDescent="0.25">
      <c r="A197" s="14"/>
      <c r="B197" s="34"/>
      <c r="C197" s="22"/>
      <c r="D197" s="4"/>
      <c r="E197" s="27"/>
      <c r="F197" s="42"/>
      <c r="G197" s="11"/>
      <c r="H197" s="1"/>
      <c r="I197" s="1"/>
      <c r="J197" s="2"/>
      <c r="K197" s="1"/>
      <c r="L197" s="1"/>
      <c r="M197" s="1"/>
      <c r="N197" s="1"/>
      <c r="O197" s="5"/>
      <c r="P197" s="18" t="str">
        <f t="shared" si="0"/>
        <v/>
      </c>
      <c r="Q197" s="18" t="str">
        <f t="shared" si="1"/>
        <v/>
      </c>
      <c r="R197" s="18" t="str">
        <f t="shared" si="2"/>
        <v/>
      </c>
      <c r="S197" s="18" t="str">
        <f t="shared" si="3"/>
        <v/>
      </c>
      <c r="T197" s="18" t="str">
        <f t="shared" si="4"/>
        <v/>
      </c>
      <c r="U197" s="18" t="str">
        <f t="shared" si="5"/>
        <v/>
      </c>
      <c r="V197" s="1"/>
    </row>
    <row r="198" spans="1:22" x14ac:dyDescent="0.25">
      <c r="A198" s="14"/>
      <c r="B198" s="34"/>
      <c r="C198" s="22"/>
      <c r="D198" s="9">
        <f>0.3-0.08</f>
        <v>0.21999999999999997</v>
      </c>
      <c r="E198" s="23"/>
      <c r="F198" s="42"/>
      <c r="G198" s="11"/>
      <c r="H198" s="1"/>
      <c r="I198" s="1"/>
      <c r="J198" s="2"/>
      <c r="K198" s="1"/>
      <c r="L198" s="1"/>
      <c r="M198" s="1"/>
      <c r="N198" s="1"/>
      <c r="O198" s="5"/>
      <c r="P198" s="18" t="str">
        <f t="shared" si="0"/>
        <v/>
      </c>
      <c r="Q198" s="18" t="str">
        <f t="shared" si="1"/>
        <v/>
      </c>
      <c r="R198" s="18" t="str">
        <f t="shared" si="2"/>
        <v/>
      </c>
      <c r="S198" s="18" t="str">
        <f t="shared" si="3"/>
        <v/>
      </c>
      <c r="T198" s="18" t="str">
        <f t="shared" si="4"/>
        <v/>
      </c>
      <c r="U198" s="18" t="str">
        <f t="shared" si="5"/>
        <v/>
      </c>
      <c r="V198" s="1"/>
    </row>
    <row r="199" spans="1:22" x14ac:dyDescent="0.25">
      <c r="A199" s="14"/>
      <c r="B199" s="34"/>
      <c r="C199" s="22"/>
      <c r="D199" s="4"/>
      <c r="E199" s="23"/>
      <c r="F199" s="42"/>
      <c r="G199" s="11"/>
      <c r="H199" s="1"/>
      <c r="I199" s="1"/>
      <c r="J199" s="2"/>
      <c r="K199" s="1"/>
      <c r="L199" s="1"/>
      <c r="M199" s="1"/>
      <c r="N199" s="1"/>
      <c r="O199" s="5"/>
      <c r="P199" s="18" t="str">
        <f t="shared" si="0"/>
        <v/>
      </c>
      <c r="Q199" s="18" t="str">
        <f t="shared" si="1"/>
        <v/>
      </c>
      <c r="R199" s="18" t="str">
        <f t="shared" si="2"/>
        <v/>
      </c>
      <c r="S199" s="18" t="str">
        <f t="shared" si="3"/>
        <v/>
      </c>
      <c r="T199" s="18" t="str">
        <f t="shared" si="4"/>
        <v/>
      </c>
      <c r="U199" s="18" t="str">
        <f t="shared" si="5"/>
        <v/>
      </c>
      <c r="V199" s="1"/>
    </row>
    <row r="200" spans="1:22" x14ac:dyDescent="0.25">
      <c r="A200" s="14"/>
      <c r="B200" s="34" t="s">
        <v>36</v>
      </c>
      <c r="C200" s="22"/>
      <c r="D200" s="25"/>
      <c r="E200" s="23"/>
      <c r="F200" s="42"/>
      <c r="G200" s="11">
        <v>10</v>
      </c>
      <c r="H200" s="1">
        <v>2</v>
      </c>
      <c r="I200" s="1">
        <v>1</v>
      </c>
      <c r="J200" s="41">
        <f>C201+D203+E201+2*10*G200/1000</f>
        <v>0.77</v>
      </c>
      <c r="K200" s="1"/>
      <c r="L200" s="1"/>
      <c r="M200" s="5">
        <f>4*3*G200/1000</f>
        <v>0.12</v>
      </c>
      <c r="N200" s="5">
        <f>(J200+K200-M200)</f>
        <v>0.65</v>
      </c>
      <c r="O200" s="5">
        <f>(H200*I200*N200)</f>
        <v>1.3</v>
      </c>
      <c r="P200" s="18" t="str">
        <f t="shared" si="0"/>
        <v/>
      </c>
      <c r="Q200" s="18">
        <f t="shared" si="1"/>
        <v>1.3</v>
      </c>
      <c r="R200" s="18" t="str">
        <f t="shared" si="2"/>
        <v/>
      </c>
      <c r="S200" s="18" t="str">
        <f t="shared" si="3"/>
        <v/>
      </c>
      <c r="T200" s="18" t="str">
        <f t="shared" si="4"/>
        <v/>
      </c>
      <c r="U200" s="18" t="str">
        <f t="shared" si="5"/>
        <v/>
      </c>
      <c r="V200" s="1"/>
    </row>
    <row r="201" spans="1:22" x14ac:dyDescent="0.25">
      <c r="A201" s="14"/>
      <c r="B201" s="34"/>
      <c r="C201" s="29">
        <v>0.17499999999999999</v>
      </c>
      <c r="D201" s="4"/>
      <c r="E201" s="23">
        <v>0.17499999999999999</v>
      </c>
      <c r="F201" s="42"/>
      <c r="G201" s="11"/>
      <c r="H201" s="1"/>
      <c r="I201" s="1"/>
      <c r="J201" s="2"/>
      <c r="K201" s="1"/>
      <c r="L201" s="1"/>
      <c r="M201" s="1"/>
      <c r="N201" s="1"/>
      <c r="O201" s="5"/>
      <c r="P201" s="18" t="str">
        <f>IF($G201=8,$O201,"")</f>
        <v/>
      </c>
      <c r="Q201" s="18" t="str">
        <f>IF($G201=10,$O201,"")</f>
        <v/>
      </c>
      <c r="R201" s="18" t="str">
        <f>IF($G201=12,$O201,"")</f>
        <v/>
      </c>
      <c r="S201" s="18" t="str">
        <f>IF($G201=16,$O201,"")</f>
        <v/>
      </c>
      <c r="T201" s="18" t="str">
        <f>IF($G201=20,$O201,"")</f>
        <v/>
      </c>
      <c r="U201" s="18" t="str">
        <f>IF($G201=25,$O201,"")</f>
        <v/>
      </c>
      <c r="V201" s="1"/>
    </row>
    <row r="202" spans="1:22" x14ac:dyDescent="0.25">
      <c r="A202" s="14"/>
      <c r="B202" s="34"/>
      <c r="C202" s="22"/>
      <c r="D202" s="4"/>
      <c r="E202" s="23"/>
      <c r="F202" s="42"/>
      <c r="G202" s="11"/>
      <c r="H202" s="1"/>
      <c r="I202" s="1"/>
      <c r="J202" s="2"/>
      <c r="K202" s="1"/>
      <c r="L202" s="1"/>
      <c r="M202" s="1"/>
      <c r="N202" s="1"/>
      <c r="O202" s="5"/>
      <c r="P202" s="18" t="str">
        <f t="shared" si="0"/>
        <v/>
      </c>
      <c r="Q202" s="18" t="str">
        <f t="shared" si="1"/>
        <v/>
      </c>
      <c r="R202" s="18" t="str">
        <f t="shared" si="2"/>
        <v/>
      </c>
      <c r="S202" s="18" t="str">
        <f t="shared" si="3"/>
        <v/>
      </c>
      <c r="T202" s="18" t="str">
        <f t="shared" si="4"/>
        <v/>
      </c>
      <c r="U202" s="18" t="str">
        <f t="shared" si="5"/>
        <v/>
      </c>
      <c r="V202" s="1"/>
    </row>
    <row r="203" spans="1:22" x14ac:dyDescent="0.25">
      <c r="A203" s="14"/>
      <c r="B203" s="34"/>
      <c r="C203" s="22"/>
      <c r="D203" s="9">
        <f>0.3-0.08</f>
        <v>0.21999999999999997</v>
      </c>
      <c r="E203" s="23"/>
      <c r="F203" s="42"/>
      <c r="G203" s="11"/>
      <c r="H203" s="1"/>
      <c r="I203" s="1"/>
      <c r="J203" s="2"/>
      <c r="K203" s="1"/>
      <c r="L203" s="1"/>
      <c r="M203" s="1"/>
      <c r="N203" s="1"/>
      <c r="O203" s="5"/>
      <c r="P203" s="18" t="str">
        <f t="shared" si="0"/>
        <v/>
      </c>
      <c r="Q203" s="18" t="str">
        <f t="shared" si="1"/>
        <v/>
      </c>
      <c r="R203" s="18" t="str">
        <f t="shared" si="2"/>
        <v/>
      </c>
      <c r="S203" s="18" t="str">
        <f t="shared" si="3"/>
        <v/>
      </c>
      <c r="T203" s="18" t="str">
        <f t="shared" si="4"/>
        <v/>
      </c>
      <c r="U203" s="18" t="str">
        <f t="shared" si="5"/>
        <v/>
      </c>
      <c r="V203" s="1"/>
    </row>
    <row r="204" spans="1:22" x14ac:dyDescent="0.25">
      <c r="A204" s="14"/>
      <c r="B204" s="34"/>
      <c r="C204" s="22"/>
      <c r="D204" s="4"/>
      <c r="E204" s="23"/>
      <c r="F204" s="42"/>
      <c r="G204" s="11"/>
      <c r="H204" s="1"/>
      <c r="I204" s="1"/>
      <c r="J204" s="2"/>
      <c r="K204" s="1"/>
      <c r="L204" s="1"/>
      <c r="M204" s="1"/>
      <c r="N204" s="1"/>
      <c r="O204" s="5"/>
      <c r="P204" s="18" t="str">
        <f t="shared" si="0"/>
        <v/>
      </c>
      <c r="Q204" s="18" t="str">
        <f t="shared" si="1"/>
        <v/>
      </c>
      <c r="R204" s="18" t="str">
        <f t="shared" si="2"/>
        <v/>
      </c>
      <c r="S204" s="18" t="str">
        <f t="shared" si="3"/>
        <v/>
      </c>
      <c r="T204" s="18" t="str">
        <f t="shared" si="4"/>
        <v/>
      </c>
      <c r="U204" s="18" t="str">
        <f t="shared" si="5"/>
        <v/>
      </c>
      <c r="V204" s="1"/>
    </row>
    <row r="205" spans="1:22" x14ac:dyDescent="0.25">
      <c r="A205" s="14"/>
      <c r="B205" s="34" t="s">
        <v>37</v>
      </c>
      <c r="C205" s="22"/>
      <c r="D205" s="25"/>
      <c r="E205" s="23"/>
      <c r="F205" s="42"/>
      <c r="G205" s="11">
        <v>10</v>
      </c>
      <c r="H205" s="1">
        <v>2</v>
      </c>
      <c r="I205" s="1">
        <v>1</v>
      </c>
      <c r="J205" s="41">
        <f>C206+D208+E206+2*10*G205/1000</f>
        <v>0.77</v>
      </c>
      <c r="K205" s="1"/>
      <c r="L205" s="1"/>
      <c r="M205" s="5">
        <f>4*3*G205/1000</f>
        <v>0.12</v>
      </c>
      <c r="N205" s="5">
        <f>(J205+K205-M205)</f>
        <v>0.65</v>
      </c>
      <c r="O205" s="5">
        <f>(H205*I205*N205)</f>
        <v>1.3</v>
      </c>
      <c r="P205" s="18" t="str">
        <f t="shared" si="0"/>
        <v/>
      </c>
      <c r="Q205" s="18">
        <f t="shared" si="1"/>
        <v>1.3</v>
      </c>
      <c r="R205" s="18" t="str">
        <f t="shared" si="2"/>
        <v/>
      </c>
      <c r="S205" s="18" t="str">
        <f t="shared" si="3"/>
        <v/>
      </c>
      <c r="T205" s="18" t="str">
        <f t="shared" si="4"/>
        <v/>
      </c>
      <c r="U205" s="18" t="str">
        <f t="shared" si="5"/>
        <v/>
      </c>
      <c r="V205" s="1"/>
    </row>
    <row r="206" spans="1:22" x14ac:dyDescent="0.25">
      <c r="A206" s="14"/>
      <c r="B206" s="34"/>
      <c r="C206" s="29">
        <v>0.17499999999999999</v>
      </c>
      <c r="D206" s="4"/>
      <c r="E206" s="23">
        <v>0.17499999999999999</v>
      </c>
      <c r="F206" s="42"/>
      <c r="G206" s="11"/>
      <c r="H206" s="1"/>
      <c r="I206" s="1"/>
      <c r="J206" s="2"/>
      <c r="K206" s="1"/>
      <c r="L206" s="1"/>
      <c r="M206" s="1"/>
      <c r="N206" s="1"/>
      <c r="O206" s="5"/>
      <c r="P206" s="18" t="str">
        <f t="shared" si="0"/>
        <v/>
      </c>
      <c r="Q206" s="18" t="str">
        <f t="shared" si="1"/>
        <v/>
      </c>
      <c r="R206" s="18" t="str">
        <f t="shared" si="2"/>
        <v/>
      </c>
      <c r="S206" s="18" t="str">
        <f t="shared" si="3"/>
        <v/>
      </c>
      <c r="T206" s="18" t="str">
        <f t="shared" si="4"/>
        <v/>
      </c>
      <c r="U206" s="18" t="str">
        <f t="shared" si="5"/>
        <v/>
      </c>
      <c r="V206" s="1"/>
    </row>
    <row r="207" spans="1:22" x14ac:dyDescent="0.25">
      <c r="A207" s="14"/>
      <c r="B207" s="34"/>
      <c r="C207" s="22"/>
      <c r="D207" s="4"/>
      <c r="E207" s="23"/>
      <c r="F207" s="42"/>
      <c r="G207" s="11"/>
      <c r="H207" s="1"/>
      <c r="I207" s="1"/>
      <c r="J207" s="2"/>
      <c r="K207" s="1"/>
      <c r="L207" s="1"/>
      <c r="M207" s="1"/>
      <c r="N207" s="1"/>
      <c r="O207" s="3"/>
      <c r="P207" s="18" t="str">
        <f t="shared" si="0"/>
        <v/>
      </c>
      <c r="Q207" s="18" t="str">
        <f t="shared" si="1"/>
        <v/>
      </c>
      <c r="R207" s="18" t="str">
        <f t="shared" si="2"/>
        <v/>
      </c>
      <c r="S207" s="18" t="str">
        <f t="shared" si="3"/>
        <v/>
      </c>
      <c r="T207" s="18" t="str">
        <f t="shared" si="4"/>
        <v/>
      </c>
      <c r="U207" s="18" t="str">
        <f t="shared" si="5"/>
        <v/>
      </c>
      <c r="V207" s="1"/>
    </row>
    <row r="208" spans="1:22" x14ac:dyDescent="0.25">
      <c r="A208" s="14"/>
      <c r="B208" s="34"/>
      <c r="C208" s="22"/>
      <c r="D208" s="9">
        <f>0.3-0.08</f>
        <v>0.21999999999999997</v>
      </c>
      <c r="E208" s="23"/>
      <c r="F208" s="42"/>
      <c r="G208" s="11"/>
      <c r="H208" s="1"/>
      <c r="I208" s="1"/>
      <c r="J208" s="2"/>
      <c r="K208" s="1"/>
      <c r="L208" s="1"/>
      <c r="M208" s="1"/>
      <c r="N208" s="1"/>
      <c r="O208" s="3"/>
      <c r="P208" s="18" t="str">
        <f t="shared" si="0"/>
        <v/>
      </c>
      <c r="Q208" s="18" t="str">
        <f t="shared" si="1"/>
        <v/>
      </c>
      <c r="R208" s="18" t="str">
        <f t="shared" si="2"/>
        <v/>
      </c>
      <c r="S208" s="18" t="str">
        <f t="shared" si="3"/>
        <v/>
      </c>
      <c r="T208" s="18" t="str">
        <f t="shared" si="4"/>
        <v/>
      </c>
      <c r="U208" s="18" t="str">
        <f t="shared" si="5"/>
        <v/>
      </c>
      <c r="V208" s="1"/>
    </row>
    <row r="209" spans="1:22" x14ac:dyDescent="0.25">
      <c r="A209" s="14"/>
      <c r="B209" s="34"/>
      <c r="C209" s="22"/>
      <c r="D209" s="28"/>
      <c r="E209" s="23"/>
      <c r="F209" s="42"/>
      <c r="G209" s="11"/>
      <c r="H209" s="1"/>
      <c r="I209" s="1"/>
      <c r="J209" s="2"/>
      <c r="K209" s="1"/>
      <c r="L209" s="1"/>
      <c r="M209" s="1"/>
      <c r="N209" s="1"/>
      <c r="O209" s="3"/>
      <c r="P209" s="18" t="str">
        <f t="shared" si="0"/>
        <v/>
      </c>
      <c r="Q209" s="18" t="str">
        <f t="shared" si="1"/>
        <v/>
      </c>
      <c r="R209" s="18" t="str">
        <f t="shared" si="2"/>
        <v/>
      </c>
      <c r="S209" s="18" t="str">
        <f t="shared" si="3"/>
        <v/>
      </c>
      <c r="T209" s="18" t="str">
        <f t="shared" si="4"/>
        <v/>
      </c>
      <c r="U209" s="18" t="str">
        <f t="shared" si="5"/>
        <v/>
      </c>
      <c r="V209" s="1"/>
    </row>
    <row r="210" spans="1:22" x14ac:dyDescent="0.25">
      <c r="A210" s="14">
        <v>8</v>
      </c>
      <c r="B210" s="14" t="s">
        <v>42</v>
      </c>
      <c r="C210" s="22"/>
      <c r="D210" s="4"/>
      <c r="E210" s="23"/>
      <c r="F210" s="42"/>
      <c r="G210" s="11"/>
      <c r="H210" s="1"/>
      <c r="I210" s="1"/>
      <c r="J210" s="9"/>
      <c r="K210" s="5"/>
      <c r="L210" s="5"/>
      <c r="M210" s="1"/>
      <c r="N210" s="5"/>
      <c r="O210" s="5"/>
      <c r="P210" s="18" t="str">
        <f>IF($G210=8,$O210,"")</f>
        <v/>
      </c>
      <c r="Q210" s="18" t="str">
        <f>IF($G210=10,$O210,"")</f>
        <v/>
      </c>
      <c r="R210" s="18" t="str">
        <f>IF($G210=12,$O210,"")</f>
        <v/>
      </c>
      <c r="S210" s="18" t="str">
        <f>IF($G210=16,$O210,"")</f>
        <v/>
      </c>
      <c r="T210" s="18" t="str">
        <f>IF($G210=20,$O210,"")</f>
        <v/>
      </c>
      <c r="U210" s="18" t="str">
        <f>IF($G210=25,$O210,"")</f>
        <v/>
      </c>
      <c r="V210" s="1"/>
    </row>
    <row r="211" spans="1:22" x14ac:dyDescent="0.25">
      <c r="A211" s="14"/>
      <c r="B211" s="33" t="s">
        <v>18</v>
      </c>
      <c r="C211" s="22"/>
      <c r="D211" s="25">
        <f>0.85-0.075-2*0.016</f>
        <v>0.74299999999999999</v>
      </c>
      <c r="E211" s="23"/>
      <c r="F211" s="42"/>
      <c r="G211" s="11">
        <v>20</v>
      </c>
      <c r="H211" s="1">
        <v>2</v>
      </c>
      <c r="I211" s="1">
        <v>4</v>
      </c>
      <c r="J211" s="9">
        <f>D211</f>
        <v>0.74299999999999999</v>
      </c>
      <c r="K211" s="46" t="str">
        <f>IF(N211&lt;12,"0",0.049*G211)</f>
        <v>0</v>
      </c>
      <c r="L211" s="45">
        <v>1</v>
      </c>
      <c r="M211" s="1">
        <f>2*G211*L211/1000</f>
        <v>0.04</v>
      </c>
      <c r="N211" s="5">
        <f>J211+E213-M211</f>
        <v>1.0029999999999999</v>
      </c>
      <c r="O211" s="5">
        <f>H211*I211*N211</f>
        <v>8.0239999999999991</v>
      </c>
      <c r="P211" s="18" t="str">
        <f t="shared" si="0"/>
        <v/>
      </c>
      <c r="Q211" s="18" t="str">
        <f t="shared" si="1"/>
        <v/>
      </c>
      <c r="R211" s="18" t="str">
        <f t="shared" si="2"/>
        <v/>
      </c>
      <c r="S211" s="18" t="str">
        <f t="shared" si="3"/>
        <v/>
      </c>
      <c r="T211" s="18">
        <f t="shared" si="4"/>
        <v>8.0239999999999991</v>
      </c>
      <c r="U211" s="18" t="str">
        <f t="shared" si="5"/>
        <v/>
      </c>
      <c r="V211" s="1"/>
    </row>
    <row r="212" spans="1:22" x14ac:dyDescent="0.25">
      <c r="A212" s="14"/>
      <c r="B212" s="33" t="s">
        <v>32</v>
      </c>
      <c r="C212" s="22"/>
      <c r="D212" s="4"/>
      <c r="E212" s="23"/>
      <c r="F212" s="42"/>
      <c r="G212" s="11">
        <v>20</v>
      </c>
      <c r="H212" s="1">
        <v>2</v>
      </c>
      <c r="I212" s="1">
        <v>2</v>
      </c>
      <c r="J212" s="9">
        <f>D211</f>
        <v>0.74299999999999999</v>
      </c>
      <c r="K212" s="46" t="str">
        <f t="shared" ref="K212:K214" si="28">IF(N212&lt;12,"0",0.049*G212)</f>
        <v>0</v>
      </c>
      <c r="L212" s="45">
        <v>1</v>
      </c>
      <c r="M212" s="1">
        <f t="shared" ref="M212:M214" si="29">2*G212*L212/1000</f>
        <v>0.04</v>
      </c>
      <c r="N212" s="5">
        <f>J212+E213-M212</f>
        <v>1.0029999999999999</v>
      </c>
      <c r="O212" s="5">
        <f>H212*I212*N212</f>
        <v>4.0119999999999996</v>
      </c>
      <c r="P212" s="18" t="str">
        <f t="shared" si="0"/>
        <v/>
      </c>
      <c r="Q212" s="18" t="str">
        <f t="shared" si="1"/>
        <v/>
      </c>
      <c r="R212" s="18" t="str">
        <f t="shared" si="2"/>
        <v/>
      </c>
      <c r="S212" s="18" t="str">
        <f t="shared" si="3"/>
        <v/>
      </c>
      <c r="T212" s="18">
        <f t="shared" si="4"/>
        <v>4.0119999999999996</v>
      </c>
      <c r="U212" s="18" t="str">
        <f t="shared" si="5"/>
        <v/>
      </c>
      <c r="V212" s="1"/>
    </row>
    <row r="213" spans="1:22" x14ac:dyDescent="0.25">
      <c r="A213" s="14"/>
      <c r="B213" s="33" t="s">
        <v>26</v>
      </c>
      <c r="C213" s="24"/>
      <c r="D213" s="25"/>
      <c r="E213" s="39">
        <v>0.3</v>
      </c>
      <c r="F213" s="42"/>
      <c r="G213" s="11">
        <v>20</v>
      </c>
      <c r="H213" s="1">
        <v>2</v>
      </c>
      <c r="I213" s="1">
        <v>4</v>
      </c>
      <c r="J213" s="9">
        <f>D211</f>
        <v>0.74299999999999999</v>
      </c>
      <c r="K213" s="46" t="str">
        <f t="shared" si="28"/>
        <v>0</v>
      </c>
      <c r="L213" s="45">
        <v>1</v>
      </c>
      <c r="M213" s="1">
        <f t="shared" si="29"/>
        <v>0.04</v>
      </c>
      <c r="N213" s="5">
        <f>J213+E213-M213</f>
        <v>1.0029999999999999</v>
      </c>
      <c r="O213" s="5">
        <f>H213*I213*N213</f>
        <v>8.0239999999999991</v>
      </c>
      <c r="P213" s="18" t="str">
        <f t="shared" si="0"/>
        <v/>
      </c>
      <c r="Q213" s="18" t="str">
        <f t="shared" si="1"/>
        <v/>
      </c>
      <c r="R213" s="18" t="str">
        <f t="shared" si="2"/>
        <v/>
      </c>
      <c r="S213" s="18" t="str">
        <f t="shared" si="3"/>
        <v/>
      </c>
      <c r="T213" s="18">
        <f t="shared" si="4"/>
        <v>8.0239999999999991</v>
      </c>
      <c r="U213" s="18" t="str">
        <f t="shared" si="5"/>
        <v/>
      </c>
      <c r="V213" s="1"/>
    </row>
    <row r="214" spans="1:22" x14ac:dyDescent="0.25">
      <c r="A214" s="14"/>
      <c r="B214" s="33" t="s">
        <v>19</v>
      </c>
      <c r="C214" s="22"/>
      <c r="D214" s="4"/>
      <c r="E214" s="23"/>
      <c r="F214" s="42"/>
      <c r="G214" s="11">
        <v>20</v>
      </c>
      <c r="H214" s="1">
        <v>2</v>
      </c>
      <c r="I214" s="1">
        <v>4</v>
      </c>
      <c r="J214" s="9">
        <f>D211</f>
        <v>0.74299999999999999</v>
      </c>
      <c r="K214" s="46" t="str">
        <f t="shared" si="28"/>
        <v>0</v>
      </c>
      <c r="L214" s="45">
        <v>1</v>
      </c>
      <c r="M214" s="1">
        <f t="shared" si="29"/>
        <v>0.04</v>
      </c>
      <c r="N214" s="5">
        <f>J214+E213-M214</f>
        <v>1.0029999999999999</v>
      </c>
      <c r="O214" s="5">
        <f>H214*I214*N214</f>
        <v>8.0239999999999991</v>
      </c>
      <c r="P214" s="18" t="str">
        <f t="shared" si="0"/>
        <v/>
      </c>
      <c r="Q214" s="18" t="str">
        <f t="shared" si="1"/>
        <v/>
      </c>
      <c r="R214" s="18" t="str">
        <f t="shared" si="2"/>
        <v/>
      </c>
      <c r="S214" s="18" t="str">
        <f t="shared" si="3"/>
        <v/>
      </c>
      <c r="T214" s="18">
        <f t="shared" si="4"/>
        <v>8.0239999999999991</v>
      </c>
      <c r="U214" s="18" t="str">
        <f t="shared" si="5"/>
        <v/>
      </c>
      <c r="V214" s="1"/>
    </row>
    <row r="215" spans="1:22" x14ac:dyDescent="0.25">
      <c r="A215" s="14"/>
      <c r="B215" s="33"/>
      <c r="C215" s="22"/>
      <c r="D215" s="4"/>
      <c r="E215" s="23"/>
      <c r="F215" s="42"/>
      <c r="G215" s="11"/>
      <c r="H215" s="1"/>
      <c r="I215" s="1"/>
      <c r="J215" s="2"/>
      <c r="K215" s="1"/>
      <c r="L215" s="1"/>
      <c r="M215" s="1"/>
      <c r="N215" s="1"/>
      <c r="O215" s="3"/>
      <c r="P215" s="18" t="str">
        <f t="shared" si="0"/>
        <v/>
      </c>
      <c r="Q215" s="18" t="str">
        <f t="shared" si="1"/>
        <v/>
      </c>
      <c r="R215" s="18" t="str">
        <f t="shared" si="2"/>
        <v/>
      </c>
      <c r="S215" s="18" t="str">
        <f t="shared" si="3"/>
        <v/>
      </c>
      <c r="T215" s="18" t="str">
        <f t="shared" si="4"/>
        <v/>
      </c>
      <c r="U215" s="18" t="str">
        <f t="shared" si="5"/>
        <v/>
      </c>
      <c r="V215" s="1"/>
    </row>
    <row r="216" spans="1:22" x14ac:dyDescent="0.25">
      <c r="A216" s="14"/>
      <c r="B216" s="14"/>
      <c r="C216" s="47">
        <v>0.1</v>
      </c>
      <c r="D216" s="4"/>
      <c r="E216" s="23"/>
      <c r="F216" s="42"/>
      <c r="G216" s="11"/>
      <c r="H216" s="1"/>
      <c r="I216" s="1"/>
      <c r="J216" s="2"/>
      <c r="K216" s="1"/>
      <c r="L216" s="1"/>
      <c r="M216" s="1"/>
      <c r="N216" s="1"/>
      <c r="O216" s="3"/>
      <c r="P216" s="18" t="str">
        <f t="shared" si="0"/>
        <v/>
      </c>
      <c r="Q216" s="18" t="str">
        <f t="shared" si="1"/>
        <v/>
      </c>
      <c r="R216" s="18" t="str">
        <f t="shared" si="2"/>
        <v/>
      </c>
      <c r="S216" s="18" t="str">
        <f t="shared" si="3"/>
        <v/>
      </c>
      <c r="T216" s="18" t="str">
        <f t="shared" si="4"/>
        <v/>
      </c>
      <c r="U216" s="18" t="str">
        <f t="shared" si="5"/>
        <v/>
      </c>
      <c r="V216" s="1"/>
    </row>
    <row r="217" spans="1:22" x14ac:dyDescent="0.25">
      <c r="A217" s="14"/>
      <c r="B217" s="34" t="s">
        <v>20</v>
      </c>
      <c r="C217" s="26"/>
      <c r="D217" s="4"/>
      <c r="E217" s="40">
        <f>0.6-0.08</f>
        <v>0.52</v>
      </c>
      <c r="F217" s="42"/>
      <c r="G217" s="11">
        <v>10</v>
      </c>
      <c r="H217" s="1">
        <v>2</v>
      </c>
      <c r="I217" s="1">
        <v>4</v>
      </c>
      <c r="J217" s="41">
        <f>2*(D219+E217)+16*10/1000</f>
        <v>1.64</v>
      </c>
      <c r="K217" s="1"/>
      <c r="L217" s="1"/>
      <c r="M217" s="1"/>
      <c r="N217" s="5">
        <f>(J217+K217-M217)</f>
        <v>1.64</v>
      </c>
      <c r="O217" s="5">
        <f>(H217*I217*N217)</f>
        <v>13.12</v>
      </c>
      <c r="P217" s="18" t="str">
        <f t="shared" si="0"/>
        <v/>
      </c>
      <c r="Q217" s="18">
        <f t="shared" si="1"/>
        <v>13.12</v>
      </c>
      <c r="R217" s="18" t="str">
        <f t="shared" si="2"/>
        <v/>
      </c>
      <c r="S217" s="18" t="str">
        <f t="shared" si="3"/>
        <v/>
      </c>
      <c r="T217" s="18" t="str">
        <f t="shared" si="4"/>
        <v/>
      </c>
      <c r="U217" s="18" t="str">
        <f t="shared" si="5"/>
        <v/>
      </c>
      <c r="V217" s="1"/>
    </row>
    <row r="218" spans="1:22" x14ac:dyDescent="0.25">
      <c r="A218" s="14"/>
      <c r="B218" s="34"/>
      <c r="C218" s="22"/>
      <c r="D218" s="4"/>
      <c r="E218" s="27"/>
      <c r="F218" s="42"/>
      <c r="G218" s="11"/>
      <c r="H218" s="1"/>
      <c r="I218" s="1"/>
      <c r="J218" s="2"/>
      <c r="K218" s="1"/>
      <c r="L218" s="1"/>
      <c r="M218" s="1"/>
      <c r="N218" s="1"/>
      <c r="O218" s="5"/>
      <c r="P218" s="18" t="str">
        <f t="shared" si="0"/>
        <v/>
      </c>
      <c r="Q218" s="18" t="str">
        <f t="shared" si="1"/>
        <v/>
      </c>
      <c r="R218" s="18" t="str">
        <f t="shared" si="2"/>
        <v/>
      </c>
      <c r="S218" s="18" t="str">
        <f t="shared" si="3"/>
        <v/>
      </c>
      <c r="T218" s="18" t="str">
        <f t="shared" si="4"/>
        <v/>
      </c>
      <c r="U218" s="18" t="str">
        <f t="shared" si="5"/>
        <v/>
      </c>
      <c r="V218" s="1"/>
    </row>
    <row r="219" spans="1:22" x14ac:dyDescent="0.25">
      <c r="A219" s="14"/>
      <c r="B219" s="34"/>
      <c r="C219" s="22"/>
      <c r="D219" s="9">
        <f>0.3-0.08</f>
        <v>0.21999999999999997</v>
      </c>
      <c r="E219" s="23"/>
      <c r="F219" s="42"/>
      <c r="G219" s="11"/>
      <c r="H219" s="1"/>
      <c r="I219" s="1"/>
      <c r="J219" s="2"/>
      <c r="K219" s="1"/>
      <c r="L219" s="1"/>
      <c r="M219" s="1"/>
      <c r="N219" s="1"/>
      <c r="O219" s="5"/>
      <c r="P219" s="18" t="str">
        <f t="shared" si="0"/>
        <v/>
      </c>
      <c r="Q219" s="18" t="str">
        <f t="shared" si="1"/>
        <v/>
      </c>
      <c r="R219" s="18" t="str">
        <f t="shared" si="2"/>
        <v/>
      </c>
      <c r="S219" s="18" t="str">
        <f t="shared" si="3"/>
        <v/>
      </c>
      <c r="T219" s="18" t="str">
        <f t="shared" si="4"/>
        <v/>
      </c>
      <c r="U219" s="18" t="str">
        <f t="shared" si="5"/>
        <v/>
      </c>
      <c r="V219" s="1"/>
    </row>
    <row r="220" spans="1:22" x14ac:dyDescent="0.25">
      <c r="A220" s="14"/>
      <c r="B220" s="33"/>
      <c r="C220" s="22"/>
      <c r="D220" s="4"/>
      <c r="E220" s="23"/>
      <c r="F220" s="42"/>
      <c r="G220" s="11"/>
      <c r="H220" s="1"/>
      <c r="I220" s="1"/>
      <c r="J220" s="2"/>
      <c r="K220" s="1"/>
      <c r="L220" s="1"/>
      <c r="M220" s="1"/>
      <c r="N220" s="1"/>
      <c r="O220" s="5"/>
      <c r="P220" s="18" t="str">
        <f t="shared" si="0"/>
        <v/>
      </c>
      <c r="Q220" s="18" t="str">
        <f t="shared" si="1"/>
        <v/>
      </c>
      <c r="R220" s="18" t="str">
        <f t="shared" si="2"/>
        <v/>
      </c>
      <c r="S220" s="18" t="str">
        <f t="shared" si="3"/>
        <v/>
      </c>
      <c r="T220" s="18" t="str">
        <f t="shared" si="4"/>
        <v/>
      </c>
      <c r="U220" s="18" t="str">
        <f t="shared" si="5"/>
        <v/>
      </c>
      <c r="V220" s="1"/>
    </row>
    <row r="221" spans="1:22" x14ac:dyDescent="0.25">
      <c r="A221" s="14"/>
      <c r="B221" s="14"/>
      <c r="C221" s="47">
        <v>0.1</v>
      </c>
      <c r="D221" s="4"/>
      <c r="E221" s="23"/>
      <c r="F221" s="42"/>
      <c r="G221" s="11"/>
      <c r="H221" s="1"/>
      <c r="I221" s="1"/>
      <c r="J221" s="2"/>
      <c r="K221" s="1"/>
      <c r="L221" s="1"/>
      <c r="M221" s="1"/>
      <c r="N221" s="1"/>
      <c r="O221" s="5"/>
      <c r="P221" s="18" t="str">
        <f t="shared" si="0"/>
        <v/>
      </c>
      <c r="Q221" s="18" t="str">
        <f t="shared" si="1"/>
        <v/>
      </c>
      <c r="R221" s="18" t="str">
        <f t="shared" si="2"/>
        <v/>
      </c>
      <c r="S221" s="18" t="str">
        <f t="shared" si="3"/>
        <v/>
      </c>
      <c r="T221" s="18" t="str">
        <f t="shared" si="4"/>
        <v/>
      </c>
      <c r="U221" s="18" t="str">
        <f t="shared" si="5"/>
        <v/>
      </c>
      <c r="V221" s="1"/>
    </row>
    <row r="222" spans="1:22" x14ac:dyDescent="0.25">
      <c r="A222" s="14"/>
      <c r="B222" s="34" t="s">
        <v>21</v>
      </c>
      <c r="C222" s="26"/>
      <c r="D222" s="4"/>
      <c r="E222" s="40">
        <f>((0.6-0.08-0.016)/5)+0.012+0.02</f>
        <v>0.1328</v>
      </c>
      <c r="F222" s="42"/>
      <c r="G222" s="11">
        <v>10</v>
      </c>
      <c r="H222" s="1">
        <v>2</v>
      </c>
      <c r="I222" s="1">
        <v>1</v>
      </c>
      <c r="J222" s="41">
        <f>2*(D224+E222)+16*10/1000</f>
        <v>0.86560000000000004</v>
      </c>
      <c r="K222" s="1"/>
      <c r="L222" s="1"/>
      <c r="M222" s="1"/>
      <c r="N222" s="5">
        <f>(J222+K222-M222)</f>
        <v>0.86560000000000004</v>
      </c>
      <c r="O222" s="5">
        <f>(H222*I222*N222)</f>
        <v>1.7312000000000001</v>
      </c>
      <c r="P222" s="18" t="str">
        <f t="shared" si="0"/>
        <v/>
      </c>
      <c r="Q222" s="18">
        <f t="shared" si="1"/>
        <v>1.7312000000000001</v>
      </c>
      <c r="R222" s="18" t="str">
        <f t="shared" si="2"/>
        <v/>
      </c>
      <c r="S222" s="18" t="str">
        <f t="shared" si="3"/>
        <v/>
      </c>
      <c r="T222" s="18" t="str">
        <f t="shared" si="4"/>
        <v/>
      </c>
      <c r="U222" s="18" t="str">
        <f t="shared" si="5"/>
        <v/>
      </c>
      <c r="V222" s="1"/>
    </row>
    <row r="223" spans="1:22" x14ac:dyDescent="0.25">
      <c r="A223" s="14"/>
      <c r="B223" s="34"/>
      <c r="C223" s="22"/>
      <c r="D223" s="4"/>
      <c r="E223" s="27"/>
      <c r="F223" s="42"/>
      <c r="G223" s="11"/>
      <c r="H223" s="1"/>
      <c r="I223" s="1"/>
      <c r="J223" s="2"/>
      <c r="K223" s="1"/>
      <c r="L223" s="1"/>
      <c r="M223" s="1"/>
      <c r="N223" s="1"/>
      <c r="O223" s="5"/>
      <c r="P223" s="18" t="str">
        <f t="shared" si="0"/>
        <v/>
      </c>
      <c r="Q223" s="18" t="str">
        <f t="shared" si="1"/>
        <v/>
      </c>
      <c r="R223" s="18" t="str">
        <f t="shared" si="2"/>
        <v/>
      </c>
      <c r="S223" s="18" t="str">
        <f t="shared" si="3"/>
        <v/>
      </c>
      <c r="T223" s="18" t="str">
        <f t="shared" si="4"/>
        <v/>
      </c>
      <c r="U223" s="18" t="str">
        <f t="shared" si="5"/>
        <v/>
      </c>
      <c r="V223" s="1"/>
    </row>
    <row r="224" spans="1:22" x14ac:dyDescent="0.25">
      <c r="A224" s="14"/>
      <c r="B224" s="34"/>
      <c r="C224" s="22"/>
      <c r="D224" s="9">
        <f>0.3-0.08</f>
        <v>0.21999999999999997</v>
      </c>
      <c r="E224" s="23"/>
      <c r="F224" s="42"/>
      <c r="G224" s="11"/>
      <c r="H224" s="1"/>
      <c r="I224" s="1"/>
      <c r="J224" s="2"/>
      <c r="K224" s="1"/>
      <c r="L224" s="1"/>
      <c r="M224" s="1"/>
      <c r="N224" s="1"/>
      <c r="O224" s="5"/>
      <c r="P224" s="18" t="str">
        <f t="shared" si="0"/>
        <v/>
      </c>
      <c r="Q224" s="18" t="str">
        <f t="shared" si="1"/>
        <v/>
      </c>
      <c r="R224" s="18" t="str">
        <f t="shared" si="2"/>
        <v/>
      </c>
      <c r="S224" s="18" t="str">
        <f t="shared" si="3"/>
        <v/>
      </c>
      <c r="T224" s="18" t="str">
        <f t="shared" si="4"/>
        <v/>
      </c>
      <c r="U224" s="18" t="str">
        <f t="shared" si="5"/>
        <v/>
      </c>
      <c r="V224" s="1"/>
    </row>
    <row r="225" spans="1:22" x14ac:dyDescent="0.25">
      <c r="A225" s="14"/>
      <c r="B225" s="34"/>
      <c r="C225" s="22"/>
      <c r="D225" s="4"/>
      <c r="E225" s="23"/>
      <c r="F225" s="42"/>
      <c r="G225" s="11"/>
      <c r="H225" s="1"/>
      <c r="I225" s="1"/>
      <c r="J225" s="2"/>
      <c r="K225" s="1"/>
      <c r="L225" s="1"/>
      <c r="M225" s="1"/>
      <c r="N225" s="1"/>
      <c r="O225" s="5"/>
      <c r="P225" s="18" t="str">
        <f t="shared" si="0"/>
        <v/>
      </c>
      <c r="Q225" s="18" t="str">
        <f t="shared" si="1"/>
        <v/>
      </c>
      <c r="R225" s="18" t="str">
        <f t="shared" si="2"/>
        <v/>
      </c>
      <c r="S225" s="18" t="str">
        <f t="shared" si="3"/>
        <v/>
      </c>
      <c r="T225" s="18" t="str">
        <f t="shared" si="4"/>
        <v/>
      </c>
      <c r="U225" s="18" t="str">
        <f t="shared" si="5"/>
        <v/>
      </c>
      <c r="V225" s="1"/>
    </row>
    <row r="226" spans="1:22" x14ac:dyDescent="0.25">
      <c r="A226" s="14"/>
      <c r="B226" s="34" t="s">
        <v>22</v>
      </c>
      <c r="C226" s="22"/>
      <c r="D226" s="25"/>
      <c r="E226" s="23"/>
      <c r="F226" s="42"/>
      <c r="G226" s="11">
        <v>10</v>
      </c>
      <c r="H226" s="1">
        <v>2</v>
      </c>
      <c r="I226" s="1">
        <v>1</v>
      </c>
      <c r="J226" s="41">
        <f>C227+D229+E227+2*10*G226/1000</f>
        <v>0.77</v>
      </c>
      <c r="K226" s="1"/>
      <c r="L226" s="1"/>
      <c r="M226" s="5">
        <f>4*3*G226/1000</f>
        <v>0.12</v>
      </c>
      <c r="N226" s="5">
        <f>(J226+K226-M226)</f>
        <v>0.65</v>
      </c>
      <c r="O226" s="5">
        <f>(H226*I226*N226)</f>
        <v>1.3</v>
      </c>
      <c r="P226" s="18" t="str">
        <f t="shared" si="0"/>
        <v/>
      </c>
      <c r="Q226" s="18">
        <f t="shared" si="1"/>
        <v>1.3</v>
      </c>
      <c r="R226" s="18" t="str">
        <f t="shared" si="2"/>
        <v/>
      </c>
      <c r="S226" s="18" t="str">
        <f t="shared" si="3"/>
        <v/>
      </c>
      <c r="T226" s="18" t="str">
        <f t="shared" si="4"/>
        <v/>
      </c>
      <c r="U226" s="18" t="str">
        <f t="shared" si="5"/>
        <v/>
      </c>
      <c r="V226" s="1"/>
    </row>
    <row r="227" spans="1:22" x14ac:dyDescent="0.25">
      <c r="A227" s="14"/>
      <c r="B227" s="34"/>
      <c r="C227" s="29">
        <v>0.17499999999999999</v>
      </c>
      <c r="D227" s="4"/>
      <c r="E227" s="23">
        <v>0.17499999999999999</v>
      </c>
      <c r="F227" s="42"/>
      <c r="G227" s="11"/>
      <c r="H227" s="1"/>
      <c r="I227" s="1"/>
      <c r="J227" s="2"/>
      <c r="K227" s="1"/>
      <c r="L227" s="1"/>
      <c r="M227" s="1"/>
      <c r="N227" s="1"/>
      <c r="O227" s="5"/>
      <c r="P227" s="18" t="str">
        <f>IF($G227=8,$O227,"")</f>
        <v/>
      </c>
      <c r="Q227" s="18" t="str">
        <f>IF($G227=10,$O227,"")</f>
        <v/>
      </c>
      <c r="R227" s="18" t="str">
        <f>IF($G227=12,$O227,"")</f>
        <v/>
      </c>
      <c r="S227" s="18" t="str">
        <f>IF($G227=16,$O227,"")</f>
        <v/>
      </c>
      <c r="T227" s="18" t="str">
        <f>IF($G227=20,$O227,"")</f>
        <v/>
      </c>
      <c r="U227" s="18" t="str">
        <f>IF($G227=25,$O227,"")</f>
        <v/>
      </c>
      <c r="V227" s="1"/>
    </row>
    <row r="228" spans="1:22" x14ac:dyDescent="0.25">
      <c r="A228" s="14"/>
      <c r="B228" s="34"/>
      <c r="C228" s="22"/>
      <c r="D228" s="4"/>
      <c r="E228" s="23"/>
      <c r="F228" s="42"/>
      <c r="G228" s="11"/>
      <c r="H228" s="1"/>
      <c r="I228" s="1"/>
      <c r="J228" s="2"/>
      <c r="K228" s="1"/>
      <c r="L228" s="1"/>
      <c r="M228" s="1"/>
      <c r="N228" s="1"/>
      <c r="O228" s="5"/>
      <c r="P228" s="18" t="str">
        <f t="shared" si="0"/>
        <v/>
      </c>
      <c r="Q228" s="18" t="str">
        <f t="shared" si="1"/>
        <v/>
      </c>
      <c r="R228" s="18" t="str">
        <f t="shared" si="2"/>
        <v/>
      </c>
      <c r="S228" s="18" t="str">
        <f t="shared" si="3"/>
        <v/>
      </c>
      <c r="T228" s="18" t="str">
        <f t="shared" si="4"/>
        <v/>
      </c>
      <c r="U228" s="18" t="str">
        <f t="shared" si="5"/>
        <v/>
      </c>
      <c r="V228" s="1"/>
    </row>
    <row r="229" spans="1:22" x14ac:dyDescent="0.25">
      <c r="A229" s="14"/>
      <c r="B229" s="34"/>
      <c r="C229" s="22"/>
      <c r="D229" s="9">
        <f>0.3-0.08</f>
        <v>0.21999999999999997</v>
      </c>
      <c r="E229" s="23"/>
      <c r="F229" s="42"/>
      <c r="G229" s="11"/>
      <c r="H229" s="1"/>
      <c r="I229" s="1"/>
      <c r="J229" s="2"/>
      <c r="K229" s="1"/>
      <c r="L229" s="1"/>
      <c r="M229" s="1"/>
      <c r="N229" s="1"/>
      <c r="O229" s="5"/>
      <c r="P229" s="18" t="str">
        <f t="shared" si="0"/>
        <v/>
      </c>
      <c r="Q229" s="18" t="str">
        <f t="shared" si="1"/>
        <v/>
      </c>
      <c r="R229" s="18" t="str">
        <f t="shared" si="2"/>
        <v/>
      </c>
      <c r="S229" s="18" t="str">
        <f t="shared" si="3"/>
        <v/>
      </c>
      <c r="T229" s="18" t="str">
        <f t="shared" si="4"/>
        <v/>
      </c>
      <c r="U229" s="18" t="str">
        <f t="shared" si="5"/>
        <v/>
      </c>
      <c r="V229" s="1"/>
    </row>
    <row r="230" spans="1:22" x14ac:dyDescent="0.25">
      <c r="A230" s="14"/>
      <c r="B230" s="34"/>
      <c r="C230" s="22"/>
      <c r="D230" s="4"/>
      <c r="E230" s="23"/>
      <c r="F230" s="42"/>
      <c r="G230" s="11"/>
      <c r="H230" s="1"/>
      <c r="I230" s="1"/>
      <c r="J230" s="2"/>
      <c r="K230" s="1"/>
      <c r="L230" s="1"/>
      <c r="M230" s="1"/>
      <c r="N230" s="1"/>
      <c r="O230" s="5"/>
      <c r="P230" s="18" t="str">
        <f t="shared" si="0"/>
        <v/>
      </c>
      <c r="Q230" s="18" t="str">
        <f t="shared" si="1"/>
        <v/>
      </c>
      <c r="R230" s="18" t="str">
        <f t="shared" si="2"/>
        <v/>
      </c>
      <c r="S230" s="18" t="str">
        <f t="shared" si="3"/>
        <v/>
      </c>
      <c r="T230" s="18" t="str">
        <f t="shared" si="4"/>
        <v/>
      </c>
      <c r="U230" s="18" t="str">
        <f t="shared" si="5"/>
        <v/>
      </c>
      <c r="V230" s="1"/>
    </row>
    <row r="231" spans="1:22" x14ac:dyDescent="0.25">
      <c r="A231" s="14"/>
      <c r="B231" s="34" t="s">
        <v>36</v>
      </c>
      <c r="C231" s="22"/>
      <c r="D231" s="25"/>
      <c r="E231" s="23"/>
      <c r="F231" s="42"/>
      <c r="G231" s="11">
        <v>10</v>
      </c>
      <c r="H231" s="1">
        <v>2</v>
      </c>
      <c r="I231" s="1">
        <v>1</v>
      </c>
      <c r="J231" s="41">
        <f>C232+D234+E232+2*10*G231/1000</f>
        <v>0.77</v>
      </c>
      <c r="K231" s="1"/>
      <c r="L231" s="1"/>
      <c r="M231" s="5">
        <f>4*3*G231/1000</f>
        <v>0.12</v>
      </c>
      <c r="N231" s="5">
        <f>(J231+K231-M231)</f>
        <v>0.65</v>
      </c>
      <c r="O231" s="5">
        <f>(H231*I231*N231)</f>
        <v>1.3</v>
      </c>
      <c r="P231" s="18" t="str">
        <f t="shared" si="0"/>
        <v/>
      </c>
      <c r="Q231" s="18">
        <f t="shared" si="1"/>
        <v>1.3</v>
      </c>
      <c r="R231" s="18" t="str">
        <f t="shared" si="2"/>
        <v/>
      </c>
      <c r="S231" s="18" t="str">
        <f t="shared" si="3"/>
        <v/>
      </c>
      <c r="T231" s="18" t="str">
        <f t="shared" si="4"/>
        <v/>
      </c>
      <c r="U231" s="18" t="str">
        <f t="shared" si="5"/>
        <v/>
      </c>
      <c r="V231" s="1"/>
    </row>
    <row r="232" spans="1:22" x14ac:dyDescent="0.25">
      <c r="A232" s="14"/>
      <c r="B232" s="34"/>
      <c r="C232" s="29">
        <v>0.17499999999999999</v>
      </c>
      <c r="D232" s="4"/>
      <c r="E232" s="23">
        <v>0.17499999999999999</v>
      </c>
      <c r="F232" s="42"/>
      <c r="G232" s="11"/>
      <c r="H232" s="1"/>
      <c r="I232" s="1"/>
      <c r="J232" s="2"/>
      <c r="K232" s="1"/>
      <c r="L232" s="1"/>
      <c r="M232" s="1"/>
      <c r="N232" s="1"/>
      <c r="O232" s="5"/>
      <c r="P232" s="18" t="str">
        <f>IF($G232=8,$O232,"")</f>
        <v/>
      </c>
      <c r="Q232" s="18" t="str">
        <f>IF($G232=10,$O232,"")</f>
        <v/>
      </c>
      <c r="R232" s="18" t="str">
        <f>IF($G232=12,$O232,"")</f>
        <v/>
      </c>
      <c r="S232" s="18" t="str">
        <f>IF($G232=16,$O232,"")</f>
        <v/>
      </c>
      <c r="T232" s="18" t="str">
        <f>IF($G232=20,$O232,"")</f>
        <v/>
      </c>
      <c r="U232" s="18" t="str">
        <f>IF($G232=25,$O232,"")</f>
        <v/>
      </c>
      <c r="V232" s="1"/>
    </row>
    <row r="233" spans="1:22" x14ac:dyDescent="0.25">
      <c r="A233" s="14"/>
      <c r="B233" s="34"/>
      <c r="C233" s="22"/>
      <c r="D233" s="4"/>
      <c r="E233" s="23"/>
      <c r="F233" s="42"/>
      <c r="G233" s="11"/>
      <c r="H233" s="1"/>
      <c r="I233" s="1"/>
      <c r="J233" s="2"/>
      <c r="K233" s="1"/>
      <c r="L233" s="1"/>
      <c r="M233" s="1"/>
      <c r="N233" s="1"/>
      <c r="O233" s="3"/>
      <c r="P233" s="18" t="str">
        <f t="shared" si="0"/>
        <v/>
      </c>
      <c r="Q233" s="18" t="str">
        <f t="shared" si="1"/>
        <v/>
      </c>
      <c r="R233" s="18" t="str">
        <f t="shared" si="2"/>
        <v/>
      </c>
      <c r="S233" s="18" t="str">
        <f t="shared" si="3"/>
        <v/>
      </c>
      <c r="T233" s="18" t="str">
        <f t="shared" si="4"/>
        <v/>
      </c>
      <c r="U233" s="18" t="str">
        <f t="shared" si="5"/>
        <v/>
      </c>
      <c r="V233" s="1"/>
    </row>
    <row r="234" spans="1:22" x14ac:dyDescent="0.25">
      <c r="A234" s="14"/>
      <c r="B234" s="34"/>
      <c r="C234" s="22"/>
      <c r="D234" s="9">
        <f>0.3-0.08</f>
        <v>0.21999999999999997</v>
      </c>
      <c r="E234" s="23"/>
      <c r="F234" s="42"/>
      <c r="G234" s="11"/>
      <c r="H234" s="1"/>
      <c r="I234" s="1"/>
      <c r="J234" s="2"/>
      <c r="K234" s="1"/>
      <c r="L234" s="1"/>
      <c r="M234" s="1"/>
      <c r="N234" s="1"/>
      <c r="O234" s="3"/>
      <c r="P234" s="18" t="str">
        <f t="shared" si="0"/>
        <v/>
      </c>
      <c r="Q234" s="18" t="str">
        <f t="shared" si="1"/>
        <v/>
      </c>
      <c r="R234" s="18" t="str">
        <f t="shared" si="2"/>
        <v/>
      </c>
      <c r="S234" s="18" t="str">
        <f t="shared" si="3"/>
        <v/>
      </c>
      <c r="T234" s="18" t="str">
        <f t="shared" si="4"/>
        <v/>
      </c>
      <c r="U234" s="18" t="str">
        <f t="shared" si="5"/>
        <v/>
      </c>
      <c r="V234" s="1"/>
    </row>
    <row r="235" spans="1:22" x14ac:dyDescent="0.25">
      <c r="A235" s="14"/>
      <c r="B235" s="34"/>
      <c r="C235" s="22"/>
      <c r="D235" s="28"/>
      <c r="E235" s="23"/>
      <c r="F235" s="42"/>
      <c r="G235" s="11"/>
      <c r="H235" s="1"/>
      <c r="I235" s="1"/>
      <c r="J235" s="2"/>
      <c r="K235" s="1"/>
      <c r="L235" s="1"/>
      <c r="M235" s="1"/>
      <c r="N235" s="1"/>
      <c r="O235" s="3"/>
      <c r="P235" s="18" t="str">
        <f t="shared" si="0"/>
        <v/>
      </c>
      <c r="Q235" s="18" t="str">
        <f t="shared" si="1"/>
        <v/>
      </c>
      <c r="R235" s="18" t="str">
        <f t="shared" si="2"/>
        <v/>
      </c>
      <c r="S235" s="18" t="str">
        <f t="shared" si="3"/>
        <v/>
      </c>
      <c r="T235" s="18" t="str">
        <f t="shared" si="4"/>
        <v/>
      </c>
      <c r="U235" s="18" t="str">
        <f t="shared" si="5"/>
        <v/>
      </c>
      <c r="V235" s="1"/>
    </row>
    <row r="236" spans="1:22" x14ac:dyDescent="0.25">
      <c r="A236" s="14">
        <v>9</v>
      </c>
      <c r="B236" s="14" t="s">
        <v>45</v>
      </c>
      <c r="C236" s="22"/>
      <c r="D236" s="4"/>
      <c r="E236" s="23"/>
      <c r="F236" s="42"/>
      <c r="G236" s="11"/>
      <c r="H236" s="1"/>
      <c r="I236" s="1"/>
      <c r="J236" s="9"/>
      <c r="K236" s="5"/>
      <c r="L236" s="5"/>
      <c r="M236" s="1"/>
      <c r="N236" s="5"/>
      <c r="O236" s="5"/>
      <c r="P236" s="18" t="str">
        <f>IF($G236=8,$O236,"")</f>
        <v/>
      </c>
      <c r="Q236" s="18" t="str">
        <f>IF($G236=10,$O236,"")</f>
        <v/>
      </c>
      <c r="R236" s="18" t="str">
        <f>IF($G236=12,$O236,"")</f>
        <v/>
      </c>
      <c r="S236" s="18" t="str">
        <f>IF($G236=16,$O236,"")</f>
        <v/>
      </c>
      <c r="T236" s="18" t="str">
        <f>IF($G236=20,$O236,"")</f>
        <v/>
      </c>
      <c r="U236" s="18" t="str">
        <f>IF($G236=25,$O236,"")</f>
        <v/>
      </c>
      <c r="V236" s="1"/>
    </row>
    <row r="237" spans="1:22" x14ac:dyDescent="0.25">
      <c r="A237" s="14"/>
      <c r="B237" s="33" t="s">
        <v>18</v>
      </c>
      <c r="C237" s="22"/>
      <c r="D237" s="25">
        <f>0.85-0.075-2*0.016</f>
        <v>0.74299999999999999</v>
      </c>
      <c r="E237" s="23"/>
      <c r="F237" s="42"/>
      <c r="G237" s="11">
        <v>16</v>
      </c>
      <c r="H237" s="1">
        <v>1</v>
      </c>
      <c r="I237" s="1">
        <v>8</v>
      </c>
      <c r="J237" s="9">
        <f>D237</f>
        <v>0.74299999999999999</v>
      </c>
      <c r="K237" s="46" t="str">
        <f>IF(N237&lt;12,"0",0.049*G237)</f>
        <v>0</v>
      </c>
      <c r="L237" s="45">
        <v>1</v>
      </c>
      <c r="M237" s="1">
        <f>2*G237*L237/1000</f>
        <v>3.2000000000000001E-2</v>
      </c>
      <c r="N237" s="5">
        <f>J237+E239-M237</f>
        <v>1.0109999999999999</v>
      </c>
      <c r="O237" s="5">
        <f>H237*I237*N237</f>
        <v>8.0879999999999992</v>
      </c>
      <c r="P237" s="18" t="str">
        <f t="shared" si="0"/>
        <v/>
      </c>
      <c r="Q237" s="18" t="str">
        <f t="shared" si="1"/>
        <v/>
      </c>
      <c r="R237" s="18" t="str">
        <f t="shared" si="2"/>
        <v/>
      </c>
      <c r="S237" s="18">
        <f t="shared" si="3"/>
        <v>8.0879999999999992</v>
      </c>
      <c r="T237" s="18" t="str">
        <f t="shared" si="4"/>
        <v/>
      </c>
      <c r="U237" s="18" t="str">
        <f t="shared" si="5"/>
        <v/>
      </c>
      <c r="V237" s="1"/>
    </row>
    <row r="238" spans="1:22" x14ac:dyDescent="0.25">
      <c r="A238" s="14"/>
      <c r="B238" s="33" t="s">
        <v>32</v>
      </c>
      <c r="C238" s="22"/>
      <c r="D238" s="4"/>
      <c r="E238" s="23"/>
      <c r="F238" s="42"/>
      <c r="G238" s="11">
        <v>12</v>
      </c>
      <c r="H238" s="1">
        <v>1</v>
      </c>
      <c r="I238" s="1">
        <v>16</v>
      </c>
      <c r="J238" s="9">
        <f>D237</f>
        <v>0.74299999999999999</v>
      </c>
      <c r="K238" s="46" t="str">
        <f t="shared" ref="K238:K239" si="30">IF(N238&lt;12,"0",0.049*G238)</f>
        <v>0</v>
      </c>
      <c r="L238" s="45">
        <v>1</v>
      </c>
      <c r="M238" s="1">
        <f t="shared" ref="M238:M239" si="31">2*G238*L238/1000</f>
        <v>2.4E-2</v>
      </c>
      <c r="N238" s="5">
        <f>J238+E239-M238</f>
        <v>1.0189999999999999</v>
      </c>
      <c r="O238" s="5">
        <f>H238*I238*N238</f>
        <v>16.303999999999998</v>
      </c>
      <c r="P238" s="18" t="str">
        <f t="shared" si="0"/>
        <v/>
      </c>
      <c r="Q238" s="18" t="str">
        <f t="shared" si="1"/>
        <v/>
      </c>
      <c r="R238" s="18">
        <f t="shared" si="2"/>
        <v>16.303999999999998</v>
      </c>
      <c r="S238" s="18" t="str">
        <f t="shared" si="3"/>
        <v/>
      </c>
      <c r="T238" s="18" t="str">
        <f t="shared" si="4"/>
        <v/>
      </c>
      <c r="U238" s="18" t="str">
        <f t="shared" si="5"/>
        <v/>
      </c>
      <c r="V238" s="1"/>
    </row>
    <row r="239" spans="1:22" x14ac:dyDescent="0.25">
      <c r="A239" s="14"/>
      <c r="B239" s="33" t="s">
        <v>26</v>
      </c>
      <c r="C239" s="24"/>
      <c r="D239" s="25"/>
      <c r="E239" s="39">
        <v>0.3</v>
      </c>
      <c r="F239" s="42"/>
      <c r="G239" s="11">
        <v>10</v>
      </c>
      <c r="H239" s="1">
        <v>1</v>
      </c>
      <c r="I239" s="1">
        <v>8</v>
      </c>
      <c r="J239" s="9">
        <f>D237</f>
        <v>0.74299999999999999</v>
      </c>
      <c r="K239" s="46" t="str">
        <f t="shared" si="30"/>
        <v>0</v>
      </c>
      <c r="L239" s="45">
        <v>1</v>
      </c>
      <c r="M239" s="1">
        <f t="shared" si="31"/>
        <v>0.02</v>
      </c>
      <c r="N239" s="5">
        <f>J239+E239-M239</f>
        <v>1.0229999999999999</v>
      </c>
      <c r="O239" s="5">
        <f>H239*I239*N239</f>
        <v>8.1839999999999993</v>
      </c>
      <c r="P239" s="18" t="str">
        <f t="shared" si="0"/>
        <v/>
      </c>
      <c r="Q239" s="18">
        <f t="shared" si="1"/>
        <v>8.1839999999999993</v>
      </c>
      <c r="R239" s="18" t="str">
        <f t="shared" si="2"/>
        <v/>
      </c>
      <c r="S239" s="18" t="str">
        <f t="shared" si="3"/>
        <v/>
      </c>
      <c r="T239" s="18" t="str">
        <f t="shared" si="4"/>
        <v/>
      </c>
      <c r="U239" s="18" t="str">
        <f t="shared" si="5"/>
        <v/>
      </c>
      <c r="V239" s="1"/>
    </row>
    <row r="240" spans="1:22" x14ac:dyDescent="0.25">
      <c r="A240" s="14"/>
      <c r="B240" s="33"/>
      <c r="C240" s="22"/>
      <c r="D240" s="4"/>
      <c r="E240" s="23"/>
      <c r="F240" s="42"/>
      <c r="G240" s="11"/>
      <c r="H240" s="1"/>
      <c r="I240" s="1"/>
      <c r="J240" s="9"/>
      <c r="K240" s="46"/>
      <c r="L240" s="45"/>
      <c r="M240" s="1"/>
      <c r="N240" s="5"/>
      <c r="O240" s="5"/>
      <c r="P240" s="18" t="str">
        <f t="shared" si="0"/>
        <v/>
      </c>
      <c r="Q240" s="18" t="str">
        <f t="shared" si="1"/>
        <v/>
      </c>
      <c r="R240" s="18" t="str">
        <f t="shared" si="2"/>
        <v/>
      </c>
      <c r="S240" s="18" t="str">
        <f t="shared" si="3"/>
        <v/>
      </c>
      <c r="T240" s="18" t="str">
        <f t="shared" si="4"/>
        <v/>
      </c>
      <c r="U240" s="18" t="str">
        <f t="shared" si="5"/>
        <v/>
      </c>
      <c r="V240" s="1"/>
    </row>
    <row r="241" spans="1:22" x14ac:dyDescent="0.25">
      <c r="A241" s="14"/>
      <c r="B241" s="33"/>
      <c r="C241" s="22"/>
      <c r="D241" s="4"/>
      <c r="E241" s="23"/>
      <c r="F241" s="42"/>
      <c r="G241" s="11"/>
      <c r="H241" s="1"/>
      <c r="I241" s="1"/>
      <c r="J241" s="2"/>
      <c r="K241" s="1"/>
      <c r="L241" s="1"/>
      <c r="M241" s="1"/>
      <c r="N241" s="1"/>
      <c r="O241" s="3"/>
      <c r="P241" s="18" t="str">
        <f t="shared" si="0"/>
        <v/>
      </c>
      <c r="Q241" s="18" t="str">
        <f t="shared" si="1"/>
        <v/>
      </c>
      <c r="R241" s="18" t="str">
        <f t="shared" si="2"/>
        <v/>
      </c>
      <c r="S241" s="18" t="str">
        <f t="shared" si="3"/>
        <v/>
      </c>
      <c r="T241" s="18" t="str">
        <f t="shared" si="4"/>
        <v/>
      </c>
      <c r="U241" s="18" t="str">
        <f t="shared" si="5"/>
        <v/>
      </c>
      <c r="V241" s="1"/>
    </row>
    <row r="242" spans="1:22" x14ac:dyDescent="0.25">
      <c r="A242" s="14"/>
      <c r="B242" s="14"/>
      <c r="C242" s="47">
        <v>0.1</v>
      </c>
      <c r="D242" s="4"/>
      <c r="E242" s="23"/>
      <c r="F242" s="42"/>
      <c r="G242" s="11"/>
      <c r="H242" s="1"/>
      <c r="I242" s="1"/>
      <c r="J242" s="2"/>
      <c r="K242" s="1"/>
      <c r="L242" s="1"/>
      <c r="M242" s="1"/>
      <c r="N242" s="1"/>
      <c r="O242" s="3"/>
      <c r="P242" s="18" t="str">
        <f t="shared" si="0"/>
        <v/>
      </c>
      <c r="Q242" s="18" t="str">
        <f t="shared" si="1"/>
        <v/>
      </c>
      <c r="R242" s="18" t="str">
        <f t="shared" si="2"/>
        <v/>
      </c>
      <c r="S242" s="18" t="str">
        <f t="shared" si="3"/>
        <v/>
      </c>
      <c r="T242" s="18" t="str">
        <f t="shared" si="4"/>
        <v/>
      </c>
      <c r="U242" s="18" t="str">
        <f t="shared" si="5"/>
        <v/>
      </c>
      <c r="V242" s="1"/>
    </row>
    <row r="243" spans="1:22" x14ac:dyDescent="0.25">
      <c r="A243" s="14"/>
      <c r="B243" s="34" t="s">
        <v>20</v>
      </c>
      <c r="C243" s="26"/>
      <c r="D243" s="4"/>
      <c r="E243" s="40">
        <f>0.65-0.05</f>
        <v>0.6</v>
      </c>
      <c r="F243" s="42"/>
      <c r="G243" s="11">
        <v>10</v>
      </c>
      <c r="H243" s="1">
        <v>1</v>
      </c>
      <c r="I243" s="1">
        <v>4</v>
      </c>
      <c r="J243" s="41">
        <f>2*(D245+E243)+16*10/1000</f>
        <v>1.72</v>
      </c>
      <c r="K243" s="1"/>
      <c r="L243" s="1"/>
      <c r="M243" s="1"/>
      <c r="N243" s="5">
        <f>(J243+K243-M243)</f>
        <v>1.72</v>
      </c>
      <c r="O243" s="5">
        <f>(H243*I243*N243)</f>
        <v>6.88</v>
      </c>
      <c r="P243" s="18" t="str">
        <f t="shared" si="0"/>
        <v/>
      </c>
      <c r="Q243" s="18">
        <f t="shared" si="1"/>
        <v>6.88</v>
      </c>
      <c r="R243" s="18" t="str">
        <f t="shared" si="2"/>
        <v/>
      </c>
      <c r="S243" s="18" t="str">
        <f t="shared" si="3"/>
        <v/>
      </c>
      <c r="T243" s="18" t="str">
        <f t="shared" si="4"/>
        <v/>
      </c>
      <c r="U243" s="18" t="str">
        <f t="shared" si="5"/>
        <v/>
      </c>
      <c r="V243" s="1"/>
    </row>
    <row r="244" spans="1:22" x14ac:dyDescent="0.25">
      <c r="A244" s="14"/>
      <c r="B244" s="34"/>
      <c r="C244" s="22"/>
      <c r="D244" s="4"/>
      <c r="E244" s="27"/>
      <c r="F244" s="42"/>
      <c r="G244" s="11"/>
      <c r="H244" s="1"/>
      <c r="I244" s="1"/>
      <c r="J244" s="2"/>
      <c r="K244" s="1"/>
      <c r="L244" s="1"/>
      <c r="M244" s="1"/>
      <c r="N244" s="1"/>
      <c r="O244" s="5"/>
      <c r="P244" s="18" t="str">
        <f t="shared" si="0"/>
        <v/>
      </c>
      <c r="Q244" s="18" t="str">
        <f t="shared" si="1"/>
        <v/>
      </c>
      <c r="R244" s="18" t="str">
        <f t="shared" si="2"/>
        <v/>
      </c>
      <c r="S244" s="18" t="str">
        <f t="shared" si="3"/>
        <v/>
      </c>
      <c r="T244" s="18" t="str">
        <f t="shared" si="4"/>
        <v/>
      </c>
      <c r="U244" s="18" t="str">
        <f t="shared" si="5"/>
        <v/>
      </c>
      <c r="V244" s="1"/>
    </row>
    <row r="245" spans="1:22" x14ac:dyDescent="0.25">
      <c r="A245" s="14"/>
      <c r="B245" s="34"/>
      <c r="C245" s="22"/>
      <c r="D245" s="9">
        <f>0.23-0.05</f>
        <v>0.18</v>
      </c>
      <c r="E245" s="23"/>
      <c r="F245" s="42"/>
      <c r="G245" s="11"/>
      <c r="H245" s="1"/>
      <c r="I245" s="1"/>
      <c r="J245" s="2"/>
      <c r="K245" s="1"/>
      <c r="L245" s="1"/>
      <c r="M245" s="1"/>
      <c r="N245" s="1"/>
      <c r="O245" s="5"/>
      <c r="P245" s="18" t="str">
        <f t="shared" si="0"/>
        <v/>
      </c>
      <c r="Q245" s="18" t="str">
        <f t="shared" si="1"/>
        <v/>
      </c>
      <c r="R245" s="18" t="str">
        <f t="shared" si="2"/>
        <v/>
      </c>
      <c r="S245" s="18" t="str">
        <f t="shared" si="3"/>
        <v/>
      </c>
      <c r="T245" s="18" t="str">
        <f t="shared" si="4"/>
        <v/>
      </c>
      <c r="U245" s="18" t="str">
        <f t="shared" si="5"/>
        <v/>
      </c>
      <c r="V245" s="1"/>
    </row>
    <row r="246" spans="1:22" x14ac:dyDescent="0.25">
      <c r="A246" s="14"/>
      <c r="B246" s="33"/>
      <c r="C246" s="22"/>
      <c r="D246" s="4"/>
      <c r="E246" s="23"/>
      <c r="F246" s="42"/>
      <c r="G246" s="11"/>
      <c r="H246" s="1"/>
      <c r="I246" s="1"/>
      <c r="J246" s="2"/>
      <c r="K246" s="1"/>
      <c r="L246" s="1"/>
      <c r="M246" s="1"/>
      <c r="N246" s="1"/>
      <c r="O246" s="3"/>
      <c r="P246" s="18" t="str">
        <f t="shared" si="0"/>
        <v/>
      </c>
      <c r="Q246" s="18" t="str">
        <f t="shared" si="1"/>
        <v/>
      </c>
      <c r="R246" s="18" t="str">
        <f t="shared" si="2"/>
        <v/>
      </c>
      <c r="S246" s="18" t="str">
        <f t="shared" si="3"/>
        <v/>
      </c>
      <c r="T246" s="18" t="str">
        <f t="shared" si="4"/>
        <v/>
      </c>
      <c r="U246" s="18" t="str">
        <f t="shared" si="5"/>
        <v/>
      </c>
      <c r="V246" s="1"/>
    </row>
    <row r="247" spans="1:22" x14ac:dyDescent="0.25">
      <c r="A247" s="14"/>
      <c r="B247" s="14"/>
      <c r="C247" s="47">
        <v>0.1</v>
      </c>
      <c r="D247" s="4"/>
      <c r="E247" s="23"/>
      <c r="F247" s="42"/>
      <c r="G247" s="11"/>
      <c r="H247" s="1"/>
      <c r="I247" s="1"/>
      <c r="J247" s="2"/>
      <c r="K247" s="1"/>
      <c r="L247" s="1"/>
      <c r="M247" s="1"/>
      <c r="N247" s="1"/>
      <c r="O247" s="3"/>
      <c r="P247" s="18" t="str">
        <f t="shared" si="0"/>
        <v/>
      </c>
      <c r="Q247" s="18" t="str">
        <f t="shared" si="1"/>
        <v/>
      </c>
      <c r="R247" s="18" t="str">
        <f t="shared" si="2"/>
        <v/>
      </c>
      <c r="S247" s="18" t="str">
        <f t="shared" si="3"/>
        <v/>
      </c>
      <c r="T247" s="18" t="str">
        <f t="shared" si="4"/>
        <v/>
      </c>
      <c r="U247" s="18" t="str">
        <f t="shared" si="5"/>
        <v/>
      </c>
      <c r="V247" s="1"/>
    </row>
    <row r="248" spans="1:22" x14ac:dyDescent="0.25">
      <c r="A248" s="14"/>
      <c r="B248" s="34" t="s">
        <v>21</v>
      </c>
      <c r="C248" s="26"/>
      <c r="D248" s="4"/>
      <c r="E248" s="40">
        <f>1.65-0.05</f>
        <v>1.5999999999999999</v>
      </c>
      <c r="F248" s="42"/>
      <c r="G248" s="11">
        <v>10</v>
      </c>
      <c r="H248" s="1">
        <v>1</v>
      </c>
      <c r="I248" s="1">
        <v>4</v>
      </c>
      <c r="J248" s="41">
        <f>2*(D250+E248)+16*10/1000</f>
        <v>3.7199999999999998</v>
      </c>
      <c r="K248" s="1"/>
      <c r="L248" s="1"/>
      <c r="M248" s="1"/>
      <c r="N248" s="5">
        <f>(J248+K248-M248)</f>
        <v>3.7199999999999998</v>
      </c>
      <c r="O248" s="5">
        <f>(H248*I248*N248)</f>
        <v>14.879999999999999</v>
      </c>
      <c r="P248" s="18" t="str">
        <f t="shared" si="0"/>
        <v/>
      </c>
      <c r="Q248" s="18">
        <f t="shared" si="1"/>
        <v>14.879999999999999</v>
      </c>
      <c r="R248" s="18" t="str">
        <f t="shared" si="2"/>
        <v/>
      </c>
      <c r="S248" s="18" t="str">
        <f t="shared" si="3"/>
        <v/>
      </c>
      <c r="T248" s="18" t="str">
        <f t="shared" si="4"/>
        <v/>
      </c>
      <c r="U248" s="18" t="str">
        <f t="shared" si="5"/>
        <v/>
      </c>
      <c r="V248" s="1"/>
    </row>
    <row r="249" spans="1:22" x14ac:dyDescent="0.25">
      <c r="A249" s="14"/>
      <c r="B249" s="34"/>
      <c r="C249" s="22"/>
      <c r="D249" s="4"/>
      <c r="E249" s="27"/>
      <c r="F249" s="42"/>
      <c r="G249" s="11"/>
      <c r="H249" s="1"/>
      <c r="I249" s="1"/>
      <c r="J249" s="2"/>
      <c r="K249" s="1"/>
      <c r="L249" s="1"/>
      <c r="M249" s="1"/>
      <c r="N249" s="1"/>
      <c r="O249" s="5"/>
      <c r="P249" s="18" t="str">
        <f t="shared" si="0"/>
        <v/>
      </c>
      <c r="Q249" s="18" t="str">
        <f t="shared" si="1"/>
        <v/>
      </c>
      <c r="R249" s="18" t="str">
        <f t="shared" si="2"/>
        <v/>
      </c>
      <c r="S249" s="18" t="str">
        <f t="shared" si="3"/>
        <v/>
      </c>
      <c r="T249" s="18" t="str">
        <f t="shared" si="4"/>
        <v/>
      </c>
      <c r="U249" s="18" t="str">
        <f t="shared" si="5"/>
        <v/>
      </c>
      <c r="V249" s="1"/>
    </row>
    <row r="250" spans="1:22" x14ac:dyDescent="0.25">
      <c r="A250" s="14"/>
      <c r="B250" s="34"/>
      <c r="C250" s="22"/>
      <c r="D250" s="9">
        <f>0.23-0.05</f>
        <v>0.18</v>
      </c>
      <c r="E250" s="23"/>
      <c r="F250" s="42"/>
      <c r="G250" s="11"/>
      <c r="H250" s="1"/>
      <c r="I250" s="1"/>
      <c r="J250" s="2"/>
      <c r="K250" s="1"/>
      <c r="L250" s="1"/>
      <c r="M250" s="1"/>
      <c r="N250" s="1"/>
      <c r="O250" s="5"/>
      <c r="P250" s="18" t="str">
        <f t="shared" si="0"/>
        <v/>
      </c>
      <c r="Q250" s="18" t="str">
        <f t="shared" si="1"/>
        <v/>
      </c>
      <c r="R250" s="18" t="str">
        <f t="shared" si="2"/>
        <v/>
      </c>
      <c r="S250" s="18" t="str">
        <f t="shared" si="3"/>
        <v/>
      </c>
      <c r="T250" s="18" t="str">
        <f t="shared" si="4"/>
        <v/>
      </c>
      <c r="U250" s="18" t="str">
        <f t="shared" si="5"/>
        <v/>
      </c>
      <c r="V250" s="1"/>
    </row>
    <row r="251" spans="1:22" x14ac:dyDescent="0.25">
      <c r="A251" s="14"/>
      <c r="B251" s="33"/>
      <c r="C251" s="22"/>
      <c r="D251" s="4"/>
      <c r="E251" s="23"/>
      <c r="F251" s="42"/>
      <c r="G251" s="11"/>
      <c r="H251" s="1"/>
      <c r="I251" s="1"/>
      <c r="J251" s="2"/>
      <c r="K251" s="1"/>
      <c r="L251" s="1"/>
      <c r="M251" s="1"/>
      <c r="N251" s="1"/>
      <c r="O251" s="5"/>
      <c r="P251" s="18" t="str">
        <f t="shared" si="0"/>
        <v/>
      </c>
      <c r="Q251" s="18" t="str">
        <f t="shared" si="1"/>
        <v/>
      </c>
      <c r="R251" s="18" t="str">
        <f t="shared" si="2"/>
        <v/>
      </c>
      <c r="S251" s="18" t="str">
        <f t="shared" si="3"/>
        <v/>
      </c>
      <c r="T251" s="18" t="str">
        <f t="shared" si="4"/>
        <v/>
      </c>
      <c r="U251" s="18" t="str">
        <f t="shared" si="5"/>
        <v/>
      </c>
      <c r="V251" s="1"/>
    </row>
    <row r="252" spans="1:22" x14ac:dyDescent="0.25">
      <c r="A252" s="14"/>
      <c r="B252" s="14"/>
      <c r="C252" s="47">
        <v>0.1</v>
      </c>
      <c r="D252" s="4"/>
      <c r="E252" s="23"/>
      <c r="F252" s="42"/>
      <c r="G252" s="11"/>
      <c r="H252" s="1"/>
      <c r="I252" s="1"/>
      <c r="J252" s="2"/>
      <c r="K252" s="1"/>
      <c r="L252" s="1"/>
      <c r="M252" s="1"/>
      <c r="N252" s="1"/>
      <c r="O252" s="5"/>
      <c r="P252" s="18" t="str">
        <f t="shared" si="0"/>
        <v/>
      </c>
      <c r="Q252" s="18" t="str">
        <f t="shared" si="1"/>
        <v/>
      </c>
      <c r="R252" s="18" t="str">
        <f t="shared" si="2"/>
        <v/>
      </c>
      <c r="S252" s="18" t="str">
        <f t="shared" si="3"/>
        <v/>
      </c>
      <c r="T252" s="18" t="str">
        <f t="shared" si="4"/>
        <v/>
      </c>
      <c r="U252" s="18" t="str">
        <f t="shared" si="5"/>
        <v/>
      </c>
      <c r="V252" s="1"/>
    </row>
    <row r="253" spans="1:22" x14ac:dyDescent="0.25">
      <c r="A253" s="14"/>
      <c r="B253" s="34" t="s">
        <v>22</v>
      </c>
      <c r="C253" s="26"/>
      <c r="D253" s="4"/>
      <c r="E253" s="40">
        <f>((0.65-0.05-0.016)/5)*2+0.012+0.02</f>
        <v>0.2656</v>
      </c>
      <c r="F253" s="42"/>
      <c r="G253" s="11">
        <v>10</v>
      </c>
      <c r="H253" s="1">
        <v>1</v>
      </c>
      <c r="I253" s="1">
        <v>1</v>
      </c>
      <c r="J253" s="41">
        <f>2*(D255+E253)+16*10/1000</f>
        <v>1.0511999999999999</v>
      </c>
      <c r="K253" s="1"/>
      <c r="L253" s="1"/>
      <c r="M253" s="1"/>
      <c r="N253" s="5">
        <f>(J253+K253-M253)</f>
        <v>1.0511999999999999</v>
      </c>
      <c r="O253" s="5">
        <f>(H253*I253*N253)</f>
        <v>1.0511999999999999</v>
      </c>
      <c r="P253" s="18" t="str">
        <f t="shared" si="0"/>
        <v/>
      </c>
      <c r="Q253" s="18">
        <f t="shared" si="1"/>
        <v>1.0511999999999999</v>
      </c>
      <c r="R253" s="18" t="str">
        <f t="shared" si="2"/>
        <v/>
      </c>
      <c r="S253" s="18" t="str">
        <f t="shared" si="3"/>
        <v/>
      </c>
      <c r="T253" s="18" t="str">
        <f t="shared" si="4"/>
        <v/>
      </c>
      <c r="U253" s="18" t="str">
        <f t="shared" si="5"/>
        <v/>
      </c>
      <c r="V253" s="1"/>
    </row>
    <row r="254" spans="1:22" x14ac:dyDescent="0.25">
      <c r="A254" s="14"/>
      <c r="B254" s="34"/>
      <c r="C254" s="22"/>
      <c r="D254" s="4"/>
      <c r="E254" s="27"/>
      <c r="F254" s="42"/>
      <c r="G254" s="11"/>
      <c r="H254" s="1"/>
      <c r="I254" s="1"/>
      <c r="J254" s="2"/>
      <c r="K254" s="1"/>
      <c r="L254" s="1"/>
      <c r="M254" s="1"/>
      <c r="N254" s="1"/>
      <c r="O254" s="5"/>
      <c r="P254" s="18" t="str">
        <f t="shared" si="0"/>
        <v/>
      </c>
      <c r="Q254" s="18" t="str">
        <f t="shared" si="1"/>
        <v/>
      </c>
      <c r="R254" s="18" t="str">
        <f t="shared" si="2"/>
        <v/>
      </c>
      <c r="S254" s="18" t="str">
        <f t="shared" si="3"/>
        <v/>
      </c>
      <c r="T254" s="18" t="str">
        <f t="shared" si="4"/>
        <v/>
      </c>
      <c r="U254" s="18" t="str">
        <f t="shared" si="5"/>
        <v/>
      </c>
      <c r="V254" s="1"/>
    </row>
    <row r="255" spans="1:22" x14ac:dyDescent="0.25">
      <c r="A255" s="14"/>
      <c r="B255" s="34"/>
      <c r="C255" s="22"/>
      <c r="D255" s="9">
        <f>0.23-0.05</f>
        <v>0.18</v>
      </c>
      <c r="E255" s="23"/>
      <c r="F255" s="42"/>
      <c r="G255" s="11"/>
      <c r="H255" s="1"/>
      <c r="I255" s="1"/>
      <c r="J255" s="2"/>
      <c r="K255" s="1"/>
      <c r="L255" s="1"/>
      <c r="M255" s="1"/>
      <c r="N255" s="1"/>
      <c r="O255" s="5"/>
      <c r="P255" s="18" t="str">
        <f t="shared" si="0"/>
        <v/>
      </c>
      <c r="Q255" s="18" t="str">
        <f t="shared" si="1"/>
        <v/>
      </c>
      <c r="R255" s="18" t="str">
        <f t="shared" si="2"/>
        <v/>
      </c>
      <c r="S255" s="18" t="str">
        <f t="shared" si="3"/>
        <v/>
      </c>
      <c r="T255" s="18" t="str">
        <f t="shared" si="4"/>
        <v/>
      </c>
      <c r="U255" s="18" t="str">
        <f t="shared" si="5"/>
        <v/>
      </c>
      <c r="V255" s="1"/>
    </row>
    <row r="256" spans="1:22" x14ac:dyDescent="0.25">
      <c r="A256" s="14"/>
      <c r="B256" s="33"/>
      <c r="C256" s="22"/>
      <c r="D256" s="4"/>
      <c r="E256" s="23"/>
      <c r="F256" s="42"/>
      <c r="G256" s="11"/>
      <c r="H256" s="1"/>
      <c r="I256" s="1"/>
      <c r="J256" s="2"/>
      <c r="K256" s="1"/>
      <c r="L256" s="1"/>
      <c r="M256" s="1"/>
      <c r="N256" s="1"/>
      <c r="O256" s="3"/>
      <c r="P256" s="18" t="str">
        <f t="shared" si="0"/>
        <v/>
      </c>
      <c r="Q256" s="18" t="str">
        <f t="shared" si="1"/>
        <v/>
      </c>
      <c r="R256" s="18" t="str">
        <f t="shared" si="2"/>
        <v/>
      </c>
      <c r="S256" s="18" t="str">
        <f t="shared" si="3"/>
        <v/>
      </c>
      <c r="T256" s="18" t="str">
        <f t="shared" si="4"/>
        <v/>
      </c>
      <c r="U256" s="18" t="str">
        <f t="shared" si="5"/>
        <v/>
      </c>
      <c r="V256" s="1"/>
    </row>
    <row r="257" spans="1:22" x14ac:dyDescent="0.25">
      <c r="A257" s="14"/>
      <c r="B257" s="14"/>
      <c r="C257" s="47">
        <v>0.1</v>
      </c>
      <c r="D257" s="4"/>
      <c r="E257" s="23"/>
      <c r="F257" s="42"/>
      <c r="G257" s="11"/>
      <c r="H257" s="1"/>
      <c r="I257" s="1"/>
      <c r="J257" s="2"/>
      <c r="K257" s="1"/>
      <c r="L257" s="1"/>
      <c r="M257" s="1"/>
      <c r="N257" s="1"/>
      <c r="O257" s="3"/>
      <c r="P257" s="18" t="str">
        <f t="shared" si="0"/>
        <v/>
      </c>
      <c r="Q257" s="18" t="str">
        <f t="shared" si="1"/>
        <v/>
      </c>
      <c r="R257" s="18" t="str">
        <f t="shared" si="2"/>
        <v/>
      </c>
      <c r="S257" s="18" t="str">
        <f t="shared" si="3"/>
        <v/>
      </c>
      <c r="T257" s="18" t="str">
        <f t="shared" si="4"/>
        <v/>
      </c>
      <c r="U257" s="18" t="str">
        <f t="shared" si="5"/>
        <v/>
      </c>
      <c r="V257" s="1"/>
    </row>
    <row r="258" spans="1:22" x14ac:dyDescent="0.25">
      <c r="A258" s="14"/>
      <c r="B258" s="34" t="s">
        <v>36</v>
      </c>
      <c r="C258" s="26"/>
      <c r="D258" s="4"/>
      <c r="E258" s="40">
        <f>((1.65-0.05-0.014)/11)*3+0.014+0.02</f>
        <v>0.46654545454545449</v>
      </c>
      <c r="F258" s="42"/>
      <c r="G258" s="11">
        <v>10</v>
      </c>
      <c r="H258" s="1">
        <v>1</v>
      </c>
      <c r="I258" s="1">
        <v>1</v>
      </c>
      <c r="J258" s="41">
        <f>2*(D260+E258)+16*10/1000</f>
        <v>1.453090909090909</v>
      </c>
      <c r="K258" s="1"/>
      <c r="L258" s="1"/>
      <c r="M258" s="1"/>
      <c r="N258" s="5">
        <f>(J258+K258-M258)</f>
        <v>1.453090909090909</v>
      </c>
      <c r="O258" s="5">
        <f>(H258*I258*N258)</f>
        <v>1.453090909090909</v>
      </c>
      <c r="P258" s="18" t="str">
        <f t="shared" si="0"/>
        <v/>
      </c>
      <c r="Q258" s="18">
        <f t="shared" si="1"/>
        <v>1.453090909090909</v>
      </c>
      <c r="R258" s="18" t="str">
        <f t="shared" si="2"/>
        <v/>
      </c>
      <c r="S258" s="18" t="str">
        <f t="shared" si="3"/>
        <v/>
      </c>
      <c r="T258" s="18" t="str">
        <f t="shared" si="4"/>
        <v/>
      </c>
      <c r="U258" s="18" t="str">
        <f t="shared" si="5"/>
        <v/>
      </c>
      <c r="V258" s="1"/>
    </row>
    <row r="259" spans="1:22" x14ac:dyDescent="0.25">
      <c r="A259" s="14"/>
      <c r="B259" s="34"/>
      <c r="C259" s="22"/>
      <c r="D259" s="4"/>
      <c r="E259" s="27"/>
      <c r="F259" s="42"/>
      <c r="G259" s="11"/>
      <c r="H259" s="1"/>
      <c r="I259" s="1"/>
      <c r="J259" s="2"/>
      <c r="K259" s="1"/>
      <c r="L259" s="1"/>
      <c r="M259" s="1"/>
      <c r="N259" s="1"/>
      <c r="O259" s="5"/>
      <c r="P259" s="18" t="str">
        <f t="shared" si="0"/>
        <v/>
      </c>
      <c r="Q259" s="18" t="str">
        <f t="shared" si="1"/>
        <v/>
      </c>
      <c r="R259" s="18" t="str">
        <f t="shared" si="2"/>
        <v/>
      </c>
      <c r="S259" s="18" t="str">
        <f t="shared" si="3"/>
        <v/>
      </c>
      <c r="T259" s="18" t="str">
        <f t="shared" si="4"/>
        <v/>
      </c>
      <c r="U259" s="18" t="str">
        <f t="shared" si="5"/>
        <v/>
      </c>
      <c r="V259" s="1"/>
    </row>
    <row r="260" spans="1:22" x14ac:dyDescent="0.25">
      <c r="A260" s="14"/>
      <c r="B260" s="34"/>
      <c r="C260" s="22"/>
      <c r="D260" s="9">
        <f>0.23-0.05</f>
        <v>0.18</v>
      </c>
      <c r="E260" s="23"/>
      <c r="F260" s="42"/>
      <c r="G260" s="11"/>
      <c r="H260" s="1"/>
      <c r="I260" s="1"/>
      <c r="J260" s="2"/>
      <c r="K260" s="1"/>
      <c r="L260" s="1"/>
      <c r="M260" s="1"/>
      <c r="N260" s="1"/>
      <c r="O260" s="5"/>
      <c r="P260" s="18" t="str">
        <f t="shared" si="0"/>
        <v/>
      </c>
      <c r="Q260" s="18" t="str">
        <f t="shared" si="1"/>
        <v/>
      </c>
      <c r="R260" s="18" t="str">
        <f t="shared" si="2"/>
        <v/>
      </c>
      <c r="S260" s="18" t="str">
        <f t="shared" si="3"/>
        <v/>
      </c>
      <c r="T260" s="18" t="str">
        <f t="shared" si="4"/>
        <v/>
      </c>
      <c r="U260" s="18" t="str">
        <f t="shared" si="5"/>
        <v/>
      </c>
      <c r="V260" s="1"/>
    </row>
    <row r="261" spans="1:22" x14ac:dyDescent="0.25">
      <c r="A261" s="14"/>
      <c r="B261" s="33"/>
      <c r="C261" s="22"/>
      <c r="D261" s="4"/>
      <c r="E261" s="23"/>
      <c r="F261" s="42"/>
      <c r="G261" s="11"/>
      <c r="H261" s="1"/>
      <c r="I261" s="1"/>
      <c r="J261" s="2"/>
      <c r="K261" s="1"/>
      <c r="L261" s="1"/>
      <c r="M261" s="1"/>
      <c r="N261" s="1"/>
      <c r="O261" s="3"/>
      <c r="P261" s="18" t="str">
        <f t="shared" ref="P261:P324" si="32">IF($G261=8,$O261,"")</f>
        <v/>
      </c>
      <c r="Q261" s="18" t="str">
        <f t="shared" ref="Q261:Q324" si="33">IF($G261=10,$O261,"")</f>
        <v/>
      </c>
      <c r="R261" s="18" t="str">
        <f t="shared" ref="R261:R324" si="34">IF($G261=12,$O261,"")</f>
        <v/>
      </c>
      <c r="S261" s="18" t="str">
        <f t="shared" ref="S261:S324" si="35">IF($G261=16,$O261,"")</f>
        <v/>
      </c>
      <c r="T261" s="18" t="str">
        <f t="shared" ref="T261:T324" si="36">IF($G261=20,$O261,"")</f>
        <v/>
      </c>
      <c r="U261" s="18" t="str">
        <f t="shared" ref="U261:U324" si="37">IF($G261=25,$O261,"")</f>
        <v/>
      </c>
      <c r="V261" s="1"/>
    </row>
    <row r="262" spans="1:22" x14ac:dyDescent="0.25">
      <c r="A262" s="14"/>
      <c r="B262" s="14"/>
      <c r="C262" s="47">
        <v>0.1</v>
      </c>
      <c r="D262" s="4"/>
      <c r="E262" s="23"/>
      <c r="F262" s="42"/>
      <c r="G262" s="11"/>
      <c r="H262" s="1"/>
      <c r="I262" s="1"/>
      <c r="J262" s="2"/>
      <c r="K262" s="1"/>
      <c r="L262" s="1"/>
      <c r="M262" s="1"/>
      <c r="N262" s="1"/>
      <c r="O262" s="3"/>
      <c r="P262" s="18" t="str">
        <f t="shared" si="32"/>
        <v/>
      </c>
      <c r="Q262" s="18" t="str">
        <f t="shared" si="33"/>
        <v/>
      </c>
      <c r="R262" s="18" t="str">
        <f t="shared" si="34"/>
        <v/>
      </c>
      <c r="S262" s="18" t="str">
        <f t="shared" si="35"/>
        <v/>
      </c>
      <c r="T262" s="18" t="str">
        <f t="shared" si="36"/>
        <v/>
      </c>
      <c r="U262" s="18" t="str">
        <f t="shared" si="37"/>
        <v/>
      </c>
      <c r="V262" s="1"/>
    </row>
    <row r="263" spans="1:22" x14ac:dyDescent="0.25">
      <c r="A263" s="14"/>
      <c r="B263" s="34" t="s">
        <v>37</v>
      </c>
      <c r="C263" s="26"/>
      <c r="D263" s="4"/>
      <c r="E263" s="40">
        <f>((1.65-0.05-0.014)/11)*5+0.01+0.02</f>
        <v>0.75090909090909086</v>
      </c>
      <c r="F263" s="42"/>
      <c r="G263" s="11">
        <v>10</v>
      </c>
      <c r="H263" s="1">
        <v>1</v>
      </c>
      <c r="I263" s="1">
        <v>1</v>
      </c>
      <c r="J263" s="41">
        <f>2*(D265+E263)+16*10/1000</f>
        <v>2.021818181818182</v>
      </c>
      <c r="K263" s="1"/>
      <c r="L263" s="1"/>
      <c r="M263" s="1"/>
      <c r="N263" s="5">
        <f>(J263+K263-M263)</f>
        <v>2.021818181818182</v>
      </c>
      <c r="O263" s="5">
        <f>(H263*I263*N263)</f>
        <v>2.021818181818182</v>
      </c>
      <c r="P263" s="18" t="str">
        <f t="shared" si="32"/>
        <v/>
      </c>
      <c r="Q263" s="18">
        <f t="shared" si="33"/>
        <v>2.021818181818182</v>
      </c>
      <c r="R263" s="18" t="str">
        <f t="shared" si="34"/>
        <v/>
      </c>
      <c r="S263" s="18" t="str">
        <f t="shared" si="35"/>
        <v/>
      </c>
      <c r="T263" s="18" t="str">
        <f t="shared" si="36"/>
        <v/>
      </c>
      <c r="U263" s="18" t="str">
        <f t="shared" si="37"/>
        <v/>
      </c>
      <c r="V263" s="1"/>
    </row>
    <row r="264" spans="1:22" x14ac:dyDescent="0.25">
      <c r="A264" s="14"/>
      <c r="B264" s="34"/>
      <c r="C264" s="22"/>
      <c r="D264" s="4"/>
      <c r="E264" s="27"/>
      <c r="F264" s="42"/>
      <c r="G264" s="11"/>
      <c r="H264" s="1"/>
      <c r="I264" s="1"/>
      <c r="J264" s="2"/>
      <c r="K264" s="1"/>
      <c r="L264" s="1"/>
      <c r="M264" s="1"/>
      <c r="N264" s="1"/>
      <c r="O264" s="5"/>
      <c r="P264" s="18" t="str">
        <f t="shared" si="32"/>
        <v/>
      </c>
      <c r="Q264" s="18" t="str">
        <f t="shared" si="33"/>
        <v/>
      </c>
      <c r="R264" s="18" t="str">
        <f t="shared" si="34"/>
        <v/>
      </c>
      <c r="S264" s="18" t="str">
        <f t="shared" si="35"/>
        <v/>
      </c>
      <c r="T264" s="18" t="str">
        <f t="shared" si="36"/>
        <v/>
      </c>
      <c r="U264" s="18" t="str">
        <f t="shared" si="37"/>
        <v/>
      </c>
      <c r="V264" s="1"/>
    </row>
    <row r="265" spans="1:22" x14ac:dyDescent="0.25">
      <c r="A265" s="14"/>
      <c r="B265" s="34"/>
      <c r="C265" s="22"/>
      <c r="D265" s="9">
        <f>0.23-0.05</f>
        <v>0.18</v>
      </c>
      <c r="E265" s="23"/>
      <c r="F265" s="42"/>
      <c r="G265" s="11"/>
      <c r="H265" s="1"/>
      <c r="I265" s="1"/>
      <c r="J265" s="2"/>
      <c r="K265" s="1"/>
      <c r="L265" s="1"/>
      <c r="M265" s="1"/>
      <c r="N265" s="1"/>
      <c r="O265" s="5"/>
      <c r="P265" s="18" t="str">
        <f t="shared" si="32"/>
        <v/>
      </c>
      <c r="Q265" s="18" t="str">
        <f t="shared" si="33"/>
        <v/>
      </c>
      <c r="R265" s="18" t="str">
        <f t="shared" si="34"/>
        <v/>
      </c>
      <c r="S265" s="18" t="str">
        <f t="shared" si="35"/>
        <v/>
      </c>
      <c r="T265" s="18" t="str">
        <f t="shared" si="36"/>
        <v/>
      </c>
      <c r="U265" s="18" t="str">
        <f t="shared" si="37"/>
        <v/>
      </c>
      <c r="V265" s="1"/>
    </row>
    <row r="266" spans="1:22" x14ac:dyDescent="0.25">
      <c r="A266" s="14"/>
      <c r="B266" s="33"/>
      <c r="C266" s="22"/>
      <c r="D266" s="4"/>
      <c r="E266" s="23"/>
      <c r="F266" s="42"/>
      <c r="G266" s="11"/>
      <c r="H266" s="1"/>
      <c r="I266" s="1"/>
      <c r="J266" s="2"/>
      <c r="K266" s="1"/>
      <c r="L266" s="1"/>
      <c r="M266" s="1"/>
      <c r="N266" s="1"/>
      <c r="O266" s="3"/>
      <c r="P266" s="18" t="str">
        <f t="shared" si="32"/>
        <v/>
      </c>
      <c r="Q266" s="18" t="str">
        <f t="shared" si="33"/>
        <v/>
      </c>
      <c r="R266" s="18" t="str">
        <f t="shared" si="34"/>
        <v/>
      </c>
      <c r="S266" s="18" t="str">
        <f t="shared" si="35"/>
        <v/>
      </c>
      <c r="T266" s="18" t="str">
        <f t="shared" si="36"/>
        <v/>
      </c>
      <c r="U266" s="18" t="str">
        <f t="shared" si="37"/>
        <v/>
      </c>
      <c r="V266" s="1"/>
    </row>
    <row r="267" spans="1:22" x14ac:dyDescent="0.25">
      <c r="A267" s="14"/>
      <c r="B267" s="33"/>
      <c r="C267" s="47">
        <v>0.1</v>
      </c>
      <c r="D267" s="4"/>
      <c r="E267" s="23"/>
      <c r="F267" s="42"/>
      <c r="G267" s="11"/>
      <c r="H267" s="1"/>
      <c r="I267" s="1"/>
      <c r="J267" s="2"/>
      <c r="K267" s="1"/>
      <c r="L267" s="1"/>
      <c r="M267" s="1"/>
      <c r="N267" s="1"/>
      <c r="O267" s="3"/>
      <c r="P267" s="18" t="str">
        <f t="shared" si="32"/>
        <v/>
      </c>
      <c r="Q267" s="18" t="str">
        <f t="shared" si="33"/>
        <v/>
      </c>
      <c r="R267" s="18" t="str">
        <f t="shared" si="34"/>
        <v/>
      </c>
      <c r="S267" s="18" t="str">
        <f t="shared" si="35"/>
        <v/>
      </c>
      <c r="T267" s="18" t="str">
        <f t="shared" si="36"/>
        <v/>
      </c>
      <c r="U267" s="18" t="str">
        <f t="shared" si="37"/>
        <v/>
      </c>
      <c r="V267" s="1"/>
    </row>
    <row r="268" spans="1:22" x14ac:dyDescent="0.25">
      <c r="A268" s="14"/>
      <c r="B268" s="34" t="s">
        <v>46</v>
      </c>
      <c r="C268" s="26"/>
      <c r="D268" s="4"/>
      <c r="E268" s="40">
        <f>((1.65-0.05-0.014)/11)*1+0.012+0.02</f>
        <v>0.17618181818181816</v>
      </c>
      <c r="F268" s="42"/>
      <c r="G268" s="11">
        <v>10</v>
      </c>
      <c r="H268" s="1">
        <v>1</v>
      </c>
      <c r="I268" s="1">
        <v>1</v>
      </c>
      <c r="J268" s="41">
        <f>2*(D270+E268)+16*10/1000</f>
        <v>0.87236363636363634</v>
      </c>
      <c r="K268" s="1"/>
      <c r="L268" s="1"/>
      <c r="M268" s="1"/>
      <c r="N268" s="5">
        <f>(J268+K268-M268)</f>
        <v>0.87236363636363634</v>
      </c>
      <c r="O268" s="5">
        <f>(H268*I268*N268)</f>
        <v>0.87236363636363634</v>
      </c>
      <c r="P268" s="18" t="str">
        <f t="shared" si="32"/>
        <v/>
      </c>
      <c r="Q268" s="18">
        <f t="shared" si="33"/>
        <v>0.87236363636363634</v>
      </c>
      <c r="R268" s="18" t="str">
        <f t="shared" si="34"/>
        <v/>
      </c>
      <c r="S268" s="18" t="str">
        <f t="shared" si="35"/>
        <v/>
      </c>
      <c r="T268" s="18" t="str">
        <f t="shared" si="36"/>
        <v/>
      </c>
      <c r="U268" s="18" t="str">
        <f t="shared" si="37"/>
        <v/>
      </c>
      <c r="V268" s="1"/>
    </row>
    <row r="269" spans="1:22" x14ac:dyDescent="0.25">
      <c r="A269" s="14"/>
      <c r="B269" s="34"/>
      <c r="C269" s="22"/>
      <c r="D269" s="4"/>
      <c r="E269" s="27"/>
      <c r="F269" s="42"/>
      <c r="G269" s="11"/>
      <c r="H269" s="1"/>
      <c r="I269" s="1"/>
      <c r="J269" s="2"/>
      <c r="K269" s="1"/>
      <c r="L269" s="1"/>
      <c r="M269" s="1"/>
      <c r="N269" s="1"/>
      <c r="O269" s="5"/>
      <c r="P269" s="18" t="str">
        <f t="shared" si="32"/>
        <v/>
      </c>
      <c r="Q269" s="18" t="str">
        <f t="shared" si="33"/>
        <v/>
      </c>
      <c r="R269" s="18" t="str">
        <f t="shared" si="34"/>
        <v/>
      </c>
      <c r="S269" s="18" t="str">
        <f t="shared" si="35"/>
        <v/>
      </c>
      <c r="T269" s="18" t="str">
        <f t="shared" si="36"/>
        <v/>
      </c>
      <c r="U269" s="18" t="str">
        <f t="shared" si="37"/>
        <v/>
      </c>
      <c r="V269" s="1"/>
    </row>
    <row r="270" spans="1:22" x14ac:dyDescent="0.25">
      <c r="A270" s="14"/>
      <c r="B270" s="34"/>
      <c r="C270" s="22"/>
      <c r="D270" s="9">
        <f>0.23-0.05</f>
        <v>0.18</v>
      </c>
      <c r="E270" s="23"/>
      <c r="F270" s="42"/>
      <c r="G270" s="11"/>
      <c r="H270" s="1"/>
      <c r="I270" s="1"/>
      <c r="J270" s="2"/>
      <c r="K270" s="1"/>
      <c r="L270" s="1"/>
      <c r="M270" s="1"/>
      <c r="N270" s="1"/>
      <c r="O270" s="5"/>
      <c r="P270" s="18" t="str">
        <f t="shared" si="32"/>
        <v/>
      </c>
      <c r="Q270" s="18" t="str">
        <f t="shared" si="33"/>
        <v/>
      </c>
      <c r="R270" s="18" t="str">
        <f t="shared" si="34"/>
        <v/>
      </c>
      <c r="S270" s="18" t="str">
        <f t="shared" si="35"/>
        <v/>
      </c>
      <c r="T270" s="18" t="str">
        <f t="shared" si="36"/>
        <v/>
      </c>
      <c r="U270" s="18" t="str">
        <f t="shared" si="37"/>
        <v/>
      </c>
      <c r="V270" s="1"/>
    </row>
    <row r="271" spans="1:22" x14ac:dyDescent="0.25">
      <c r="A271" s="14"/>
      <c r="B271" s="33"/>
      <c r="C271" s="22"/>
      <c r="D271" s="4"/>
      <c r="E271" s="23"/>
      <c r="F271" s="42"/>
      <c r="G271" s="11"/>
      <c r="H271" s="1"/>
      <c r="I271" s="1"/>
      <c r="J271" s="2"/>
      <c r="K271" s="1"/>
      <c r="L271" s="1"/>
      <c r="M271" s="1"/>
      <c r="N271" s="1"/>
      <c r="O271" s="3"/>
      <c r="P271" s="18" t="str">
        <f t="shared" si="32"/>
        <v/>
      </c>
      <c r="Q271" s="18" t="str">
        <f t="shared" si="33"/>
        <v/>
      </c>
      <c r="R271" s="18" t="str">
        <f t="shared" si="34"/>
        <v/>
      </c>
      <c r="S271" s="18" t="str">
        <f t="shared" si="35"/>
        <v/>
      </c>
      <c r="T271" s="18" t="str">
        <f t="shared" si="36"/>
        <v/>
      </c>
      <c r="U271" s="18" t="str">
        <f t="shared" si="37"/>
        <v/>
      </c>
      <c r="V271" s="1"/>
    </row>
    <row r="272" spans="1:22" x14ac:dyDescent="0.25">
      <c r="A272" s="14"/>
      <c r="B272" s="33"/>
      <c r="C272" s="22"/>
      <c r="D272" s="4"/>
      <c r="E272" s="39">
        <v>0.1</v>
      </c>
      <c r="F272" s="42"/>
      <c r="G272" s="11"/>
      <c r="H272" s="1"/>
      <c r="I272" s="1"/>
      <c r="J272" s="2"/>
      <c r="K272" s="1"/>
      <c r="L272" s="1"/>
      <c r="M272" s="1"/>
      <c r="N272" s="1"/>
      <c r="O272" s="3"/>
      <c r="P272" s="18" t="str">
        <f t="shared" si="32"/>
        <v/>
      </c>
      <c r="Q272" s="18" t="str">
        <f t="shared" si="33"/>
        <v/>
      </c>
      <c r="R272" s="18" t="str">
        <f t="shared" si="34"/>
        <v/>
      </c>
      <c r="S272" s="18" t="str">
        <f t="shared" si="35"/>
        <v/>
      </c>
      <c r="T272" s="18" t="str">
        <f t="shared" si="36"/>
        <v/>
      </c>
      <c r="U272" s="18" t="str">
        <f t="shared" si="37"/>
        <v/>
      </c>
      <c r="V272" s="1"/>
    </row>
    <row r="273" spans="1:22" x14ac:dyDescent="0.25">
      <c r="A273" s="14"/>
      <c r="B273" s="34" t="s">
        <v>47</v>
      </c>
      <c r="C273" s="22"/>
      <c r="D273" s="25">
        <f>0.23-0.05</f>
        <v>0.18</v>
      </c>
      <c r="E273" s="39"/>
      <c r="F273" s="42"/>
      <c r="G273" s="11">
        <v>10</v>
      </c>
      <c r="H273" s="1">
        <v>1</v>
      </c>
      <c r="I273" s="1">
        <v>4</v>
      </c>
      <c r="J273" s="41">
        <f>D273+E272+E274</f>
        <v>0.38</v>
      </c>
      <c r="K273" s="1"/>
      <c r="L273" s="1"/>
      <c r="M273" s="5">
        <f>2*3*G273/1000</f>
        <v>0.06</v>
      </c>
      <c r="N273" s="5">
        <f>(J273+K273-M273)</f>
        <v>0.32</v>
      </c>
      <c r="O273" s="5">
        <f>(H273*I273*N273)</f>
        <v>1.28</v>
      </c>
      <c r="P273" s="18" t="str">
        <f t="shared" si="32"/>
        <v/>
      </c>
      <c r="Q273" s="18">
        <f t="shared" si="33"/>
        <v>1.28</v>
      </c>
      <c r="R273" s="18" t="str">
        <f t="shared" si="34"/>
        <v/>
      </c>
      <c r="S273" s="18" t="str">
        <f t="shared" si="35"/>
        <v/>
      </c>
      <c r="T273" s="18" t="str">
        <f t="shared" si="36"/>
        <v/>
      </c>
      <c r="U273" s="18" t="str">
        <f t="shared" si="37"/>
        <v/>
      </c>
      <c r="V273" s="1"/>
    </row>
    <row r="274" spans="1:22" x14ac:dyDescent="0.25">
      <c r="A274" s="14"/>
      <c r="B274" s="33"/>
      <c r="C274" s="22"/>
      <c r="D274" s="4"/>
      <c r="E274" s="39">
        <v>0.1</v>
      </c>
      <c r="F274" s="42"/>
      <c r="G274" s="11"/>
      <c r="H274" s="1"/>
      <c r="I274" s="1"/>
      <c r="J274" s="2"/>
      <c r="K274" s="1"/>
      <c r="L274" s="1"/>
      <c r="M274" s="1"/>
      <c r="N274" s="1"/>
      <c r="O274" s="3"/>
      <c r="P274" s="18" t="str">
        <f t="shared" si="32"/>
        <v/>
      </c>
      <c r="Q274" s="18" t="str">
        <f t="shared" si="33"/>
        <v/>
      </c>
      <c r="R274" s="18" t="str">
        <f t="shared" si="34"/>
        <v/>
      </c>
      <c r="S274" s="18" t="str">
        <f t="shared" si="35"/>
        <v/>
      </c>
      <c r="T274" s="18" t="str">
        <f t="shared" si="36"/>
        <v/>
      </c>
      <c r="U274" s="18" t="str">
        <f t="shared" si="37"/>
        <v/>
      </c>
      <c r="V274" s="1"/>
    </row>
    <row r="275" spans="1:22" x14ac:dyDescent="0.25">
      <c r="A275" s="14"/>
      <c r="B275" s="34"/>
      <c r="C275" s="22"/>
      <c r="D275" s="28"/>
      <c r="E275" s="23"/>
      <c r="F275" s="42"/>
      <c r="G275" s="11"/>
      <c r="H275" s="1"/>
      <c r="I275" s="1"/>
      <c r="J275" s="2"/>
      <c r="K275" s="1"/>
      <c r="L275" s="1"/>
      <c r="M275" s="1"/>
      <c r="N275" s="1"/>
      <c r="O275" s="3"/>
      <c r="P275" s="18" t="str">
        <f t="shared" si="32"/>
        <v/>
      </c>
      <c r="Q275" s="18" t="str">
        <f t="shared" si="33"/>
        <v/>
      </c>
      <c r="R275" s="18" t="str">
        <f t="shared" si="34"/>
        <v/>
      </c>
      <c r="S275" s="18" t="str">
        <f t="shared" si="35"/>
        <v/>
      </c>
      <c r="T275" s="18" t="str">
        <f t="shared" si="36"/>
        <v/>
      </c>
      <c r="U275" s="18" t="str">
        <f t="shared" si="37"/>
        <v/>
      </c>
      <c r="V275" s="1"/>
    </row>
    <row r="276" spans="1:22" x14ac:dyDescent="0.25">
      <c r="A276" s="14">
        <v>10</v>
      </c>
      <c r="B276" s="14" t="s">
        <v>48</v>
      </c>
      <c r="C276" s="22"/>
      <c r="D276" s="4"/>
      <c r="E276" s="23"/>
      <c r="F276" s="42"/>
      <c r="G276" s="11"/>
      <c r="H276" s="1"/>
      <c r="I276" s="1"/>
      <c r="J276" s="9"/>
      <c r="K276" s="5"/>
      <c r="L276" s="5"/>
      <c r="M276" s="1"/>
      <c r="N276" s="5"/>
      <c r="O276" s="5"/>
      <c r="P276" s="18" t="str">
        <f>IF($G276=8,$O276,"")</f>
        <v/>
      </c>
      <c r="Q276" s="18" t="str">
        <f>IF($G276=10,$O276,"")</f>
        <v/>
      </c>
      <c r="R276" s="18" t="str">
        <f>IF($G276=12,$O276,"")</f>
        <v/>
      </c>
      <c r="S276" s="18" t="str">
        <f>IF($G276=16,$O276,"")</f>
        <v/>
      </c>
      <c r="T276" s="18" t="str">
        <f>IF($G276=20,$O276,"")</f>
        <v/>
      </c>
      <c r="U276" s="18" t="str">
        <f>IF($G276=25,$O276,"")</f>
        <v/>
      </c>
      <c r="V276" s="1"/>
    </row>
    <row r="277" spans="1:22" x14ac:dyDescent="0.25">
      <c r="A277" s="14"/>
      <c r="B277" s="33" t="s">
        <v>18</v>
      </c>
      <c r="C277" s="22"/>
      <c r="D277" s="25">
        <f>0.85-0.075-2*0.016</f>
        <v>0.74299999999999999</v>
      </c>
      <c r="E277" s="23"/>
      <c r="F277" s="42"/>
      <c r="G277" s="11">
        <v>16</v>
      </c>
      <c r="H277" s="1">
        <v>1</v>
      </c>
      <c r="I277" s="1">
        <v>8</v>
      </c>
      <c r="J277" s="9">
        <f>D277</f>
        <v>0.74299999999999999</v>
      </c>
      <c r="K277" s="46" t="str">
        <f>IF(N277&lt;12,"0",0.049*G277)</f>
        <v>0</v>
      </c>
      <c r="L277" s="45">
        <v>1</v>
      </c>
      <c r="M277" s="1">
        <f>2*G277*L277/1000</f>
        <v>3.2000000000000001E-2</v>
      </c>
      <c r="N277" s="5">
        <f>J277+E279-M277</f>
        <v>1.0109999999999999</v>
      </c>
      <c r="O277" s="5">
        <f>H277*I277*N277</f>
        <v>8.0879999999999992</v>
      </c>
      <c r="P277" s="18" t="str">
        <f t="shared" si="32"/>
        <v/>
      </c>
      <c r="Q277" s="18" t="str">
        <f t="shared" si="33"/>
        <v/>
      </c>
      <c r="R277" s="18" t="str">
        <f t="shared" si="34"/>
        <v/>
      </c>
      <c r="S277" s="18">
        <f t="shared" si="35"/>
        <v>8.0879999999999992</v>
      </c>
      <c r="T277" s="18" t="str">
        <f t="shared" si="36"/>
        <v/>
      </c>
      <c r="U277" s="18" t="str">
        <f t="shared" si="37"/>
        <v/>
      </c>
      <c r="V277" s="1"/>
    </row>
    <row r="278" spans="1:22" x14ac:dyDescent="0.25">
      <c r="A278" s="14"/>
      <c r="B278" s="33" t="s">
        <v>32</v>
      </c>
      <c r="C278" s="22"/>
      <c r="D278" s="4"/>
      <c r="E278" s="23"/>
      <c r="F278" s="42"/>
      <c r="G278" s="11">
        <v>12</v>
      </c>
      <c r="H278" s="1">
        <v>1</v>
      </c>
      <c r="I278" s="1">
        <v>16</v>
      </c>
      <c r="J278" s="9">
        <f>D277</f>
        <v>0.74299999999999999</v>
      </c>
      <c r="K278" s="46" t="str">
        <f t="shared" ref="K278:K279" si="38">IF(N278&lt;12,"0",0.049*G278)</f>
        <v>0</v>
      </c>
      <c r="L278" s="45">
        <v>1</v>
      </c>
      <c r="M278" s="1">
        <f t="shared" ref="M278:M279" si="39">2*G278*L278/1000</f>
        <v>2.4E-2</v>
      </c>
      <c r="N278" s="5">
        <f>J278+E279-M278</f>
        <v>1.0189999999999999</v>
      </c>
      <c r="O278" s="5">
        <f>H278*I278*N278</f>
        <v>16.303999999999998</v>
      </c>
      <c r="P278" s="18" t="str">
        <f t="shared" si="32"/>
        <v/>
      </c>
      <c r="Q278" s="18" t="str">
        <f t="shared" si="33"/>
        <v/>
      </c>
      <c r="R278" s="18">
        <f t="shared" si="34"/>
        <v>16.303999999999998</v>
      </c>
      <c r="S278" s="18" t="str">
        <f t="shared" si="35"/>
        <v/>
      </c>
      <c r="T278" s="18" t="str">
        <f t="shared" si="36"/>
        <v/>
      </c>
      <c r="U278" s="18" t="str">
        <f t="shared" si="37"/>
        <v/>
      </c>
      <c r="V278" s="1"/>
    </row>
    <row r="279" spans="1:22" x14ac:dyDescent="0.25">
      <c r="A279" s="14"/>
      <c r="B279" s="33" t="s">
        <v>26</v>
      </c>
      <c r="C279" s="24"/>
      <c r="D279" s="25"/>
      <c r="E279" s="39">
        <v>0.3</v>
      </c>
      <c r="F279" s="42"/>
      <c r="G279" s="11">
        <v>10</v>
      </c>
      <c r="H279" s="1">
        <v>1</v>
      </c>
      <c r="I279" s="1">
        <v>10</v>
      </c>
      <c r="J279" s="9">
        <f>D277</f>
        <v>0.74299999999999999</v>
      </c>
      <c r="K279" s="46" t="str">
        <f t="shared" si="38"/>
        <v>0</v>
      </c>
      <c r="L279" s="45">
        <v>1</v>
      </c>
      <c r="M279" s="1">
        <f t="shared" si="39"/>
        <v>0.02</v>
      </c>
      <c r="N279" s="5">
        <f>J279+E279-M279</f>
        <v>1.0229999999999999</v>
      </c>
      <c r="O279" s="5">
        <f>H279*I279*N279</f>
        <v>10.229999999999999</v>
      </c>
      <c r="P279" s="18" t="str">
        <f t="shared" si="32"/>
        <v/>
      </c>
      <c r="Q279" s="18">
        <f t="shared" si="33"/>
        <v>10.229999999999999</v>
      </c>
      <c r="R279" s="18" t="str">
        <f t="shared" si="34"/>
        <v/>
      </c>
      <c r="S279" s="18" t="str">
        <f t="shared" si="35"/>
        <v/>
      </c>
      <c r="T279" s="18" t="str">
        <f t="shared" si="36"/>
        <v/>
      </c>
      <c r="U279" s="18" t="str">
        <f t="shared" si="37"/>
        <v/>
      </c>
      <c r="V279" s="1"/>
    </row>
    <row r="280" spans="1:22" x14ac:dyDescent="0.25">
      <c r="A280" s="14"/>
      <c r="B280" s="33"/>
      <c r="C280" s="22"/>
      <c r="D280" s="4"/>
      <c r="E280" s="23"/>
      <c r="F280" s="42"/>
      <c r="G280" s="11"/>
      <c r="H280" s="1"/>
      <c r="I280" s="1"/>
      <c r="J280" s="9"/>
      <c r="K280" s="46"/>
      <c r="L280" s="45"/>
      <c r="M280" s="1"/>
      <c r="N280" s="5"/>
      <c r="O280" s="5"/>
      <c r="P280" s="18" t="str">
        <f t="shared" si="32"/>
        <v/>
      </c>
      <c r="Q280" s="18" t="str">
        <f t="shared" si="33"/>
        <v/>
      </c>
      <c r="R280" s="18" t="str">
        <f t="shared" si="34"/>
        <v/>
      </c>
      <c r="S280" s="18" t="str">
        <f t="shared" si="35"/>
        <v/>
      </c>
      <c r="T280" s="18" t="str">
        <f t="shared" si="36"/>
        <v/>
      </c>
      <c r="U280" s="18" t="str">
        <f t="shared" si="37"/>
        <v/>
      </c>
      <c r="V280" s="1"/>
    </row>
    <row r="281" spans="1:22" x14ac:dyDescent="0.25">
      <c r="A281" s="14"/>
      <c r="B281" s="33"/>
      <c r="C281" s="22"/>
      <c r="D281" s="4"/>
      <c r="E281" s="23"/>
      <c r="F281" s="42"/>
      <c r="G281" s="11"/>
      <c r="H281" s="1"/>
      <c r="I281" s="1"/>
      <c r="J281" s="2"/>
      <c r="K281" s="1"/>
      <c r="L281" s="1"/>
      <c r="M281" s="1"/>
      <c r="N281" s="1"/>
      <c r="O281" s="3"/>
      <c r="P281" s="18" t="str">
        <f t="shared" si="32"/>
        <v/>
      </c>
      <c r="Q281" s="18" t="str">
        <f t="shared" si="33"/>
        <v/>
      </c>
      <c r="R281" s="18" t="str">
        <f t="shared" si="34"/>
        <v/>
      </c>
      <c r="S281" s="18" t="str">
        <f t="shared" si="35"/>
        <v/>
      </c>
      <c r="T281" s="18" t="str">
        <f t="shared" si="36"/>
        <v/>
      </c>
      <c r="U281" s="18" t="str">
        <f t="shared" si="37"/>
        <v/>
      </c>
      <c r="V281" s="1"/>
    </row>
    <row r="282" spans="1:22" x14ac:dyDescent="0.25">
      <c r="A282" s="14"/>
      <c r="B282" s="14"/>
      <c r="C282" s="47">
        <v>0.1</v>
      </c>
      <c r="D282" s="4"/>
      <c r="E282" s="23"/>
      <c r="F282" s="42"/>
      <c r="G282" s="11"/>
      <c r="H282" s="1"/>
      <c r="I282" s="1"/>
      <c r="J282" s="2"/>
      <c r="K282" s="1"/>
      <c r="L282" s="1"/>
      <c r="M282" s="1"/>
      <c r="N282" s="1"/>
      <c r="O282" s="3"/>
      <c r="P282" s="18" t="str">
        <f t="shared" si="32"/>
        <v/>
      </c>
      <c r="Q282" s="18" t="str">
        <f t="shared" si="33"/>
        <v/>
      </c>
      <c r="R282" s="18" t="str">
        <f t="shared" si="34"/>
        <v/>
      </c>
      <c r="S282" s="18" t="str">
        <f t="shared" si="35"/>
        <v/>
      </c>
      <c r="T282" s="18" t="str">
        <f t="shared" si="36"/>
        <v/>
      </c>
      <c r="U282" s="18" t="str">
        <f t="shared" si="37"/>
        <v/>
      </c>
      <c r="V282" s="1"/>
    </row>
    <row r="283" spans="1:22" x14ac:dyDescent="0.25">
      <c r="A283" s="14"/>
      <c r="B283" s="34" t="s">
        <v>20</v>
      </c>
      <c r="C283" s="26"/>
      <c r="D283" s="4"/>
      <c r="E283" s="40">
        <f>0.65-0.05</f>
        <v>0.6</v>
      </c>
      <c r="F283" s="42"/>
      <c r="G283" s="11">
        <v>10</v>
      </c>
      <c r="H283" s="1">
        <v>1</v>
      </c>
      <c r="I283" s="1">
        <v>4</v>
      </c>
      <c r="J283" s="41">
        <f>2*(D285+E283)+16*10/1000</f>
        <v>1.72</v>
      </c>
      <c r="K283" s="1"/>
      <c r="L283" s="1"/>
      <c r="M283" s="1"/>
      <c r="N283" s="5">
        <f>(J283+K283-M283)</f>
        <v>1.72</v>
      </c>
      <c r="O283" s="5">
        <f>(H283*I283*N283)</f>
        <v>6.88</v>
      </c>
      <c r="P283" s="18" t="str">
        <f t="shared" si="32"/>
        <v/>
      </c>
      <c r="Q283" s="18">
        <f t="shared" si="33"/>
        <v>6.88</v>
      </c>
      <c r="R283" s="18" t="str">
        <f t="shared" si="34"/>
        <v/>
      </c>
      <c r="S283" s="18" t="str">
        <f t="shared" si="35"/>
        <v/>
      </c>
      <c r="T283" s="18" t="str">
        <f t="shared" si="36"/>
        <v/>
      </c>
      <c r="U283" s="18" t="str">
        <f t="shared" si="37"/>
        <v/>
      </c>
      <c r="V283" s="1"/>
    </row>
    <row r="284" spans="1:22" x14ac:dyDescent="0.25">
      <c r="A284" s="14"/>
      <c r="B284" s="34"/>
      <c r="C284" s="22"/>
      <c r="D284" s="4"/>
      <c r="E284" s="27"/>
      <c r="F284" s="42"/>
      <c r="G284" s="11"/>
      <c r="H284" s="1"/>
      <c r="I284" s="1"/>
      <c r="J284" s="2"/>
      <c r="K284" s="1"/>
      <c r="L284" s="1"/>
      <c r="M284" s="1"/>
      <c r="N284" s="1"/>
      <c r="O284" s="5"/>
      <c r="P284" s="18" t="str">
        <f t="shared" si="32"/>
        <v/>
      </c>
      <c r="Q284" s="18" t="str">
        <f t="shared" si="33"/>
        <v/>
      </c>
      <c r="R284" s="18" t="str">
        <f t="shared" si="34"/>
        <v/>
      </c>
      <c r="S284" s="18" t="str">
        <f t="shared" si="35"/>
        <v/>
      </c>
      <c r="T284" s="18" t="str">
        <f t="shared" si="36"/>
        <v/>
      </c>
      <c r="U284" s="18" t="str">
        <f t="shared" si="37"/>
        <v/>
      </c>
      <c r="V284" s="1"/>
    </row>
    <row r="285" spans="1:22" x14ac:dyDescent="0.25">
      <c r="A285" s="14"/>
      <c r="B285" s="34"/>
      <c r="C285" s="22"/>
      <c r="D285" s="9">
        <f>0.23-0.05</f>
        <v>0.18</v>
      </c>
      <c r="E285" s="23"/>
      <c r="F285" s="42"/>
      <c r="G285" s="11"/>
      <c r="H285" s="1"/>
      <c r="I285" s="1"/>
      <c r="J285" s="2"/>
      <c r="K285" s="1"/>
      <c r="L285" s="1"/>
      <c r="M285" s="1"/>
      <c r="N285" s="1"/>
      <c r="O285" s="5"/>
      <c r="P285" s="18" t="str">
        <f t="shared" si="32"/>
        <v/>
      </c>
      <c r="Q285" s="18" t="str">
        <f t="shared" si="33"/>
        <v/>
      </c>
      <c r="R285" s="18" t="str">
        <f t="shared" si="34"/>
        <v/>
      </c>
      <c r="S285" s="18" t="str">
        <f t="shared" si="35"/>
        <v/>
      </c>
      <c r="T285" s="18" t="str">
        <f t="shared" si="36"/>
        <v/>
      </c>
      <c r="U285" s="18" t="str">
        <f t="shared" si="37"/>
        <v/>
      </c>
      <c r="V285" s="1"/>
    </row>
    <row r="286" spans="1:22" x14ac:dyDescent="0.25">
      <c r="A286" s="14"/>
      <c r="B286" s="33"/>
      <c r="C286" s="22"/>
      <c r="D286" s="4"/>
      <c r="E286" s="23"/>
      <c r="F286" s="42"/>
      <c r="G286" s="11"/>
      <c r="H286" s="1"/>
      <c r="I286" s="1"/>
      <c r="J286" s="2"/>
      <c r="K286" s="1"/>
      <c r="L286" s="1"/>
      <c r="M286" s="1"/>
      <c r="N286" s="1"/>
      <c r="O286" s="3"/>
      <c r="P286" s="18" t="str">
        <f t="shared" si="32"/>
        <v/>
      </c>
      <c r="Q286" s="18" t="str">
        <f t="shared" si="33"/>
        <v/>
      </c>
      <c r="R286" s="18" t="str">
        <f t="shared" si="34"/>
        <v/>
      </c>
      <c r="S286" s="18" t="str">
        <f t="shared" si="35"/>
        <v/>
      </c>
      <c r="T286" s="18" t="str">
        <f t="shared" si="36"/>
        <v/>
      </c>
      <c r="U286" s="18" t="str">
        <f t="shared" si="37"/>
        <v/>
      </c>
      <c r="V286" s="1"/>
    </row>
    <row r="287" spans="1:22" x14ac:dyDescent="0.25">
      <c r="A287" s="14"/>
      <c r="B287" s="14"/>
      <c r="C287" s="47">
        <v>0.1</v>
      </c>
      <c r="D287" s="4"/>
      <c r="E287" s="23"/>
      <c r="F287" s="42"/>
      <c r="G287" s="11"/>
      <c r="H287" s="1"/>
      <c r="I287" s="1"/>
      <c r="J287" s="2"/>
      <c r="K287" s="1"/>
      <c r="L287" s="1"/>
      <c r="M287" s="1"/>
      <c r="N287" s="1"/>
      <c r="O287" s="3"/>
      <c r="P287" s="18" t="str">
        <f t="shared" si="32"/>
        <v/>
      </c>
      <c r="Q287" s="18" t="str">
        <f t="shared" si="33"/>
        <v/>
      </c>
      <c r="R287" s="18" t="str">
        <f t="shared" si="34"/>
        <v/>
      </c>
      <c r="S287" s="18" t="str">
        <f t="shared" si="35"/>
        <v/>
      </c>
      <c r="T287" s="18" t="str">
        <f t="shared" si="36"/>
        <v/>
      </c>
      <c r="U287" s="18" t="str">
        <f t="shared" si="37"/>
        <v/>
      </c>
      <c r="V287" s="1"/>
    </row>
    <row r="288" spans="1:22" x14ac:dyDescent="0.25">
      <c r="A288" s="14"/>
      <c r="B288" s="34" t="s">
        <v>21</v>
      </c>
      <c r="C288" s="26"/>
      <c r="D288" s="4"/>
      <c r="E288" s="40">
        <f>1.85-0.05</f>
        <v>1.8</v>
      </c>
      <c r="F288" s="42"/>
      <c r="G288" s="11">
        <v>10</v>
      </c>
      <c r="H288" s="1">
        <v>1</v>
      </c>
      <c r="I288" s="1">
        <v>4</v>
      </c>
      <c r="J288" s="41">
        <f>2*(D290+E288)+16*10/1000</f>
        <v>4.12</v>
      </c>
      <c r="K288" s="1"/>
      <c r="L288" s="1"/>
      <c r="M288" s="1"/>
      <c r="N288" s="5">
        <f>(J288+K288-M288)</f>
        <v>4.12</v>
      </c>
      <c r="O288" s="5">
        <f>(H288*I288*N288)</f>
        <v>16.48</v>
      </c>
      <c r="P288" s="18" t="str">
        <f t="shared" si="32"/>
        <v/>
      </c>
      <c r="Q288" s="18">
        <f t="shared" si="33"/>
        <v>16.48</v>
      </c>
      <c r="R288" s="18" t="str">
        <f t="shared" si="34"/>
        <v/>
      </c>
      <c r="S288" s="18" t="str">
        <f t="shared" si="35"/>
        <v/>
      </c>
      <c r="T288" s="18" t="str">
        <f t="shared" si="36"/>
        <v/>
      </c>
      <c r="U288" s="18" t="str">
        <f t="shared" si="37"/>
        <v/>
      </c>
      <c r="V288" s="1"/>
    </row>
    <row r="289" spans="1:22" x14ac:dyDescent="0.25">
      <c r="A289" s="14"/>
      <c r="B289" s="34"/>
      <c r="C289" s="22"/>
      <c r="D289" s="4"/>
      <c r="E289" s="27"/>
      <c r="F289" s="42"/>
      <c r="G289" s="11"/>
      <c r="H289" s="1"/>
      <c r="I289" s="1"/>
      <c r="J289" s="2"/>
      <c r="K289" s="1"/>
      <c r="L289" s="1"/>
      <c r="M289" s="1"/>
      <c r="N289" s="1"/>
      <c r="O289" s="5"/>
      <c r="P289" s="18" t="str">
        <f t="shared" si="32"/>
        <v/>
      </c>
      <c r="Q289" s="18" t="str">
        <f t="shared" si="33"/>
        <v/>
      </c>
      <c r="R289" s="18" t="str">
        <f t="shared" si="34"/>
        <v/>
      </c>
      <c r="S289" s="18" t="str">
        <f t="shared" si="35"/>
        <v/>
      </c>
      <c r="T289" s="18" t="str">
        <f t="shared" si="36"/>
        <v/>
      </c>
      <c r="U289" s="18" t="str">
        <f t="shared" si="37"/>
        <v/>
      </c>
      <c r="V289" s="1"/>
    </row>
    <row r="290" spans="1:22" x14ac:dyDescent="0.25">
      <c r="A290" s="14"/>
      <c r="B290" s="34"/>
      <c r="C290" s="22"/>
      <c r="D290" s="9">
        <f>0.23-0.05</f>
        <v>0.18</v>
      </c>
      <c r="E290" s="23"/>
      <c r="F290" s="42"/>
      <c r="G290" s="11"/>
      <c r="H290" s="1"/>
      <c r="I290" s="1"/>
      <c r="J290" s="2"/>
      <c r="K290" s="1"/>
      <c r="L290" s="1"/>
      <c r="M290" s="1"/>
      <c r="N290" s="1"/>
      <c r="O290" s="5"/>
      <c r="P290" s="18" t="str">
        <f t="shared" si="32"/>
        <v/>
      </c>
      <c r="Q290" s="18" t="str">
        <f t="shared" si="33"/>
        <v/>
      </c>
      <c r="R290" s="18" t="str">
        <f t="shared" si="34"/>
        <v/>
      </c>
      <c r="S290" s="18" t="str">
        <f t="shared" si="35"/>
        <v/>
      </c>
      <c r="T290" s="18" t="str">
        <f t="shared" si="36"/>
        <v/>
      </c>
      <c r="U290" s="18" t="str">
        <f t="shared" si="37"/>
        <v/>
      </c>
      <c r="V290" s="1"/>
    </row>
    <row r="291" spans="1:22" x14ac:dyDescent="0.25">
      <c r="A291" s="14"/>
      <c r="B291" s="33"/>
      <c r="C291" s="22"/>
      <c r="D291" s="4"/>
      <c r="E291" s="23"/>
      <c r="F291" s="42"/>
      <c r="G291" s="11"/>
      <c r="H291" s="1"/>
      <c r="I291" s="1"/>
      <c r="J291" s="2"/>
      <c r="K291" s="1"/>
      <c r="L291" s="1"/>
      <c r="M291" s="1"/>
      <c r="N291" s="1"/>
      <c r="O291" s="5"/>
      <c r="P291" s="18" t="str">
        <f t="shared" si="32"/>
        <v/>
      </c>
      <c r="Q291" s="18" t="str">
        <f t="shared" si="33"/>
        <v/>
      </c>
      <c r="R291" s="18" t="str">
        <f t="shared" si="34"/>
        <v/>
      </c>
      <c r="S291" s="18" t="str">
        <f t="shared" si="35"/>
        <v/>
      </c>
      <c r="T291" s="18" t="str">
        <f t="shared" si="36"/>
        <v/>
      </c>
      <c r="U291" s="18" t="str">
        <f t="shared" si="37"/>
        <v/>
      </c>
      <c r="V291" s="1"/>
    </row>
    <row r="292" spans="1:22" x14ac:dyDescent="0.25">
      <c r="A292" s="14"/>
      <c r="B292" s="14"/>
      <c r="C292" s="47">
        <v>0.1</v>
      </c>
      <c r="D292" s="4"/>
      <c r="E292" s="23"/>
      <c r="F292" s="42"/>
      <c r="G292" s="11"/>
      <c r="H292" s="1"/>
      <c r="I292" s="1"/>
      <c r="J292" s="2"/>
      <c r="K292" s="1"/>
      <c r="L292" s="1"/>
      <c r="M292" s="1"/>
      <c r="N292" s="1"/>
      <c r="O292" s="5"/>
      <c r="P292" s="18" t="str">
        <f t="shared" si="32"/>
        <v/>
      </c>
      <c r="Q292" s="18" t="str">
        <f t="shared" si="33"/>
        <v/>
      </c>
      <c r="R292" s="18" t="str">
        <f t="shared" si="34"/>
        <v/>
      </c>
      <c r="S292" s="18" t="str">
        <f t="shared" si="35"/>
        <v/>
      </c>
      <c r="T292" s="18" t="str">
        <f t="shared" si="36"/>
        <v/>
      </c>
      <c r="U292" s="18" t="str">
        <f t="shared" si="37"/>
        <v/>
      </c>
      <c r="V292" s="1"/>
    </row>
    <row r="293" spans="1:22" x14ac:dyDescent="0.25">
      <c r="A293" s="14"/>
      <c r="B293" s="34" t="s">
        <v>22</v>
      </c>
      <c r="C293" s="26"/>
      <c r="D293" s="4"/>
      <c r="E293" s="40">
        <f>((0.65-0.05-0.016)/5)*2+0.012+0.02</f>
        <v>0.2656</v>
      </c>
      <c r="F293" s="42"/>
      <c r="G293" s="11">
        <v>10</v>
      </c>
      <c r="H293" s="1">
        <v>1</v>
      </c>
      <c r="I293" s="1">
        <v>1</v>
      </c>
      <c r="J293" s="41">
        <f>2*(D295+E293)+16*10/1000</f>
        <v>1.0511999999999999</v>
      </c>
      <c r="K293" s="1"/>
      <c r="L293" s="1"/>
      <c r="M293" s="1"/>
      <c r="N293" s="5">
        <f>(J293+K293-M293)</f>
        <v>1.0511999999999999</v>
      </c>
      <c r="O293" s="5">
        <f>(H293*I293*N293)</f>
        <v>1.0511999999999999</v>
      </c>
      <c r="P293" s="18" t="str">
        <f t="shared" si="32"/>
        <v/>
      </c>
      <c r="Q293" s="18">
        <f t="shared" si="33"/>
        <v>1.0511999999999999</v>
      </c>
      <c r="R293" s="18" t="str">
        <f t="shared" si="34"/>
        <v/>
      </c>
      <c r="S293" s="18" t="str">
        <f t="shared" si="35"/>
        <v/>
      </c>
      <c r="T293" s="18" t="str">
        <f t="shared" si="36"/>
        <v/>
      </c>
      <c r="U293" s="18" t="str">
        <f t="shared" si="37"/>
        <v/>
      </c>
      <c r="V293" s="1"/>
    </row>
    <row r="294" spans="1:22" x14ac:dyDescent="0.25">
      <c r="A294" s="14"/>
      <c r="B294" s="34"/>
      <c r="C294" s="22"/>
      <c r="D294" s="4"/>
      <c r="E294" s="27"/>
      <c r="F294" s="42"/>
      <c r="G294" s="11"/>
      <c r="H294" s="1"/>
      <c r="I294" s="1"/>
      <c r="J294" s="2"/>
      <c r="K294" s="1"/>
      <c r="L294" s="1"/>
      <c r="M294" s="1"/>
      <c r="N294" s="1"/>
      <c r="O294" s="5"/>
      <c r="P294" s="18" t="str">
        <f t="shared" si="32"/>
        <v/>
      </c>
      <c r="Q294" s="18" t="str">
        <f t="shared" si="33"/>
        <v/>
      </c>
      <c r="R294" s="18" t="str">
        <f t="shared" si="34"/>
        <v/>
      </c>
      <c r="S294" s="18" t="str">
        <f t="shared" si="35"/>
        <v/>
      </c>
      <c r="T294" s="18" t="str">
        <f t="shared" si="36"/>
        <v/>
      </c>
      <c r="U294" s="18" t="str">
        <f t="shared" si="37"/>
        <v/>
      </c>
      <c r="V294" s="1"/>
    </row>
    <row r="295" spans="1:22" x14ac:dyDescent="0.25">
      <c r="A295" s="14"/>
      <c r="B295" s="34"/>
      <c r="C295" s="22"/>
      <c r="D295" s="9">
        <f>0.23-0.05</f>
        <v>0.18</v>
      </c>
      <c r="E295" s="23"/>
      <c r="F295" s="42"/>
      <c r="G295" s="11"/>
      <c r="H295" s="1"/>
      <c r="I295" s="1"/>
      <c r="J295" s="2"/>
      <c r="K295" s="1"/>
      <c r="L295" s="1"/>
      <c r="M295" s="1"/>
      <c r="N295" s="1"/>
      <c r="O295" s="5"/>
      <c r="P295" s="18" t="str">
        <f t="shared" si="32"/>
        <v/>
      </c>
      <c r="Q295" s="18" t="str">
        <f t="shared" si="33"/>
        <v/>
      </c>
      <c r="R295" s="18" t="str">
        <f t="shared" si="34"/>
        <v/>
      </c>
      <c r="S295" s="18" t="str">
        <f t="shared" si="35"/>
        <v/>
      </c>
      <c r="T295" s="18" t="str">
        <f t="shared" si="36"/>
        <v/>
      </c>
      <c r="U295" s="18" t="str">
        <f t="shared" si="37"/>
        <v/>
      </c>
      <c r="V295" s="1"/>
    </row>
    <row r="296" spans="1:22" x14ac:dyDescent="0.25">
      <c r="A296" s="14"/>
      <c r="B296" s="33"/>
      <c r="C296" s="22"/>
      <c r="D296" s="4"/>
      <c r="E296" s="23"/>
      <c r="F296" s="42"/>
      <c r="G296" s="11"/>
      <c r="H296" s="1"/>
      <c r="I296" s="1"/>
      <c r="J296" s="2"/>
      <c r="K296" s="1"/>
      <c r="L296" s="1"/>
      <c r="M296" s="1"/>
      <c r="N296" s="1"/>
      <c r="O296" s="3"/>
      <c r="P296" s="18" t="str">
        <f t="shared" si="32"/>
        <v/>
      </c>
      <c r="Q296" s="18" t="str">
        <f t="shared" si="33"/>
        <v/>
      </c>
      <c r="R296" s="18" t="str">
        <f t="shared" si="34"/>
        <v/>
      </c>
      <c r="S296" s="18" t="str">
        <f t="shared" si="35"/>
        <v/>
      </c>
      <c r="T296" s="18" t="str">
        <f t="shared" si="36"/>
        <v/>
      </c>
      <c r="U296" s="18" t="str">
        <f t="shared" si="37"/>
        <v/>
      </c>
      <c r="V296" s="1"/>
    </row>
    <row r="297" spans="1:22" x14ac:dyDescent="0.25">
      <c r="A297" s="14"/>
      <c r="B297" s="14"/>
      <c r="C297" s="47">
        <v>0.1</v>
      </c>
      <c r="D297" s="4"/>
      <c r="E297" s="23"/>
      <c r="F297" s="42"/>
      <c r="G297" s="11"/>
      <c r="H297" s="1"/>
      <c r="I297" s="1"/>
      <c r="J297" s="2"/>
      <c r="K297" s="1"/>
      <c r="L297" s="1"/>
      <c r="M297" s="1"/>
      <c r="N297" s="1"/>
      <c r="O297" s="3"/>
      <c r="P297" s="18" t="str">
        <f t="shared" si="32"/>
        <v/>
      </c>
      <c r="Q297" s="18" t="str">
        <f t="shared" si="33"/>
        <v/>
      </c>
      <c r="R297" s="18" t="str">
        <f t="shared" si="34"/>
        <v/>
      </c>
      <c r="S297" s="18" t="str">
        <f t="shared" si="35"/>
        <v/>
      </c>
      <c r="T297" s="18" t="str">
        <f t="shared" si="36"/>
        <v/>
      </c>
      <c r="U297" s="18" t="str">
        <f t="shared" si="37"/>
        <v/>
      </c>
      <c r="V297" s="1"/>
    </row>
    <row r="298" spans="1:22" x14ac:dyDescent="0.25">
      <c r="A298" s="14"/>
      <c r="B298" s="34" t="s">
        <v>36</v>
      </c>
      <c r="C298" s="26"/>
      <c r="D298" s="4"/>
      <c r="E298" s="40">
        <f>((1.8-0.05-0.014)/12)*3+0.014+0.02</f>
        <v>0.46800000000000003</v>
      </c>
      <c r="F298" s="42"/>
      <c r="G298" s="11">
        <v>10</v>
      </c>
      <c r="H298" s="1">
        <v>1</v>
      </c>
      <c r="I298" s="1">
        <v>1</v>
      </c>
      <c r="J298" s="41">
        <f>2*(D300+E298)+16*10/1000</f>
        <v>1.456</v>
      </c>
      <c r="K298" s="1"/>
      <c r="L298" s="1"/>
      <c r="M298" s="1"/>
      <c r="N298" s="5">
        <f>(J298+K298-M298)</f>
        <v>1.456</v>
      </c>
      <c r="O298" s="5">
        <f>(H298*I298*N298)</f>
        <v>1.456</v>
      </c>
      <c r="P298" s="18" t="str">
        <f t="shared" si="32"/>
        <v/>
      </c>
      <c r="Q298" s="18">
        <f t="shared" si="33"/>
        <v>1.456</v>
      </c>
      <c r="R298" s="18" t="str">
        <f t="shared" si="34"/>
        <v/>
      </c>
      <c r="S298" s="18" t="str">
        <f t="shared" si="35"/>
        <v/>
      </c>
      <c r="T298" s="18" t="str">
        <f t="shared" si="36"/>
        <v/>
      </c>
      <c r="U298" s="18" t="str">
        <f t="shared" si="37"/>
        <v/>
      </c>
      <c r="V298" s="1"/>
    </row>
    <row r="299" spans="1:22" x14ac:dyDescent="0.25">
      <c r="A299" s="14"/>
      <c r="B299" s="34"/>
      <c r="C299" s="22"/>
      <c r="D299" s="4"/>
      <c r="E299" s="27"/>
      <c r="F299" s="42"/>
      <c r="G299" s="11"/>
      <c r="H299" s="1"/>
      <c r="I299" s="1"/>
      <c r="J299" s="2"/>
      <c r="K299" s="1"/>
      <c r="L299" s="1"/>
      <c r="M299" s="1"/>
      <c r="N299" s="1"/>
      <c r="O299" s="5"/>
      <c r="P299" s="18" t="str">
        <f t="shared" si="32"/>
        <v/>
      </c>
      <c r="Q299" s="18" t="str">
        <f t="shared" si="33"/>
        <v/>
      </c>
      <c r="R299" s="18" t="str">
        <f t="shared" si="34"/>
        <v/>
      </c>
      <c r="S299" s="18" t="str">
        <f t="shared" si="35"/>
        <v/>
      </c>
      <c r="T299" s="18" t="str">
        <f t="shared" si="36"/>
        <v/>
      </c>
      <c r="U299" s="18" t="str">
        <f t="shared" si="37"/>
        <v/>
      </c>
      <c r="V299" s="1"/>
    </row>
    <row r="300" spans="1:22" x14ac:dyDescent="0.25">
      <c r="A300" s="14"/>
      <c r="B300" s="34"/>
      <c r="C300" s="22"/>
      <c r="D300" s="9">
        <f>0.23-0.05</f>
        <v>0.18</v>
      </c>
      <c r="E300" s="23"/>
      <c r="F300" s="42"/>
      <c r="G300" s="11"/>
      <c r="H300" s="1"/>
      <c r="I300" s="1"/>
      <c r="J300" s="2"/>
      <c r="K300" s="1"/>
      <c r="L300" s="1"/>
      <c r="M300" s="1"/>
      <c r="N300" s="1"/>
      <c r="O300" s="5"/>
      <c r="P300" s="18" t="str">
        <f t="shared" si="32"/>
        <v/>
      </c>
      <c r="Q300" s="18" t="str">
        <f t="shared" si="33"/>
        <v/>
      </c>
      <c r="R300" s="18" t="str">
        <f t="shared" si="34"/>
        <v/>
      </c>
      <c r="S300" s="18" t="str">
        <f t="shared" si="35"/>
        <v/>
      </c>
      <c r="T300" s="18" t="str">
        <f t="shared" si="36"/>
        <v/>
      </c>
      <c r="U300" s="18" t="str">
        <f t="shared" si="37"/>
        <v/>
      </c>
      <c r="V300" s="1"/>
    </row>
    <row r="301" spans="1:22" x14ac:dyDescent="0.25">
      <c r="A301" s="14"/>
      <c r="B301" s="33"/>
      <c r="C301" s="22"/>
      <c r="D301" s="4"/>
      <c r="E301" s="23"/>
      <c r="F301" s="42"/>
      <c r="G301" s="11"/>
      <c r="H301" s="1"/>
      <c r="I301" s="1"/>
      <c r="J301" s="2"/>
      <c r="K301" s="1"/>
      <c r="L301" s="1"/>
      <c r="M301" s="1"/>
      <c r="N301" s="1"/>
      <c r="O301" s="3"/>
      <c r="P301" s="18" t="str">
        <f t="shared" si="32"/>
        <v/>
      </c>
      <c r="Q301" s="18" t="str">
        <f t="shared" si="33"/>
        <v/>
      </c>
      <c r="R301" s="18" t="str">
        <f t="shared" si="34"/>
        <v/>
      </c>
      <c r="S301" s="18" t="str">
        <f t="shared" si="35"/>
        <v/>
      </c>
      <c r="T301" s="18" t="str">
        <f t="shared" si="36"/>
        <v/>
      </c>
      <c r="U301" s="18" t="str">
        <f t="shared" si="37"/>
        <v/>
      </c>
      <c r="V301" s="1"/>
    </row>
    <row r="302" spans="1:22" x14ac:dyDescent="0.25">
      <c r="A302" s="14"/>
      <c r="B302" s="14"/>
      <c r="C302" s="47">
        <v>0.1</v>
      </c>
      <c r="D302" s="4"/>
      <c r="E302" s="23"/>
      <c r="F302" s="42"/>
      <c r="G302" s="11"/>
      <c r="H302" s="1"/>
      <c r="I302" s="1"/>
      <c r="J302" s="2"/>
      <c r="K302" s="1"/>
      <c r="L302" s="1"/>
      <c r="M302" s="1"/>
      <c r="N302" s="1"/>
      <c r="O302" s="3"/>
      <c r="P302" s="18" t="str">
        <f t="shared" si="32"/>
        <v/>
      </c>
      <c r="Q302" s="18" t="str">
        <f t="shared" si="33"/>
        <v/>
      </c>
      <c r="R302" s="18" t="str">
        <f t="shared" si="34"/>
        <v/>
      </c>
      <c r="S302" s="18" t="str">
        <f t="shared" si="35"/>
        <v/>
      </c>
      <c r="T302" s="18" t="str">
        <f t="shared" si="36"/>
        <v/>
      </c>
      <c r="U302" s="18" t="str">
        <f t="shared" si="37"/>
        <v/>
      </c>
      <c r="V302" s="1"/>
    </row>
    <row r="303" spans="1:22" x14ac:dyDescent="0.25">
      <c r="A303" s="14"/>
      <c r="B303" s="34" t="s">
        <v>37</v>
      </c>
      <c r="C303" s="26"/>
      <c r="D303" s="4"/>
      <c r="E303" s="40">
        <f>((1.8-0.05-0.014)/12)*5+0.01+0.02</f>
        <v>0.75333333333333341</v>
      </c>
      <c r="F303" s="42"/>
      <c r="G303" s="11">
        <v>10</v>
      </c>
      <c r="H303" s="1">
        <v>1</v>
      </c>
      <c r="I303" s="1">
        <v>1</v>
      </c>
      <c r="J303" s="41">
        <f>2*(D305+E303)+16*10/1000</f>
        <v>2.0266666666666668</v>
      </c>
      <c r="K303" s="1"/>
      <c r="L303" s="1"/>
      <c r="M303" s="1"/>
      <c r="N303" s="5">
        <f>(J303+K303-M303)</f>
        <v>2.0266666666666668</v>
      </c>
      <c r="O303" s="5">
        <f>(H303*I303*N303)</f>
        <v>2.0266666666666668</v>
      </c>
      <c r="P303" s="18" t="str">
        <f t="shared" si="32"/>
        <v/>
      </c>
      <c r="Q303" s="18">
        <f t="shared" si="33"/>
        <v>2.0266666666666668</v>
      </c>
      <c r="R303" s="18" t="str">
        <f t="shared" si="34"/>
        <v/>
      </c>
      <c r="S303" s="18" t="str">
        <f t="shared" si="35"/>
        <v/>
      </c>
      <c r="T303" s="18" t="str">
        <f t="shared" si="36"/>
        <v/>
      </c>
      <c r="U303" s="18" t="str">
        <f t="shared" si="37"/>
        <v/>
      </c>
      <c r="V303" s="1"/>
    </row>
    <row r="304" spans="1:22" x14ac:dyDescent="0.25">
      <c r="A304" s="14"/>
      <c r="B304" s="34"/>
      <c r="C304" s="22"/>
      <c r="D304" s="4"/>
      <c r="E304" s="27"/>
      <c r="F304" s="42"/>
      <c r="G304" s="11"/>
      <c r="H304" s="1"/>
      <c r="I304" s="1"/>
      <c r="J304" s="2"/>
      <c r="K304" s="1"/>
      <c r="L304" s="1"/>
      <c r="M304" s="1"/>
      <c r="N304" s="1"/>
      <c r="O304" s="5"/>
      <c r="P304" s="18" t="str">
        <f t="shared" si="32"/>
        <v/>
      </c>
      <c r="Q304" s="18" t="str">
        <f t="shared" si="33"/>
        <v/>
      </c>
      <c r="R304" s="18" t="str">
        <f t="shared" si="34"/>
        <v/>
      </c>
      <c r="S304" s="18" t="str">
        <f t="shared" si="35"/>
        <v/>
      </c>
      <c r="T304" s="18" t="str">
        <f t="shared" si="36"/>
        <v/>
      </c>
      <c r="U304" s="18" t="str">
        <f t="shared" si="37"/>
        <v/>
      </c>
      <c r="V304" s="1"/>
    </row>
    <row r="305" spans="1:22" x14ac:dyDescent="0.25">
      <c r="A305" s="14"/>
      <c r="B305" s="34"/>
      <c r="C305" s="22"/>
      <c r="D305" s="9">
        <f>0.23-0.05</f>
        <v>0.18</v>
      </c>
      <c r="E305" s="23"/>
      <c r="F305" s="42"/>
      <c r="G305" s="11"/>
      <c r="H305" s="1"/>
      <c r="I305" s="1"/>
      <c r="J305" s="2"/>
      <c r="K305" s="1"/>
      <c r="L305" s="1"/>
      <c r="M305" s="1"/>
      <c r="N305" s="1"/>
      <c r="O305" s="5"/>
      <c r="P305" s="18" t="str">
        <f t="shared" si="32"/>
        <v/>
      </c>
      <c r="Q305" s="18" t="str">
        <f t="shared" si="33"/>
        <v/>
      </c>
      <c r="R305" s="18" t="str">
        <f t="shared" si="34"/>
        <v/>
      </c>
      <c r="S305" s="18" t="str">
        <f t="shared" si="35"/>
        <v/>
      </c>
      <c r="T305" s="18" t="str">
        <f t="shared" si="36"/>
        <v/>
      </c>
      <c r="U305" s="18" t="str">
        <f t="shared" si="37"/>
        <v/>
      </c>
      <c r="V305" s="1"/>
    </row>
    <row r="306" spans="1:22" x14ac:dyDescent="0.25">
      <c r="A306" s="14"/>
      <c r="B306" s="33"/>
      <c r="C306" s="22"/>
      <c r="D306" s="4"/>
      <c r="E306" s="23"/>
      <c r="F306" s="42"/>
      <c r="G306" s="11"/>
      <c r="H306" s="1"/>
      <c r="I306" s="1"/>
      <c r="J306" s="2"/>
      <c r="K306" s="1"/>
      <c r="L306" s="1"/>
      <c r="M306" s="1"/>
      <c r="N306" s="1"/>
      <c r="O306" s="3"/>
      <c r="P306" s="18" t="str">
        <f t="shared" si="32"/>
        <v/>
      </c>
      <c r="Q306" s="18" t="str">
        <f t="shared" si="33"/>
        <v/>
      </c>
      <c r="R306" s="18" t="str">
        <f t="shared" si="34"/>
        <v/>
      </c>
      <c r="S306" s="18" t="str">
        <f t="shared" si="35"/>
        <v/>
      </c>
      <c r="T306" s="18" t="str">
        <f t="shared" si="36"/>
        <v/>
      </c>
      <c r="U306" s="18" t="str">
        <f t="shared" si="37"/>
        <v/>
      </c>
      <c r="V306" s="1"/>
    </row>
    <row r="307" spans="1:22" x14ac:dyDescent="0.25">
      <c r="A307" s="14"/>
      <c r="B307" s="33"/>
      <c r="C307" s="47">
        <v>0.1</v>
      </c>
      <c r="D307" s="4"/>
      <c r="E307" s="23"/>
      <c r="F307" s="42"/>
      <c r="G307" s="11"/>
      <c r="H307" s="1"/>
      <c r="I307" s="1"/>
      <c r="J307" s="2"/>
      <c r="K307" s="1"/>
      <c r="L307" s="1"/>
      <c r="M307" s="1"/>
      <c r="N307" s="1"/>
      <c r="O307" s="3"/>
      <c r="P307" s="18" t="str">
        <f t="shared" si="32"/>
        <v/>
      </c>
      <c r="Q307" s="18" t="str">
        <f t="shared" si="33"/>
        <v/>
      </c>
      <c r="R307" s="18" t="str">
        <f t="shared" si="34"/>
        <v/>
      </c>
      <c r="S307" s="18" t="str">
        <f t="shared" si="35"/>
        <v/>
      </c>
      <c r="T307" s="18" t="str">
        <f t="shared" si="36"/>
        <v/>
      </c>
      <c r="U307" s="18" t="str">
        <f t="shared" si="37"/>
        <v/>
      </c>
      <c r="V307" s="1"/>
    </row>
    <row r="308" spans="1:22" x14ac:dyDescent="0.25">
      <c r="A308" s="14"/>
      <c r="B308" s="34" t="s">
        <v>46</v>
      </c>
      <c r="C308" s="26"/>
      <c r="D308" s="4"/>
      <c r="E308" s="40">
        <f>((1.8-0.05-0.014)/12)*1+0.012+0.02</f>
        <v>0.17666666666666667</v>
      </c>
      <c r="F308" s="42"/>
      <c r="G308" s="11">
        <v>10</v>
      </c>
      <c r="H308" s="1">
        <v>1</v>
      </c>
      <c r="I308" s="1">
        <v>1</v>
      </c>
      <c r="J308" s="41">
        <f>2*(D310+E308)+16*10/1000</f>
        <v>0.87333333333333341</v>
      </c>
      <c r="K308" s="1"/>
      <c r="L308" s="1"/>
      <c r="M308" s="1"/>
      <c r="N308" s="5">
        <f>(J308+K308-M308)</f>
        <v>0.87333333333333341</v>
      </c>
      <c r="O308" s="5">
        <f>(H308*I308*N308)</f>
        <v>0.87333333333333341</v>
      </c>
      <c r="P308" s="18" t="str">
        <f t="shared" si="32"/>
        <v/>
      </c>
      <c r="Q308" s="18">
        <f t="shared" si="33"/>
        <v>0.87333333333333341</v>
      </c>
      <c r="R308" s="18" t="str">
        <f t="shared" si="34"/>
        <v/>
      </c>
      <c r="S308" s="18" t="str">
        <f t="shared" si="35"/>
        <v/>
      </c>
      <c r="T308" s="18" t="str">
        <f t="shared" si="36"/>
        <v/>
      </c>
      <c r="U308" s="18" t="str">
        <f t="shared" si="37"/>
        <v/>
      </c>
      <c r="V308" s="1"/>
    </row>
    <row r="309" spans="1:22" x14ac:dyDescent="0.25">
      <c r="A309" s="14"/>
      <c r="B309" s="34"/>
      <c r="C309" s="22"/>
      <c r="D309" s="4"/>
      <c r="E309" s="27"/>
      <c r="F309" s="42"/>
      <c r="G309" s="11"/>
      <c r="H309" s="1"/>
      <c r="I309" s="1"/>
      <c r="J309" s="2"/>
      <c r="K309" s="1"/>
      <c r="L309" s="1"/>
      <c r="M309" s="1"/>
      <c r="N309" s="1"/>
      <c r="O309" s="5"/>
      <c r="P309" s="18" t="str">
        <f t="shared" si="32"/>
        <v/>
      </c>
      <c r="Q309" s="18" t="str">
        <f t="shared" si="33"/>
        <v/>
      </c>
      <c r="R309" s="18" t="str">
        <f t="shared" si="34"/>
        <v/>
      </c>
      <c r="S309" s="18" t="str">
        <f t="shared" si="35"/>
        <v/>
      </c>
      <c r="T309" s="18" t="str">
        <f t="shared" si="36"/>
        <v/>
      </c>
      <c r="U309" s="18" t="str">
        <f t="shared" si="37"/>
        <v/>
      </c>
      <c r="V309" s="1"/>
    </row>
    <row r="310" spans="1:22" x14ac:dyDescent="0.25">
      <c r="A310" s="14"/>
      <c r="B310" s="34"/>
      <c r="C310" s="22"/>
      <c r="D310" s="9">
        <f>0.23-0.05</f>
        <v>0.18</v>
      </c>
      <c r="E310" s="23"/>
      <c r="F310" s="42"/>
      <c r="G310" s="11"/>
      <c r="H310" s="1"/>
      <c r="I310" s="1"/>
      <c r="J310" s="2"/>
      <c r="K310" s="1"/>
      <c r="L310" s="1"/>
      <c r="M310" s="1"/>
      <c r="N310" s="1"/>
      <c r="O310" s="5"/>
      <c r="P310" s="18" t="str">
        <f t="shared" si="32"/>
        <v/>
      </c>
      <c r="Q310" s="18" t="str">
        <f t="shared" si="33"/>
        <v/>
      </c>
      <c r="R310" s="18" t="str">
        <f t="shared" si="34"/>
        <v/>
      </c>
      <c r="S310" s="18" t="str">
        <f t="shared" si="35"/>
        <v/>
      </c>
      <c r="T310" s="18" t="str">
        <f t="shared" si="36"/>
        <v/>
      </c>
      <c r="U310" s="18" t="str">
        <f t="shared" si="37"/>
        <v/>
      </c>
      <c r="V310" s="1"/>
    </row>
    <row r="311" spans="1:22" x14ac:dyDescent="0.25">
      <c r="A311" s="14"/>
      <c r="B311" s="33"/>
      <c r="C311" s="22"/>
      <c r="D311" s="4"/>
      <c r="E311" s="23"/>
      <c r="F311" s="42"/>
      <c r="G311" s="11"/>
      <c r="H311" s="1"/>
      <c r="I311" s="1"/>
      <c r="J311" s="2"/>
      <c r="K311" s="1"/>
      <c r="L311" s="1"/>
      <c r="M311" s="1"/>
      <c r="N311" s="1"/>
      <c r="O311" s="3"/>
      <c r="P311" s="18" t="str">
        <f t="shared" si="32"/>
        <v/>
      </c>
      <c r="Q311" s="18" t="str">
        <f t="shared" si="33"/>
        <v/>
      </c>
      <c r="R311" s="18" t="str">
        <f t="shared" si="34"/>
        <v/>
      </c>
      <c r="S311" s="18" t="str">
        <f t="shared" si="35"/>
        <v/>
      </c>
      <c r="T311" s="18" t="str">
        <f t="shared" si="36"/>
        <v/>
      </c>
      <c r="U311" s="18" t="str">
        <f t="shared" si="37"/>
        <v/>
      </c>
      <c r="V311" s="1"/>
    </row>
    <row r="312" spans="1:22" x14ac:dyDescent="0.25">
      <c r="A312" s="14"/>
      <c r="B312" s="33"/>
      <c r="C312" s="22"/>
      <c r="D312" s="4"/>
      <c r="E312" s="39">
        <v>0.1</v>
      </c>
      <c r="F312" s="42"/>
      <c r="G312" s="11"/>
      <c r="H312" s="1"/>
      <c r="I312" s="1"/>
      <c r="J312" s="2"/>
      <c r="K312" s="1"/>
      <c r="L312" s="1"/>
      <c r="M312" s="1"/>
      <c r="N312" s="1"/>
      <c r="O312" s="3"/>
      <c r="P312" s="18" t="str">
        <f t="shared" si="32"/>
        <v/>
      </c>
      <c r="Q312" s="18" t="str">
        <f t="shared" si="33"/>
        <v/>
      </c>
      <c r="R312" s="18" t="str">
        <f t="shared" si="34"/>
        <v/>
      </c>
      <c r="S312" s="18" t="str">
        <f t="shared" si="35"/>
        <v/>
      </c>
      <c r="T312" s="18" t="str">
        <f t="shared" si="36"/>
        <v/>
      </c>
      <c r="U312" s="18" t="str">
        <f t="shared" si="37"/>
        <v/>
      </c>
      <c r="V312" s="1"/>
    </row>
    <row r="313" spans="1:22" x14ac:dyDescent="0.25">
      <c r="A313" s="14"/>
      <c r="B313" s="34" t="s">
        <v>47</v>
      </c>
      <c r="C313" s="22"/>
      <c r="D313" s="25">
        <f>0.23-0.05</f>
        <v>0.18</v>
      </c>
      <c r="E313" s="39"/>
      <c r="F313" s="42"/>
      <c r="G313" s="11">
        <v>10</v>
      </c>
      <c r="H313" s="1">
        <v>1</v>
      </c>
      <c r="I313" s="1">
        <v>4</v>
      </c>
      <c r="J313" s="41">
        <f>D313+E312+E314</f>
        <v>0.38</v>
      </c>
      <c r="K313" s="1"/>
      <c r="L313" s="1"/>
      <c r="M313" s="5">
        <f>2*3*G313/1000</f>
        <v>0.06</v>
      </c>
      <c r="N313" s="5">
        <f>(J313+K313-M313)</f>
        <v>0.32</v>
      </c>
      <c r="O313" s="5">
        <f>(H313*I313*N313)</f>
        <v>1.28</v>
      </c>
      <c r="P313" s="18" t="str">
        <f t="shared" si="32"/>
        <v/>
      </c>
      <c r="Q313" s="18">
        <f t="shared" si="33"/>
        <v>1.28</v>
      </c>
      <c r="R313" s="18" t="str">
        <f t="shared" si="34"/>
        <v/>
      </c>
      <c r="S313" s="18" t="str">
        <f t="shared" si="35"/>
        <v/>
      </c>
      <c r="T313" s="18" t="str">
        <f t="shared" si="36"/>
        <v/>
      </c>
      <c r="U313" s="18" t="str">
        <f t="shared" si="37"/>
        <v/>
      </c>
      <c r="V313" s="1"/>
    </row>
    <row r="314" spans="1:22" x14ac:dyDescent="0.25">
      <c r="A314" s="14"/>
      <c r="B314" s="33"/>
      <c r="C314" s="22"/>
      <c r="D314" s="4"/>
      <c r="E314" s="39">
        <v>0.1</v>
      </c>
      <c r="F314" s="42"/>
      <c r="G314" s="11"/>
      <c r="H314" s="1"/>
      <c r="I314" s="1"/>
      <c r="J314" s="2"/>
      <c r="K314" s="1"/>
      <c r="L314" s="1"/>
      <c r="M314" s="1"/>
      <c r="N314" s="1"/>
      <c r="O314" s="3"/>
      <c r="P314" s="18" t="str">
        <f t="shared" si="32"/>
        <v/>
      </c>
      <c r="Q314" s="18" t="str">
        <f t="shared" si="33"/>
        <v/>
      </c>
      <c r="R314" s="18" t="str">
        <f t="shared" si="34"/>
        <v/>
      </c>
      <c r="S314" s="18" t="str">
        <f t="shared" si="35"/>
        <v/>
      </c>
      <c r="T314" s="18" t="str">
        <f t="shared" si="36"/>
        <v/>
      </c>
      <c r="U314" s="18" t="str">
        <f t="shared" si="37"/>
        <v/>
      </c>
      <c r="V314" s="1"/>
    </row>
    <row r="315" spans="1:22" x14ac:dyDescent="0.25">
      <c r="A315" s="14"/>
      <c r="B315" s="34"/>
      <c r="C315" s="22"/>
      <c r="D315" s="28"/>
      <c r="E315" s="23"/>
      <c r="F315" s="42"/>
      <c r="G315" s="11"/>
      <c r="H315" s="1"/>
      <c r="I315" s="1"/>
      <c r="J315" s="2"/>
      <c r="K315" s="1"/>
      <c r="L315" s="1"/>
      <c r="M315" s="1"/>
      <c r="N315" s="1"/>
      <c r="O315" s="3"/>
      <c r="P315" s="18" t="str">
        <f t="shared" si="32"/>
        <v/>
      </c>
      <c r="Q315" s="18" t="str">
        <f t="shared" si="33"/>
        <v/>
      </c>
      <c r="R315" s="18" t="str">
        <f t="shared" si="34"/>
        <v/>
      </c>
      <c r="S315" s="18" t="str">
        <f t="shared" si="35"/>
        <v/>
      </c>
      <c r="T315" s="18" t="str">
        <f t="shared" si="36"/>
        <v/>
      </c>
      <c r="U315" s="18" t="str">
        <f t="shared" si="37"/>
        <v/>
      </c>
      <c r="V315" s="1"/>
    </row>
    <row r="316" spans="1:22" x14ac:dyDescent="0.25">
      <c r="A316" s="14">
        <v>11</v>
      </c>
      <c r="B316" s="14" t="s">
        <v>49</v>
      </c>
      <c r="C316" s="22"/>
      <c r="D316" s="4"/>
      <c r="E316" s="23"/>
      <c r="F316" s="42"/>
      <c r="G316" s="11"/>
      <c r="H316" s="1"/>
      <c r="I316" s="1"/>
      <c r="J316" s="9"/>
      <c r="K316" s="5"/>
      <c r="L316" s="5"/>
      <c r="M316" s="1"/>
      <c r="N316" s="5"/>
      <c r="O316" s="5"/>
      <c r="P316" s="18" t="str">
        <f>IF($G316=8,$O316,"")</f>
        <v/>
      </c>
      <c r="Q316" s="18" t="str">
        <f>IF($G316=10,$O316,"")</f>
        <v/>
      </c>
      <c r="R316" s="18" t="str">
        <f>IF($G316=12,$O316,"")</f>
        <v/>
      </c>
      <c r="S316" s="18" t="str">
        <f>IF($G316=16,$O316,"")</f>
        <v/>
      </c>
      <c r="T316" s="18" t="str">
        <f>IF($G316=20,$O316,"")</f>
        <v/>
      </c>
      <c r="U316" s="18" t="str">
        <f>IF($G316=25,$O316,"")</f>
        <v/>
      </c>
      <c r="V316" s="1"/>
    </row>
    <row r="317" spans="1:22" x14ac:dyDescent="0.25">
      <c r="A317" s="14"/>
      <c r="B317" s="33" t="s">
        <v>18</v>
      </c>
      <c r="C317" s="22"/>
      <c r="D317" s="25">
        <f>0.85-0.075-2*0.016</f>
        <v>0.74299999999999999</v>
      </c>
      <c r="E317" s="23"/>
      <c r="F317" s="42"/>
      <c r="G317" s="11">
        <v>16</v>
      </c>
      <c r="H317" s="1">
        <v>1</v>
      </c>
      <c r="I317" s="1">
        <v>4</v>
      </c>
      <c r="J317" s="9">
        <f>D317</f>
        <v>0.74299999999999999</v>
      </c>
      <c r="K317" s="46" t="str">
        <f>IF(N317&lt;12,"0",0.049*G317)</f>
        <v>0</v>
      </c>
      <c r="L317" s="45">
        <v>1</v>
      </c>
      <c r="M317" s="1">
        <f>2*G317*L317/1000</f>
        <v>3.2000000000000001E-2</v>
      </c>
      <c r="N317" s="5">
        <f>J317+E319-M317</f>
        <v>1.0109999999999999</v>
      </c>
      <c r="O317" s="5">
        <f>H317*I317*N317</f>
        <v>4.0439999999999996</v>
      </c>
      <c r="P317" s="18" t="str">
        <f t="shared" si="32"/>
        <v/>
      </c>
      <c r="Q317" s="18" t="str">
        <f t="shared" si="33"/>
        <v/>
      </c>
      <c r="R317" s="18" t="str">
        <f t="shared" si="34"/>
        <v/>
      </c>
      <c r="S317" s="18">
        <f t="shared" si="35"/>
        <v>4.0439999999999996</v>
      </c>
      <c r="T317" s="18" t="str">
        <f t="shared" si="36"/>
        <v/>
      </c>
      <c r="U317" s="18" t="str">
        <f t="shared" si="37"/>
        <v/>
      </c>
      <c r="V317" s="1"/>
    </row>
    <row r="318" spans="1:22" x14ac:dyDescent="0.25">
      <c r="A318" s="14"/>
      <c r="B318" s="33" t="s">
        <v>32</v>
      </c>
      <c r="C318" s="22"/>
      <c r="D318" s="4"/>
      <c r="E318" s="23"/>
      <c r="F318" s="42"/>
      <c r="G318" s="11">
        <v>12</v>
      </c>
      <c r="H318" s="1">
        <v>1</v>
      </c>
      <c r="I318" s="1">
        <v>4</v>
      </c>
      <c r="J318" s="9">
        <f>D317</f>
        <v>0.74299999999999999</v>
      </c>
      <c r="K318" s="46" t="str">
        <f t="shared" ref="K318:K319" si="40">IF(N318&lt;12,"0",0.049*G318)</f>
        <v>0</v>
      </c>
      <c r="L318" s="45">
        <v>1</v>
      </c>
      <c r="M318" s="1">
        <f t="shared" ref="M318:M319" si="41">2*G318*L318/1000</f>
        <v>2.4E-2</v>
      </c>
      <c r="N318" s="5">
        <f>J318+E319-M318</f>
        <v>1.0189999999999999</v>
      </c>
      <c r="O318" s="5">
        <f>H318*I318*N318</f>
        <v>4.0759999999999996</v>
      </c>
      <c r="P318" s="18" t="str">
        <f t="shared" si="32"/>
        <v/>
      </c>
      <c r="Q318" s="18" t="str">
        <f t="shared" si="33"/>
        <v/>
      </c>
      <c r="R318" s="18">
        <f t="shared" si="34"/>
        <v>4.0759999999999996</v>
      </c>
      <c r="S318" s="18" t="str">
        <f t="shared" si="35"/>
        <v/>
      </c>
      <c r="T318" s="18" t="str">
        <f t="shared" si="36"/>
        <v/>
      </c>
      <c r="U318" s="18" t="str">
        <f t="shared" si="37"/>
        <v/>
      </c>
      <c r="V318" s="1"/>
    </row>
    <row r="319" spans="1:22" x14ac:dyDescent="0.25">
      <c r="A319" s="14"/>
      <c r="B319" s="33" t="s">
        <v>26</v>
      </c>
      <c r="C319" s="24"/>
      <c r="D319" s="25"/>
      <c r="E319" s="39">
        <v>0.3</v>
      </c>
      <c r="F319" s="42"/>
      <c r="G319" s="11">
        <v>12</v>
      </c>
      <c r="H319" s="1">
        <v>1</v>
      </c>
      <c r="I319" s="1">
        <v>4</v>
      </c>
      <c r="J319" s="9">
        <f>D317</f>
        <v>0.74299999999999999</v>
      </c>
      <c r="K319" s="46" t="str">
        <f t="shared" si="40"/>
        <v>0</v>
      </c>
      <c r="L319" s="45">
        <v>1</v>
      </c>
      <c r="M319" s="1">
        <f t="shared" si="41"/>
        <v>2.4E-2</v>
      </c>
      <c r="N319" s="5">
        <f>J319+E319-M319</f>
        <v>1.0189999999999999</v>
      </c>
      <c r="O319" s="5">
        <f>H319*I319*N319</f>
        <v>4.0759999999999996</v>
      </c>
      <c r="P319" s="18" t="str">
        <f t="shared" si="32"/>
        <v/>
      </c>
      <c r="Q319" s="18" t="str">
        <f t="shared" si="33"/>
        <v/>
      </c>
      <c r="R319" s="18">
        <f t="shared" si="34"/>
        <v>4.0759999999999996</v>
      </c>
      <c r="S319" s="18" t="str">
        <f t="shared" si="35"/>
        <v/>
      </c>
      <c r="T319" s="18" t="str">
        <f t="shared" si="36"/>
        <v/>
      </c>
      <c r="U319" s="18" t="str">
        <f t="shared" si="37"/>
        <v/>
      </c>
      <c r="V319" s="1"/>
    </row>
    <row r="320" spans="1:22" x14ac:dyDescent="0.25">
      <c r="A320" s="14"/>
      <c r="B320" s="33" t="s">
        <v>19</v>
      </c>
      <c r="C320" s="22"/>
      <c r="D320" s="4"/>
      <c r="E320" s="23"/>
      <c r="F320" s="42"/>
      <c r="G320" s="11">
        <v>12</v>
      </c>
      <c r="H320" s="1">
        <v>1</v>
      </c>
      <c r="I320" s="1">
        <v>4</v>
      </c>
      <c r="J320" s="9">
        <f>D317</f>
        <v>0.74299999999999999</v>
      </c>
      <c r="K320" s="46" t="str">
        <f t="shared" ref="K320" si="42">IF(N320&lt;12,"0",0.049*G320)</f>
        <v>0</v>
      </c>
      <c r="L320" s="45">
        <v>1</v>
      </c>
      <c r="M320" s="1">
        <f t="shared" ref="M320" si="43">2*G320*L320/1000</f>
        <v>2.4E-2</v>
      </c>
      <c r="N320" s="5">
        <f>J320+E320-M320</f>
        <v>0.71899999999999997</v>
      </c>
      <c r="O320" s="5">
        <f>H320*I320*N320</f>
        <v>2.8759999999999999</v>
      </c>
      <c r="P320" s="18" t="str">
        <f t="shared" si="32"/>
        <v/>
      </c>
      <c r="Q320" s="18" t="str">
        <f t="shared" si="33"/>
        <v/>
      </c>
      <c r="R320" s="18">
        <f t="shared" si="34"/>
        <v>2.8759999999999999</v>
      </c>
      <c r="S320" s="18" t="str">
        <f t="shared" si="35"/>
        <v/>
      </c>
      <c r="T320" s="18" t="str">
        <f t="shared" si="36"/>
        <v/>
      </c>
      <c r="U320" s="18" t="str">
        <f t="shared" si="37"/>
        <v/>
      </c>
      <c r="V320" s="1"/>
    </row>
    <row r="321" spans="1:22" x14ac:dyDescent="0.25">
      <c r="A321" s="14"/>
      <c r="B321" s="33" t="s">
        <v>35</v>
      </c>
      <c r="C321" s="22"/>
      <c r="D321" s="4"/>
      <c r="E321" s="23"/>
      <c r="F321" s="42"/>
      <c r="G321" s="11">
        <v>12</v>
      </c>
      <c r="H321" s="1">
        <v>1</v>
      </c>
      <c r="I321" s="1">
        <v>4</v>
      </c>
      <c r="J321" s="9">
        <f>D317</f>
        <v>0.74299999999999999</v>
      </c>
      <c r="K321" s="46" t="str">
        <f t="shared" ref="K321" si="44">IF(N321&lt;12,"0",0.049*G321)</f>
        <v>0</v>
      </c>
      <c r="L321" s="45">
        <v>1</v>
      </c>
      <c r="M321" s="1">
        <f t="shared" ref="M321" si="45">2*G321*L321/1000</f>
        <v>2.4E-2</v>
      </c>
      <c r="N321" s="5">
        <f>J321+E321-M321</f>
        <v>0.71899999999999997</v>
      </c>
      <c r="O321" s="5">
        <f>H321*I321*N321</f>
        <v>2.8759999999999999</v>
      </c>
      <c r="P321" s="18" t="str">
        <f t="shared" si="32"/>
        <v/>
      </c>
      <c r="Q321" s="18" t="str">
        <f t="shared" si="33"/>
        <v/>
      </c>
      <c r="R321" s="18">
        <f t="shared" si="34"/>
        <v>2.8759999999999999</v>
      </c>
      <c r="S321" s="18" t="str">
        <f t="shared" si="35"/>
        <v/>
      </c>
      <c r="T321" s="18" t="str">
        <f t="shared" si="36"/>
        <v/>
      </c>
      <c r="U321" s="18" t="str">
        <f t="shared" si="37"/>
        <v/>
      </c>
      <c r="V321" s="1"/>
    </row>
    <row r="322" spans="1:22" x14ac:dyDescent="0.25">
      <c r="A322" s="14"/>
      <c r="B322" s="14"/>
      <c r="C322" s="47">
        <v>0.1</v>
      </c>
      <c r="D322" s="4"/>
      <c r="E322" s="23"/>
      <c r="F322" s="42"/>
      <c r="G322" s="11"/>
      <c r="H322" s="1"/>
      <c r="I322" s="1"/>
      <c r="J322" s="2"/>
      <c r="K322" s="1"/>
      <c r="L322" s="1"/>
      <c r="M322" s="1"/>
      <c r="N322" s="1"/>
      <c r="O322" s="3"/>
      <c r="P322" s="18" t="str">
        <f t="shared" si="32"/>
        <v/>
      </c>
      <c r="Q322" s="18" t="str">
        <f t="shared" si="33"/>
        <v/>
      </c>
      <c r="R322" s="18" t="str">
        <f t="shared" si="34"/>
        <v/>
      </c>
      <c r="S322" s="18" t="str">
        <f t="shared" si="35"/>
        <v/>
      </c>
      <c r="T322" s="18" t="str">
        <f t="shared" si="36"/>
        <v/>
      </c>
      <c r="U322" s="18" t="str">
        <f t="shared" si="37"/>
        <v/>
      </c>
      <c r="V322" s="1"/>
    </row>
    <row r="323" spans="1:22" x14ac:dyDescent="0.25">
      <c r="A323" s="14"/>
      <c r="B323" s="34" t="s">
        <v>20</v>
      </c>
      <c r="C323" s="26"/>
      <c r="D323" s="4"/>
      <c r="E323" s="40">
        <f>1-0.05</f>
        <v>0.95</v>
      </c>
      <c r="F323" s="42"/>
      <c r="G323" s="11">
        <v>10</v>
      </c>
      <c r="H323" s="1">
        <v>1</v>
      </c>
      <c r="I323" s="1">
        <v>4</v>
      </c>
      <c r="J323" s="41">
        <f>2*(D325+E323)+16*10/1000</f>
        <v>2.42</v>
      </c>
      <c r="K323" s="1"/>
      <c r="L323" s="1"/>
      <c r="M323" s="1"/>
      <c r="N323" s="5">
        <f>(J323+K323-M323)</f>
        <v>2.42</v>
      </c>
      <c r="O323" s="5">
        <f>(H323*I323*N323)</f>
        <v>9.68</v>
      </c>
      <c r="P323" s="18" t="str">
        <f t="shared" si="32"/>
        <v/>
      </c>
      <c r="Q323" s="18">
        <f t="shared" si="33"/>
        <v>9.68</v>
      </c>
      <c r="R323" s="18" t="str">
        <f t="shared" si="34"/>
        <v/>
      </c>
      <c r="S323" s="18" t="str">
        <f t="shared" si="35"/>
        <v/>
      </c>
      <c r="T323" s="18" t="str">
        <f t="shared" si="36"/>
        <v/>
      </c>
      <c r="U323" s="18" t="str">
        <f t="shared" si="37"/>
        <v/>
      </c>
      <c r="V323" s="1"/>
    </row>
    <row r="324" spans="1:22" x14ac:dyDescent="0.25">
      <c r="A324" s="14"/>
      <c r="B324" s="34"/>
      <c r="C324" s="22"/>
      <c r="D324" s="4"/>
      <c r="E324" s="27"/>
      <c r="F324" s="42"/>
      <c r="G324" s="11"/>
      <c r="H324" s="1"/>
      <c r="I324" s="1"/>
      <c r="J324" s="2"/>
      <c r="K324" s="1"/>
      <c r="L324" s="1"/>
      <c r="M324" s="1"/>
      <c r="N324" s="1"/>
      <c r="O324" s="5"/>
      <c r="P324" s="18" t="str">
        <f t="shared" si="32"/>
        <v/>
      </c>
      <c r="Q324" s="18" t="str">
        <f t="shared" si="33"/>
        <v/>
      </c>
      <c r="R324" s="18" t="str">
        <f t="shared" si="34"/>
        <v/>
      </c>
      <c r="S324" s="18" t="str">
        <f t="shared" si="35"/>
        <v/>
      </c>
      <c r="T324" s="18" t="str">
        <f t="shared" si="36"/>
        <v/>
      </c>
      <c r="U324" s="18" t="str">
        <f t="shared" si="37"/>
        <v/>
      </c>
      <c r="V324" s="1"/>
    </row>
    <row r="325" spans="1:22" x14ac:dyDescent="0.25">
      <c r="A325" s="14"/>
      <c r="B325" s="34"/>
      <c r="C325" s="22"/>
      <c r="D325" s="9">
        <f>0.23-0.05</f>
        <v>0.18</v>
      </c>
      <c r="E325" s="23"/>
      <c r="F325" s="42"/>
      <c r="G325" s="11"/>
      <c r="H325" s="1"/>
      <c r="I325" s="1"/>
      <c r="J325" s="2"/>
      <c r="K325" s="1"/>
      <c r="L325" s="1"/>
      <c r="M325" s="1"/>
      <c r="N325" s="1"/>
      <c r="O325" s="5"/>
      <c r="P325" s="18" t="str">
        <f t="shared" ref="P325:P388" si="46">IF($G325=8,$O325,"")</f>
        <v/>
      </c>
      <c r="Q325" s="18" t="str">
        <f t="shared" ref="Q325:Q388" si="47">IF($G325=10,$O325,"")</f>
        <v/>
      </c>
      <c r="R325" s="18" t="str">
        <f t="shared" ref="R325:R388" si="48">IF($G325=12,$O325,"")</f>
        <v/>
      </c>
      <c r="S325" s="18" t="str">
        <f t="shared" ref="S325:S388" si="49">IF($G325=16,$O325,"")</f>
        <v/>
      </c>
      <c r="T325" s="18" t="str">
        <f t="shared" ref="T325:T388" si="50">IF($G325=20,$O325,"")</f>
        <v/>
      </c>
      <c r="U325" s="18" t="str">
        <f t="shared" ref="U325:U388" si="51">IF($G325=25,$O325,"")</f>
        <v/>
      </c>
      <c r="V325" s="1"/>
    </row>
    <row r="326" spans="1:22" x14ac:dyDescent="0.25">
      <c r="A326" s="14"/>
      <c r="B326" s="33"/>
      <c r="C326" s="22"/>
      <c r="D326" s="4"/>
      <c r="E326" s="23"/>
      <c r="F326" s="42"/>
      <c r="G326" s="11"/>
      <c r="H326" s="1"/>
      <c r="I326" s="1"/>
      <c r="J326" s="2"/>
      <c r="K326" s="1"/>
      <c r="L326" s="1"/>
      <c r="M326" s="1"/>
      <c r="N326" s="1"/>
      <c r="O326" s="5"/>
      <c r="P326" s="18" t="str">
        <f t="shared" si="46"/>
        <v/>
      </c>
      <c r="Q326" s="18" t="str">
        <f t="shared" si="47"/>
        <v/>
      </c>
      <c r="R326" s="18" t="str">
        <f t="shared" si="48"/>
        <v/>
      </c>
      <c r="S326" s="18" t="str">
        <f t="shared" si="49"/>
        <v/>
      </c>
      <c r="T326" s="18" t="str">
        <f t="shared" si="50"/>
        <v/>
      </c>
      <c r="U326" s="18" t="str">
        <f t="shared" si="51"/>
        <v/>
      </c>
      <c r="V326" s="1"/>
    </row>
    <row r="327" spans="1:22" x14ac:dyDescent="0.25">
      <c r="A327" s="14"/>
      <c r="B327" s="14"/>
      <c r="C327" s="47">
        <v>0.1</v>
      </c>
      <c r="D327" s="4"/>
      <c r="E327" s="23"/>
      <c r="F327" s="42"/>
      <c r="G327" s="11"/>
      <c r="H327" s="1"/>
      <c r="I327" s="1"/>
      <c r="J327" s="2"/>
      <c r="K327" s="1"/>
      <c r="L327" s="1"/>
      <c r="M327" s="1"/>
      <c r="N327" s="1"/>
      <c r="O327" s="5"/>
      <c r="P327" s="18" t="str">
        <f t="shared" si="46"/>
        <v/>
      </c>
      <c r="Q327" s="18" t="str">
        <f t="shared" si="47"/>
        <v/>
      </c>
      <c r="R327" s="18" t="str">
        <f t="shared" si="48"/>
        <v/>
      </c>
      <c r="S327" s="18" t="str">
        <f t="shared" si="49"/>
        <v/>
      </c>
      <c r="T327" s="18" t="str">
        <f t="shared" si="50"/>
        <v/>
      </c>
      <c r="U327" s="18" t="str">
        <f t="shared" si="51"/>
        <v/>
      </c>
      <c r="V327" s="1"/>
    </row>
    <row r="328" spans="1:22" x14ac:dyDescent="0.25">
      <c r="A328" s="14"/>
      <c r="B328" s="34" t="s">
        <v>21</v>
      </c>
      <c r="C328" s="26"/>
      <c r="D328" s="4"/>
      <c r="E328" s="40">
        <f>((1-0.05-0.016)/9)+0.012+0.02</f>
        <v>0.13577777777777778</v>
      </c>
      <c r="F328" s="42"/>
      <c r="G328" s="11">
        <v>10</v>
      </c>
      <c r="H328" s="1">
        <v>1</v>
      </c>
      <c r="I328" s="1">
        <f>1*4</f>
        <v>4</v>
      </c>
      <c r="J328" s="41">
        <f>2*(D330+E328)+16*10/1000</f>
        <v>0.79155555555555557</v>
      </c>
      <c r="K328" s="1"/>
      <c r="L328" s="1"/>
      <c r="M328" s="1"/>
      <c r="N328" s="5">
        <f>(J328+K328-M328)</f>
        <v>0.79155555555555557</v>
      </c>
      <c r="O328" s="5">
        <f>(H328*I328*N328)</f>
        <v>3.1662222222222223</v>
      </c>
      <c r="P328" s="18" t="str">
        <f t="shared" si="46"/>
        <v/>
      </c>
      <c r="Q328" s="18">
        <f t="shared" si="47"/>
        <v>3.1662222222222223</v>
      </c>
      <c r="R328" s="18" t="str">
        <f t="shared" si="48"/>
        <v/>
      </c>
      <c r="S328" s="18" t="str">
        <f t="shared" si="49"/>
        <v/>
      </c>
      <c r="T328" s="18" t="str">
        <f t="shared" si="50"/>
        <v/>
      </c>
      <c r="U328" s="18" t="str">
        <f t="shared" si="51"/>
        <v/>
      </c>
      <c r="V328" s="1"/>
    </row>
    <row r="329" spans="1:22" x14ac:dyDescent="0.25">
      <c r="A329" s="14"/>
      <c r="B329" s="34"/>
      <c r="C329" s="22"/>
      <c r="D329" s="4"/>
      <c r="E329" s="27"/>
      <c r="F329" s="42"/>
      <c r="G329" s="11"/>
      <c r="H329" s="1"/>
      <c r="I329" s="1"/>
      <c r="J329" s="2"/>
      <c r="K329" s="1"/>
      <c r="L329" s="1"/>
      <c r="M329" s="1"/>
      <c r="N329" s="1"/>
      <c r="O329" s="5"/>
      <c r="P329" s="18" t="str">
        <f t="shared" si="46"/>
        <v/>
      </c>
      <c r="Q329" s="18" t="str">
        <f t="shared" si="47"/>
        <v/>
      </c>
      <c r="R329" s="18" t="str">
        <f t="shared" si="48"/>
        <v/>
      </c>
      <c r="S329" s="18" t="str">
        <f t="shared" si="49"/>
        <v/>
      </c>
      <c r="T329" s="18" t="str">
        <f t="shared" si="50"/>
        <v/>
      </c>
      <c r="U329" s="18" t="str">
        <f t="shared" si="51"/>
        <v/>
      </c>
      <c r="V329" s="1"/>
    </row>
    <row r="330" spans="1:22" x14ac:dyDescent="0.25">
      <c r="A330" s="14"/>
      <c r="B330" s="34"/>
      <c r="C330" s="22"/>
      <c r="D330" s="9">
        <f>0.23-0.05</f>
        <v>0.18</v>
      </c>
      <c r="E330" s="23"/>
      <c r="F330" s="42"/>
      <c r="G330" s="11"/>
      <c r="H330" s="1"/>
      <c r="I330" s="1"/>
      <c r="J330" s="2"/>
      <c r="K330" s="1"/>
      <c r="L330" s="1"/>
      <c r="M330" s="1"/>
      <c r="N330" s="1"/>
      <c r="O330" s="5"/>
      <c r="P330" s="18" t="str">
        <f t="shared" si="46"/>
        <v/>
      </c>
      <c r="Q330" s="18" t="str">
        <f t="shared" si="47"/>
        <v/>
      </c>
      <c r="R330" s="18" t="str">
        <f t="shared" si="48"/>
        <v/>
      </c>
      <c r="S330" s="18" t="str">
        <f t="shared" si="49"/>
        <v/>
      </c>
      <c r="T330" s="18" t="str">
        <f t="shared" si="50"/>
        <v/>
      </c>
      <c r="U330" s="18" t="str">
        <f t="shared" si="51"/>
        <v/>
      </c>
      <c r="V330" s="1"/>
    </row>
    <row r="331" spans="1:22" x14ac:dyDescent="0.25">
      <c r="A331" s="14"/>
      <c r="B331" s="34"/>
      <c r="C331" s="22"/>
      <c r="D331" s="28"/>
      <c r="E331" s="23"/>
      <c r="F331" s="42"/>
      <c r="G331" s="11"/>
      <c r="H331" s="1"/>
      <c r="I331" s="1"/>
      <c r="J331" s="2"/>
      <c r="K331" s="1"/>
      <c r="L331" s="1"/>
      <c r="M331" s="1"/>
      <c r="N331" s="1"/>
      <c r="O331" s="3"/>
      <c r="P331" s="18" t="str">
        <f t="shared" si="46"/>
        <v/>
      </c>
      <c r="Q331" s="18" t="str">
        <f t="shared" si="47"/>
        <v/>
      </c>
      <c r="R331" s="18" t="str">
        <f t="shared" si="48"/>
        <v/>
      </c>
      <c r="S331" s="18" t="str">
        <f t="shared" si="49"/>
        <v/>
      </c>
      <c r="T331" s="18" t="str">
        <f t="shared" si="50"/>
        <v/>
      </c>
      <c r="U331" s="18" t="str">
        <f t="shared" si="51"/>
        <v/>
      </c>
      <c r="V331" s="1"/>
    </row>
    <row r="332" spans="1:22" x14ac:dyDescent="0.25">
      <c r="A332" s="14">
        <v>12</v>
      </c>
      <c r="B332" s="14" t="s">
        <v>50</v>
      </c>
      <c r="C332" s="22"/>
      <c r="D332" s="4"/>
      <c r="E332" s="23"/>
      <c r="F332" s="42"/>
      <c r="G332" s="11"/>
      <c r="H332" s="1"/>
      <c r="I332" s="1"/>
      <c r="J332" s="9"/>
      <c r="K332" s="5"/>
      <c r="L332" s="5"/>
      <c r="M332" s="1"/>
      <c r="N332" s="5"/>
      <c r="O332" s="5"/>
      <c r="P332" s="18" t="str">
        <f>IF($G332=8,$O332,"")</f>
        <v/>
      </c>
      <c r="Q332" s="18" t="str">
        <f>IF($G332=10,$O332,"")</f>
        <v/>
      </c>
      <c r="R332" s="18" t="str">
        <f>IF($G332=12,$O332,"")</f>
        <v/>
      </c>
      <c r="S332" s="18" t="str">
        <f>IF($G332=16,$O332,"")</f>
        <v/>
      </c>
      <c r="T332" s="18" t="str">
        <f>IF($G332=20,$O332,"")</f>
        <v/>
      </c>
      <c r="U332" s="18" t="str">
        <f>IF($G332=25,$O332,"")</f>
        <v/>
      </c>
      <c r="V332" s="1"/>
    </row>
    <row r="333" spans="1:22" x14ac:dyDescent="0.25">
      <c r="A333" s="14"/>
      <c r="B333" s="33" t="s">
        <v>18</v>
      </c>
      <c r="C333" s="22"/>
      <c r="D333" s="25">
        <f>0.85-0.075-2*0.016</f>
        <v>0.74299999999999999</v>
      </c>
      <c r="E333" s="23"/>
      <c r="F333" s="42"/>
      <c r="G333" s="11">
        <v>16</v>
      </c>
      <c r="H333" s="1">
        <v>1</v>
      </c>
      <c r="I333" s="1">
        <v>4</v>
      </c>
      <c r="J333" s="9">
        <f>D333</f>
        <v>0.74299999999999999</v>
      </c>
      <c r="K333" s="46" t="str">
        <f>IF(N333&lt;12,"0",0.049*G333)</f>
        <v>0</v>
      </c>
      <c r="L333" s="45">
        <v>1</v>
      </c>
      <c r="M333" s="1">
        <f>2*G333*L333/1000</f>
        <v>3.2000000000000001E-2</v>
      </c>
      <c r="N333" s="5">
        <f>J333+E335-M333</f>
        <v>1.0109999999999999</v>
      </c>
      <c r="O333" s="5">
        <f t="shared" ref="O333:O338" si="52">H333*I333*N333</f>
        <v>4.0439999999999996</v>
      </c>
      <c r="P333" s="18" t="str">
        <f t="shared" si="46"/>
        <v/>
      </c>
      <c r="Q333" s="18" t="str">
        <f t="shared" si="47"/>
        <v/>
      </c>
      <c r="R333" s="18" t="str">
        <f t="shared" si="48"/>
        <v/>
      </c>
      <c r="S333" s="18">
        <f t="shared" si="49"/>
        <v>4.0439999999999996</v>
      </c>
      <c r="T333" s="18" t="str">
        <f t="shared" si="50"/>
        <v/>
      </c>
      <c r="U333" s="18" t="str">
        <f t="shared" si="51"/>
        <v/>
      </c>
      <c r="V333" s="1"/>
    </row>
    <row r="334" spans="1:22" x14ac:dyDescent="0.25">
      <c r="A334" s="14"/>
      <c r="B334" s="33" t="s">
        <v>32</v>
      </c>
      <c r="C334" s="22"/>
      <c r="D334" s="4"/>
      <c r="E334" s="23"/>
      <c r="F334" s="42"/>
      <c r="G334" s="11">
        <v>12</v>
      </c>
      <c r="H334" s="1">
        <v>1</v>
      </c>
      <c r="I334" s="1">
        <v>4</v>
      </c>
      <c r="J334" s="9">
        <f>D333</f>
        <v>0.74299999999999999</v>
      </c>
      <c r="K334" s="46" t="str">
        <f t="shared" ref="K334:K337" si="53">IF(N334&lt;12,"0",0.049*G334)</f>
        <v>0</v>
      </c>
      <c r="L334" s="45">
        <v>1</v>
      </c>
      <c r="M334" s="1">
        <f t="shared" ref="M334:M337" si="54">2*G334*L334/1000</f>
        <v>2.4E-2</v>
      </c>
      <c r="N334" s="5">
        <f>J334+E335-M334</f>
        <v>1.0189999999999999</v>
      </c>
      <c r="O334" s="5">
        <f t="shared" si="52"/>
        <v>4.0759999999999996</v>
      </c>
      <c r="P334" s="18" t="str">
        <f t="shared" si="46"/>
        <v/>
      </c>
      <c r="Q334" s="18" t="str">
        <f t="shared" si="47"/>
        <v/>
      </c>
      <c r="R334" s="18">
        <f t="shared" si="48"/>
        <v>4.0759999999999996</v>
      </c>
      <c r="S334" s="18" t="str">
        <f t="shared" si="49"/>
        <v/>
      </c>
      <c r="T334" s="18" t="str">
        <f t="shared" si="50"/>
        <v/>
      </c>
      <c r="U334" s="18" t="str">
        <f t="shared" si="51"/>
        <v/>
      </c>
      <c r="V334" s="1"/>
    </row>
    <row r="335" spans="1:22" x14ac:dyDescent="0.25">
      <c r="A335" s="14"/>
      <c r="B335" s="33" t="s">
        <v>26</v>
      </c>
      <c r="C335" s="24"/>
      <c r="D335" s="25"/>
      <c r="E335" s="39">
        <v>0.3</v>
      </c>
      <c r="F335" s="42"/>
      <c r="G335" s="11">
        <v>12</v>
      </c>
      <c r="H335" s="1">
        <v>1</v>
      </c>
      <c r="I335" s="1">
        <v>4</v>
      </c>
      <c r="J335" s="9">
        <f>D333</f>
        <v>0.74299999999999999</v>
      </c>
      <c r="K335" s="46" t="str">
        <f t="shared" si="53"/>
        <v>0</v>
      </c>
      <c r="L335" s="45">
        <v>1</v>
      </c>
      <c r="M335" s="1">
        <f t="shared" si="54"/>
        <v>2.4E-2</v>
      </c>
      <c r="N335" s="5">
        <f>J335+E335-M335</f>
        <v>1.0189999999999999</v>
      </c>
      <c r="O335" s="5">
        <f t="shared" si="52"/>
        <v>4.0759999999999996</v>
      </c>
      <c r="P335" s="18" t="str">
        <f t="shared" si="46"/>
        <v/>
      </c>
      <c r="Q335" s="18" t="str">
        <f t="shared" si="47"/>
        <v/>
      </c>
      <c r="R335" s="18">
        <f t="shared" si="48"/>
        <v>4.0759999999999996</v>
      </c>
      <c r="S335" s="18" t="str">
        <f t="shared" si="49"/>
        <v/>
      </c>
      <c r="T335" s="18" t="str">
        <f t="shared" si="50"/>
        <v/>
      </c>
      <c r="U335" s="18" t="str">
        <f t="shared" si="51"/>
        <v/>
      </c>
      <c r="V335" s="1"/>
    </row>
    <row r="336" spans="1:22" x14ac:dyDescent="0.25">
      <c r="A336" s="14"/>
      <c r="B336" s="33" t="s">
        <v>19</v>
      </c>
      <c r="C336" s="22"/>
      <c r="D336" s="4"/>
      <c r="E336" s="23"/>
      <c r="F336" s="42"/>
      <c r="G336" s="11">
        <v>12</v>
      </c>
      <c r="H336" s="1">
        <v>1</v>
      </c>
      <c r="I336" s="1">
        <v>4</v>
      </c>
      <c r="J336" s="9">
        <f>D333</f>
        <v>0.74299999999999999</v>
      </c>
      <c r="K336" s="46" t="str">
        <f t="shared" si="53"/>
        <v>0</v>
      </c>
      <c r="L336" s="45">
        <v>1</v>
      </c>
      <c r="M336" s="1">
        <f t="shared" si="54"/>
        <v>2.4E-2</v>
      </c>
      <c r="N336" s="5">
        <f>J336+E336-M336</f>
        <v>0.71899999999999997</v>
      </c>
      <c r="O336" s="5">
        <f t="shared" si="52"/>
        <v>2.8759999999999999</v>
      </c>
      <c r="P336" s="18" t="str">
        <f t="shared" si="46"/>
        <v/>
      </c>
      <c r="Q336" s="18" t="str">
        <f t="shared" si="47"/>
        <v/>
      </c>
      <c r="R336" s="18">
        <f t="shared" si="48"/>
        <v>2.8759999999999999</v>
      </c>
      <c r="S336" s="18" t="str">
        <f t="shared" si="49"/>
        <v/>
      </c>
      <c r="T336" s="18" t="str">
        <f t="shared" si="50"/>
        <v/>
      </c>
      <c r="U336" s="18" t="str">
        <f t="shared" si="51"/>
        <v/>
      </c>
      <c r="V336" s="1"/>
    </row>
    <row r="337" spans="1:22" x14ac:dyDescent="0.25">
      <c r="A337" s="14"/>
      <c r="B337" s="33" t="s">
        <v>35</v>
      </c>
      <c r="C337" s="22"/>
      <c r="D337" s="4"/>
      <c r="E337" s="23"/>
      <c r="F337" s="42"/>
      <c r="G337" s="11">
        <v>12</v>
      </c>
      <c r="H337" s="1">
        <v>1</v>
      </c>
      <c r="I337" s="1">
        <v>4</v>
      </c>
      <c r="J337" s="9">
        <f>D333</f>
        <v>0.74299999999999999</v>
      </c>
      <c r="K337" s="46" t="str">
        <f t="shared" si="53"/>
        <v>0</v>
      </c>
      <c r="L337" s="45">
        <v>1</v>
      </c>
      <c r="M337" s="1">
        <f t="shared" si="54"/>
        <v>2.4E-2</v>
      </c>
      <c r="N337" s="5">
        <f>J337+E337-M337</f>
        <v>0.71899999999999997</v>
      </c>
      <c r="O337" s="5">
        <f t="shared" si="52"/>
        <v>2.8759999999999999</v>
      </c>
      <c r="P337" s="18" t="str">
        <f t="shared" si="46"/>
        <v/>
      </c>
      <c r="Q337" s="18" t="str">
        <f t="shared" si="47"/>
        <v/>
      </c>
      <c r="R337" s="18">
        <f t="shared" si="48"/>
        <v>2.8759999999999999</v>
      </c>
      <c r="S337" s="18" t="str">
        <f t="shared" si="49"/>
        <v/>
      </c>
      <c r="T337" s="18" t="str">
        <f t="shared" si="50"/>
        <v/>
      </c>
      <c r="U337" s="18" t="str">
        <f t="shared" si="51"/>
        <v/>
      </c>
      <c r="V337" s="1"/>
    </row>
    <row r="338" spans="1:22" x14ac:dyDescent="0.25">
      <c r="A338" s="14"/>
      <c r="B338" s="33" t="s">
        <v>51</v>
      </c>
      <c r="C338" s="22"/>
      <c r="D338" s="4"/>
      <c r="E338" s="23"/>
      <c r="F338" s="42"/>
      <c r="G338" s="11">
        <v>12</v>
      </c>
      <c r="H338" s="1">
        <v>1</v>
      </c>
      <c r="I338" s="1">
        <v>2</v>
      </c>
      <c r="J338" s="9">
        <f>D333</f>
        <v>0.74299999999999999</v>
      </c>
      <c r="K338" s="46" t="str">
        <f t="shared" ref="K338" si="55">IF(N338&lt;12,"0",0.049*G338)</f>
        <v>0</v>
      </c>
      <c r="L338" s="45">
        <v>1</v>
      </c>
      <c r="M338" s="1">
        <f t="shared" ref="M338" si="56">2*G338*L338/1000</f>
        <v>2.4E-2</v>
      </c>
      <c r="N338" s="5">
        <f>J338+E338-M338</f>
        <v>0.71899999999999997</v>
      </c>
      <c r="O338" s="5">
        <f t="shared" si="52"/>
        <v>1.4379999999999999</v>
      </c>
      <c r="P338" s="18" t="str">
        <f t="shared" si="46"/>
        <v/>
      </c>
      <c r="Q338" s="18" t="str">
        <f t="shared" si="47"/>
        <v/>
      </c>
      <c r="R338" s="18">
        <f t="shared" si="48"/>
        <v>1.4379999999999999</v>
      </c>
      <c r="S338" s="18" t="str">
        <f t="shared" si="49"/>
        <v/>
      </c>
      <c r="T338" s="18" t="str">
        <f t="shared" si="50"/>
        <v/>
      </c>
      <c r="U338" s="18" t="str">
        <f t="shared" si="51"/>
        <v/>
      </c>
      <c r="V338" s="1"/>
    </row>
    <row r="339" spans="1:22" x14ac:dyDescent="0.25">
      <c r="A339" s="14"/>
      <c r="B339" s="33"/>
      <c r="C339" s="22"/>
      <c r="D339" s="4"/>
      <c r="E339" s="23"/>
      <c r="F339" s="42"/>
      <c r="G339" s="11"/>
      <c r="H339" s="1"/>
      <c r="I339" s="1"/>
      <c r="J339" s="9"/>
      <c r="K339" s="46"/>
      <c r="L339" s="45"/>
      <c r="M339" s="1"/>
      <c r="N339" s="5"/>
      <c r="O339" s="5"/>
      <c r="P339" s="18"/>
      <c r="Q339" s="18"/>
      <c r="R339" s="18"/>
      <c r="S339" s="18"/>
      <c r="T339" s="18"/>
      <c r="U339" s="18"/>
      <c r="V339" s="1"/>
    </row>
    <row r="340" spans="1:22" x14ac:dyDescent="0.25">
      <c r="A340" s="14"/>
      <c r="B340" s="14"/>
      <c r="C340" s="47">
        <v>0.1</v>
      </c>
      <c r="D340" s="4"/>
      <c r="E340" s="23"/>
      <c r="F340" s="42"/>
      <c r="G340" s="11"/>
      <c r="H340" s="1"/>
      <c r="I340" s="1"/>
      <c r="J340" s="2"/>
      <c r="K340" s="1"/>
      <c r="L340" s="1"/>
      <c r="M340" s="1"/>
      <c r="N340" s="1"/>
      <c r="O340" s="3"/>
      <c r="P340" s="18" t="str">
        <f t="shared" si="46"/>
        <v/>
      </c>
      <c r="Q340" s="18" t="str">
        <f t="shared" si="47"/>
        <v/>
      </c>
      <c r="R340" s="18" t="str">
        <f t="shared" si="48"/>
        <v/>
      </c>
      <c r="S340" s="18" t="str">
        <f t="shared" si="49"/>
        <v/>
      </c>
      <c r="T340" s="18" t="str">
        <f t="shared" si="50"/>
        <v/>
      </c>
      <c r="U340" s="18" t="str">
        <f t="shared" si="51"/>
        <v/>
      </c>
      <c r="V340" s="1"/>
    </row>
    <row r="341" spans="1:22" x14ac:dyDescent="0.25">
      <c r="A341" s="14"/>
      <c r="B341" s="34" t="s">
        <v>20</v>
      </c>
      <c r="C341" s="26"/>
      <c r="D341" s="4"/>
      <c r="E341" s="40">
        <f>1.15-0.05</f>
        <v>1.0999999999999999</v>
      </c>
      <c r="F341" s="42"/>
      <c r="G341" s="11">
        <v>10</v>
      </c>
      <c r="H341" s="1">
        <v>1</v>
      </c>
      <c r="I341" s="1">
        <v>4</v>
      </c>
      <c r="J341" s="41">
        <f>2*(D343+E341)+16*10/1000</f>
        <v>2.7199999999999998</v>
      </c>
      <c r="K341" s="1"/>
      <c r="L341" s="1"/>
      <c r="M341" s="1"/>
      <c r="N341" s="5">
        <f>(J341+K341-M341)</f>
        <v>2.7199999999999998</v>
      </c>
      <c r="O341" s="5">
        <f>(H341*I341*N341)</f>
        <v>10.879999999999999</v>
      </c>
      <c r="P341" s="18" t="str">
        <f t="shared" si="46"/>
        <v/>
      </c>
      <c r="Q341" s="18">
        <f t="shared" si="47"/>
        <v>10.879999999999999</v>
      </c>
      <c r="R341" s="18" t="str">
        <f t="shared" si="48"/>
        <v/>
      </c>
      <c r="S341" s="18" t="str">
        <f t="shared" si="49"/>
        <v/>
      </c>
      <c r="T341" s="18" t="str">
        <f t="shared" si="50"/>
        <v/>
      </c>
      <c r="U341" s="18" t="str">
        <f t="shared" si="51"/>
        <v/>
      </c>
      <c r="V341" s="1"/>
    </row>
    <row r="342" spans="1:22" x14ac:dyDescent="0.25">
      <c r="A342" s="14"/>
      <c r="B342" s="34"/>
      <c r="C342" s="22"/>
      <c r="D342" s="4"/>
      <c r="E342" s="27"/>
      <c r="F342" s="42"/>
      <c r="G342" s="11"/>
      <c r="H342" s="1"/>
      <c r="I342" s="1"/>
      <c r="J342" s="2"/>
      <c r="K342" s="1"/>
      <c r="L342" s="1"/>
      <c r="M342" s="1"/>
      <c r="N342" s="1"/>
      <c r="O342" s="5"/>
      <c r="P342" s="18" t="str">
        <f t="shared" si="46"/>
        <v/>
      </c>
      <c r="Q342" s="18" t="str">
        <f t="shared" si="47"/>
        <v/>
      </c>
      <c r="R342" s="18" t="str">
        <f t="shared" si="48"/>
        <v/>
      </c>
      <c r="S342" s="18" t="str">
        <f t="shared" si="49"/>
        <v/>
      </c>
      <c r="T342" s="18" t="str">
        <f t="shared" si="50"/>
        <v/>
      </c>
      <c r="U342" s="18" t="str">
        <f t="shared" si="51"/>
        <v/>
      </c>
      <c r="V342" s="1"/>
    </row>
    <row r="343" spans="1:22" x14ac:dyDescent="0.25">
      <c r="A343" s="14"/>
      <c r="B343" s="34"/>
      <c r="C343" s="22"/>
      <c r="D343" s="9">
        <f>0.23-0.05</f>
        <v>0.18</v>
      </c>
      <c r="E343" s="23"/>
      <c r="F343" s="42"/>
      <c r="G343" s="11"/>
      <c r="H343" s="1"/>
      <c r="I343" s="1"/>
      <c r="J343" s="2"/>
      <c r="K343" s="1"/>
      <c r="L343" s="1"/>
      <c r="M343" s="1"/>
      <c r="N343" s="1"/>
      <c r="O343" s="5"/>
      <c r="P343" s="18" t="str">
        <f t="shared" si="46"/>
        <v/>
      </c>
      <c r="Q343" s="18" t="str">
        <f t="shared" si="47"/>
        <v/>
      </c>
      <c r="R343" s="18" t="str">
        <f t="shared" si="48"/>
        <v/>
      </c>
      <c r="S343" s="18" t="str">
        <f t="shared" si="49"/>
        <v/>
      </c>
      <c r="T343" s="18" t="str">
        <f t="shared" si="50"/>
        <v/>
      </c>
      <c r="U343" s="18" t="str">
        <f t="shared" si="51"/>
        <v/>
      </c>
      <c r="V343" s="1"/>
    </row>
    <row r="344" spans="1:22" x14ac:dyDescent="0.25">
      <c r="A344" s="14"/>
      <c r="B344" s="33"/>
      <c r="C344" s="22"/>
      <c r="D344" s="4"/>
      <c r="E344" s="23"/>
      <c r="F344" s="42"/>
      <c r="G344" s="11"/>
      <c r="H344" s="1"/>
      <c r="I344" s="1"/>
      <c r="J344" s="2"/>
      <c r="K344" s="1"/>
      <c r="L344" s="1"/>
      <c r="M344" s="1"/>
      <c r="N344" s="1"/>
      <c r="O344" s="5"/>
      <c r="P344" s="18" t="str">
        <f t="shared" si="46"/>
        <v/>
      </c>
      <c r="Q344" s="18" t="str">
        <f t="shared" si="47"/>
        <v/>
      </c>
      <c r="R344" s="18" t="str">
        <f t="shared" si="48"/>
        <v/>
      </c>
      <c r="S344" s="18" t="str">
        <f t="shared" si="49"/>
        <v/>
      </c>
      <c r="T344" s="18" t="str">
        <f t="shared" si="50"/>
        <v/>
      </c>
      <c r="U344" s="18" t="str">
        <f t="shared" si="51"/>
        <v/>
      </c>
      <c r="V344" s="1"/>
    </row>
    <row r="345" spans="1:22" x14ac:dyDescent="0.25">
      <c r="A345" s="14"/>
      <c r="B345" s="14"/>
      <c r="C345" s="47">
        <v>0.1</v>
      </c>
      <c r="D345" s="4"/>
      <c r="E345" s="23"/>
      <c r="F345" s="42"/>
      <c r="G345" s="11"/>
      <c r="H345" s="1"/>
      <c r="I345" s="1"/>
      <c r="J345" s="2"/>
      <c r="K345" s="1"/>
      <c r="L345" s="1"/>
      <c r="M345" s="1"/>
      <c r="N345" s="1"/>
      <c r="O345" s="5"/>
      <c r="P345" s="18" t="str">
        <f t="shared" si="46"/>
        <v/>
      </c>
      <c r="Q345" s="18" t="str">
        <f t="shared" si="47"/>
        <v/>
      </c>
      <c r="R345" s="18" t="str">
        <f t="shared" si="48"/>
        <v/>
      </c>
      <c r="S345" s="18" t="str">
        <f t="shared" si="49"/>
        <v/>
      </c>
      <c r="T345" s="18" t="str">
        <f t="shared" si="50"/>
        <v/>
      </c>
      <c r="U345" s="18" t="str">
        <f t="shared" si="51"/>
        <v/>
      </c>
      <c r="V345" s="1"/>
    </row>
    <row r="346" spans="1:22" x14ac:dyDescent="0.25">
      <c r="A346" s="14"/>
      <c r="B346" s="34" t="s">
        <v>21</v>
      </c>
      <c r="C346" s="26"/>
      <c r="D346" s="4"/>
      <c r="E346" s="40">
        <f>((1.15-0.05-0.016)/10)+0.012+0.02</f>
        <v>0.14039999999999997</v>
      </c>
      <c r="F346" s="42"/>
      <c r="G346" s="11">
        <v>10</v>
      </c>
      <c r="H346" s="1">
        <v>1</v>
      </c>
      <c r="I346" s="1">
        <f>1*4</f>
        <v>4</v>
      </c>
      <c r="J346" s="41">
        <f>2*(D348+E346)+16*10/1000</f>
        <v>0.80079999999999996</v>
      </c>
      <c r="K346" s="1"/>
      <c r="L346" s="1"/>
      <c r="M346" s="1"/>
      <c r="N346" s="5">
        <f>(J346+K346-M346)</f>
        <v>0.80079999999999996</v>
      </c>
      <c r="O346" s="5">
        <f>(H346*I346*N346)</f>
        <v>3.2031999999999998</v>
      </c>
      <c r="P346" s="18" t="str">
        <f t="shared" si="46"/>
        <v/>
      </c>
      <c r="Q346" s="18">
        <f t="shared" si="47"/>
        <v>3.2031999999999998</v>
      </c>
      <c r="R346" s="18" t="str">
        <f t="shared" si="48"/>
        <v/>
      </c>
      <c r="S346" s="18" t="str">
        <f t="shared" si="49"/>
        <v/>
      </c>
      <c r="T346" s="18" t="str">
        <f t="shared" si="50"/>
        <v/>
      </c>
      <c r="U346" s="18" t="str">
        <f t="shared" si="51"/>
        <v/>
      </c>
      <c r="V346" s="1"/>
    </row>
    <row r="347" spans="1:22" x14ac:dyDescent="0.25">
      <c r="A347" s="14"/>
      <c r="B347" s="34"/>
      <c r="C347" s="22"/>
      <c r="D347" s="4"/>
      <c r="E347" s="27"/>
      <c r="F347" s="42"/>
      <c r="G347" s="11"/>
      <c r="H347" s="1"/>
      <c r="I347" s="1"/>
      <c r="J347" s="2"/>
      <c r="K347" s="1"/>
      <c r="L347" s="1"/>
      <c r="M347" s="1"/>
      <c r="N347" s="1"/>
      <c r="O347" s="5"/>
      <c r="P347" s="18" t="str">
        <f t="shared" si="46"/>
        <v/>
      </c>
      <c r="Q347" s="18" t="str">
        <f t="shared" si="47"/>
        <v/>
      </c>
      <c r="R347" s="18" t="str">
        <f t="shared" si="48"/>
        <v/>
      </c>
      <c r="S347" s="18" t="str">
        <f t="shared" si="49"/>
        <v/>
      </c>
      <c r="T347" s="18" t="str">
        <f t="shared" si="50"/>
        <v/>
      </c>
      <c r="U347" s="18" t="str">
        <f t="shared" si="51"/>
        <v/>
      </c>
      <c r="V347" s="1"/>
    </row>
    <row r="348" spans="1:22" x14ac:dyDescent="0.25">
      <c r="A348" s="14"/>
      <c r="B348" s="34"/>
      <c r="C348" s="22"/>
      <c r="D348" s="9">
        <f>0.23-0.05</f>
        <v>0.18</v>
      </c>
      <c r="E348" s="23"/>
      <c r="F348" s="42"/>
      <c r="G348" s="11"/>
      <c r="H348" s="1"/>
      <c r="I348" s="1"/>
      <c r="J348" s="2"/>
      <c r="K348" s="1"/>
      <c r="L348" s="1"/>
      <c r="M348" s="1"/>
      <c r="N348" s="1"/>
      <c r="O348" s="5"/>
      <c r="P348" s="18" t="str">
        <f t="shared" si="46"/>
        <v/>
      </c>
      <c r="Q348" s="18" t="str">
        <f t="shared" si="47"/>
        <v/>
      </c>
      <c r="R348" s="18" t="str">
        <f t="shared" si="48"/>
        <v/>
      </c>
      <c r="S348" s="18" t="str">
        <f t="shared" si="49"/>
        <v/>
      </c>
      <c r="T348" s="18" t="str">
        <f t="shared" si="50"/>
        <v/>
      </c>
      <c r="U348" s="18" t="str">
        <f t="shared" si="51"/>
        <v/>
      </c>
      <c r="V348" s="1"/>
    </row>
    <row r="349" spans="1:22" x14ac:dyDescent="0.25">
      <c r="A349" s="14"/>
      <c r="B349" s="33"/>
      <c r="C349" s="22"/>
      <c r="D349" s="4"/>
      <c r="E349" s="23"/>
      <c r="F349" s="42"/>
      <c r="G349" s="11"/>
      <c r="H349" s="1"/>
      <c r="I349" s="1"/>
      <c r="J349" s="2"/>
      <c r="K349" s="1"/>
      <c r="L349" s="1"/>
      <c r="M349" s="1"/>
      <c r="N349" s="1"/>
      <c r="O349" s="3"/>
      <c r="P349" s="18" t="str">
        <f t="shared" si="46"/>
        <v/>
      </c>
      <c r="Q349" s="18" t="str">
        <f t="shared" si="47"/>
        <v/>
      </c>
      <c r="R349" s="18" t="str">
        <f t="shared" si="48"/>
        <v/>
      </c>
      <c r="S349" s="18" t="str">
        <f t="shared" si="49"/>
        <v/>
      </c>
      <c r="T349" s="18" t="str">
        <f t="shared" si="50"/>
        <v/>
      </c>
      <c r="U349" s="18" t="str">
        <f t="shared" si="51"/>
        <v/>
      </c>
      <c r="V349" s="1"/>
    </row>
    <row r="350" spans="1:22" x14ac:dyDescent="0.25">
      <c r="A350" s="14"/>
      <c r="B350" s="33"/>
      <c r="C350" s="22"/>
      <c r="D350" s="4"/>
      <c r="E350" s="39">
        <v>0.1</v>
      </c>
      <c r="F350" s="42"/>
      <c r="G350" s="11"/>
      <c r="H350" s="1"/>
      <c r="I350" s="1"/>
      <c r="J350" s="2"/>
      <c r="K350" s="1"/>
      <c r="L350" s="1"/>
      <c r="M350" s="1"/>
      <c r="N350" s="1"/>
      <c r="O350" s="3"/>
      <c r="P350" s="18" t="str">
        <f t="shared" si="46"/>
        <v/>
      </c>
      <c r="Q350" s="18" t="str">
        <f t="shared" si="47"/>
        <v/>
      </c>
      <c r="R350" s="18" t="str">
        <f t="shared" si="48"/>
        <v/>
      </c>
      <c r="S350" s="18" t="str">
        <f t="shared" si="49"/>
        <v/>
      </c>
      <c r="T350" s="18" t="str">
        <f t="shared" si="50"/>
        <v/>
      </c>
      <c r="U350" s="18" t="str">
        <f t="shared" si="51"/>
        <v/>
      </c>
      <c r="V350" s="1"/>
    </row>
    <row r="351" spans="1:22" x14ac:dyDescent="0.25">
      <c r="A351" s="14"/>
      <c r="B351" s="34" t="s">
        <v>22</v>
      </c>
      <c r="C351" s="22"/>
      <c r="D351" s="25">
        <f>0.23-0.05</f>
        <v>0.18</v>
      </c>
      <c r="E351" s="39"/>
      <c r="F351" s="42"/>
      <c r="G351" s="11">
        <v>10</v>
      </c>
      <c r="H351" s="1">
        <v>1</v>
      </c>
      <c r="I351" s="1">
        <v>1</v>
      </c>
      <c r="J351" s="41">
        <f>D351+E350+E352</f>
        <v>0.38</v>
      </c>
      <c r="K351" s="1"/>
      <c r="L351" s="1"/>
      <c r="M351" s="5">
        <f>2*3*G351/1000</f>
        <v>0.06</v>
      </c>
      <c r="N351" s="5">
        <f>(J351+K351-M351)</f>
        <v>0.32</v>
      </c>
      <c r="O351" s="5">
        <f>(H351*I351*N351)</f>
        <v>0.32</v>
      </c>
      <c r="P351" s="18" t="str">
        <f t="shared" si="46"/>
        <v/>
      </c>
      <c r="Q351" s="18">
        <f t="shared" si="47"/>
        <v>0.32</v>
      </c>
      <c r="R351" s="18" t="str">
        <f t="shared" si="48"/>
        <v/>
      </c>
      <c r="S351" s="18" t="str">
        <f t="shared" si="49"/>
        <v/>
      </c>
      <c r="T351" s="18" t="str">
        <f t="shared" si="50"/>
        <v/>
      </c>
      <c r="U351" s="18" t="str">
        <f t="shared" si="51"/>
        <v/>
      </c>
      <c r="V351" s="1"/>
    </row>
    <row r="352" spans="1:22" x14ac:dyDescent="0.25">
      <c r="A352" s="14"/>
      <c r="B352" s="33"/>
      <c r="C352" s="22"/>
      <c r="D352" s="4"/>
      <c r="E352" s="39">
        <v>0.1</v>
      </c>
      <c r="F352" s="42"/>
      <c r="G352" s="11"/>
      <c r="H352" s="1"/>
      <c r="I352" s="1"/>
      <c r="J352" s="2"/>
      <c r="K352" s="1"/>
      <c r="L352" s="1"/>
      <c r="M352" s="1"/>
      <c r="N352" s="1"/>
      <c r="O352" s="3"/>
      <c r="P352" s="18" t="str">
        <f t="shared" si="46"/>
        <v/>
      </c>
      <c r="Q352" s="18" t="str">
        <f t="shared" si="47"/>
        <v/>
      </c>
      <c r="R352" s="18" t="str">
        <f t="shared" si="48"/>
        <v/>
      </c>
      <c r="S352" s="18" t="str">
        <f t="shared" si="49"/>
        <v/>
      </c>
      <c r="T352" s="18" t="str">
        <f t="shared" si="50"/>
        <v/>
      </c>
      <c r="U352" s="18" t="str">
        <f t="shared" si="51"/>
        <v/>
      </c>
      <c r="V352" s="1"/>
    </row>
    <row r="353" spans="1:22" x14ac:dyDescent="0.25">
      <c r="A353" s="14"/>
      <c r="B353" s="34"/>
      <c r="C353" s="22"/>
      <c r="D353" s="28"/>
      <c r="E353" s="23"/>
      <c r="F353" s="42"/>
      <c r="G353" s="11"/>
      <c r="H353" s="1"/>
      <c r="I353" s="1"/>
      <c r="J353" s="2"/>
      <c r="K353" s="1"/>
      <c r="L353" s="1"/>
      <c r="M353" s="1"/>
      <c r="N353" s="1"/>
      <c r="O353" s="3"/>
      <c r="P353" s="18" t="str">
        <f t="shared" si="46"/>
        <v/>
      </c>
      <c r="Q353" s="18" t="str">
        <f t="shared" si="47"/>
        <v/>
      </c>
      <c r="R353" s="18" t="str">
        <f t="shared" si="48"/>
        <v/>
      </c>
      <c r="S353" s="18" t="str">
        <f t="shared" si="49"/>
        <v/>
      </c>
      <c r="T353" s="18" t="str">
        <f t="shared" si="50"/>
        <v/>
      </c>
      <c r="U353" s="18" t="str">
        <f t="shared" si="51"/>
        <v/>
      </c>
      <c r="V353" s="1"/>
    </row>
    <row r="354" spans="1:22" x14ac:dyDescent="0.25">
      <c r="A354" s="14">
        <v>13</v>
      </c>
      <c r="B354" s="14" t="s">
        <v>52</v>
      </c>
      <c r="C354" s="22"/>
      <c r="D354" s="4"/>
      <c r="E354" s="23"/>
      <c r="F354" s="42"/>
      <c r="G354" s="11"/>
      <c r="H354" s="1"/>
      <c r="I354" s="1"/>
      <c r="J354" s="9"/>
      <c r="K354" s="5"/>
      <c r="L354" s="5"/>
      <c r="M354" s="1"/>
      <c r="N354" s="5"/>
      <c r="O354" s="5"/>
      <c r="P354" s="18" t="str">
        <f>IF($G354=8,$O354,"")</f>
        <v/>
      </c>
      <c r="Q354" s="18" t="str">
        <f>IF($G354=10,$O354,"")</f>
        <v/>
      </c>
      <c r="R354" s="18" t="str">
        <f>IF($G354=12,$O354,"")</f>
        <v/>
      </c>
      <c r="S354" s="18" t="str">
        <f>IF($G354=16,$O354,"")</f>
        <v/>
      </c>
      <c r="T354" s="18" t="str">
        <f>IF($G354=20,$O354,"")</f>
        <v/>
      </c>
      <c r="U354" s="18" t="str">
        <f>IF($G354=25,$O354,"")</f>
        <v/>
      </c>
      <c r="V354" s="1"/>
    </row>
    <row r="355" spans="1:22" x14ac:dyDescent="0.25">
      <c r="A355" s="14"/>
      <c r="B355" s="33" t="s">
        <v>18</v>
      </c>
      <c r="C355" s="22"/>
      <c r="D355" s="25">
        <f>0.85-0.075-2*0.016</f>
        <v>0.74299999999999999</v>
      </c>
      <c r="E355" s="23"/>
      <c r="F355" s="42"/>
      <c r="G355" s="11">
        <v>20</v>
      </c>
      <c r="H355" s="1">
        <v>1</v>
      </c>
      <c r="I355" s="1">
        <v>4</v>
      </c>
      <c r="J355" s="9">
        <f>D355</f>
        <v>0.74299999999999999</v>
      </c>
      <c r="K355" s="46" t="str">
        <f>IF(N355&lt;12,"0",0.049*G355)</f>
        <v>0</v>
      </c>
      <c r="L355" s="45">
        <v>1</v>
      </c>
      <c r="M355" s="1">
        <f>2*G355*L355/1000</f>
        <v>0.04</v>
      </c>
      <c r="N355" s="5">
        <f>J355+E357-M355</f>
        <v>1.0029999999999999</v>
      </c>
      <c r="O355" s="5">
        <f t="shared" ref="O355:O360" si="57">H355*I355*N355</f>
        <v>4.0119999999999996</v>
      </c>
      <c r="P355" s="18" t="str">
        <f t="shared" si="46"/>
        <v/>
      </c>
      <c r="Q355" s="18" t="str">
        <f t="shared" si="47"/>
        <v/>
      </c>
      <c r="R355" s="18" t="str">
        <f t="shared" si="48"/>
        <v/>
      </c>
      <c r="S355" s="18" t="str">
        <f t="shared" si="49"/>
        <v/>
      </c>
      <c r="T355" s="18">
        <f t="shared" si="50"/>
        <v>4.0119999999999996</v>
      </c>
      <c r="U355" s="18" t="str">
        <f t="shared" si="51"/>
        <v/>
      </c>
      <c r="V355" s="1"/>
    </row>
    <row r="356" spans="1:22" x14ac:dyDescent="0.25">
      <c r="A356" s="14"/>
      <c r="B356" s="33" t="s">
        <v>32</v>
      </c>
      <c r="C356" s="22"/>
      <c r="D356" s="4"/>
      <c r="E356" s="23"/>
      <c r="F356" s="42"/>
      <c r="G356" s="11">
        <v>20</v>
      </c>
      <c r="H356" s="1">
        <v>1</v>
      </c>
      <c r="I356" s="1">
        <v>4</v>
      </c>
      <c r="J356" s="9">
        <f>D355</f>
        <v>0.74299999999999999</v>
      </c>
      <c r="K356" s="46" t="str">
        <f t="shared" ref="K356:K360" si="58">IF(N356&lt;12,"0",0.049*G356)</f>
        <v>0</v>
      </c>
      <c r="L356" s="45">
        <v>1</v>
      </c>
      <c r="M356" s="1">
        <f t="shared" ref="M356:M360" si="59">2*G356*L356/1000</f>
        <v>0.04</v>
      </c>
      <c r="N356" s="5">
        <f>J356+E357-M356</f>
        <v>1.0029999999999999</v>
      </c>
      <c r="O356" s="5">
        <f t="shared" si="57"/>
        <v>4.0119999999999996</v>
      </c>
      <c r="P356" s="18" t="str">
        <f t="shared" si="46"/>
        <v/>
      </c>
      <c r="Q356" s="18" t="str">
        <f t="shared" si="47"/>
        <v/>
      </c>
      <c r="R356" s="18" t="str">
        <f t="shared" si="48"/>
        <v/>
      </c>
      <c r="S356" s="18" t="str">
        <f t="shared" si="49"/>
        <v/>
      </c>
      <c r="T356" s="18">
        <f t="shared" si="50"/>
        <v>4.0119999999999996</v>
      </c>
      <c r="U356" s="18" t="str">
        <f t="shared" si="51"/>
        <v/>
      </c>
      <c r="V356" s="1"/>
    </row>
    <row r="357" spans="1:22" x14ac:dyDescent="0.25">
      <c r="A357" s="14"/>
      <c r="B357" s="33" t="s">
        <v>26</v>
      </c>
      <c r="C357" s="24"/>
      <c r="D357" s="25"/>
      <c r="E357" s="39">
        <v>0.3</v>
      </c>
      <c r="F357" s="42"/>
      <c r="G357" s="11">
        <v>20</v>
      </c>
      <c r="H357" s="1">
        <v>1</v>
      </c>
      <c r="I357" s="1">
        <v>4</v>
      </c>
      <c r="J357" s="9">
        <f>D355</f>
        <v>0.74299999999999999</v>
      </c>
      <c r="K357" s="46" t="str">
        <f t="shared" si="58"/>
        <v>0</v>
      </c>
      <c r="L357" s="45">
        <v>1</v>
      </c>
      <c r="M357" s="1">
        <f t="shared" si="59"/>
        <v>0.04</v>
      </c>
      <c r="N357" s="5">
        <f>J357+E357-M357</f>
        <v>1.0029999999999999</v>
      </c>
      <c r="O357" s="5">
        <f t="shared" si="57"/>
        <v>4.0119999999999996</v>
      </c>
      <c r="P357" s="18" t="str">
        <f t="shared" si="46"/>
        <v/>
      </c>
      <c r="Q357" s="18" t="str">
        <f t="shared" si="47"/>
        <v/>
      </c>
      <c r="R357" s="18" t="str">
        <f t="shared" si="48"/>
        <v/>
      </c>
      <c r="S357" s="18" t="str">
        <f t="shared" si="49"/>
        <v/>
      </c>
      <c r="T357" s="18">
        <f t="shared" si="50"/>
        <v>4.0119999999999996</v>
      </c>
      <c r="U357" s="18" t="str">
        <f t="shared" si="51"/>
        <v/>
      </c>
      <c r="V357" s="1"/>
    </row>
    <row r="358" spans="1:22" x14ac:dyDescent="0.25">
      <c r="A358" s="14"/>
      <c r="B358" s="33" t="s">
        <v>19</v>
      </c>
      <c r="C358" s="22"/>
      <c r="D358" s="4"/>
      <c r="E358" s="23"/>
      <c r="F358" s="42"/>
      <c r="G358" s="11">
        <v>16</v>
      </c>
      <c r="H358" s="1">
        <v>1</v>
      </c>
      <c r="I358" s="1">
        <v>4</v>
      </c>
      <c r="J358" s="9">
        <f>D355</f>
        <v>0.74299999999999999</v>
      </c>
      <c r="K358" s="46" t="str">
        <f t="shared" si="58"/>
        <v>0</v>
      </c>
      <c r="L358" s="45">
        <v>1</v>
      </c>
      <c r="M358" s="1">
        <f t="shared" si="59"/>
        <v>3.2000000000000001E-2</v>
      </c>
      <c r="N358" s="5">
        <f>J358+E358-M358</f>
        <v>0.71099999999999997</v>
      </c>
      <c r="O358" s="5">
        <f t="shared" si="57"/>
        <v>2.8439999999999999</v>
      </c>
      <c r="P358" s="18" t="str">
        <f t="shared" si="46"/>
        <v/>
      </c>
      <c r="Q358" s="18" t="str">
        <f t="shared" si="47"/>
        <v/>
      </c>
      <c r="R358" s="18" t="str">
        <f t="shared" si="48"/>
        <v/>
      </c>
      <c r="S358" s="18">
        <f t="shared" si="49"/>
        <v>2.8439999999999999</v>
      </c>
      <c r="T358" s="18" t="str">
        <f t="shared" si="50"/>
        <v/>
      </c>
      <c r="U358" s="18" t="str">
        <f t="shared" si="51"/>
        <v/>
      </c>
      <c r="V358" s="1"/>
    </row>
    <row r="359" spans="1:22" x14ac:dyDescent="0.25">
      <c r="A359" s="14"/>
      <c r="B359" s="33" t="s">
        <v>35</v>
      </c>
      <c r="C359" s="22"/>
      <c r="D359" s="4"/>
      <c r="E359" s="23"/>
      <c r="F359" s="42"/>
      <c r="G359" s="11">
        <v>16</v>
      </c>
      <c r="H359" s="1">
        <v>1</v>
      </c>
      <c r="I359" s="1">
        <v>4</v>
      </c>
      <c r="J359" s="9">
        <f>D355</f>
        <v>0.74299999999999999</v>
      </c>
      <c r="K359" s="46" t="str">
        <f t="shared" si="58"/>
        <v>0</v>
      </c>
      <c r="L359" s="45">
        <v>1</v>
      </c>
      <c r="M359" s="1">
        <f t="shared" si="59"/>
        <v>3.2000000000000001E-2</v>
      </c>
      <c r="N359" s="5">
        <f>J359+E359-M359</f>
        <v>0.71099999999999997</v>
      </c>
      <c r="O359" s="5">
        <f t="shared" si="57"/>
        <v>2.8439999999999999</v>
      </c>
      <c r="P359" s="18" t="str">
        <f t="shared" si="46"/>
        <v/>
      </c>
      <c r="Q359" s="18" t="str">
        <f t="shared" si="47"/>
        <v/>
      </c>
      <c r="R359" s="18" t="str">
        <f t="shared" si="48"/>
        <v/>
      </c>
      <c r="S359" s="18">
        <f t="shared" si="49"/>
        <v>2.8439999999999999</v>
      </c>
      <c r="T359" s="18" t="str">
        <f t="shared" si="50"/>
        <v/>
      </c>
      <c r="U359" s="18" t="str">
        <f t="shared" si="51"/>
        <v/>
      </c>
      <c r="V359" s="1"/>
    </row>
    <row r="360" spans="1:22" x14ac:dyDescent="0.25">
      <c r="A360" s="14"/>
      <c r="B360" s="33" t="s">
        <v>51</v>
      </c>
      <c r="C360" s="22"/>
      <c r="D360" s="4"/>
      <c r="E360" s="23"/>
      <c r="F360" s="42"/>
      <c r="G360" s="11">
        <v>16</v>
      </c>
      <c r="H360" s="1">
        <v>1</v>
      </c>
      <c r="I360" s="1">
        <v>8</v>
      </c>
      <c r="J360" s="9">
        <f>D355</f>
        <v>0.74299999999999999</v>
      </c>
      <c r="K360" s="46" t="str">
        <f t="shared" si="58"/>
        <v>0</v>
      </c>
      <c r="L360" s="45">
        <v>1</v>
      </c>
      <c r="M360" s="1">
        <f t="shared" si="59"/>
        <v>3.2000000000000001E-2</v>
      </c>
      <c r="N360" s="5">
        <f>J360+E360-M360</f>
        <v>0.71099999999999997</v>
      </c>
      <c r="O360" s="5">
        <f t="shared" si="57"/>
        <v>5.6879999999999997</v>
      </c>
      <c r="P360" s="18" t="str">
        <f t="shared" si="46"/>
        <v/>
      </c>
      <c r="Q360" s="18" t="str">
        <f t="shared" si="47"/>
        <v/>
      </c>
      <c r="R360" s="18" t="str">
        <f t="shared" si="48"/>
        <v/>
      </c>
      <c r="S360" s="18">
        <f t="shared" si="49"/>
        <v>5.6879999999999997</v>
      </c>
      <c r="T360" s="18" t="str">
        <f t="shared" si="50"/>
        <v/>
      </c>
      <c r="U360" s="18" t="str">
        <f t="shared" si="51"/>
        <v/>
      </c>
      <c r="V360" s="1"/>
    </row>
    <row r="361" spans="1:22" x14ac:dyDescent="0.25">
      <c r="A361" s="14"/>
      <c r="B361" s="33" t="s">
        <v>53</v>
      </c>
      <c r="C361" s="22"/>
      <c r="D361" s="4"/>
      <c r="E361" s="23"/>
      <c r="F361" s="42"/>
      <c r="G361" s="11">
        <v>16</v>
      </c>
      <c r="H361" s="1">
        <v>1</v>
      </c>
      <c r="I361" s="1">
        <v>6</v>
      </c>
      <c r="J361" s="9">
        <f>D355</f>
        <v>0.74299999999999999</v>
      </c>
      <c r="K361" s="46" t="str">
        <f t="shared" ref="K361" si="60">IF(N361&lt;12,"0",0.049*G361)</f>
        <v>0</v>
      </c>
      <c r="L361" s="45">
        <v>1</v>
      </c>
      <c r="M361" s="1">
        <f t="shared" ref="M361" si="61">2*G361*L361/1000</f>
        <v>3.2000000000000001E-2</v>
      </c>
      <c r="N361" s="5">
        <f>J361+E361-M361</f>
        <v>0.71099999999999997</v>
      </c>
      <c r="O361" s="5">
        <f t="shared" ref="O361" si="62">H361*I361*N361</f>
        <v>4.266</v>
      </c>
      <c r="P361" s="18" t="str">
        <f t="shared" si="46"/>
        <v/>
      </c>
      <c r="Q361" s="18" t="str">
        <f t="shared" si="47"/>
        <v/>
      </c>
      <c r="R361" s="18" t="str">
        <f t="shared" si="48"/>
        <v/>
      </c>
      <c r="S361" s="18">
        <f t="shared" si="49"/>
        <v>4.266</v>
      </c>
      <c r="T361" s="18" t="str">
        <f t="shared" si="50"/>
        <v/>
      </c>
      <c r="U361" s="18" t="str">
        <f t="shared" si="51"/>
        <v/>
      </c>
      <c r="V361" s="1"/>
    </row>
    <row r="362" spans="1:22" x14ac:dyDescent="0.25">
      <c r="A362" s="14"/>
      <c r="B362" s="33"/>
      <c r="C362" s="22"/>
      <c r="D362" s="4"/>
      <c r="E362" s="23"/>
      <c r="F362" s="42"/>
      <c r="G362" s="11"/>
      <c r="H362" s="1"/>
      <c r="I362" s="1"/>
      <c r="J362" s="9"/>
      <c r="K362" s="46"/>
      <c r="L362" s="45"/>
      <c r="M362" s="1"/>
      <c r="N362" s="5"/>
      <c r="O362" s="5"/>
      <c r="P362" s="18"/>
      <c r="Q362" s="18"/>
      <c r="R362" s="18"/>
      <c r="S362" s="18"/>
      <c r="T362" s="18"/>
      <c r="U362" s="18"/>
      <c r="V362" s="1"/>
    </row>
    <row r="363" spans="1:22" x14ac:dyDescent="0.25">
      <c r="A363" s="14"/>
      <c r="B363" s="14"/>
      <c r="C363" s="47">
        <v>0.1</v>
      </c>
      <c r="D363" s="4"/>
      <c r="E363" s="23"/>
      <c r="F363" s="42"/>
      <c r="G363" s="11"/>
      <c r="H363" s="1"/>
      <c r="I363" s="1"/>
      <c r="J363" s="2"/>
      <c r="K363" s="1"/>
      <c r="L363" s="1"/>
      <c r="M363" s="1"/>
      <c r="N363" s="1"/>
      <c r="O363" s="3"/>
      <c r="P363" s="18" t="str">
        <f t="shared" si="46"/>
        <v/>
      </c>
      <c r="Q363" s="18" t="str">
        <f t="shared" si="47"/>
        <v/>
      </c>
      <c r="R363" s="18" t="str">
        <f t="shared" si="48"/>
        <v/>
      </c>
      <c r="S363" s="18" t="str">
        <f t="shared" si="49"/>
        <v/>
      </c>
      <c r="T363" s="18" t="str">
        <f t="shared" si="50"/>
        <v/>
      </c>
      <c r="U363" s="18" t="str">
        <f t="shared" si="51"/>
        <v/>
      </c>
      <c r="V363" s="1"/>
    </row>
    <row r="364" spans="1:22" x14ac:dyDescent="0.25">
      <c r="A364" s="14"/>
      <c r="B364" s="34" t="s">
        <v>20</v>
      </c>
      <c r="C364" s="26"/>
      <c r="D364" s="4"/>
      <c r="E364" s="40">
        <f>1.7-0.05</f>
        <v>1.65</v>
      </c>
      <c r="F364" s="42"/>
      <c r="G364" s="11">
        <v>10</v>
      </c>
      <c r="H364" s="1">
        <v>1</v>
      </c>
      <c r="I364" s="1">
        <v>4</v>
      </c>
      <c r="J364" s="41">
        <f>2*(D366+E364)+16*10/1000</f>
        <v>3.82</v>
      </c>
      <c r="K364" s="1"/>
      <c r="L364" s="1"/>
      <c r="M364" s="1"/>
      <c r="N364" s="5">
        <f>(J364+K364-M364)</f>
        <v>3.82</v>
      </c>
      <c r="O364" s="5">
        <f>(H364*I364*N364)</f>
        <v>15.28</v>
      </c>
      <c r="P364" s="18" t="str">
        <f t="shared" si="46"/>
        <v/>
      </c>
      <c r="Q364" s="18">
        <f t="shared" si="47"/>
        <v>15.28</v>
      </c>
      <c r="R364" s="18" t="str">
        <f t="shared" si="48"/>
        <v/>
      </c>
      <c r="S364" s="18" t="str">
        <f t="shared" si="49"/>
        <v/>
      </c>
      <c r="T364" s="18" t="str">
        <f t="shared" si="50"/>
        <v/>
      </c>
      <c r="U364" s="18" t="str">
        <f t="shared" si="51"/>
        <v/>
      </c>
      <c r="V364" s="1"/>
    </row>
    <row r="365" spans="1:22" x14ac:dyDescent="0.25">
      <c r="A365" s="14"/>
      <c r="B365" s="34"/>
      <c r="C365" s="22"/>
      <c r="D365" s="4"/>
      <c r="E365" s="27"/>
      <c r="F365" s="42"/>
      <c r="G365" s="11"/>
      <c r="H365" s="1"/>
      <c r="I365" s="1"/>
      <c r="J365" s="2"/>
      <c r="K365" s="1"/>
      <c r="L365" s="1"/>
      <c r="M365" s="1"/>
      <c r="N365" s="1"/>
      <c r="O365" s="5"/>
      <c r="P365" s="18" t="str">
        <f t="shared" si="46"/>
        <v/>
      </c>
      <c r="Q365" s="18" t="str">
        <f t="shared" si="47"/>
        <v/>
      </c>
      <c r="R365" s="18" t="str">
        <f t="shared" si="48"/>
        <v/>
      </c>
      <c r="S365" s="18" t="str">
        <f t="shared" si="49"/>
        <v/>
      </c>
      <c r="T365" s="18" t="str">
        <f t="shared" si="50"/>
        <v/>
      </c>
      <c r="U365" s="18" t="str">
        <f t="shared" si="51"/>
        <v/>
      </c>
      <c r="V365" s="1"/>
    </row>
    <row r="366" spans="1:22" x14ac:dyDescent="0.25">
      <c r="A366" s="14"/>
      <c r="B366" s="34"/>
      <c r="C366" s="22"/>
      <c r="D366" s="9">
        <f>0.23-0.05</f>
        <v>0.18</v>
      </c>
      <c r="E366" s="23"/>
      <c r="F366" s="42"/>
      <c r="G366" s="11"/>
      <c r="H366" s="1"/>
      <c r="I366" s="1"/>
      <c r="J366" s="2"/>
      <c r="K366" s="1"/>
      <c r="L366" s="1"/>
      <c r="M366" s="1"/>
      <c r="N366" s="1"/>
      <c r="O366" s="5"/>
      <c r="P366" s="18" t="str">
        <f t="shared" si="46"/>
        <v/>
      </c>
      <c r="Q366" s="18" t="str">
        <f t="shared" si="47"/>
        <v/>
      </c>
      <c r="R366" s="18" t="str">
        <f t="shared" si="48"/>
        <v/>
      </c>
      <c r="S366" s="18" t="str">
        <f t="shared" si="49"/>
        <v/>
      </c>
      <c r="T366" s="18" t="str">
        <f t="shared" si="50"/>
        <v/>
      </c>
      <c r="U366" s="18" t="str">
        <f t="shared" si="51"/>
        <v/>
      </c>
      <c r="V366" s="1"/>
    </row>
    <row r="367" spans="1:22" x14ac:dyDescent="0.25">
      <c r="A367" s="14"/>
      <c r="B367" s="33"/>
      <c r="C367" s="22"/>
      <c r="D367" s="4"/>
      <c r="E367" s="23"/>
      <c r="F367" s="42"/>
      <c r="G367" s="11"/>
      <c r="H367" s="1"/>
      <c r="I367" s="1"/>
      <c r="J367" s="2"/>
      <c r="K367" s="1"/>
      <c r="L367" s="1"/>
      <c r="M367" s="1"/>
      <c r="N367" s="1"/>
      <c r="O367" s="5"/>
      <c r="P367" s="18" t="str">
        <f t="shared" si="46"/>
        <v/>
      </c>
      <c r="Q367" s="18" t="str">
        <f t="shared" si="47"/>
        <v/>
      </c>
      <c r="R367" s="18" t="str">
        <f t="shared" si="48"/>
        <v/>
      </c>
      <c r="S367" s="18" t="str">
        <f t="shared" si="49"/>
        <v/>
      </c>
      <c r="T367" s="18" t="str">
        <f t="shared" si="50"/>
        <v/>
      </c>
      <c r="U367" s="18" t="str">
        <f t="shared" si="51"/>
        <v/>
      </c>
      <c r="V367" s="1"/>
    </row>
    <row r="368" spans="1:22" x14ac:dyDescent="0.25">
      <c r="A368" s="14"/>
      <c r="B368" s="14"/>
      <c r="C368" s="47">
        <v>0.1</v>
      </c>
      <c r="D368" s="4"/>
      <c r="E368" s="23"/>
      <c r="F368" s="42"/>
      <c r="G368" s="11"/>
      <c r="H368" s="1"/>
      <c r="I368" s="1"/>
      <c r="J368" s="2"/>
      <c r="K368" s="1"/>
      <c r="L368" s="1"/>
      <c r="M368" s="1"/>
      <c r="N368" s="1"/>
      <c r="O368" s="5"/>
      <c r="P368" s="18" t="str">
        <f t="shared" si="46"/>
        <v/>
      </c>
      <c r="Q368" s="18" t="str">
        <f t="shared" si="47"/>
        <v/>
      </c>
      <c r="R368" s="18" t="str">
        <f t="shared" si="48"/>
        <v/>
      </c>
      <c r="S368" s="18" t="str">
        <f t="shared" si="49"/>
        <v/>
      </c>
      <c r="T368" s="18" t="str">
        <f t="shared" si="50"/>
        <v/>
      </c>
      <c r="U368" s="18" t="str">
        <f t="shared" si="51"/>
        <v/>
      </c>
      <c r="V368" s="1"/>
    </row>
    <row r="369" spans="1:22" x14ac:dyDescent="0.25">
      <c r="A369" s="14"/>
      <c r="B369" s="34" t="s">
        <v>21</v>
      </c>
      <c r="C369" s="26"/>
      <c r="D369" s="4"/>
      <c r="E369" s="40">
        <f>((1.7-0.05-0.02)/16)+0.016+0.02</f>
        <v>0.137875</v>
      </c>
      <c r="F369" s="42"/>
      <c r="G369" s="11">
        <v>10</v>
      </c>
      <c r="H369" s="1">
        <v>1</v>
      </c>
      <c r="I369" s="1">
        <f>1*6</f>
        <v>6</v>
      </c>
      <c r="J369" s="41">
        <f>2*(D371+E369)+16*10/1000</f>
        <v>0.79575000000000007</v>
      </c>
      <c r="K369" s="1"/>
      <c r="L369" s="1"/>
      <c r="M369" s="1"/>
      <c r="N369" s="5">
        <f>(J369+K369-M369)</f>
        <v>0.79575000000000007</v>
      </c>
      <c r="O369" s="5">
        <f>(H369*I369*N369)</f>
        <v>4.7745000000000006</v>
      </c>
      <c r="P369" s="18" t="str">
        <f t="shared" si="46"/>
        <v/>
      </c>
      <c r="Q369" s="18">
        <f t="shared" si="47"/>
        <v>4.7745000000000006</v>
      </c>
      <c r="R369" s="18" t="str">
        <f t="shared" si="48"/>
        <v/>
      </c>
      <c r="S369" s="18" t="str">
        <f t="shared" si="49"/>
        <v/>
      </c>
      <c r="T369" s="18" t="str">
        <f t="shared" si="50"/>
        <v/>
      </c>
      <c r="U369" s="18" t="str">
        <f t="shared" si="51"/>
        <v/>
      </c>
      <c r="V369" s="1"/>
    </row>
    <row r="370" spans="1:22" x14ac:dyDescent="0.25">
      <c r="A370" s="14"/>
      <c r="B370" s="34"/>
      <c r="C370" s="22"/>
      <c r="D370" s="4"/>
      <c r="E370" s="27"/>
      <c r="F370" s="42"/>
      <c r="G370" s="11"/>
      <c r="H370" s="1"/>
      <c r="I370" s="1"/>
      <c r="J370" s="2"/>
      <c r="K370" s="1"/>
      <c r="L370" s="1"/>
      <c r="M370" s="1"/>
      <c r="N370" s="1"/>
      <c r="O370" s="5"/>
      <c r="P370" s="18" t="str">
        <f t="shared" si="46"/>
        <v/>
      </c>
      <c r="Q370" s="18" t="str">
        <f t="shared" si="47"/>
        <v/>
      </c>
      <c r="R370" s="18" t="str">
        <f t="shared" si="48"/>
        <v/>
      </c>
      <c r="S370" s="18" t="str">
        <f t="shared" si="49"/>
        <v/>
      </c>
      <c r="T370" s="18" t="str">
        <f t="shared" si="50"/>
        <v/>
      </c>
      <c r="U370" s="18" t="str">
        <f t="shared" si="51"/>
        <v/>
      </c>
      <c r="V370" s="1"/>
    </row>
    <row r="371" spans="1:22" x14ac:dyDescent="0.25">
      <c r="A371" s="14"/>
      <c r="B371" s="34"/>
      <c r="C371" s="22"/>
      <c r="D371" s="9">
        <f>0.23-0.05</f>
        <v>0.18</v>
      </c>
      <c r="E371" s="23"/>
      <c r="F371" s="42"/>
      <c r="G371" s="11"/>
      <c r="H371" s="1"/>
      <c r="I371" s="1"/>
      <c r="J371" s="2"/>
      <c r="K371" s="1"/>
      <c r="L371" s="1"/>
      <c r="M371" s="1"/>
      <c r="N371" s="1"/>
      <c r="O371" s="5"/>
      <c r="P371" s="18" t="str">
        <f t="shared" si="46"/>
        <v/>
      </c>
      <c r="Q371" s="18" t="str">
        <f t="shared" si="47"/>
        <v/>
      </c>
      <c r="R371" s="18" t="str">
        <f t="shared" si="48"/>
        <v/>
      </c>
      <c r="S371" s="18" t="str">
        <f t="shared" si="49"/>
        <v/>
      </c>
      <c r="T371" s="18" t="str">
        <f t="shared" si="50"/>
        <v/>
      </c>
      <c r="U371" s="18" t="str">
        <f t="shared" si="51"/>
        <v/>
      </c>
      <c r="V371" s="1"/>
    </row>
    <row r="372" spans="1:22" x14ac:dyDescent="0.25">
      <c r="A372" s="14"/>
      <c r="B372" s="33"/>
      <c r="C372" s="22"/>
      <c r="D372" s="4"/>
      <c r="E372" s="23"/>
      <c r="F372" s="42"/>
      <c r="G372" s="11"/>
      <c r="H372" s="1"/>
      <c r="I372" s="1"/>
      <c r="J372" s="2"/>
      <c r="K372" s="1"/>
      <c r="L372" s="1"/>
      <c r="M372" s="1"/>
      <c r="N372" s="1"/>
      <c r="O372" s="5"/>
      <c r="P372" s="18" t="str">
        <f t="shared" si="46"/>
        <v/>
      </c>
      <c r="Q372" s="18" t="str">
        <f t="shared" si="47"/>
        <v/>
      </c>
      <c r="R372" s="18" t="str">
        <f t="shared" si="48"/>
        <v/>
      </c>
      <c r="S372" s="18" t="str">
        <f t="shared" si="49"/>
        <v/>
      </c>
      <c r="T372" s="18" t="str">
        <f t="shared" si="50"/>
        <v/>
      </c>
      <c r="U372" s="18" t="str">
        <f t="shared" si="51"/>
        <v/>
      </c>
      <c r="V372" s="1"/>
    </row>
    <row r="373" spans="1:22" x14ac:dyDescent="0.25">
      <c r="A373" s="14"/>
      <c r="B373" s="14"/>
      <c r="C373" s="47">
        <v>0.1</v>
      </c>
      <c r="D373" s="4"/>
      <c r="E373" s="23"/>
      <c r="F373" s="42"/>
      <c r="G373" s="11"/>
      <c r="H373" s="1"/>
      <c r="I373" s="1"/>
      <c r="J373" s="2"/>
      <c r="K373" s="1"/>
      <c r="L373" s="1"/>
      <c r="M373" s="1"/>
      <c r="N373" s="1"/>
      <c r="O373" s="5"/>
      <c r="P373" s="18" t="str">
        <f t="shared" si="46"/>
        <v/>
      </c>
      <c r="Q373" s="18" t="str">
        <f t="shared" si="47"/>
        <v/>
      </c>
      <c r="R373" s="18" t="str">
        <f t="shared" si="48"/>
        <v/>
      </c>
      <c r="S373" s="18" t="str">
        <f t="shared" si="49"/>
        <v/>
      </c>
      <c r="T373" s="18" t="str">
        <f t="shared" si="50"/>
        <v/>
      </c>
      <c r="U373" s="18" t="str">
        <f t="shared" si="51"/>
        <v/>
      </c>
      <c r="V373" s="1"/>
    </row>
    <row r="374" spans="1:22" x14ac:dyDescent="0.25">
      <c r="A374" s="14"/>
      <c r="B374" s="34" t="s">
        <v>22</v>
      </c>
      <c r="C374" s="26"/>
      <c r="D374" s="4"/>
      <c r="E374" s="40">
        <f>((1.7-0.05-0.02)/16)*2+0.016+0.02</f>
        <v>0.23974999999999999</v>
      </c>
      <c r="F374" s="42"/>
      <c r="G374" s="11">
        <v>10</v>
      </c>
      <c r="H374" s="1">
        <v>1</v>
      </c>
      <c r="I374" s="1">
        <f>1*6</f>
        <v>6</v>
      </c>
      <c r="J374" s="41">
        <f>2*(D376+E374)+16*10/1000</f>
        <v>0.99949999999999994</v>
      </c>
      <c r="K374" s="1"/>
      <c r="L374" s="1"/>
      <c r="M374" s="1"/>
      <c r="N374" s="5">
        <f>(J374+K374-M374)</f>
        <v>0.99949999999999994</v>
      </c>
      <c r="O374" s="5">
        <f>(H374*I374*N374)</f>
        <v>5.9969999999999999</v>
      </c>
      <c r="P374" s="18" t="str">
        <f t="shared" si="46"/>
        <v/>
      </c>
      <c r="Q374" s="18">
        <f t="shared" si="47"/>
        <v>5.9969999999999999</v>
      </c>
      <c r="R374" s="18" t="str">
        <f t="shared" si="48"/>
        <v/>
      </c>
      <c r="S374" s="18" t="str">
        <f t="shared" si="49"/>
        <v/>
      </c>
      <c r="T374" s="18" t="str">
        <f t="shared" si="50"/>
        <v/>
      </c>
      <c r="U374" s="18" t="str">
        <f t="shared" si="51"/>
        <v/>
      </c>
      <c r="V374" s="1"/>
    </row>
    <row r="375" spans="1:22" x14ac:dyDescent="0.25">
      <c r="A375" s="14"/>
      <c r="B375" s="34"/>
      <c r="C375" s="22"/>
      <c r="D375" s="4"/>
      <c r="E375" s="27"/>
      <c r="F375" s="42"/>
      <c r="G375" s="11"/>
      <c r="H375" s="1"/>
      <c r="I375" s="1"/>
      <c r="J375" s="2"/>
      <c r="K375" s="1"/>
      <c r="L375" s="1"/>
      <c r="M375" s="1"/>
      <c r="N375" s="1"/>
      <c r="O375" s="5"/>
      <c r="P375" s="18" t="str">
        <f t="shared" si="46"/>
        <v/>
      </c>
      <c r="Q375" s="18" t="str">
        <f t="shared" si="47"/>
        <v/>
      </c>
      <c r="R375" s="18" t="str">
        <f t="shared" si="48"/>
        <v/>
      </c>
      <c r="S375" s="18" t="str">
        <f t="shared" si="49"/>
        <v/>
      </c>
      <c r="T375" s="18" t="str">
        <f t="shared" si="50"/>
        <v/>
      </c>
      <c r="U375" s="18" t="str">
        <f t="shared" si="51"/>
        <v/>
      </c>
      <c r="V375" s="1"/>
    </row>
    <row r="376" spans="1:22" x14ac:dyDescent="0.25">
      <c r="A376" s="14"/>
      <c r="B376" s="34"/>
      <c r="C376" s="22"/>
      <c r="D376" s="9">
        <f>0.23-0.05</f>
        <v>0.18</v>
      </c>
      <c r="E376" s="23"/>
      <c r="F376" s="42"/>
      <c r="G376" s="11"/>
      <c r="H376" s="1"/>
      <c r="I376" s="1"/>
      <c r="J376" s="2"/>
      <c r="K376" s="1"/>
      <c r="L376" s="1"/>
      <c r="M376" s="1"/>
      <c r="N376" s="1"/>
      <c r="O376" s="5"/>
      <c r="P376" s="18" t="str">
        <f t="shared" si="46"/>
        <v/>
      </c>
      <c r="Q376" s="18" t="str">
        <f t="shared" si="47"/>
        <v/>
      </c>
      <c r="R376" s="18" t="str">
        <f t="shared" si="48"/>
        <v/>
      </c>
      <c r="S376" s="18" t="str">
        <f t="shared" si="49"/>
        <v/>
      </c>
      <c r="T376" s="18" t="str">
        <f t="shared" si="50"/>
        <v/>
      </c>
      <c r="U376" s="18" t="str">
        <f t="shared" si="51"/>
        <v/>
      </c>
      <c r="V376" s="1"/>
    </row>
    <row r="377" spans="1:22" x14ac:dyDescent="0.25">
      <c r="A377" s="14"/>
      <c r="B377" s="33"/>
      <c r="C377" s="22"/>
      <c r="D377" s="4"/>
      <c r="E377" s="23"/>
      <c r="F377" s="42"/>
      <c r="G377" s="11"/>
      <c r="H377" s="1"/>
      <c r="I377" s="1"/>
      <c r="J377" s="2"/>
      <c r="K377" s="1"/>
      <c r="L377" s="1"/>
      <c r="M377" s="1"/>
      <c r="N377" s="1"/>
      <c r="O377" s="3"/>
      <c r="P377" s="18" t="str">
        <f t="shared" si="46"/>
        <v/>
      </c>
      <c r="Q377" s="18" t="str">
        <f t="shared" si="47"/>
        <v/>
      </c>
      <c r="R377" s="18" t="str">
        <f t="shared" si="48"/>
        <v/>
      </c>
      <c r="S377" s="18" t="str">
        <f t="shared" si="49"/>
        <v/>
      </c>
      <c r="T377" s="18" t="str">
        <f t="shared" si="50"/>
        <v/>
      </c>
      <c r="U377" s="18" t="str">
        <f t="shared" si="51"/>
        <v/>
      </c>
      <c r="V377" s="1"/>
    </row>
    <row r="378" spans="1:22" x14ac:dyDescent="0.25">
      <c r="A378" s="14"/>
      <c r="B378" s="33"/>
      <c r="C378" s="22"/>
      <c r="D378" s="4"/>
      <c r="E378" s="39">
        <v>0.1</v>
      </c>
      <c r="F378" s="42"/>
      <c r="G378" s="11"/>
      <c r="H378" s="1"/>
      <c r="I378" s="1"/>
      <c r="J378" s="2"/>
      <c r="K378" s="1"/>
      <c r="L378" s="1"/>
      <c r="M378" s="1"/>
      <c r="N378" s="1"/>
      <c r="O378" s="3"/>
      <c r="P378" s="18" t="str">
        <f t="shared" si="46"/>
        <v/>
      </c>
      <c r="Q378" s="18" t="str">
        <f t="shared" si="47"/>
        <v/>
      </c>
      <c r="R378" s="18" t="str">
        <f t="shared" si="48"/>
        <v/>
      </c>
      <c r="S378" s="18" t="str">
        <f t="shared" si="49"/>
        <v/>
      </c>
      <c r="T378" s="18" t="str">
        <f t="shared" si="50"/>
        <v/>
      </c>
      <c r="U378" s="18" t="str">
        <f t="shared" si="51"/>
        <v/>
      </c>
      <c r="V378" s="1"/>
    </row>
    <row r="379" spans="1:22" x14ac:dyDescent="0.25">
      <c r="A379" s="14"/>
      <c r="B379" s="34" t="s">
        <v>36</v>
      </c>
      <c r="C379" s="22"/>
      <c r="D379" s="25">
        <f>0.23-0.05</f>
        <v>0.18</v>
      </c>
      <c r="E379" s="39"/>
      <c r="F379" s="42"/>
      <c r="G379" s="11">
        <v>10</v>
      </c>
      <c r="H379" s="1">
        <v>1</v>
      </c>
      <c r="I379" s="1">
        <v>1</v>
      </c>
      <c r="J379" s="41">
        <f>D379+E378+E380</f>
        <v>0.38</v>
      </c>
      <c r="K379" s="1"/>
      <c r="L379" s="1"/>
      <c r="M379" s="5">
        <f>2*3*G379/1000</f>
        <v>0.06</v>
      </c>
      <c r="N379" s="5">
        <f>(J379+K379-M379)</f>
        <v>0.32</v>
      </c>
      <c r="O379" s="5">
        <f>(H379*I379*N379)</f>
        <v>0.32</v>
      </c>
      <c r="P379" s="18" t="str">
        <f t="shared" si="46"/>
        <v/>
      </c>
      <c r="Q379" s="18">
        <f t="shared" si="47"/>
        <v>0.32</v>
      </c>
      <c r="R379" s="18" t="str">
        <f t="shared" si="48"/>
        <v/>
      </c>
      <c r="S379" s="18" t="str">
        <f t="shared" si="49"/>
        <v/>
      </c>
      <c r="T379" s="18" t="str">
        <f t="shared" si="50"/>
        <v/>
      </c>
      <c r="U379" s="18" t="str">
        <f t="shared" si="51"/>
        <v/>
      </c>
      <c r="V379" s="1"/>
    </row>
    <row r="380" spans="1:22" x14ac:dyDescent="0.25">
      <c r="A380" s="14"/>
      <c r="B380" s="33"/>
      <c r="C380" s="22"/>
      <c r="D380" s="4"/>
      <c r="E380" s="39">
        <v>0.1</v>
      </c>
      <c r="F380" s="42"/>
      <c r="G380" s="11"/>
      <c r="H380" s="1"/>
      <c r="I380" s="1"/>
      <c r="J380" s="2"/>
      <c r="K380" s="1"/>
      <c r="L380" s="1"/>
      <c r="M380" s="1"/>
      <c r="N380" s="1"/>
      <c r="O380" s="3"/>
      <c r="P380" s="18" t="str">
        <f t="shared" si="46"/>
        <v/>
      </c>
      <c r="Q380" s="18" t="str">
        <f t="shared" si="47"/>
        <v/>
      </c>
      <c r="R380" s="18" t="str">
        <f t="shared" si="48"/>
        <v/>
      </c>
      <c r="S380" s="18" t="str">
        <f t="shared" si="49"/>
        <v/>
      </c>
      <c r="T380" s="18" t="str">
        <f t="shared" si="50"/>
        <v/>
      </c>
      <c r="U380" s="18" t="str">
        <f t="shared" si="51"/>
        <v/>
      </c>
      <c r="V380" s="1"/>
    </row>
    <row r="381" spans="1:22" x14ac:dyDescent="0.25">
      <c r="A381" s="14"/>
      <c r="B381" s="34"/>
      <c r="C381" s="22"/>
      <c r="D381" s="28"/>
      <c r="E381" s="23"/>
      <c r="F381" s="42"/>
      <c r="G381" s="11"/>
      <c r="H381" s="1"/>
      <c r="I381" s="1"/>
      <c r="J381" s="2"/>
      <c r="K381" s="1"/>
      <c r="L381" s="1"/>
      <c r="M381" s="1"/>
      <c r="N381" s="1"/>
      <c r="O381" s="3"/>
      <c r="P381" s="18" t="str">
        <f t="shared" si="46"/>
        <v/>
      </c>
      <c r="Q381" s="18" t="str">
        <f t="shared" si="47"/>
        <v/>
      </c>
      <c r="R381" s="18" t="str">
        <f t="shared" si="48"/>
        <v/>
      </c>
      <c r="S381" s="18" t="str">
        <f t="shared" si="49"/>
        <v/>
      </c>
      <c r="T381" s="18" t="str">
        <f t="shared" si="50"/>
        <v/>
      </c>
      <c r="U381" s="18" t="str">
        <f t="shared" si="51"/>
        <v/>
      </c>
      <c r="V381" s="1"/>
    </row>
    <row r="382" spans="1:22" x14ac:dyDescent="0.25">
      <c r="A382" s="14">
        <v>14</v>
      </c>
      <c r="B382" s="14" t="s">
        <v>54</v>
      </c>
      <c r="C382" s="22"/>
      <c r="D382" s="4"/>
      <c r="E382" s="23"/>
      <c r="F382" s="42"/>
      <c r="G382" s="11"/>
      <c r="H382" s="1"/>
      <c r="I382" s="1"/>
      <c r="J382" s="9"/>
      <c r="K382" s="5"/>
      <c r="L382" s="5"/>
      <c r="M382" s="1"/>
      <c r="N382" s="5"/>
      <c r="O382" s="5"/>
      <c r="P382" s="18" t="str">
        <f>IF($G382=8,$O382,"")</f>
        <v/>
      </c>
      <c r="Q382" s="18" t="str">
        <f>IF($G382=10,$O382,"")</f>
        <v/>
      </c>
      <c r="R382" s="18" t="str">
        <f>IF($G382=12,$O382,"")</f>
        <v/>
      </c>
      <c r="S382" s="18" t="str">
        <f>IF($G382=16,$O382,"")</f>
        <v/>
      </c>
      <c r="T382" s="18" t="str">
        <f>IF($G382=20,$O382,"")</f>
        <v/>
      </c>
      <c r="U382" s="18" t="str">
        <f>IF($G382=25,$O382,"")</f>
        <v/>
      </c>
      <c r="V382" s="1"/>
    </row>
    <row r="383" spans="1:22" x14ac:dyDescent="0.25">
      <c r="A383" s="14"/>
      <c r="B383" s="33" t="s">
        <v>18</v>
      </c>
      <c r="C383" s="22"/>
      <c r="D383" s="25">
        <f>0.85-0.075-2*0.016</f>
        <v>0.74299999999999999</v>
      </c>
      <c r="E383" s="23"/>
      <c r="F383" s="42"/>
      <c r="G383" s="11">
        <v>16</v>
      </c>
      <c r="H383" s="1">
        <v>1</v>
      </c>
      <c r="I383" s="1">
        <v>4</v>
      </c>
      <c r="J383" s="9">
        <f>D383</f>
        <v>0.74299999999999999</v>
      </c>
      <c r="K383" s="46" t="str">
        <f>IF(N383&lt;12,"0",0.049*G383)</f>
        <v>0</v>
      </c>
      <c r="L383" s="45">
        <v>1</v>
      </c>
      <c r="M383" s="1">
        <f>2*G383*L383/1000</f>
        <v>3.2000000000000001E-2</v>
      </c>
      <c r="N383" s="5">
        <f>J383+E385-M383</f>
        <v>1.0109999999999999</v>
      </c>
      <c r="O383" s="5">
        <f t="shared" ref="O383:O388" si="63">H383*I383*N383</f>
        <v>4.0439999999999996</v>
      </c>
      <c r="P383" s="18" t="str">
        <f t="shared" si="46"/>
        <v/>
      </c>
      <c r="Q383" s="18" t="str">
        <f t="shared" si="47"/>
        <v/>
      </c>
      <c r="R383" s="18" t="str">
        <f t="shared" si="48"/>
        <v/>
      </c>
      <c r="S383" s="18">
        <f t="shared" si="49"/>
        <v>4.0439999999999996</v>
      </c>
      <c r="T383" s="18" t="str">
        <f t="shared" si="50"/>
        <v/>
      </c>
      <c r="U383" s="18" t="str">
        <f t="shared" si="51"/>
        <v/>
      </c>
      <c r="V383" s="1"/>
    </row>
    <row r="384" spans="1:22" x14ac:dyDescent="0.25">
      <c r="A384" s="14"/>
      <c r="B384" s="33" t="s">
        <v>32</v>
      </c>
      <c r="C384" s="22"/>
      <c r="D384" s="4"/>
      <c r="E384" s="23"/>
      <c r="F384" s="42"/>
      <c r="G384" s="11">
        <v>16</v>
      </c>
      <c r="H384" s="1">
        <v>1</v>
      </c>
      <c r="I384" s="1">
        <v>4</v>
      </c>
      <c r="J384" s="9">
        <f>D383</f>
        <v>0.74299999999999999</v>
      </c>
      <c r="K384" s="46" t="str">
        <f t="shared" ref="K384:K388" si="64">IF(N384&lt;12,"0",0.049*G384)</f>
        <v>0</v>
      </c>
      <c r="L384" s="45">
        <v>1</v>
      </c>
      <c r="M384" s="1">
        <f t="shared" ref="M384:M388" si="65">2*G384*L384/1000</f>
        <v>3.2000000000000001E-2</v>
      </c>
      <c r="N384" s="5">
        <f>J384+E385-M384</f>
        <v>1.0109999999999999</v>
      </c>
      <c r="O384" s="5">
        <f t="shared" si="63"/>
        <v>4.0439999999999996</v>
      </c>
      <c r="P384" s="18" t="str">
        <f t="shared" si="46"/>
        <v/>
      </c>
      <c r="Q384" s="18" t="str">
        <f t="shared" si="47"/>
        <v/>
      </c>
      <c r="R384" s="18" t="str">
        <f t="shared" si="48"/>
        <v/>
      </c>
      <c r="S384" s="18">
        <f t="shared" si="49"/>
        <v>4.0439999999999996</v>
      </c>
      <c r="T384" s="18" t="str">
        <f t="shared" si="50"/>
        <v/>
      </c>
      <c r="U384" s="18" t="str">
        <f t="shared" si="51"/>
        <v/>
      </c>
      <c r="V384" s="1"/>
    </row>
    <row r="385" spans="1:22" x14ac:dyDescent="0.25">
      <c r="A385" s="14"/>
      <c r="B385" s="33" t="s">
        <v>26</v>
      </c>
      <c r="C385" s="24"/>
      <c r="D385" s="25"/>
      <c r="E385" s="39">
        <v>0.3</v>
      </c>
      <c r="F385" s="42"/>
      <c r="G385" s="11">
        <v>16</v>
      </c>
      <c r="H385" s="1">
        <v>1</v>
      </c>
      <c r="I385" s="1">
        <v>4</v>
      </c>
      <c r="J385" s="9">
        <f>D383</f>
        <v>0.74299999999999999</v>
      </c>
      <c r="K385" s="46" t="str">
        <f t="shared" si="64"/>
        <v>0</v>
      </c>
      <c r="L385" s="45">
        <v>1</v>
      </c>
      <c r="M385" s="1">
        <f t="shared" si="65"/>
        <v>3.2000000000000001E-2</v>
      </c>
      <c r="N385" s="5">
        <f>J385+E385-M385</f>
        <v>1.0109999999999999</v>
      </c>
      <c r="O385" s="5">
        <f t="shared" si="63"/>
        <v>4.0439999999999996</v>
      </c>
      <c r="P385" s="18" t="str">
        <f t="shared" si="46"/>
        <v/>
      </c>
      <c r="Q385" s="18" t="str">
        <f t="shared" si="47"/>
        <v/>
      </c>
      <c r="R385" s="18" t="str">
        <f t="shared" si="48"/>
        <v/>
      </c>
      <c r="S385" s="18">
        <f t="shared" si="49"/>
        <v>4.0439999999999996</v>
      </c>
      <c r="T385" s="18" t="str">
        <f t="shared" si="50"/>
        <v/>
      </c>
      <c r="U385" s="18" t="str">
        <f t="shared" si="51"/>
        <v/>
      </c>
      <c r="V385" s="1"/>
    </row>
    <row r="386" spans="1:22" x14ac:dyDescent="0.25">
      <c r="A386" s="14"/>
      <c r="B386" s="33" t="s">
        <v>19</v>
      </c>
      <c r="C386" s="22"/>
      <c r="D386" s="4"/>
      <c r="E386" s="23"/>
      <c r="F386" s="42"/>
      <c r="G386" s="11">
        <v>12</v>
      </c>
      <c r="H386" s="1">
        <v>1</v>
      </c>
      <c r="I386" s="1">
        <v>4</v>
      </c>
      <c r="J386" s="9">
        <f>D383</f>
        <v>0.74299999999999999</v>
      </c>
      <c r="K386" s="46" t="str">
        <f t="shared" si="64"/>
        <v>0</v>
      </c>
      <c r="L386" s="45">
        <v>1</v>
      </c>
      <c r="M386" s="1">
        <f t="shared" si="65"/>
        <v>2.4E-2</v>
      </c>
      <c r="N386" s="5">
        <f>J386+E386-M386</f>
        <v>0.71899999999999997</v>
      </c>
      <c r="O386" s="5">
        <f t="shared" si="63"/>
        <v>2.8759999999999999</v>
      </c>
      <c r="P386" s="18" t="str">
        <f t="shared" si="46"/>
        <v/>
      </c>
      <c r="Q386" s="18" t="str">
        <f t="shared" si="47"/>
        <v/>
      </c>
      <c r="R386" s="18">
        <f t="shared" si="48"/>
        <v>2.8759999999999999</v>
      </c>
      <c r="S386" s="18" t="str">
        <f t="shared" si="49"/>
        <v/>
      </c>
      <c r="T386" s="18" t="str">
        <f t="shared" si="50"/>
        <v/>
      </c>
      <c r="U386" s="18" t="str">
        <f t="shared" si="51"/>
        <v/>
      </c>
      <c r="V386" s="1"/>
    </row>
    <row r="387" spans="1:22" x14ac:dyDescent="0.25">
      <c r="A387" s="14"/>
      <c r="B387" s="33" t="s">
        <v>35</v>
      </c>
      <c r="C387" s="22"/>
      <c r="D387" s="4"/>
      <c r="E387" s="23"/>
      <c r="F387" s="42"/>
      <c r="G387" s="11">
        <v>12</v>
      </c>
      <c r="H387" s="1">
        <v>1</v>
      </c>
      <c r="I387" s="1">
        <v>4</v>
      </c>
      <c r="J387" s="9">
        <f>D383</f>
        <v>0.74299999999999999</v>
      </c>
      <c r="K387" s="46" t="str">
        <f t="shared" si="64"/>
        <v>0</v>
      </c>
      <c r="L387" s="45">
        <v>1</v>
      </c>
      <c r="M387" s="1">
        <f t="shared" si="65"/>
        <v>2.4E-2</v>
      </c>
      <c r="N387" s="5">
        <f>J387+E387-M387</f>
        <v>0.71899999999999997</v>
      </c>
      <c r="O387" s="5">
        <f t="shared" si="63"/>
        <v>2.8759999999999999</v>
      </c>
      <c r="P387" s="18" t="str">
        <f t="shared" si="46"/>
        <v/>
      </c>
      <c r="Q387" s="18" t="str">
        <f t="shared" si="47"/>
        <v/>
      </c>
      <c r="R387" s="18">
        <f t="shared" si="48"/>
        <v>2.8759999999999999</v>
      </c>
      <c r="S387" s="18" t="str">
        <f t="shared" si="49"/>
        <v/>
      </c>
      <c r="T387" s="18" t="str">
        <f t="shared" si="50"/>
        <v/>
      </c>
      <c r="U387" s="18" t="str">
        <f t="shared" si="51"/>
        <v/>
      </c>
      <c r="V387" s="1"/>
    </row>
    <row r="388" spans="1:22" x14ac:dyDescent="0.25">
      <c r="A388" s="14"/>
      <c r="B388" s="33" t="s">
        <v>51</v>
      </c>
      <c r="C388" s="22"/>
      <c r="D388" s="4"/>
      <c r="E388" s="23"/>
      <c r="F388" s="42"/>
      <c r="G388" s="11">
        <v>12</v>
      </c>
      <c r="H388" s="1">
        <v>1</v>
      </c>
      <c r="I388" s="1">
        <v>4</v>
      </c>
      <c r="J388" s="9">
        <f>D383</f>
        <v>0.74299999999999999</v>
      </c>
      <c r="K388" s="46" t="str">
        <f t="shared" si="64"/>
        <v>0</v>
      </c>
      <c r="L388" s="45">
        <v>1</v>
      </c>
      <c r="M388" s="1">
        <f t="shared" si="65"/>
        <v>2.4E-2</v>
      </c>
      <c r="N388" s="5">
        <f>J388+E388-M388</f>
        <v>0.71899999999999997</v>
      </c>
      <c r="O388" s="5">
        <f t="shared" si="63"/>
        <v>2.8759999999999999</v>
      </c>
      <c r="P388" s="18" t="str">
        <f t="shared" si="46"/>
        <v/>
      </c>
      <c r="Q388" s="18" t="str">
        <f t="shared" si="47"/>
        <v/>
      </c>
      <c r="R388" s="18">
        <f t="shared" si="48"/>
        <v>2.8759999999999999</v>
      </c>
      <c r="S388" s="18" t="str">
        <f t="shared" si="49"/>
        <v/>
      </c>
      <c r="T388" s="18" t="str">
        <f t="shared" si="50"/>
        <v/>
      </c>
      <c r="U388" s="18" t="str">
        <f t="shared" si="51"/>
        <v/>
      </c>
      <c r="V388" s="1"/>
    </row>
    <row r="389" spans="1:22" x14ac:dyDescent="0.25">
      <c r="A389" s="14"/>
      <c r="B389" s="33"/>
      <c r="C389" s="22"/>
      <c r="D389" s="4"/>
      <c r="E389" s="23"/>
      <c r="F389" s="42"/>
      <c r="G389" s="11"/>
      <c r="H389" s="1"/>
      <c r="I389" s="1"/>
      <c r="J389" s="9"/>
      <c r="K389" s="46"/>
      <c r="L389" s="45"/>
      <c r="M389" s="1"/>
      <c r="N389" s="5"/>
      <c r="O389" s="5"/>
      <c r="P389" s="18"/>
      <c r="Q389" s="18"/>
      <c r="R389" s="18"/>
      <c r="S389" s="18"/>
      <c r="T389" s="18"/>
      <c r="U389" s="18"/>
      <c r="V389" s="1"/>
    </row>
    <row r="390" spans="1:22" x14ac:dyDescent="0.25">
      <c r="A390" s="14"/>
      <c r="B390" s="14"/>
      <c r="C390" s="47">
        <v>0.1</v>
      </c>
      <c r="D390" s="4"/>
      <c r="E390" s="23"/>
      <c r="F390" s="42"/>
      <c r="G390" s="11"/>
      <c r="H390" s="1"/>
      <c r="I390" s="1"/>
      <c r="J390" s="2"/>
      <c r="K390" s="1"/>
      <c r="L390" s="1"/>
      <c r="M390" s="1"/>
      <c r="N390" s="1"/>
      <c r="O390" s="3"/>
      <c r="P390" s="18" t="str">
        <f t="shared" ref="P390:P453" si="66">IF($G390=8,$O390,"")</f>
        <v/>
      </c>
      <c r="Q390" s="18" t="str">
        <f t="shared" ref="Q390:Q453" si="67">IF($G390=10,$O390,"")</f>
        <v/>
      </c>
      <c r="R390" s="18" t="str">
        <f t="shared" ref="R390:R453" si="68">IF($G390=12,$O390,"")</f>
        <v/>
      </c>
      <c r="S390" s="18" t="str">
        <f t="shared" ref="S390:S453" si="69">IF($G390=16,$O390,"")</f>
        <v/>
      </c>
      <c r="T390" s="18" t="str">
        <f t="shared" ref="T390:T453" si="70">IF($G390=20,$O390,"")</f>
        <v/>
      </c>
      <c r="U390" s="18" t="str">
        <f t="shared" ref="U390:U453" si="71">IF($G390=25,$O390,"")</f>
        <v/>
      </c>
      <c r="V390" s="1"/>
    </row>
    <row r="391" spans="1:22" x14ac:dyDescent="0.25">
      <c r="A391" s="14"/>
      <c r="B391" s="34" t="s">
        <v>20</v>
      </c>
      <c r="C391" s="26"/>
      <c r="D391" s="4"/>
      <c r="E391" s="40">
        <f>1.185-0.05</f>
        <v>1.135</v>
      </c>
      <c r="F391" s="42"/>
      <c r="G391" s="11">
        <v>10</v>
      </c>
      <c r="H391" s="1">
        <v>1</v>
      </c>
      <c r="I391" s="1">
        <v>4</v>
      </c>
      <c r="J391" s="41">
        <f>2*(D393+E391)+16*10/1000</f>
        <v>2.79</v>
      </c>
      <c r="K391" s="1"/>
      <c r="L391" s="1"/>
      <c r="M391" s="1"/>
      <c r="N391" s="5">
        <f>(J391+K391-M391)</f>
        <v>2.79</v>
      </c>
      <c r="O391" s="5">
        <f>(H391*I391*N391)</f>
        <v>11.16</v>
      </c>
      <c r="P391" s="18" t="str">
        <f t="shared" si="66"/>
        <v/>
      </c>
      <c r="Q391" s="18">
        <f t="shared" si="67"/>
        <v>11.16</v>
      </c>
      <c r="R391" s="18" t="str">
        <f t="shared" si="68"/>
        <v/>
      </c>
      <c r="S391" s="18" t="str">
        <f t="shared" si="69"/>
        <v/>
      </c>
      <c r="T391" s="18" t="str">
        <f t="shared" si="70"/>
        <v/>
      </c>
      <c r="U391" s="18" t="str">
        <f t="shared" si="71"/>
        <v/>
      </c>
      <c r="V391" s="1"/>
    </row>
    <row r="392" spans="1:22" x14ac:dyDescent="0.25">
      <c r="A392" s="14"/>
      <c r="B392" s="34"/>
      <c r="C392" s="22"/>
      <c r="D392" s="4"/>
      <c r="E392" s="27"/>
      <c r="F392" s="42"/>
      <c r="G392" s="11"/>
      <c r="H392" s="1"/>
      <c r="I392" s="1"/>
      <c r="J392" s="2"/>
      <c r="K392" s="1"/>
      <c r="L392" s="1"/>
      <c r="M392" s="1"/>
      <c r="N392" s="1"/>
      <c r="O392" s="5"/>
      <c r="P392" s="18" t="str">
        <f t="shared" si="66"/>
        <v/>
      </c>
      <c r="Q392" s="18" t="str">
        <f t="shared" si="67"/>
        <v/>
      </c>
      <c r="R392" s="18" t="str">
        <f t="shared" si="68"/>
        <v/>
      </c>
      <c r="S392" s="18" t="str">
        <f t="shared" si="69"/>
        <v/>
      </c>
      <c r="T392" s="18" t="str">
        <f t="shared" si="70"/>
        <v/>
      </c>
      <c r="U392" s="18" t="str">
        <f t="shared" si="71"/>
        <v/>
      </c>
      <c r="V392" s="1"/>
    </row>
    <row r="393" spans="1:22" x14ac:dyDescent="0.25">
      <c r="A393" s="14"/>
      <c r="B393" s="34"/>
      <c r="C393" s="22"/>
      <c r="D393" s="9">
        <f>0.23-0.05</f>
        <v>0.18</v>
      </c>
      <c r="E393" s="23"/>
      <c r="F393" s="42"/>
      <c r="G393" s="11"/>
      <c r="H393" s="1"/>
      <c r="I393" s="1"/>
      <c r="J393" s="2"/>
      <c r="K393" s="1"/>
      <c r="L393" s="1"/>
      <c r="M393" s="1"/>
      <c r="N393" s="1"/>
      <c r="O393" s="5"/>
      <c r="P393" s="18" t="str">
        <f t="shared" si="66"/>
        <v/>
      </c>
      <c r="Q393" s="18" t="str">
        <f t="shared" si="67"/>
        <v/>
      </c>
      <c r="R393" s="18" t="str">
        <f t="shared" si="68"/>
        <v/>
      </c>
      <c r="S393" s="18" t="str">
        <f t="shared" si="69"/>
        <v/>
      </c>
      <c r="T393" s="18" t="str">
        <f t="shared" si="70"/>
        <v/>
      </c>
      <c r="U393" s="18" t="str">
        <f t="shared" si="71"/>
        <v/>
      </c>
      <c r="V393" s="1"/>
    </row>
    <row r="394" spans="1:22" x14ac:dyDescent="0.25">
      <c r="A394" s="14"/>
      <c r="B394" s="33"/>
      <c r="C394" s="22"/>
      <c r="D394" s="4"/>
      <c r="E394" s="23"/>
      <c r="F394" s="42"/>
      <c r="G394" s="11"/>
      <c r="H394" s="1"/>
      <c r="I394" s="1"/>
      <c r="J394" s="2"/>
      <c r="K394" s="1"/>
      <c r="L394" s="1"/>
      <c r="M394" s="1"/>
      <c r="N394" s="1"/>
      <c r="O394" s="5"/>
      <c r="P394" s="18" t="str">
        <f t="shared" si="66"/>
        <v/>
      </c>
      <c r="Q394" s="18" t="str">
        <f t="shared" si="67"/>
        <v/>
      </c>
      <c r="R394" s="18" t="str">
        <f t="shared" si="68"/>
        <v/>
      </c>
      <c r="S394" s="18" t="str">
        <f t="shared" si="69"/>
        <v/>
      </c>
      <c r="T394" s="18" t="str">
        <f t="shared" si="70"/>
        <v/>
      </c>
      <c r="U394" s="18" t="str">
        <f t="shared" si="71"/>
        <v/>
      </c>
      <c r="V394" s="1"/>
    </row>
    <row r="395" spans="1:22" x14ac:dyDescent="0.25">
      <c r="A395" s="14"/>
      <c r="B395" s="14"/>
      <c r="C395" s="47">
        <v>0.1</v>
      </c>
      <c r="D395" s="4"/>
      <c r="E395" s="23"/>
      <c r="F395" s="42"/>
      <c r="G395" s="11"/>
      <c r="H395" s="1"/>
      <c r="I395" s="1"/>
      <c r="J395" s="2"/>
      <c r="K395" s="1"/>
      <c r="L395" s="1"/>
      <c r="M395" s="1"/>
      <c r="N395" s="1"/>
      <c r="O395" s="5"/>
      <c r="P395" s="18" t="str">
        <f t="shared" si="66"/>
        <v/>
      </c>
      <c r="Q395" s="18" t="str">
        <f t="shared" si="67"/>
        <v/>
      </c>
      <c r="R395" s="18" t="str">
        <f t="shared" si="68"/>
        <v/>
      </c>
      <c r="S395" s="18" t="str">
        <f t="shared" si="69"/>
        <v/>
      </c>
      <c r="T395" s="18" t="str">
        <f t="shared" si="70"/>
        <v/>
      </c>
      <c r="U395" s="18" t="str">
        <f t="shared" si="71"/>
        <v/>
      </c>
      <c r="V395" s="1"/>
    </row>
    <row r="396" spans="1:22" x14ac:dyDescent="0.25">
      <c r="A396" s="14"/>
      <c r="B396" s="34" t="s">
        <v>21</v>
      </c>
      <c r="C396" s="26"/>
      <c r="D396" s="4"/>
      <c r="E396" s="40">
        <f>((1.185-0.05-0.016)/11)+0.016+0.02</f>
        <v>0.13772727272727273</v>
      </c>
      <c r="F396" s="42"/>
      <c r="G396" s="11">
        <v>10</v>
      </c>
      <c r="H396" s="1">
        <v>1</v>
      </c>
      <c r="I396" s="1">
        <f>1*5</f>
        <v>5</v>
      </c>
      <c r="J396" s="41">
        <f>2*(D398+E396)+16*10/1000</f>
        <v>0.79545454545454553</v>
      </c>
      <c r="K396" s="1"/>
      <c r="L396" s="1"/>
      <c r="M396" s="1"/>
      <c r="N396" s="5">
        <f>(J396+K396-M396)</f>
        <v>0.79545454545454553</v>
      </c>
      <c r="O396" s="5">
        <f>(H396*I396*N396)</f>
        <v>3.9772727272727275</v>
      </c>
      <c r="P396" s="18" t="str">
        <f t="shared" si="66"/>
        <v/>
      </c>
      <c r="Q396" s="18">
        <f t="shared" si="67"/>
        <v>3.9772727272727275</v>
      </c>
      <c r="R396" s="18" t="str">
        <f t="shared" si="68"/>
        <v/>
      </c>
      <c r="S396" s="18" t="str">
        <f t="shared" si="69"/>
        <v/>
      </c>
      <c r="T396" s="18" t="str">
        <f t="shared" si="70"/>
        <v/>
      </c>
      <c r="U396" s="18" t="str">
        <f t="shared" si="71"/>
        <v/>
      </c>
      <c r="V396" s="1"/>
    </row>
    <row r="397" spans="1:22" x14ac:dyDescent="0.25">
      <c r="A397" s="14"/>
      <c r="B397" s="34"/>
      <c r="C397" s="22"/>
      <c r="D397" s="4"/>
      <c r="E397" s="27"/>
      <c r="F397" s="42"/>
      <c r="G397" s="11"/>
      <c r="H397" s="1"/>
      <c r="I397" s="1"/>
      <c r="J397" s="2"/>
      <c r="K397" s="1"/>
      <c r="L397" s="1"/>
      <c r="M397" s="1"/>
      <c r="N397" s="1"/>
      <c r="O397" s="5"/>
      <c r="P397" s="18" t="str">
        <f t="shared" si="66"/>
        <v/>
      </c>
      <c r="Q397" s="18" t="str">
        <f t="shared" si="67"/>
        <v/>
      </c>
      <c r="R397" s="18" t="str">
        <f t="shared" si="68"/>
        <v/>
      </c>
      <c r="S397" s="18" t="str">
        <f t="shared" si="69"/>
        <v/>
      </c>
      <c r="T397" s="18" t="str">
        <f t="shared" si="70"/>
        <v/>
      </c>
      <c r="U397" s="18" t="str">
        <f t="shared" si="71"/>
        <v/>
      </c>
      <c r="V397" s="1"/>
    </row>
    <row r="398" spans="1:22" x14ac:dyDescent="0.25">
      <c r="A398" s="14"/>
      <c r="B398" s="34"/>
      <c r="C398" s="22"/>
      <c r="D398" s="9">
        <f>0.23-0.05</f>
        <v>0.18</v>
      </c>
      <c r="E398" s="23"/>
      <c r="F398" s="42"/>
      <c r="G398" s="11"/>
      <c r="H398" s="1"/>
      <c r="I398" s="1"/>
      <c r="J398" s="2"/>
      <c r="K398" s="1"/>
      <c r="L398" s="1"/>
      <c r="M398" s="1"/>
      <c r="N398" s="1"/>
      <c r="O398" s="5"/>
      <c r="P398" s="18" t="str">
        <f t="shared" si="66"/>
        <v/>
      </c>
      <c r="Q398" s="18" t="str">
        <f t="shared" si="67"/>
        <v/>
      </c>
      <c r="R398" s="18" t="str">
        <f t="shared" si="68"/>
        <v/>
      </c>
      <c r="S398" s="18" t="str">
        <f t="shared" si="69"/>
        <v/>
      </c>
      <c r="T398" s="18" t="str">
        <f t="shared" si="70"/>
        <v/>
      </c>
      <c r="U398" s="18" t="str">
        <f t="shared" si="71"/>
        <v/>
      </c>
      <c r="V398" s="1"/>
    </row>
    <row r="399" spans="1:22" x14ac:dyDescent="0.25">
      <c r="A399" s="14"/>
      <c r="B399" s="34"/>
      <c r="C399" s="22"/>
      <c r="D399" s="28"/>
      <c r="E399" s="23"/>
      <c r="F399" s="42"/>
      <c r="G399" s="11"/>
      <c r="H399" s="1"/>
      <c r="I399" s="1"/>
      <c r="J399" s="2"/>
      <c r="K399" s="1"/>
      <c r="L399" s="1"/>
      <c r="M399" s="1"/>
      <c r="N399" s="1"/>
      <c r="O399" s="3"/>
      <c r="P399" s="18" t="str">
        <f t="shared" si="66"/>
        <v/>
      </c>
      <c r="Q399" s="18" t="str">
        <f t="shared" si="67"/>
        <v/>
      </c>
      <c r="R399" s="18" t="str">
        <f t="shared" si="68"/>
        <v/>
      </c>
      <c r="S399" s="18" t="str">
        <f t="shared" si="69"/>
        <v/>
      </c>
      <c r="T399" s="18" t="str">
        <f t="shared" si="70"/>
        <v/>
      </c>
      <c r="U399" s="18" t="str">
        <f t="shared" si="71"/>
        <v/>
      </c>
      <c r="V399" s="1"/>
    </row>
    <row r="400" spans="1:22" x14ac:dyDescent="0.25">
      <c r="A400" s="14">
        <v>15</v>
      </c>
      <c r="B400" s="14" t="s">
        <v>55</v>
      </c>
      <c r="C400" s="22"/>
      <c r="D400" s="4"/>
      <c r="E400" s="23"/>
      <c r="F400" s="42"/>
      <c r="G400" s="11"/>
      <c r="H400" s="1"/>
      <c r="I400" s="1"/>
      <c r="J400" s="9"/>
      <c r="K400" s="5"/>
      <c r="L400" s="5"/>
      <c r="M400" s="1"/>
      <c r="N400" s="5"/>
      <c r="O400" s="5"/>
      <c r="P400" s="18" t="str">
        <f>IF($G400=8,$O400,"")</f>
        <v/>
      </c>
      <c r="Q400" s="18" t="str">
        <f>IF($G400=10,$O400,"")</f>
        <v/>
      </c>
      <c r="R400" s="18" t="str">
        <f>IF($G400=12,$O400,"")</f>
        <v/>
      </c>
      <c r="S400" s="18" t="str">
        <f>IF($G400=16,$O400,"")</f>
        <v/>
      </c>
      <c r="T400" s="18" t="str">
        <f>IF($G400=20,$O400,"")</f>
        <v/>
      </c>
      <c r="U400" s="18" t="str">
        <f>IF($G400=25,$O400,"")</f>
        <v/>
      </c>
      <c r="V400" s="1"/>
    </row>
    <row r="401" spans="1:22" x14ac:dyDescent="0.25">
      <c r="A401" s="14"/>
      <c r="B401" s="33" t="s">
        <v>18</v>
      </c>
      <c r="C401" s="22"/>
      <c r="D401" s="25">
        <f>0.85-0.075-2*0.016</f>
        <v>0.74299999999999999</v>
      </c>
      <c r="E401" s="23"/>
      <c r="F401" s="42"/>
      <c r="G401" s="11">
        <v>16</v>
      </c>
      <c r="H401" s="1">
        <v>1</v>
      </c>
      <c r="I401" s="1">
        <v>4</v>
      </c>
      <c r="J401" s="9">
        <f>D401</f>
        <v>0.74299999999999999</v>
      </c>
      <c r="K401" s="46" t="str">
        <f>IF(N401&lt;12,"0",0.049*G401)</f>
        <v>0</v>
      </c>
      <c r="L401" s="45">
        <v>1</v>
      </c>
      <c r="M401" s="1">
        <f>2*G401*L401/1000</f>
        <v>3.2000000000000001E-2</v>
      </c>
      <c r="N401" s="5">
        <f>J401+E403-M401</f>
        <v>1.0109999999999999</v>
      </c>
      <c r="O401" s="5">
        <f t="shared" ref="O401:O406" si="72">H401*I401*N401</f>
        <v>4.0439999999999996</v>
      </c>
      <c r="P401" s="18" t="str">
        <f t="shared" si="66"/>
        <v/>
      </c>
      <c r="Q401" s="18" t="str">
        <f t="shared" si="67"/>
        <v/>
      </c>
      <c r="R401" s="18" t="str">
        <f t="shared" si="68"/>
        <v/>
      </c>
      <c r="S401" s="18">
        <f t="shared" si="69"/>
        <v>4.0439999999999996</v>
      </c>
      <c r="T401" s="18" t="str">
        <f t="shared" si="70"/>
        <v/>
      </c>
      <c r="U401" s="18" t="str">
        <f t="shared" si="71"/>
        <v/>
      </c>
      <c r="V401" s="1"/>
    </row>
    <row r="402" spans="1:22" x14ac:dyDescent="0.25">
      <c r="A402" s="14"/>
      <c r="B402" s="33" t="s">
        <v>32</v>
      </c>
      <c r="C402" s="22"/>
      <c r="D402" s="4"/>
      <c r="E402" s="23"/>
      <c r="F402" s="42"/>
      <c r="G402" s="11">
        <v>16</v>
      </c>
      <c r="H402" s="1">
        <v>1</v>
      </c>
      <c r="I402" s="1">
        <v>4</v>
      </c>
      <c r="J402" s="9">
        <f>D401</f>
        <v>0.74299999999999999</v>
      </c>
      <c r="K402" s="46" t="str">
        <f t="shared" ref="K402:K406" si="73">IF(N402&lt;12,"0",0.049*G402)</f>
        <v>0</v>
      </c>
      <c r="L402" s="45">
        <v>1</v>
      </c>
      <c r="M402" s="1">
        <f t="shared" ref="M402:M406" si="74">2*G402*L402/1000</f>
        <v>3.2000000000000001E-2</v>
      </c>
      <c r="N402" s="5">
        <f>J402+E403-M402</f>
        <v>1.0109999999999999</v>
      </c>
      <c r="O402" s="5">
        <f t="shared" si="72"/>
        <v>4.0439999999999996</v>
      </c>
      <c r="P402" s="18" t="str">
        <f t="shared" si="66"/>
        <v/>
      </c>
      <c r="Q402" s="18" t="str">
        <f t="shared" si="67"/>
        <v/>
      </c>
      <c r="R402" s="18" t="str">
        <f t="shared" si="68"/>
        <v/>
      </c>
      <c r="S402" s="18">
        <f t="shared" si="69"/>
        <v>4.0439999999999996</v>
      </c>
      <c r="T402" s="18" t="str">
        <f t="shared" si="70"/>
        <v/>
      </c>
      <c r="U402" s="18" t="str">
        <f t="shared" si="71"/>
        <v/>
      </c>
      <c r="V402" s="1"/>
    </row>
    <row r="403" spans="1:22" x14ac:dyDescent="0.25">
      <c r="A403" s="14"/>
      <c r="B403" s="33" t="s">
        <v>26</v>
      </c>
      <c r="C403" s="24"/>
      <c r="D403" s="25"/>
      <c r="E403" s="39">
        <v>0.3</v>
      </c>
      <c r="F403" s="42"/>
      <c r="G403" s="11">
        <v>16</v>
      </c>
      <c r="H403" s="1">
        <v>1</v>
      </c>
      <c r="I403" s="1">
        <v>4</v>
      </c>
      <c r="J403" s="9">
        <f>D401</f>
        <v>0.74299999999999999</v>
      </c>
      <c r="K403" s="46" t="str">
        <f t="shared" si="73"/>
        <v>0</v>
      </c>
      <c r="L403" s="45">
        <v>1</v>
      </c>
      <c r="M403" s="1">
        <f t="shared" si="74"/>
        <v>3.2000000000000001E-2</v>
      </c>
      <c r="N403" s="5">
        <f>J403+E403-M403</f>
        <v>1.0109999999999999</v>
      </c>
      <c r="O403" s="5">
        <f t="shared" si="72"/>
        <v>4.0439999999999996</v>
      </c>
      <c r="P403" s="18" t="str">
        <f t="shared" si="66"/>
        <v/>
      </c>
      <c r="Q403" s="18" t="str">
        <f t="shared" si="67"/>
        <v/>
      </c>
      <c r="R403" s="18" t="str">
        <f t="shared" si="68"/>
        <v/>
      </c>
      <c r="S403" s="18">
        <f t="shared" si="69"/>
        <v>4.0439999999999996</v>
      </c>
      <c r="T403" s="18" t="str">
        <f t="shared" si="70"/>
        <v/>
      </c>
      <c r="U403" s="18" t="str">
        <f t="shared" si="71"/>
        <v/>
      </c>
      <c r="V403" s="1"/>
    </row>
    <row r="404" spans="1:22" x14ac:dyDescent="0.25">
      <c r="A404" s="14"/>
      <c r="B404" s="33" t="s">
        <v>19</v>
      </c>
      <c r="C404" s="22"/>
      <c r="D404" s="4"/>
      <c r="E404" s="23"/>
      <c r="F404" s="42"/>
      <c r="G404" s="11">
        <v>16</v>
      </c>
      <c r="H404" s="1">
        <v>1</v>
      </c>
      <c r="I404" s="1">
        <v>4</v>
      </c>
      <c r="J404" s="9">
        <f>D401</f>
        <v>0.74299999999999999</v>
      </c>
      <c r="K404" s="46" t="str">
        <f t="shared" si="73"/>
        <v>0</v>
      </c>
      <c r="L404" s="45">
        <v>1</v>
      </c>
      <c r="M404" s="1">
        <f t="shared" si="74"/>
        <v>3.2000000000000001E-2</v>
      </c>
      <c r="N404" s="5">
        <f>J404+E404-M404</f>
        <v>0.71099999999999997</v>
      </c>
      <c r="O404" s="5">
        <f t="shared" si="72"/>
        <v>2.8439999999999999</v>
      </c>
      <c r="P404" s="18" t="str">
        <f t="shared" si="66"/>
        <v/>
      </c>
      <c r="Q404" s="18" t="str">
        <f t="shared" si="67"/>
        <v/>
      </c>
      <c r="R404" s="18" t="str">
        <f t="shared" si="68"/>
        <v/>
      </c>
      <c r="S404" s="18">
        <f t="shared" si="69"/>
        <v>2.8439999999999999</v>
      </c>
      <c r="T404" s="18" t="str">
        <f t="shared" si="70"/>
        <v/>
      </c>
      <c r="U404" s="18" t="str">
        <f t="shared" si="71"/>
        <v/>
      </c>
      <c r="V404" s="1"/>
    </row>
    <row r="405" spans="1:22" x14ac:dyDescent="0.25">
      <c r="A405" s="14"/>
      <c r="B405" s="33" t="s">
        <v>35</v>
      </c>
      <c r="C405" s="22"/>
      <c r="D405" s="4"/>
      <c r="E405" s="23"/>
      <c r="F405" s="42"/>
      <c r="G405" s="11">
        <v>16</v>
      </c>
      <c r="H405" s="1">
        <v>1</v>
      </c>
      <c r="I405" s="1">
        <v>4</v>
      </c>
      <c r="J405" s="9">
        <f>D401</f>
        <v>0.74299999999999999</v>
      </c>
      <c r="K405" s="46" t="str">
        <f t="shared" si="73"/>
        <v>0</v>
      </c>
      <c r="L405" s="45">
        <v>1</v>
      </c>
      <c r="M405" s="1">
        <f t="shared" si="74"/>
        <v>3.2000000000000001E-2</v>
      </c>
      <c r="N405" s="5">
        <f>J405+E405-M405</f>
        <v>0.71099999999999997</v>
      </c>
      <c r="O405" s="5">
        <f t="shared" si="72"/>
        <v>2.8439999999999999</v>
      </c>
      <c r="P405" s="18" t="str">
        <f t="shared" si="66"/>
        <v/>
      </c>
      <c r="Q405" s="18" t="str">
        <f t="shared" si="67"/>
        <v/>
      </c>
      <c r="R405" s="18" t="str">
        <f t="shared" si="68"/>
        <v/>
      </c>
      <c r="S405" s="18">
        <f t="shared" si="69"/>
        <v>2.8439999999999999</v>
      </c>
      <c r="T405" s="18" t="str">
        <f t="shared" si="70"/>
        <v/>
      </c>
      <c r="U405" s="18" t="str">
        <f t="shared" si="71"/>
        <v/>
      </c>
      <c r="V405" s="1"/>
    </row>
    <row r="406" spans="1:22" x14ac:dyDescent="0.25">
      <c r="A406" s="14"/>
      <c r="B406" s="33" t="s">
        <v>51</v>
      </c>
      <c r="C406" s="22"/>
      <c r="D406" s="4"/>
      <c r="E406" s="23"/>
      <c r="F406" s="42"/>
      <c r="G406" s="11">
        <v>16</v>
      </c>
      <c r="H406" s="1">
        <v>1</v>
      </c>
      <c r="I406" s="1">
        <v>4</v>
      </c>
      <c r="J406" s="9">
        <f>D401</f>
        <v>0.74299999999999999</v>
      </c>
      <c r="K406" s="46" t="str">
        <f t="shared" si="73"/>
        <v>0</v>
      </c>
      <c r="L406" s="45">
        <v>1</v>
      </c>
      <c r="M406" s="1">
        <f t="shared" si="74"/>
        <v>3.2000000000000001E-2</v>
      </c>
      <c r="N406" s="5">
        <f>J406+E406-M406</f>
        <v>0.71099999999999997</v>
      </c>
      <c r="O406" s="5">
        <f t="shared" si="72"/>
        <v>2.8439999999999999</v>
      </c>
      <c r="P406" s="18" t="str">
        <f t="shared" si="66"/>
        <v/>
      </c>
      <c r="Q406" s="18" t="str">
        <f t="shared" si="67"/>
        <v/>
      </c>
      <c r="R406" s="18" t="str">
        <f t="shared" si="68"/>
        <v/>
      </c>
      <c r="S406" s="18">
        <f t="shared" si="69"/>
        <v>2.8439999999999999</v>
      </c>
      <c r="T406" s="18" t="str">
        <f t="shared" si="70"/>
        <v/>
      </c>
      <c r="U406" s="18" t="str">
        <f t="shared" si="71"/>
        <v/>
      </c>
      <c r="V406" s="1"/>
    </row>
    <row r="407" spans="1:22" x14ac:dyDescent="0.25">
      <c r="A407" s="14"/>
      <c r="B407" s="33" t="s">
        <v>53</v>
      </c>
      <c r="C407" s="22"/>
      <c r="D407" s="4"/>
      <c r="E407" s="23"/>
      <c r="F407" s="42"/>
      <c r="G407" s="11">
        <v>16</v>
      </c>
      <c r="H407" s="1">
        <v>1</v>
      </c>
      <c r="I407" s="1">
        <v>4</v>
      </c>
      <c r="J407" s="9">
        <f>D401</f>
        <v>0.74299999999999999</v>
      </c>
      <c r="K407" s="46" t="str">
        <f t="shared" ref="K407" si="75">IF(N407&lt;12,"0",0.049*G407)</f>
        <v>0</v>
      </c>
      <c r="L407" s="45">
        <v>1</v>
      </c>
      <c r="M407" s="1">
        <f t="shared" ref="M407" si="76">2*G407*L407/1000</f>
        <v>3.2000000000000001E-2</v>
      </c>
      <c r="N407" s="5">
        <f>J407+E407-M407</f>
        <v>0.71099999999999997</v>
      </c>
      <c r="O407" s="5">
        <f t="shared" ref="O407" si="77">H407*I407*N407</f>
        <v>2.8439999999999999</v>
      </c>
      <c r="P407" s="18" t="str">
        <f t="shared" si="66"/>
        <v/>
      </c>
      <c r="Q407" s="18" t="str">
        <f t="shared" si="67"/>
        <v/>
      </c>
      <c r="R407" s="18" t="str">
        <f t="shared" si="68"/>
        <v/>
      </c>
      <c r="S407" s="18">
        <f t="shared" si="69"/>
        <v>2.8439999999999999</v>
      </c>
      <c r="T407" s="18" t="str">
        <f t="shared" si="70"/>
        <v/>
      </c>
      <c r="U407" s="18" t="str">
        <f t="shared" si="71"/>
        <v/>
      </c>
      <c r="V407" s="1"/>
    </row>
    <row r="408" spans="1:22" x14ac:dyDescent="0.25">
      <c r="A408" s="14"/>
      <c r="B408" s="33" t="s">
        <v>56</v>
      </c>
      <c r="C408" s="22"/>
      <c r="D408" s="4"/>
      <c r="E408" s="23"/>
      <c r="F408" s="42"/>
      <c r="G408" s="11">
        <v>16</v>
      </c>
      <c r="H408" s="1">
        <v>1</v>
      </c>
      <c r="I408" s="1">
        <v>8</v>
      </c>
      <c r="J408" s="9">
        <f>D401</f>
        <v>0.74299999999999999</v>
      </c>
      <c r="K408" s="46" t="str">
        <f t="shared" ref="K408" si="78">IF(N408&lt;12,"0",0.049*G408)</f>
        <v>0</v>
      </c>
      <c r="L408" s="45">
        <v>1</v>
      </c>
      <c r="M408" s="1">
        <f t="shared" ref="M408" si="79">2*G408*L408/1000</f>
        <v>3.2000000000000001E-2</v>
      </c>
      <c r="N408" s="5">
        <f>J408+E408-M408</f>
        <v>0.71099999999999997</v>
      </c>
      <c r="O408" s="5">
        <f t="shared" ref="O408" si="80">H408*I408*N408</f>
        <v>5.6879999999999997</v>
      </c>
      <c r="P408" s="18" t="str">
        <f t="shared" si="66"/>
        <v/>
      </c>
      <c r="Q408" s="18" t="str">
        <f t="shared" si="67"/>
        <v/>
      </c>
      <c r="R408" s="18" t="str">
        <f t="shared" si="68"/>
        <v/>
      </c>
      <c r="S408" s="18">
        <f t="shared" si="69"/>
        <v>5.6879999999999997</v>
      </c>
      <c r="T408" s="18" t="str">
        <f t="shared" si="70"/>
        <v/>
      </c>
      <c r="U408" s="18" t="str">
        <f t="shared" si="71"/>
        <v/>
      </c>
      <c r="V408" s="1"/>
    </row>
    <row r="409" spans="1:22" x14ac:dyDescent="0.25">
      <c r="A409" s="14"/>
      <c r="B409" s="33"/>
      <c r="C409" s="22"/>
      <c r="D409" s="4"/>
      <c r="E409" s="23"/>
      <c r="F409" s="42"/>
      <c r="G409" s="11"/>
      <c r="H409" s="1"/>
      <c r="I409" s="1"/>
      <c r="J409" s="9"/>
      <c r="K409" s="46"/>
      <c r="L409" s="45"/>
      <c r="M409" s="1"/>
      <c r="N409" s="5"/>
      <c r="O409" s="5"/>
      <c r="P409" s="18"/>
      <c r="Q409" s="18"/>
      <c r="R409" s="18"/>
      <c r="S409" s="18"/>
      <c r="T409" s="18"/>
      <c r="U409" s="18"/>
      <c r="V409" s="1"/>
    </row>
    <row r="410" spans="1:22" x14ac:dyDescent="0.25">
      <c r="A410" s="14"/>
      <c r="B410" s="14"/>
      <c r="C410" s="47">
        <v>0.1</v>
      </c>
      <c r="D410" s="4"/>
      <c r="E410" s="23"/>
      <c r="F410" s="42"/>
      <c r="G410" s="11"/>
      <c r="H410" s="1"/>
      <c r="I410" s="1"/>
      <c r="J410" s="2"/>
      <c r="K410" s="1"/>
      <c r="L410" s="1"/>
      <c r="M410" s="1"/>
      <c r="N410" s="1"/>
      <c r="O410" s="3"/>
      <c r="P410" s="18" t="str">
        <f t="shared" si="66"/>
        <v/>
      </c>
      <c r="Q410" s="18" t="str">
        <f t="shared" si="67"/>
        <v/>
      </c>
      <c r="R410" s="18" t="str">
        <f t="shared" si="68"/>
        <v/>
      </c>
      <c r="S410" s="18" t="str">
        <f t="shared" si="69"/>
        <v/>
      </c>
      <c r="T410" s="18" t="str">
        <f t="shared" si="70"/>
        <v/>
      </c>
      <c r="U410" s="18" t="str">
        <f t="shared" si="71"/>
        <v/>
      </c>
      <c r="V410" s="1"/>
    </row>
    <row r="411" spans="1:22" x14ac:dyDescent="0.25">
      <c r="A411" s="14"/>
      <c r="B411" s="34" t="s">
        <v>20</v>
      </c>
      <c r="C411" s="26"/>
      <c r="D411" s="4"/>
      <c r="E411" s="40">
        <f>1.855-0.05</f>
        <v>1.8049999999999999</v>
      </c>
      <c r="F411" s="42"/>
      <c r="G411" s="11">
        <v>10</v>
      </c>
      <c r="H411" s="1">
        <v>1</v>
      </c>
      <c r="I411" s="1">
        <v>4</v>
      </c>
      <c r="J411" s="41">
        <f>2*(D413+E411)+16*10/1000</f>
        <v>4.13</v>
      </c>
      <c r="K411" s="1"/>
      <c r="L411" s="1"/>
      <c r="M411" s="1"/>
      <c r="N411" s="5">
        <f>(J411+K411-M411)</f>
        <v>4.13</v>
      </c>
      <c r="O411" s="5">
        <f>(H411*I411*N411)</f>
        <v>16.52</v>
      </c>
      <c r="P411" s="18" t="str">
        <f t="shared" si="66"/>
        <v/>
      </c>
      <c r="Q411" s="18">
        <f t="shared" si="67"/>
        <v>16.52</v>
      </c>
      <c r="R411" s="18" t="str">
        <f t="shared" si="68"/>
        <v/>
      </c>
      <c r="S411" s="18" t="str">
        <f t="shared" si="69"/>
        <v/>
      </c>
      <c r="T411" s="18" t="str">
        <f t="shared" si="70"/>
        <v/>
      </c>
      <c r="U411" s="18" t="str">
        <f t="shared" si="71"/>
        <v/>
      </c>
      <c r="V411" s="1"/>
    </row>
    <row r="412" spans="1:22" x14ac:dyDescent="0.25">
      <c r="A412" s="14"/>
      <c r="B412" s="34"/>
      <c r="C412" s="22"/>
      <c r="D412" s="4"/>
      <c r="E412" s="27"/>
      <c r="F412" s="42"/>
      <c r="G412" s="11"/>
      <c r="H412" s="1"/>
      <c r="I412" s="1"/>
      <c r="J412" s="2"/>
      <c r="K412" s="1"/>
      <c r="L412" s="1"/>
      <c r="M412" s="1"/>
      <c r="N412" s="1"/>
      <c r="O412" s="5"/>
      <c r="P412" s="18" t="str">
        <f t="shared" si="66"/>
        <v/>
      </c>
      <c r="Q412" s="18" t="str">
        <f t="shared" si="67"/>
        <v/>
      </c>
      <c r="R412" s="18" t="str">
        <f t="shared" si="68"/>
        <v/>
      </c>
      <c r="S412" s="18" t="str">
        <f t="shared" si="69"/>
        <v/>
      </c>
      <c r="T412" s="18" t="str">
        <f t="shared" si="70"/>
        <v/>
      </c>
      <c r="U412" s="18" t="str">
        <f t="shared" si="71"/>
        <v/>
      </c>
      <c r="V412" s="1"/>
    </row>
    <row r="413" spans="1:22" x14ac:dyDescent="0.25">
      <c r="A413" s="14"/>
      <c r="B413" s="34"/>
      <c r="C413" s="22"/>
      <c r="D413" s="9">
        <f>0.23-0.05</f>
        <v>0.18</v>
      </c>
      <c r="E413" s="23"/>
      <c r="F413" s="42"/>
      <c r="G413" s="11"/>
      <c r="H413" s="1"/>
      <c r="I413" s="1"/>
      <c r="J413" s="2"/>
      <c r="K413" s="1"/>
      <c r="L413" s="1"/>
      <c r="M413" s="1"/>
      <c r="N413" s="1"/>
      <c r="O413" s="5"/>
      <c r="P413" s="18" t="str">
        <f t="shared" si="66"/>
        <v/>
      </c>
      <c r="Q413" s="18" t="str">
        <f t="shared" si="67"/>
        <v/>
      </c>
      <c r="R413" s="18" t="str">
        <f t="shared" si="68"/>
        <v/>
      </c>
      <c r="S413" s="18" t="str">
        <f t="shared" si="69"/>
        <v/>
      </c>
      <c r="T413" s="18" t="str">
        <f t="shared" si="70"/>
        <v/>
      </c>
      <c r="U413" s="18" t="str">
        <f t="shared" si="71"/>
        <v/>
      </c>
      <c r="V413" s="1"/>
    </row>
    <row r="414" spans="1:22" x14ac:dyDescent="0.25">
      <c r="A414" s="14"/>
      <c r="B414" s="33"/>
      <c r="C414" s="22"/>
      <c r="D414" s="4"/>
      <c r="E414" s="23"/>
      <c r="F414" s="42"/>
      <c r="G414" s="11"/>
      <c r="H414" s="1"/>
      <c r="I414" s="1"/>
      <c r="J414" s="2"/>
      <c r="K414" s="1"/>
      <c r="L414" s="1"/>
      <c r="M414" s="1"/>
      <c r="N414" s="1"/>
      <c r="O414" s="5"/>
      <c r="P414" s="18" t="str">
        <f t="shared" si="66"/>
        <v/>
      </c>
      <c r="Q414" s="18" t="str">
        <f t="shared" si="67"/>
        <v/>
      </c>
      <c r="R414" s="18" t="str">
        <f t="shared" si="68"/>
        <v/>
      </c>
      <c r="S414" s="18" t="str">
        <f t="shared" si="69"/>
        <v/>
      </c>
      <c r="T414" s="18" t="str">
        <f t="shared" si="70"/>
        <v/>
      </c>
      <c r="U414" s="18" t="str">
        <f t="shared" si="71"/>
        <v/>
      </c>
      <c r="V414" s="1"/>
    </row>
    <row r="415" spans="1:22" x14ac:dyDescent="0.25">
      <c r="A415" s="14"/>
      <c r="B415" s="14"/>
      <c r="C415" s="47">
        <v>0.1</v>
      </c>
      <c r="D415" s="4"/>
      <c r="E415" s="23"/>
      <c r="F415" s="42"/>
      <c r="G415" s="11"/>
      <c r="H415" s="1"/>
      <c r="I415" s="1"/>
      <c r="J415" s="2"/>
      <c r="K415" s="1"/>
      <c r="L415" s="1"/>
      <c r="M415" s="1"/>
      <c r="N415" s="1"/>
      <c r="O415" s="5"/>
      <c r="P415" s="18" t="str">
        <f t="shared" si="66"/>
        <v/>
      </c>
      <c r="Q415" s="18" t="str">
        <f t="shared" si="67"/>
        <v/>
      </c>
      <c r="R415" s="18" t="str">
        <f t="shared" si="68"/>
        <v/>
      </c>
      <c r="S415" s="18" t="str">
        <f t="shared" si="69"/>
        <v/>
      </c>
      <c r="T415" s="18" t="str">
        <f t="shared" si="70"/>
        <v/>
      </c>
      <c r="U415" s="18" t="str">
        <f t="shared" si="71"/>
        <v/>
      </c>
      <c r="V415" s="1"/>
    </row>
    <row r="416" spans="1:22" x14ac:dyDescent="0.25">
      <c r="A416" s="14"/>
      <c r="B416" s="34" t="s">
        <v>21</v>
      </c>
      <c r="C416" s="26"/>
      <c r="D416" s="4"/>
      <c r="E416" s="40">
        <f>((1.855-0.05-0.016)/17)+0.016+0.02</f>
        <v>0.14123529411764704</v>
      </c>
      <c r="F416" s="42"/>
      <c r="G416" s="11">
        <v>10</v>
      </c>
      <c r="H416" s="1">
        <v>1</v>
      </c>
      <c r="I416" s="1">
        <f>1*8</f>
        <v>8</v>
      </c>
      <c r="J416" s="41">
        <f>2*(D418+E416)+16*10/1000</f>
        <v>0.80247058823529416</v>
      </c>
      <c r="K416" s="1"/>
      <c r="L416" s="1"/>
      <c r="M416" s="1"/>
      <c r="N416" s="5">
        <f>(J416+K416-M416)</f>
        <v>0.80247058823529416</v>
      </c>
      <c r="O416" s="5">
        <f>(H416*I416*N416)</f>
        <v>6.4197647058823533</v>
      </c>
      <c r="P416" s="18" t="str">
        <f t="shared" si="66"/>
        <v/>
      </c>
      <c r="Q416" s="18">
        <f t="shared" si="67"/>
        <v>6.4197647058823533</v>
      </c>
      <c r="R416" s="18" t="str">
        <f t="shared" si="68"/>
        <v/>
      </c>
      <c r="S416" s="18" t="str">
        <f t="shared" si="69"/>
        <v/>
      </c>
      <c r="T416" s="18" t="str">
        <f t="shared" si="70"/>
        <v/>
      </c>
      <c r="U416" s="18" t="str">
        <f t="shared" si="71"/>
        <v/>
      </c>
      <c r="V416" s="1"/>
    </row>
    <row r="417" spans="1:22" x14ac:dyDescent="0.25">
      <c r="A417" s="14"/>
      <c r="B417" s="34"/>
      <c r="C417" s="22"/>
      <c r="D417" s="4"/>
      <c r="E417" s="27"/>
      <c r="F417" s="42"/>
      <c r="G417" s="11"/>
      <c r="H417" s="1"/>
      <c r="I417" s="1"/>
      <c r="J417" s="2"/>
      <c r="K417" s="1"/>
      <c r="L417" s="1"/>
      <c r="M417" s="1"/>
      <c r="N417" s="1"/>
      <c r="O417" s="5"/>
      <c r="P417" s="18" t="str">
        <f t="shared" si="66"/>
        <v/>
      </c>
      <c r="Q417" s="18" t="str">
        <f t="shared" si="67"/>
        <v/>
      </c>
      <c r="R417" s="18" t="str">
        <f t="shared" si="68"/>
        <v/>
      </c>
      <c r="S417" s="18" t="str">
        <f t="shared" si="69"/>
        <v/>
      </c>
      <c r="T417" s="18" t="str">
        <f t="shared" si="70"/>
        <v/>
      </c>
      <c r="U417" s="18" t="str">
        <f t="shared" si="71"/>
        <v/>
      </c>
      <c r="V417" s="1"/>
    </row>
    <row r="418" spans="1:22" x14ac:dyDescent="0.25">
      <c r="A418" s="14"/>
      <c r="B418" s="34"/>
      <c r="C418" s="22"/>
      <c r="D418" s="9">
        <f>0.23-0.05</f>
        <v>0.18</v>
      </c>
      <c r="E418" s="23"/>
      <c r="F418" s="42"/>
      <c r="G418" s="11"/>
      <c r="H418" s="1"/>
      <c r="I418" s="1"/>
      <c r="J418" s="2"/>
      <c r="K418" s="1"/>
      <c r="L418" s="1"/>
      <c r="M418" s="1"/>
      <c r="N418" s="1"/>
      <c r="O418" s="5"/>
      <c r="P418" s="18" t="str">
        <f t="shared" si="66"/>
        <v/>
      </c>
      <c r="Q418" s="18" t="str">
        <f t="shared" si="67"/>
        <v/>
      </c>
      <c r="R418" s="18" t="str">
        <f t="shared" si="68"/>
        <v/>
      </c>
      <c r="S418" s="18" t="str">
        <f t="shared" si="69"/>
        <v/>
      </c>
      <c r="T418" s="18" t="str">
        <f t="shared" si="70"/>
        <v/>
      </c>
      <c r="U418" s="18" t="str">
        <f t="shared" si="71"/>
        <v/>
      </c>
      <c r="V418" s="1"/>
    </row>
    <row r="419" spans="1:22" x14ac:dyDescent="0.25">
      <c r="A419" s="14"/>
      <c r="B419" s="34"/>
      <c r="C419" s="22"/>
      <c r="D419" s="28"/>
      <c r="E419" s="23"/>
      <c r="F419" s="42"/>
      <c r="G419" s="11"/>
      <c r="H419" s="1"/>
      <c r="I419" s="1"/>
      <c r="J419" s="2"/>
      <c r="K419" s="1"/>
      <c r="L419" s="1"/>
      <c r="M419" s="1"/>
      <c r="N419" s="1"/>
      <c r="O419" s="3"/>
      <c r="P419" s="18" t="str">
        <f t="shared" si="66"/>
        <v/>
      </c>
      <c r="Q419" s="18" t="str">
        <f t="shared" si="67"/>
        <v/>
      </c>
      <c r="R419" s="18" t="str">
        <f t="shared" si="68"/>
        <v/>
      </c>
      <c r="S419" s="18" t="str">
        <f t="shared" si="69"/>
        <v/>
      </c>
      <c r="T419" s="18" t="str">
        <f t="shared" si="70"/>
        <v/>
      </c>
      <c r="U419" s="18" t="str">
        <f t="shared" si="71"/>
        <v/>
      </c>
      <c r="V419" s="1"/>
    </row>
    <row r="420" spans="1:22" x14ac:dyDescent="0.25">
      <c r="A420" s="14">
        <v>16</v>
      </c>
      <c r="B420" s="14" t="s">
        <v>57</v>
      </c>
      <c r="C420" s="22"/>
      <c r="D420" s="4"/>
      <c r="E420" s="23"/>
      <c r="F420" s="42"/>
      <c r="G420" s="11"/>
      <c r="H420" s="1"/>
      <c r="I420" s="1"/>
      <c r="J420" s="9"/>
      <c r="K420" s="5"/>
      <c r="L420" s="5"/>
      <c r="M420" s="1"/>
      <c r="N420" s="5"/>
      <c r="O420" s="5"/>
      <c r="P420" s="18" t="str">
        <f>IF($G420=8,$O420,"")</f>
        <v/>
      </c>
      <c r="Q420" s="18" t="str">
        <f>IF($G420=10,$O420,"")</f>
        <v/>
      </c>
      <c r="R420" s="18" t="str">
        <f>IF($G420=12,$O420,"")</f>
        <v/>
      </c>
      <c r="S420" s="18" t="str">
        <f>IF($G420=16,$O420,"")</f>
        <v/>
      </c>
      <c r="T420" s="18" t="str">
        <f>IF($G420=20,$O420,"")</f>
        <v/>
      </c>
      <c r="U420" s="18" t="str">
        <f>IF($G420=25,$O420,"")</f>
        <v/>
      </c>
      <c r="V420" s="1"/>
    </row>
    <row r="421" spans="1:22" x14ac:dyDescent="0.25">
      <c r="A421" s="14"/>
      <c r="B421" s="33" t="s">
        <v>18</v>
      </c>
      <c r="C421" s="22"/>
      <c r="D421" s="25">
        <f>0.85-0.075-2*0.016</f>
        <v>0.74299999999999999</v>
      </c>
      <c r="E421" s="23"/>
      <c r="F421" s="42"/>
      <c r="G421" s="11">
        <v>16</v>
      </c>
      <c r="H421" s="1">
        <v>1</v>
      </c>
      <c r="I421" s="1">
        <v>8</v>
      </c>
      <c r="J421" s="9">
        <f>D421</f>
        <v>0.74299999999999999</v>
      </c>
      <c r="K421" s="46" t="str">
        <f>IF(N421&lt;12,"0",0.049*G421)</f>
        <v>0</v>
      </c>
      <c r="L421" s="45">
        <v>1</v>
      </c>
      <c r="M421" s="1">
        <f>2*G421*L421/1000</f>
        <v>3.2000000000000001E-2</v>
      </c>
      <c r="N421" s="5">
        <f>J421+E423-M421</f>
        <v>1.0109999999999999</v>
      </c>
      <c r="O421" s="5">
        <f>H421*I421*N421</f>
        <v>8.0879999999999992</v>
      </c>
      <c r="P421" s="18" t="str">
        <f t="shared" si="66"/>
        <v/>
      </c>
      <c r="Q421" s="18" t="str">
        <f t="shared" si="67"/>
        <v/>
      </c>
      <c r="R421" s="18" t="str">
        <f t="shared" si="68"/>
        <v/>
      </c>
      <c r="S421" s="18">
        <f t="shared" si="69"/>
        <v>8.0879999999999992</v>
      </c>
      <c r="T421" s="18" t="str">
        <f t="shared" si="70"/>
        <v/>
      </c>
      <c r="U421" s="18" t="str">
        <f t="shared" si="71"/>
        <v/>
      </c>
      <c r="V421" s="1"/>
    </row>
    <row r="422" spans="1:22" x14ac:dyDescent="0.25">
      <c r="A422" s="14"/>
      <c r="B422" s="33" t="s">
        <v>32</v>
      </c>
      <c r="C422" s="22"/>
      <c r="D422" s="4"/>
      <c r="E422" s="23"/>
      <c r="F422" s="42"/>
      <c r="G422" s="11">
        <v>16</v>
      </c>
      <c r="H422" s="1">
        <v>1</v>
      </c>
      <c r="I422" s="1">
        <v>16</v>
      </c>
      <c r="J422" s="9">
        <f>D421</f>
        <v>0.74299999999999999</v>
      </c>
      <c r="K422" s="46" t="str">
        <f t="shared" ref="K422:K423" si="81">IF(N422&lt;12,"0",0.049*G422)</f>
        <v>0</v>
      </c>
      <c r="L422" s="45">
        <v>1</v>
      </c>
      <c r="M422" s="1">
        <f t="shared" ref="M422:M423" si="82">2*G422*L422/1000</f>
        <v>3.2000000000000001E-2</v>
      </c>
      <c r="N422" s="5">
        <f>J422+E423-M422</f>
        <v>1.0109999999999999</v>
      </c>
      <c r="O422" s="5">
        <f>H422*I422*N422</f>
        <v>16.175999999999998</v>
      </c>
      <c r="P422" s="18" t="str">
        <f t="shared" si="66"/>
        <v/>
      </c>
      <c r="Q422" s="18" t="str">
        <f t="shared" si="67"/>
        <v/>
      </c>
      <c r="R422" s="18" t="str">
        <f t="shared" si="68"/>
        <v/>
      </c>
      <c r="S422" s="18">
        <f t="shared" si="69"/>
        <v>16.175999999999998</v>
      </c>
      <c r="T422" s="18" t="str">
        <f t="shared" si="70"/>
        <v/>
      </c>
      <c r="U422" s="18" t="str">
        <f t="shared" si="71"/>
        <v/>
      </c>
      <c r="V422" s="1"/>
    </row>
    <row r="423" spans="1:22" x14ac:dyDescent="0.25">
      <c r="A423" s="14"/>
      <c r="B423" s="33" t="s">
        <v>26</v>
      </c>
      <c r="C423" s="24"/>
      <c r="D423" s="25"/>
      <c r="E423" s="39">
        <v>0.3</v>
      </c>
      <c r="F423" s="42"/>
      <c r="G423" s="11">
        <v>12</v>
      </c>
      <c r="H423" s="1">
        <v>1</v>
      </c>
      <c r="I423" s="1">
        <v>10</v>
      </c>
      <c r="J423" s="9">
        <f>D421</f>
        <v>0.74299999999999999</v>
      </c>
      <c r="K423" s="46" t="str">
        <f t="shared" si="81"/>
        <v>0</v>
      </c>
      <c r="L423" s="45">
        <v>1</v>
      </c>
      <c r="M423" s="1">
        <f t="shared" si="82"/>
        <v>2.4E-2</v>
      </c>
      <c r="N423" s="5">
        <f>J423+E423-M423</f>
        <v>1.0189999999999999</v>
      </c>
      <c r="O423" s="5">
        <f>H423*I423*N423</f>
        <v>10.19</v>
      </c>
      <c r="P423" s="18" t="str">
        <f t="shared" si="66"/>
        <v/>
      </c>
      <c r="Q423" s="18" t="str">
        <f t="shared" si="67"/>
        <v/>
      </c>
      <c r="R423" s="18">
        <f t="shared" si="68"/>
        <v>10.19</v>
      </c>
      <c r="S423" s="18" t="str">
        <f t="shared" si="69"/>
        <v/>
      </c>
      <c r="T423" s="18" t="str">
        <f t="shared" si="70"/>
        <v/>
      </c>
      <c r="U423" s="18" t="str">
        <f t="shared" si="71"/>
        <v/>
      </c>
      <c r="V423" s="1"/>
    </row>
    <row r="424" spans="1:22" x14ac:dyDescent="0.25">
      <c r="A424" s="14"/>
      <c r="B424" s="33"/>
      <c r="C424" s="22"/>
      <c r="D424" s="4"/>
      <c r="E424" s="23"/>
      <c r="F424" s="42"/>
      <c r="G424" s="11"/>
      <c r="H424" s="1"/>
      <c r="I424" s="1"/>
      <c r="J424" s="9"/>
      <c r="K424" s="46"/>
      <c r="L424" s="45"/>
      <c r="M424" s="1"/>
      <c r="N424" s="5"/>
      <c r="O424" s="5"/>
      <c r="P424" s="18" t="str">
        <f t="shared" si="66"/>
        <v/>
      </c>
      <c r="Q424" s="18" t="str">
        <f t="shared" si="67"/>
        <v/>
      </c>
      <c r="R424" s="18" t="str">
        <f t="shared" si="68"/>
        <v/>
      </c>
      <c r="S424" s="18" t="str">
        <f t="shared" si="69"/>
        <v/>
      </c>
      <c r="T424" s="18" t="str">
        <f t="shared" si="70"/>
        <v/>
      </c>
      <c r="U424" s="18" t="str">
        <f t="shared" si="71"/>
        <v/>
      </c>
      <c r="V424" s="1"/>
    </row>
    <row r="425" spans="1:22" x14ac:dyDescent="0.25">
      <c r="A425" s="14"/>
      <c r="B425" s="33"/>
      <c r="C425" s="22"/>
      <c r="D425" s="4"/>
      <c r="E425" s="23"/>
      <c r="F425" s="42"/>
      <c r="G425" s="11"/>
      <c r="H425" s="1"/>
      <c r="I425" s="1"/>
      <c r="J425" s="2"/>
      <c r="K425" s="1"/>
      <c r="L425" s="1"/>
      <c r="M425" s="1"/>
      <c r="N425" s="1"/>
      <c r="O425" s="3"/>
      <c r="P425" s="18" t="str">
        <f t="shared" si="66"/>
        <v/>
      </c>
      <c r="Q425" s="18" t="str">
        <f t="shared" si="67"/>
        <v/>
      </c>
      <c r="R425" s="18" t="str">
        <f t="shared" si="68"/>
        <v/>
      </c>
      <c r="S425" s="18" t="str">
        <f t="shared" si="69"/>
        <v/>
      </c>
      <c r="T425" s="18" t="str">
        <f t="shared" si="70"/>
        <v/>
      </c>
      <c r="U425" s="18" t="str">
        <f t="shared" si="71"/>
        <v/>
      </c>
      <c r="V425" s="1"/>
    </row>
    <row r="426" spans="1:22" x14ac:dyDescent="0.25">
      <c r="A426" s="14"/>
      <c r="B426" s="14"/>
      <c r="C426" s="47">
        <v>0.1</v>
      </c>
      <c r="D426" s="4"/>
      <c r="E426" s="23"/>
      <c r="F426" s="42"/>
      <c r="G426" s="11"/>
      <c r="H426" s="1"/>
      <c r="I426" s="1"/>
      <c r="J426" s="2"/>
      <c r="K426" s="1"/>
      <c r="L426" s="1"/>
      <c r="M426" s="1"/>
      <c r="N426" s="1"/>
      <c r="O426" s="3"/>
      <c r="P426" s="18" t="str">
        <f t="shared" si="66"/>
        <v/>
      </c>
      <c r="Q426" s="18" t="str">
        <f t="shared" si="67"/>
        <v/>
      </c>
      <c r="R426" s="18" t="str">
        <f t="shared" si="68"/>
        <v/>
      </c>
      <c r="S426" s="18" t="str">
        <f t="shared" si="69"/>
        <v/>
      </c>
      <c r="T426" s="18" t="str">
        <f t="shared" si="70"/>
        <v/>
      </c>
      <c r="U426" s="18" t="str">
        <f t="shared" si="71"/>
        <v/>
      </c>
      <c r="V426" s="1"/>
    </row>
    <row r="427" spans="1:22" x14ac:dyDescent="0.25">
      <c r="A427" s="14"/>
      <c r="B427" s="34" t="s">
        <v>20</v>
      </c>
      <c r="C427" s="26"/>
      <c r="D427" s="4"/>
      <c r="E427" s="40">
        <f>0.65-0.05</f>
        <v>0.6</v>
      </c>
      <c r="F427" s="42"/>
      <c r="G427" s="11">
        <v>10</v>
      </c>
      <c r="H427" s="1">
        <v>1</v>
      </c>
      <c r="I427" s="1">
        <v>4</v>
      </c>
      <c r="J427" s="41">
        <f>2*(D429+E427)+16*10/1000</f>
        <v>1.72</v>
      </c>
      <c r="K427" s="1"/>
      <c r="L427" s="1"/>
      <c r="M427" s="1"/>
      <c r="N427" s="5">
        <f>(J427+K427-M427)</f>
        <v>1.72</v>
      </c>
      <c r="O427" s="5">
        <f>(H427*I427*N427)</f>
        <v>6.88</v>
      </c>
      <c r="P427" s="18" t="str">
        <f t="shared" si="66"/>
        <v/>
      </c>
      <c r="Q427" s="18">
        <f t="shared" si="67"/>
        <v>6.88</v>
      </c>
      <c r="R427" s="18" t="str">
        <f t="shared" si="68"/>
        <v/>
      </c>
      <c r="S427" s="18" t="str">
        <f t="shared" si="69"/>
        <v/>
      </c>
      <c r="T427" s="18" t="str">
        <f t="shared" si="70"/>
        <v/>
      </c>
      <c r="U427" s="18" t="str">
        <f t="shared" si="71"/>
        <v/>
      </c>
      <c r="V427" s="1"/>
    </row>
    <row r="428" spans="1:22" x14ac:dyDescent="0.25">
      <c r="A428" s="14"/>
      <c r="B428" s="34"/>
      <c r="C428" s="22"/>
      <c r="D428" s="4"/>
      <c r="E428" s="27"/>
      <c r="F428" s="42"/>
      <c r="G428" s="11"/>
      <c r="H428" s="1"/>
      <c r="I428" s="1"/>
      <c r="J428" s="2"/>
      <c r="K428" s="1"/>
      <c r="L428" s="1"/>
      <c r="M428" s="1"/>
      <c r="N428" s="1"/>
      <c r="O428" s="5"/>
      <c r="P428" s="18" t="str">
        <f t="shared" si="66"/>
        <v/>
      </c>
      <c r="Q428" s="18" t="str">
        <f t="shared" si="67"/>
        <v/>
      </c>
      <c r="R428" s="18" t="str">
        <f t="shared" si="68"/>
        <v/>
      </c>
      <c r="S428" s="18" t="str">
        <f t="shared" si="69"/>
        <v/>
      </c>
      <c r="T428" s="18" t="str">
        <f t="shared" si="70"/>
        <v/>
      </c>
      <c r="U428" s="18" t="str">
        <f t="shared" si="71"/>
        <v/>
      </c>
      <c r="V428" s="1"/>
    </row>
    <row r="429" spans="1:22" x14ac:dyDescent="0.25">
      <c r="A429" s="14"/>
      <c r="B429" s="34"/>
      <c r="C429" s="22"/>
      <c r="D429" s="9">
        <f>0.23-0.05</f>
        <v>0.18</v>
      </c>
      <c r="E429" s="23"/>
      <c r="F429" s="42"/>
      <c r="G429" s="11"/>
      <c r="H429" s="1"/>
      <c r="I429" s="1"/>
      <c r="J429" s="2"/>
      <c r="K429" s="1"/>
      <c r="L429" s="1"/>
      <c r="M429" s="1"/>
      <c r="N429" s="1"/>
      <c r="O429" s="5"/>
      <c r="P429" s="18" t="str">
        <f t="shared" si="66"/>
        <v/>
      </c>
      <c r="Q429" s="18" t="str">
        <f t="shared" si="67"/>
        <v/>
      </c>
      <c r="R429" s="18" t="str">
        <f t="shared" si="68"/>
        <v/>
      </c>
      <c r="S429" s="18" t="str">
        <f t="shared" si="69"/>
        <v/>
      </c>
      <c r="T429" s="18" t="str">
        <f t="shared" si="70"/>
        <v/>
      </c>
      <c r="U429" s="18" t="str">
        <f t="shared" si="71"/>
        <v/>
      </c>
      <c r="V429" s="1"/>
    </row>
    <row r="430" spans="1:22" x14ac:dyDescent="0.25">
      <c r="A430" s="14"/>
      <c r="B430" s="33"/>
      <c r="C430" s="22"/>
      <c r="D430" s="4"/>
      <c r="E430" s="23"/>
      <c r="F430" s="42"/>
      <c r="G430" s="11"/>
      <c r="H430" s="1"/>
      <c r="I430" s="1"/>
      <c r="J430" s="2"/>
      <c r="K430" s="1"/>
      <c r="L430" s="1"/>
      <c r="M430" s="1"/>
      <c r="N430" s="1"/>
      <c r="O430" s="3"/>
      <c r="P430" s="18" t="str">
        <f t="shared" si="66"/>
        <v/>
      </c>
      <c r="Q430" s="18" t="str">
        <f t="shared" si="67"/>
        <v/>
      </c>
      <c r="R430" s="18" t="str">
        <f t="shared" si="68"/>
        <v/>
      </c>
      <c r="S430" s="18" t="str">
        <f t="shared" si="69"/>
        <v/>
      </c>
      <c r="T430" s="18" t="str">
        <f t="shared" si="70"/>
        <v/>
      </c>
      <c r="U430" s="18" t="str">
        <f t="shared" si="71"/>
        <v/>
      </c>
      <c r="V430" s="1"/>
    </row>
    <row r="431" spans="1:22" x14ac:dyDescent="0.25">
      <c r="A431" s="14"/>
      <c r="B431" s="14"/>
      <c r="C431" s="47">
        <v>0.1</v>
      </c>
      <c r="D431" s="4"/>
      <c r="E431" s="23"/>
      <c r="F431" s="42"/>
      <c r="G431" s="11"/>
      <c r="H431" s="1"/>
      <c r="I431" s="1"/>
      <c r="J431" s="2"/>
      <c r="K431" s="1"/>
      <c r="L431" s="1"/>
      <c r="M431" s="1"/>
      <c r="N431" s="1"/>
      <c r="O431" s="3"/>
      <c r="P431" s="18" t="str">
        <f t="shared" si="66"/>
        <v/>
      </c>
      <c r="Q431" s="18" t="str">
        <f t="shared" si="67"/>
        <v/>
      </c>
      <c r="R431" s="18" t="str">
        <f t="shared" si="68"/>
        <v/>
      </c>
      <c r="S431" s="18" t="str">
        <f t="shared" si="69"/>
        <v/>
      </c>
      <c r="T431" s="18" t="str">
        <f t="shared" si="70"/>
        <v/>
      </c>
      <c r="U431" s="18" t="str">
        <f t="shared" si="71"/>
        <v/>
      </c>
      <c r="V431" s="1"/>
    </row>
    <row r="432" spans="1:22" x14ac:dyDescent="0.25">
      <c r="A432" s="14"/>
      <c r="B432" s="34" t="s">
        <v>21</v>
      </c>
      <c r="C432" s="26"/>
      <c r="D432" s="4"/>
      <c r="E432" s="40">
        <f>1.85-0.05</f>
        <v>1.8</v>
      </c>
      <c r="F432" s="42"/>
      <c r="G432" s="11">
        <v>10</v>
      </c>
      <c r="H432" s="1">
        <v>1</v>
      </c>
      <c r="I432" s="1">
        <v>4</v>
      </c>
      <c r="J432" s="41">
        <f>2*(D434+E432)+16*10/1000</f>
        <v>4.12</v>
      </c>
      <c r="K432" s="1"/>
      <c r="L432" s="1"/>
      <c r="M432" s="1"/>
      <c r="N432" s="5">
        <f>(J432+K432-M432)</f>
        <v>4.12</v>
      </c>
      <c r="O432" s="5">
        <f>(H432*I432*N432)</f>
        <v>16.48</v>
      </c>
      <c r="P432" s="18" t="str">
        <f t="shared" si="66"/>
        <v/>
      </c>
      <c r="Q432" s="18">
        <f t="shared" si="67"/>
        <v>16.48</v>
      </c>
      <c r="R432" s="18" t="str">
        <f t="shared" si="68"/>
        <v/>
      </c>
      <c r="S432" s="18" t="str">
        <f t="shared" si="69"/>
        <v/>
      </c>
      <c r="T432" s="18" t="str">
        <f t="shared" si="70"/>
        <v/>
      </c>
      <c r="U432" s="18" t="str">
        <f t="shared" si="71"/>
        <v/>
      </c>
      <c r="V432" s="1"/>
    </row>
    <row r="433" spans="1:22" x14ac:dyDescent="0.25">
      <c r="A433" s="14"/>
      <c r="B433" s="34"/>
      <c r="C433" s="22"/>
      <c r="D433" s="4"/>
      <c r="E433" s="27"/>
      <c r="F433" s="42"/>
      <c r="G433" s="11"/>
      <c r="H433" s="1"/>
      <c r="I433" s="1"/>
      <c r="J433" s="2"/>
      <c r="K433" s="1"/>
      <c r="L433" s="1"/>
      <c r="M433" s="1"/>
      <c r="N433" s="1"/>
      <c r="O433" s="5"/>
      <c r="P433" s="18" t="str">
        <f t="shared" si="66"/>
        <v/>
      </c>
      <c r="Q433" s="18" t="str">
        <f t="shared" si="67"/>
        <v/>
      </c>
      <c r="R433" s="18" t="str">
        <f t="shared" si="68"/>
        <v/>
      </c>
      <c r="S433" s="18" t="str">
        <f t="shared" si="69"/>
        <v/>
      </c>
      <c r="T433" s="18" t="str">
        <f t="shared" si="70"/>
        <v/>
      </c>
      <c r="U433" s="18" t="str">
        <f t="shared" si="71"/>
        <v/>
      </c>
      <c r="V433" s="1"/>
    </row>
    <row r="434" spans="1:22" x14ac:dyDescent="0.25">
      <c r="A434" s="14"/>
      <c r="B434" s="34"/>
      <c r="C434" s="22"/>
      <c r="D434" s="9">
        <f>0.23-0.05</f>
        <v>0.18</v>
      </c>
      <c r="E434" s="23"/>
      <c r="F434" s="42"/>
      <c r="G434" s="11"/>
      <c r="H434" s="1"/>
      <c r="I434" s="1"/>
      <c r="J434" s="2"/>
      <c r="K434" s="1"/>
      <c r="L434" s="1"/>
      <c r="M434" s="1"/>
      <c r="N434" s="1"/>
      <c r="O434" s="5"/>
      <c r="P434" s="18" t="str">
        <f t="shared" si="66"/>
        <v/>
      </c>
      <c r="Q434" s="18" t="str">
        <f t="shared" si="67"/>
        <v/>
      </c>
      <c r="R434" s="18" t="str">
        <f t="shared" si="68"/>
        <v/>
      </c>
      <c r="S434" s="18" t="str">
        <f t="shared" si="69"/>
        <v/>
      </c>
      <c r="T434" s="18" t="str">
        <f t="shared" si="70"/>
        <v/>
      </c>
      <c r="U434" s="18" t="str">
        <f t="shared" si="71"/>
        <v/>
      </c>
      <c r="V434" s="1"/>
    </row>
    <row r="435" spans="1:22" x14ac:dyDescent="0.25">
      <c r="A435" s="14"/>
      <c r="B435" s="33"/>
      <c r="C435" s="22"/>
      <c r="D435" s="4"/>
      <c r="E435" s="23"/>
      <c r="F435" s="42"/>
      <c r="G435" s="11"/>
      <c r="H435" s="1"/>
      <c r="I435" s="1"/>
      <c r="J435" s="2"/>
      <c r="K435" s="1"/>
      <c r="L435" s="1"/>
      <c r="M435" s="1"/>
      <c r="N435" s="1"/>
      <c r="O435" s="5"/>
      <c r="P435" s="18" t="str">
        <f t="shared" si="66"/>
        <v/>
      </c>
      <c r="Q435" s="18" t="str">
        <f t="shared" si="67"/>
        <v/>
      </c>
      <c r="R435" s="18" t="str">
        <f t="shared" si="68"/>
        <v/>
      </c>
      <c r="S435" s="18" t="str">
        <f t="shared" si="69"/>
        <v/>
      </c>
      <c r="T435" s="18" t="str">
        <f t="shared" si="70"/>
        <v/>
      </c>
      <c r="U435" s="18" t="str">
        <f t="shared" si="71"/>
        <v/>
      </c>
      <c r="V435" s="1"/>
    </row>
    <row r="436" spans="1:22" x14ac:dyDescent="0.25">
      <c r="A436" s="14"/>
      <c r="B436" s="14"/>
      <c r="C436" s="47">
        <v>0.1</v>
      </c>
      <c r="D436" s="4"/>
      <c r="E436" s="23"/>
      <c r="F436" s="42"/>
      <c r="G436" s="11"/>
      <c r="H436" s="1"/>
      <c r="I436" s="1"/>
      <c r="J436" s="2"/>
      <c r="K436" s="1"/>
      <c r="L436" s="1"/>
      <c r="M436" s="1"/>
      <c r="N436" s="1"/>
      <c r="O436" s="5"/>
      <c r="P436" s="18" t="str">
        <f t="shared" si="66"/>
        <v/>
      </c>
      <c r="Q436" s="18" t="str">
        <f t="shared" si="67"/>
        <v/>
      </c>
      <c r="R436" s="18" t="str">
        <f t="shared" si="68"/>
        <v/>
      </c>
      <c r="S436" s="18" t="str">
        <f t="shared" si="69"/>
        <v/>
      </c>
      <c r="T436" s="18" t="str">
        <f t="shared" si="70"/>
        <v/>
      </c>
      <c r="U436" s="18" t="str">
        <f t="shared" si="71"/>
        <v/>
      </c>
      <c r="V436" s="1"/>
    </row>
    <row r="437" spans="1:22" x14ac:dyDescent="0.25">
      <c r="A437" s="14"/>
      <c r="B437" s="34" t="s">
        <v>22</v>
      </c>
      <c r="C437" s="26"/>
      <c r="D437" s="4"/>
      <c r="E437" s="40">
        <f>((0.6-0.05-0.016)/5)*2+0.012+0.02</f>
        <v>0.24559999999999996</v>
      </c>
      <c r="F437" s="42"/>
      <c r="G437" s="11">
        <v>10</v>
      </c>
      <c r="H437" s="1">
        <v>1</v>
      </c>
      <c r="I437" s="1">
        <v>1</v>
      </c>
      <c r="J437" s="41">
        <f>2*(D439+E437)+16*10/1000</f>
        <v>1.0111999999999999</v>
      </c>
      <c r="K437" s="1"/>
      <c r="L437" s="1"/>
      <c r="M437" s="1"/>
      <c r="N437" s="5">
        <f>(J437+K437-M437)</f>
        <v>1.0111999999999999</v>
      </c>
      <c r="O437" s="5">
        <f>(H437*I437*N437)</f>
        <v>1.0111999999999999</v>
      </c>
      <c r="P437" s="18" t="str">
        <f t="shared" si="66"/>
        <v/>
      </c>
      <c r="Q437" s="18">
        <f t="shared" si="67"/>
        <v>1.0111999999999999</v>
      </c>
      <c r="R437" s="18" t="str">
        <f t="shared" si="68"/>
        <v/>
      </c>
      <c r="S437" s="18" t="str">
        <f t="shared" si="69"/>
        <v/>
      </c>
      <c r="T437" s="18" t="str">
        <f t="shared" si="70"/>
        <v/>
      </c>
      <c r="U437" s="18" t="str">
        <f t="shared" si="71"/>
        <v/>
      </c>
      <c r="V437" s="1"/>
    </row>
    <row r="438" spans="1:22" x14ac:dyDescent="0.25">
      <c r="A438" s="14"/>
      <c r="B438" s="34"/>
      <c r="C438" s="22"/>
      <c r="D438" s="4"/>
      <c r="E438" s="27"/>
      <c r="F438" s="42"/>
      <c r="G438" s="11"/>
      <c r="H438" s="1"/>
      <c r="I438" s="1"/>
      <c r="J438" s="2"/>
      <c r="K438" s="1"/>
      <c r="L438" s="1"/>
      <c r="M438" s="1"/>
      <c r="N438" s="1"/>
      <c r="O438" s="5"/>
      <c r="P438" s="18" t="str">
        <f t="shared" si="66"/>
        <v/>
      </c>
      <c r="Q438" s="18" t="str">
        <f t="shared" si="67"/>
        <v/>
      </c>
      <c r="R438" s="18" t="str">
        <f t="shared" si="68"/>
        <v/>
      </c>
      <c r="S438" s="18" t="str">
        <f t="shared" si="69"/>
        <v/>
      </c>
      <c r="T438" s="18" t="str">
        <f t="shared" si="70"/>
        <v/>
      </c>
      <c r="U438" s="18" t="str">
        <f t="shared" si="71"/>
        <v/>
      </c>
      <c r="V438" s="1"/>
    </row>
    <row r="439" spans="1:22" x14ac:dyDescent="0.25">
      <c r="A439" s="14"/>
      <c r="B439" s="34"/>
      <c r="C439" s="22"/>
      <c r="D439" s="9">
        <f>0.23-0.05</f>
        <v>0.18</v>
      </c>
      <c r="E439" s="23"/>
      <c r="F439" s="42"/>
      <c r="G439" s="11"/>
      <c r="H439" s="1"/>
      <c r="I439" s="1"/>
      <c r="J439" s="2"/>
      <c r="K439" s="1"/>
      <c r="L439" s="1"/>
      <c r="M439" s="1"/>
      <c r="N439" s="1"/>
      <c r="O439" s="5"/>
      <c r="P439" s="18" t="str">
        <f t="shared" si="66"/>
        <v/>
      </c>
      <c r="Q439" s="18" t="str">
        <f t="shared" si="67"/>
        <v/>
      </c>
      <c r="R439" s="18" t="str">
        <f t="shared" si="68"/>
        <v/>
      </c>
      <c r="S439" s="18" t="str">
        <f t="shared" si="69"/>
        <v/>
      </c>
      <c r="T439" s="18" t="str">
        <f t="shared" si="70"/>
        <v/>
      </c>
      <c r="U439" s="18" t="str">
        <f t="shared" si="71"/>
        <v/>
      </c>
      <c r="V439" s="1"/>
    </row>
    <row r="440" spans="1:22" x14ac:dyDescent="0.25">
      <c r="A440" s="14"/>
      <c r="B440" s="33"/>
      <c r="C440" s="22"/>
      <c r="D440" s="4"/>
      <c r="E440" s="23"/>
      <c r="F440" s="42"/>
      <c r="G440" s="11"/>
      <c r="H440" s="1"/>
      <c r="I440" s="1"/>
      <c r="J440" s="2"/>
      <c r="K440" s="1"/>
      <c r="L440" s="1"/>
      <c r="M440" s="1"/>
      <c r="N440" s="1"/>
      <c r="O440" s="3"/>
      <c r="P440" s="18" t="str">
        <f t="shared" si="66"/>
        <v/>
      </c>
      <c r="Q440" s="18" t="str">
        <f t="shared" si="67"/>
        <v/>
      </c>
      <c r="R440" s="18" t="str">
        <f t="shared" si="68"/>
        <v/>
      </c>
      <c r="S440" s="18" t="str">
        <f t="shared" si="69"/>
        <v/>
      </c>
      <c r="T440" s="18" t="str">
        <f t="shared" si="70"/>
        <v/>
      </c>
      <c r="U440" s="18" t="str">
        <f t="shared" si="71"/>
        <v/>
      </c>
      <c r="V440" s="1"/>
    </row>
    <row r="441" spans="1:22" x14ac:dyDescent="0.25">
      <c r="A441" s="14"/>
      <c r="B441" s="14"/>
      <c r="C441" s="47">
        <v>0.1</v>
      </c>
      <c r="D441" s="4"/>
      <c r="E441" s="23"/>
      <c r="F441" s="42"/>
      <c r="G441" s="11"/>
      <c r="H441" s="1"/>
      <c r="I441" s="1"/>
      <c r="J441" s="2"/>
      <c r="K441" s="1"/>
      <c r="L441" s="1"/>
      <c r="M441" s="1"/>
      <c r="N441" s="1"/>
      <c r="O441" s="3"/>
      <c r="P441" s="18" t="str">
        <f t="shared" si="66"/>
        <v/>
      </c>
      <c r="Q441" s="18" t="str">
        <f t="shared" si="67"/>
        <v/>
      </c>
      <c r="R441" s="18" t="str">
        <f t="shared" si="68"/>
        <v/>
      </c>
      <c r="S441" s="18" t="str">
        <f t="shared" si="69"/>
        <v/>
      </c>
      <c r="T441" s="18" t="str">
        <f t="shared" si="70"/>
        <v/>
      </c>
      <c r="U441" s="18" t="str">
        <f t="shared" si="71"/>
        <v/>
      </c>
      <c r="V441" s="1"/>
    </row>
    <row r="442" spans="1:22" x14ac:dyDescent="0.25">
      <c r="A442" s="14"/>
      <c r="B442" s="34" t="s">
        <v>36</v>
      </c>
      <c r="C442" s="26"/>
      <c r="D442" s="4"/>
      <c r="E442" s="40">
        <f>((1.8-0.05-0.014)/12)*3+0.014+0.02</f>
        <v>0.46800000000000003</v>
      </c>
      <c r="F442" s="42"/>
      <c r="G442" s="11">
        <v>10</v>
      </c>
      <c r="H442" s="1">
        <v>1</v>
      </c>
      <c r="I442" s="1">
        <v>1</v>
      </c>
      <c r="J442" s="41">
        <f>2*(D444+E442)+16*10/1000</f>
        <v>1.456</v>
      </c>
      <c r="K442" s="1"/>
      <c r="L442" s="1"/>
      <c r="M442" s="1"/>
      <c r="N442" s="5">
        <f>(J442+K442-M442)</f>
        <v>1.456</v>
      </c>
      <c r="O442" s="5">
        <f>(H442*I442*N442)</f>
        <v>1.456</v>
      </c>
      <c r="P442" s="18" t="str">
        <f t="shared" si="66"/>
        <v/>
      </c>
      <c r="Q442" s="18">
        <f t="shared" si="67"/>
        <v>1.456</v>
      </c>
      <c r="R442" s="18" t="str">
        <f t="shared" si="68"/>
        <v/>
      </c>
      <c r="S442" s="18" t="str">
        <f t="shared" si="69"/>
        <v/>
      </c>
      <c r="T442" s="18" t="str">
        <f t="shared" si="70"/>
        <v/>
      </c>
      <c r="U442" s="18" t="str">
        <f t="shared" si="71"/>
        <v/>
      </c>
      <c r="V442" s="1"/>
    </row>
    <row r="443" spans="1:22" x14ac:dyDescent="0.25">
      <c r="A443" s="14"/>
      <c r="B443" s="34"/>
      <c r="C443" s="22"/>
      <c r="D443" s="4"/>
      <c r="E443" s="27"/>
      <c r="F443" s="42"/>
      <c r="G443" s="11"/>
      <c r="H443" s="1"/>
      <c r="I443" s="1"/>
      <c r="J443" s="2"/>
      <c r="K443" s="1"/>
      <c r="L443" s="1"/>
      <c r="M443" s="1"/>
      <c r="N443" s="1"/>
      <c r="O443" s="5"/>
      <c r="P443" s="18" t="str">
        <f t="shared" si="66"/>
        <v/>
      </c>
      <c r="Q443" s="18" t="str">
        <f t="shared" si="67"/>
        <v/>
      </c>
      <c r="R443" s="18" t="str">
        <f t="shared" si="68"/>
        <v/>
      </c>
      <c r="S443" s="18" t="str">
        <f t="shared" si="69"/>
        <v/>
      </c>
      <c r="T443" s="18" t="str">
        <f t="shared" si="70"/>
        <v/>
      </c>
      <c r="U443" s="18" t="str">
        <f t="shared" si="71"/>
        <v/>
      </c>
      <c r="V443" s="1"/>
    </row>
    <row r="444" spans="1:22" x14ac:dyDescent="0.25">
      <c r="A444" s="14"/>
      <c r="B444" s="34"/>
      <c r="C444" s="22"/>
      <c r="D444" s="9">
        <f>0.23-0.05</f>
        <v>0.18</v>
      </c>
      <c r="E444" s="23"/>
      <c r="F444" s="42"/>
      <c r="G444" s="11"/>
      <c r="H444" s="1"/>
      <c r="I444" s="1"/>
      <c r="J444" s="2"/>
      <c r="K444" s="1"/>
      <c r="L444" s="1"/>
      <c r="M444" s="1"/>
      <c r="N444" s="1"/>
      <c r="O444" s="5"/>
      <c r="P444" s="18" t="str">
        <f t="shared" si="66"/>
        <v/>
      </c>
      <c r="Q444" s="18" t="str">
        <f t="shared" si="67"/>
        <v/>
      </c>
      <c r="R444" s="18" t="str">
        <f t="shared" si="68"/>
        <v/>
      </c>
      <c r="S444" s="18" t="str">
        <f t="shared" si="69"/>
        <v/>
      </c>
      <c r="T444" s="18" t="str">
        <f t="shared" si="70"/>
        <v/>
      </c>
      <c r="U444" s="18" t="str">
        <f t="shared" si="71"/>
        <v/>
      </c>
      <c r="V444" s="1"/>
    </row>
    <row r="445" spans="1:22" x14ac:dyDescent="0.25">
      <c r="A445" s="14"/>
      <c r="B445" s="33"/>
      <c r="C445" s="22"/>
      <c r="D445" s="4"/>
      <c r="E445" s="23"/>
      <c r="F445" s="42"/>
      <c r="G445" s="11"/>
      <c r="H445" s="1"/>
      <c r="I445" s="1"/>
      <c r="J445" s="2"/>
      <c r="K445" s="1"/>
      <c r="L445" s="1"/>
      <c r="M445" s="1"/>
      <c r="N445" s="1"/>
      <c r="O445" s="3"/>
      <c r="P445" s="18" t="str">
        <f t="shared" si="66"/>
        <v/>
      </c>
      <c r="Q445" s="18" t="str">
        <f t="shared" si="67"/>
        <v/>
      </c>
      <c r="R445" s="18" t="str">
        <f t="shared" si="68"/>
        <v/>
      </c>
      <c r="S445" s="18" t="str">
        <f t="shared" si="69"/>
        <v/>
      </c>
      <c r="T445" s="18" t="str">
        <f t="shared" si="70"/>
        <v/>
      </c>
      <c r="U445" s="18" t="str">
        <f t="shared" si="71"/>
        <v/>
      </c>
      <c r="V445" s="1"/>
    </row>
    <row r="446" spans="1:22" x14ac:dyDescent="0.25">
      <c r="A446" s="14"/>
      <c r="B446" s="14"/>
      <c r="C446" s="47">
        <v>0.1</v>
      </c>
      <c r="D446" s="4"/>
      <c r="E446" s="23"/>
      <c r="F446" s="42"/>
      <c r="G446" s="11"/>
      <c r="H446" s="1"/>
      <c r="I446" s="1"/>
      <c r="J446" s="2"/>
      <c r="K446" s="1"/>
      <c r="L446" s="1"/>
      <c r="M446" s="1"/>
      <c r="N446" s="1"/>
      <c r="O446" s="3"/>
      <c r="P446" s="18" t="str">
        <f t="shared" si="66"/>
        <v/>
      </c>
      <c r="Q446" s="18" t="str">
        <f t="shared" si="67"/>
        <v/>
      </c>
      <c r="R446" s="18" t="str">
        <f t="shared" si="68"/>
        <v/>
      </c>
      <c r="S446" s="18" t="str">
        <f t="shared" si="69"/>
        <v/>
      </c>
      <c r="T446" s="18" t="str">
        <f t="shared" si="70"/>
        <v/>
      </c>
      <c r="U446" s="18" t="str">
        <f t="shared" si="71"/>
        <v/>
      </c>
      <c r="V446" s="1"/>
    </row>
    <row r="447" spans="1:22" x14ac:dyDescent="0.25">
      <c r="A447" s="14"/>
      <c r="B447" s="34" t="s">
        <v>37</v>
      </c>
      <c r="C447" s="26"/>
      <c r="D447" s="4"/>
      <c r="E447" s="40">
        <f>((1.8-0.05-0.014)/12)*5+0.01+0.02</f>
        <v>0.75333333333333341</v>
      </c>
      <c r="F447" s="42"/>
      <c r="G447" s="11">
        <v>10</v>
      </c>
      <c r="H447" s="1">
        <v>1</v>
      </c>
      <c r="I447" s="1">
        <v>1</v>
      </c>
      <c r="J447" s="41">
        <f>2*(D449+E447)+16*10/1000</f>
        <v>2.0266666666666668</v>
      </c>
      <c r="K447" s="1"/>
      <c r="L447" s="1"/>
      <c r="M447" s="1"/>
      <c r="N447" s="5">
        <f>(J447+K447-M447)</f>
        <v>2.0266666666666668</v>
      </c>
      <c r="O447" s="5">
        <f>(H447*I447*N447)</f>
        <v>2.0266666666666668</v>
      </c>
      <c r="P447" s="18" t="str">
        <f t="shared" si="66"/>
        <v/>
      </c>
      <c r="Q447" s="18">
        <f t="shared" si="67"/>
        <v>2.0266666666666668</v>
      </c>
      <c r="R447" s="18" t="str">
        <f t="shared" si="68"/>
        <v/>
      </c>
      <c r="S447" s="18" t="str">
        <f t="shared" si="69"/>
        <v/>
      </c>
      <c r="T447" s="18" t="str">
        <f t="shared" si="70"/>
        <v/>
      </c>
      <c r="U447" s="18" t="str">
        <f t="shared" si="71"/>
        <v/>
      </c>
      <c r="V447" s="1"/>
    </row>
    <row r="448" spans="1:22" x14ac:dyDescent="0.25">
      <c r="A448" s="14"/>
      <c r="B448" s="34"/>
      <c r="C448" s="22"/>
      <c r="D448" s="4"/>
      <c r="E448" s="27"/>
      <c r="F448" s="42"/>
      <c r="G448" s="11"/>
      <c r="H448" s="1"/>
      <c r="I448" s="1"/>
      <c r="J448" s="2"/>
      <c r="K448" s="1"/>
      <c r="L448" s="1"/>
      <c r="M448" s="1"/>
      <c r="N448" s="1"/>
      <c r="O448" s="5"/>
      <c r="P448" s="18" t="str">
        <f t="shared" si="66"/>
        <v/>
      </c>
      <c r="Q448" s="18" t="str">
        <f t="shared" si="67"/>
        <v/>
      </c>
      <c r="R448" s="18" t="str">
        <f t="shared" si="68"/>
        <v/>
      </c>
      <c r="S448" s="18" t="str">
        <f t="shared" si="69"/>
        <v/>
      </c>
      <c r="T448" s="18" t="str">
        <f t="shared" si="70"/>
        <v/>
      </c>
      <c r="U448" s="18" t="str">
        <f t="shared" si="71"/>
        <v/>
      </c>
      <c r="V448" s="1"/>
    </row>
    <row r="449" spans="1:22" x14ac:dyDescent="0.25">
      <c r="A449" s="14"/>
      <c r="B449" s="34"/>
      <c r="C449" s="22"/>
      <c r="D449" s="9">
        <f>0.23-0.05</f>
        <v>0.18</v>
      </c>
      <c r="E449" s="23"/>
      <c r="F449" s="42"/>
      <c r="G449" s="11"/>
      <c r="H449" s="1"/>
      <c r="I449" s="1"/>
      <c r="J449" s="2"/>
      <c r="K449" s="1"/>
      <c r="L449" s="1"/>
      <c r="M449" s="1"/>
      <c r="N449" s="1"/>
      <c r="O449" s="5"/>
      <c r="P449" s="18" t="str">
        <f t="shared" si="66"/>
        <v/>
      </c>
      <c r="Q449" s="18" t="str">
        <f t="shared" si="67"/>
        <v/>
      </c>
      <c r="R449" s="18" t="str">
        <f t="shared" si="68"/>
        <v/>
      </c>
      <c r="S449" s="18" t="str">
        <f t="shared" si="69"/>
        <v/>
      </c>
      <c r="T449" s="18" t="str">
        <f t="shared" si="70"/>
        <v/>
      </c>
      <c r="U449" s="18" t="str">
        <f t="shared" si="71"/>
        <v/>
      </c>
      <c r="V449" s="1"/>
    </row>
    <row r="450" spans="1:22" x14ac:dyDescent="0.25">
      <c r="A450" s="14"/>
      <c r="B450" s="33"/>
      <c r="C450" s="22"/>
      <c r="D450" s="4"/>
      <c r="E450" s="23"/>
      <c r="F450" s="42"/>
      <c r="G450" s="11"/>
      <c r="H450" s="1"/>
      <c r="I450" s="1"/>
      <c r="J450" s="2"/>
      <c r="K450" s="1"/>
      <c r="L450" s="1"/>
      <c r="M450" s="1"/>
      <c r="N450" s="1"/>
      <c r="O450" s="3"/>
      <c r="P450" s="18" t="str">
        <f t="shared" si="66"/>
        <v/>
      </c>
      <c r="Q450" s="18" t="str">
        <f t="shared" si="67"/>
        <v/>
      </c>
      <c r="R450" s="18" t="str">
        <f t="shared" si="68"/>
        <v/>
      </c>
      <c r="S450" s="18" t="str">
        <f t="shared" si="69"/>
        <v/>
      </c>
      <c r="T450" s="18" t="str">
        <f t="shared" si="70"/>
        <v/>
      </c>
      <c r="U450" s="18" t="str">
        <f t="shared" si="71"/>
        <v/>
      </c>
      <c r="V450" s="1"/>
    </row>
    <row r="451" spans="1:22" x14ac:dyDescent="0.25">
      <c r="A451" s="14"/>
      <c r="B451" s="33"/>
      <c r="C451" s="47">
        <v>0.1</v>
      </c>
      <c r="D451" s="4"/>
      <c r="E451" s="23"/>
      <c r="F451" s="42"/>
      <c r="G451" s="11"/>
      <c r="H451" s="1"/>
      <c r="I451" s="1"/>
      <c r="J451" s="2"/>
      <c r="K451" s="1"/>
      <c r="L451" s="1"/>
      <c r="M451" s="1"/>
      <c r="N451" s="1"/>
      <c r="O451" s="3"/>
      <c r="P451" s="18" t="str">
        <f t="shared" si="66"/>
        <v/>
      </c>
      <c r="Q451" s="18" t="str">
        <f t="shared" si="67"/>
        <v/>
      </c>
      <c r="R451" s="18" t="str">
        <f t="shared" si="68"/>
        <v/>
      </c>
      <c r="S451" s="18" t="str">
        <f t="shared" si="69"/>
        <v/>
      </c>
      <c r="T451" s="18" t="str">
        <f t="shared" si="70"/>
        <v/>
      </c>
      <c r="U451" s="18" t="str">
        <f t="shared" si="71"/>
        <v/>
      </c>
      <c r="V451" s="1"/>
    </row>
    <row r="452" spans="1:22" x14ac:dyDescent="0.25">
      <c r="A452" s="14"/>
      <c r="B452" s="34" t="s">
        <v>46</v>
      </c>
      <c r="C452" s="26"/>
      <c r="D452" s="4"/>
      <c r="E452" s="40">
        <f>((1.8-0.05-0.014)/12)*1+0.012+0.02</f>
        <v>0.17666666666666667</v>
      </c>
      <c r="F452" s="42"/>
      <c r="G452" s="11">
        <v>10</v>
      </c>
      <c r="H452" s="1">
        <v>1</v>
      </c>
      <c r="I452" s="1">
        <v>1</v>
      </c>
      <c r="J452" s="41">
        <f>2*(D454+E452)+16*10/1000</f>
        <v>0.87333333333333341</v>
      </c>
      <c r="K452" s="1"/>
      <c r="L452" s="1"/>
      <c r="M452" s="1"/>
      <c r="N452" s="5">
        <f>(J452+K452-M452)</f>
        <v>0.87333333333333341</v>
      </c>
      <c r="O452" s="5">
        <f>(H452*I452*N452)</f>
        <v>0.87333333333333341</v>
      </c>
      <c r="P452" s="18" t="str">
        <f t="shared" si="66"/>
        <v/>
      </c>
      <c r="Q452" s="18">
        <f t="shared" si="67"/>
        <v>0.87333333333333341</v>
      </c>
      <c r="R452" s="18" t="str">
        <f t="shared" si="68"/>
        <v/>
      </c>
      <c r="S452" s="18" t="str">
        <f t="shared" si="69"/>
        <v/>
      </c>
      <c r="T452" s="18" t="str">
        <f t="shared" si="70"/>
        <v/>
      </c>
      <c r="U452" s="18" t="str">
        <f t="shared" si="71"/>
        <v/>
      </c>
      <c r="V452" s="1"/>
    </row>
    <row r="453" spans="1:22" x14ac:dyDescent="0.25">
      <c r="A453" s="14"/>
      <c r="B453" s="34"/>
      <c r="C453" s="22"/>
      <c r="D453" s="4"/>
      <c r="E453" s="27"/>
      <c r="F453" s="42"/>
      <c r="G453" s="11"/>
      <c r="H453" s="1"/>
      <c r="I453" s="1"/>
      <c r="J453" s="2"/>
      <c r="K453" s="1"/>
      <c r="L453" s="1"/>
      <c r="M453" s="1"/>
      <c r="N453" s="1"/>
      <c r="O453" s="5"/>
      <c r="P453" s="18" t="str">
        <f t="shared" si="66"/>
        <v/>
      </c>
      <c r="Q453" s="18" t="str">
        <f t="shared" si="67"/>
        <v/>
      </c>
      <c r="R453" s="18" t="str">
        <f t="shared" si="68"/>
        <v/>
      </c>
      <c r="S453" s="18" t="str">
        <f t="shared" si="69"/>
        <v/>
      </c>
      <c r="T453" s="18" t="str">
        <f t="shared" si="70"/>
        <v/>
      </c>
      <c r="U453" s="18" t="str">
        <f t="shared" si="71"/>
        <v/>
      </c>
      <c r="V453" s="1"/>
    </row>
    <row r="454" spans="1:22" x14ac:dyDescent="0.25">
      <c r="A454" s="14"/>
      <c r="B454" s="34"/>
      <c r="C454" s="22"/>
      <c r="D454" s="9">
        <f>0.23-0.05</f>
        <v>0.18</v>
      </c>
      <c r="E454" s="23"/>
      <c r="F454" s="42"/>
      <c r="G454" s="11"/>
      <c r="H454" s="1"/>
      <c r="I454" s="1"/>
      <c r="J454" s="2"/>
      <c r="K454" s="1"/>
      <c r="L454" s="1"/>
      <c r="M454" s="1"/>
      <c r="N454" s="1"/>
      <c r="O454" s="5"/>
      <c r="P454" s="18" t="str">
        <f t="shared" ref="P454:P578" si="83">IF($G454=8,$O454,"")</f>
        <v/>
      </c>
      <c r="Q454" s="18" t="str">
        <f t="shared" ref="Q454:Q578" si="84">IF($G454=10,$O454,"")</f>
        <v/>
      </c>
      <c r="R454" s="18" t="str">
        <f t="shared" ref="R454:R578" si="85">IF($G454=12,$O454,"")</f>
        <v/>
      </c>
      <c r="S454" s="18" t="str">
        <f t="shared" ref="S454:S578" si="86">IF($G454=16,$O454,"")</f>
        <v/>
      </c>
      <c r="T454" s="18" t="str">
        <f t="shared" ref="T454:T578" si="87">IF($G454=20,$O454,"")</f>
        <v/>
      </c>
      <c r="U454" s="18" t="str">
        <f t="shared" ref="U454:U578" si="88">IF($G454=25,$O454,"")</f>
        <v/>
      </c>
      <c r="V454" s="1"/>
    </row>
    <row r="455" spans="1:22" x14ac:dyDescent="0.25">
      <c r="A455" s="14"/>
      <c r="B455" s="33"/>
      <c r="C455" s="22"/>
      <c r="D455" s="4"/>
      <c r="E455" s="23"/>
      <c r="F455" s="42"/>
      <c r="G455" s="11"/>
      <c r="H455" s="1"/>
      <c r="I455" s="1"/>
      <c r="J455" s="2"/>
      <c r="K455" s="1"/>
      <c r="L455" s="1"/>
      <c r="M455" s="1"/>
      <c r="N455" s="1"/>
      <c r="O455" s="3"/>
      <c r="P455" s="18" t="str">
        <f t="shared" si="83"/>
        <v/>
      </c>
      <c r="Q455" s="18" t="str">
        <f t="shared" si="84"/>
        <v/>
      </c>
      <c r="R455" s="18" t="str">
        <f t="shared" si="85"/>
        <v/>
      </c>
      <c r="S455" s="18" t="str">
        <f t="shared" si="86"/>
        <v/>
      </c>
      <c r="T455" s="18" t="str">
        <f t="shared" si="87"/>
        <v/>
      </c>
      <c r="U455" s="18" t="str">
        <f t="shared" si="88"/>
        <v/>
      </c>
      <c r="V455" s="1"/>
    </row>
    <row r="456" spans="1:22" x14ac:dyDescent="0.25">
      <c r="A456" s="14"/>
      <c r="B456" s="33"/>
      <c r="C456" s="22"/>
      <c r="D456" s="4"/>
      <c r="E456" s="39">
        <v>0.1</v>
      </c>
      <c r="F456" s="42"/>
      <c r="G456" s="11"/>
      <c r="H456" s="1"/>
      <c r="I456" s="1"/>
      <c r="J456" s="2"/>
      <c r="K456" s="1"/>
      <c r="L456" s="1"/>
      <c r="M456" s="1"/>
      <c r="N456" s="1"/>
      <c r="O456" s="3"/>
      <c r="P456" s="18" t="str">
        <f t="shared" si="83"/>
        <v/>
      </c>
      <c r="Q456" s="18" t="str">
        <f t="shared" si="84"/>
        <v/>
      </c>
      <c r="R456" s="18" t="str">
        <f t="shared" si="85"/>
        <v/>
      </c>
      <c r="S456" s="18" t="str">
        <f t="shared" si="86"/>
        <v/>
      </c>
      <c r="T456" s="18" t="str">
        <f t="shared" si="87"/>
        <v/>
      </c>
      <c r="U456" s="18" t="str">
        <f t="shared" si="88"/>
        <v/>
      </c>
      <c r="V456" s="1"/>
    </row>
    <row r="457" spans="1:22" x14ac:dyDescent="0.25">
      <c r="A457" s="14"/>
      <c r="B457" s="34" t="s">
        <v>47</v>
      </c>
      <c r="C457" s="22"/>
      <c r="D457" s="25">
        <f>0.23-0.05</f>
        <v>0.18</v>
      </c>
      <c r="E457" s="39"/>
      <c r="F457" s="42"/>
      <c r="G457" s="11">
        <v>10</v>
      </c>
      <c r="H457" s="1">
        <v>1</v>
      </c>
      <c r="I457" s="1">
        <v>4</v>
      </c>
      <c r="J457" s="41">
        <f>D457+E456+E458</f>
        <v>0.38</v>
      </c>
      <c r="K457" s="1"/>
      <c r="L457" s="1"/>
      <c r="M457" s="5">
        <f>2*3*G457/1000</f>
        <v>0.06</v>
      </c>
      <c r="N457" s="5">
        <f>(J457+K457-M457)</f>
        <v>0.32</v>
      </c>
      <c r="O457" s="5">
        <f>(H457*I457*N457)</f>
        <v>1.28</v>
      </c>
      <c r="P457" s="18" t="str">
        <f t="shared" si="83"/>
        <v/>
      </c>
      <c r="Q457" s="18">
        <f t="shared" si="84"/>
        <v>1.28</v>
      </c>
      <c r="R457" s="18" t="str">
        <f t="shared" si="85"/>
        <v/>
      </c>
      <c r="S457" s="18" t="str">
        <f t="shared" si="86"/>
        <v/>
      </c>
      <c r="T457" s="18" t="str">
        <f t="shared" si="87"/>
        <v/>
      </c>
      <c r="U457" s="18" t="str">
        <f t="shared" si="88"/>
        <v/>
      </c>
      <c r="V457" s="1"/>
    </row>
    <row r="458" spans="1:22" x14ac:dyDescent="0.25">
      <c r="A458" s="14"/>
      <c r="B458" s="33"/>
      <c r="C458" s="22"/>
      <c r="D458" s="4"/>
      <c r="E458" s="39">
        <v>0.1</v>
      </c>
      <c r="F458" s="42"/>
      <c r="G458" s="11"/>
      <c r="H458" s="1"/>
      <c r="I458" s="1"/>
      <c r="J458" s="2"/>
      <c r="K458" s="1"/>
      <c r="L458" s="1"/>
      <c r="M458" s="1"/>
      <c r="N458" s="1"/>
      <c r="O458" s="3"/>
      <c r="P458" s="18" t="str">
        <f t="shared" si="83"/>
        <v/>
      </c>
      <c r="Q458" s="18" t="str">
        <f t="shared" si="84"/>
        <v/>
      </c>
      <c r="R458" s="18" t="str">
        <f t="shared" si="85"/>
        <v/>
      </c>
      <c r="S458" s="18" t="str">
        <f t="shared" si="86"/>
        <v/>
      </c>
      <c r="T458" s="18" t="str">
        <f t="shared" si="87"/>
        <v/>
      </c>
      <c r="U458" s="18" t="str">
        <f t="shared" si="88"/>
        <v/>
      </c>
      <c r="V458" s="1"/>
    </row>
    <row r="459" spans="1:22" x14ac:dyDescent="0.25">
      <c r="A459" s="14"/>
      <c r="B459" s="34"/>
      <c r="C459" s="22"/>
      <c r="D459" s="28"/>
      <c r="E459" s="23"/>
      <c r="F459" s="42"/>
      <c r="G459" s="11"/>
      <c r="H459" s="1"/>
      <c r="I459" s="1"/>
      <c r="J459" s="2"/>
      <c r="K459" s="1"/>
      <c r="L459" s="1"/>
      <c r="M459" s="1"/>
      <c r="N459" s="1"/>
      <c r="O459" s="3"/>
      <c r="P459" s="18" t="str">
        <f t="shared" si="83"/>
        <v/>
      </c>
      <c r="Q459" s="18" t="str">
        <f t="shared" si="84"/>
        <v/>
      </c>
      <c r="R459" s="18" t="str">
        <f t="shared" si="85"/>
        <v/>
      </c>
      <c r="S459" s="18" t="str">
        <f t="shared" si="86"/>
        <v/>
      </c>
      <c r="T459" s="18" t="str">
        <f t="shared" si="87"/>
        <v/>
      </c>
      <c r="U459" s="18" t="str">
        <f t="shared" si="88"/>
        <v/>
      </c>
      <c r="V459" s="1"/>
    </row>
    <row r="460" spans="1:22" x14ac:dyDescent="0.25">
      <c r="A460" s="14">
        <v>17</v>
      </c>
      <c r="B460" s="14" t="s">
        <v>58</v>
      </c>
      <c r="C460" s="22"/>
      <c r="D460" s="4"/>
      <c r="E460" s="23"/>
      <c r="F460" s="42"/>
      <c r="G460" s="11"/>
      <c r="H460" s="1"/>
      <c r="I460" s="1"/>
      <c r="J460" s="9"/>
      <c r="K460" s="5"/>
      <c r="L460" s="5"/>
      <c r="M460" s="1"/>
      <c r="N460" s="5"/>
      <c r="O460" s="5"/>
      <c r="P460" s="18" t="str">
        <f>IF($G460=8,$O460,"")</f>
        <v/>
      </c>
      <c r="Q460" s="18" t="str">
        <f>IF($G460=10,$O460,"")</f>
        <v/>
      </c>
      <c r="R460" s="18" t="str">
        <f>IF($G460=12,$O460,"")</f>
        <v/>
      </c>
      <c r="S460" s="18" t="str">
        <f>IF($G460=16,$O460,"")</f>
        <v/>
      </c>
      <c r="T460" s="18" t="str">
        <f>IF($G460=20,$O460,"")</f>
        <v/>
      </c>
      <c r="U460" s="18" t="str">
        <f>IF($G460=25,$O460,"")</f>
        <v/>
      </c>
      <c r="V460" s="1"/>
    </row>
    <row r="461" spans="1:22" x14ac:dyDescent="0.25">
      <c r="A461" s="14"/>
      <c r="B461" s="33" t="s">
        <v>18</v>
      </c>
      <c r="C461" s="22"/>
      <c r="D461" s="25">
        <f>0.85-0.075-2*0.016</f>
        <v>0.74299999999999999</v>
      </c>
      <c r="E461" s="23"/>
      <c r="F461" s="42"/>
      <c r="G461" s="11">
        <v>16</v>
      </c>
      <c r="H461" s="1">
        <v>1</v>
      </c>
      <c r="I461" s="1">
        <v>8</v>
      </c>
      <c r="J461" s="9">
        <f>D461</f>
        <v>0.74299999999999999</v>
      </c>
      <c r="K461" s="46" t="str">
        <f>IF(N461&lt;12,"0",0.049*G461)</f>
        <v>0</v>
      </c>
      <c r="L461" s="45">
        <v>1</v>
      </c>
      <c r="M461" s="1">
        <f>2*G461*L461/1000</f>
        <v>3.2000000000000001E-2</v>
      </c>
      <c r="N461" s="5">
        <f>J461+E463-M461</f>
        <v>1.0109999999999999</v>
      </c>
      <c r="O461" s="5">
        <f t="shared" ref="O461:O465" si="89">H461*I461*N461</f>
        <v>8.0879999999999992</v>
      </c>
      <c r="P461" s="18" t="str">
        <f t="shared" si="83"/>
        <v/>
      </c>
      <c r="Q461" s="18" t="str">
        <f t="shared" si="84"/>
        <v/>
      </c>
      <c r="R461" s="18" t="str">
        <f t="shared" si="85"/>
        <v/>
      </c>
      <c r="S461" s="18">
        <f t="shared" si="86"/>
        <v>8.0879999999999992</v>
      </c>
      <c r="T461" s="18" t="str">
        <f t="shared" si="87"/>
        <v/>
      </c>
      <c r="U461" s="18" t="str">
        <f t="shared" si="88"/>
        <v/>
      </c>
      <c r="V461" s="1"/>
    </row>
    <row r="462" spans="1:22" x14ac:dyDescent="0.25">
      <c r="A462" s="14"/>
      <c r="B462" s="33" t="s">
        <v>32</v>
      </c>
      <c r="C462" s="22"/>
      <c r="D462" s="4"/>
      <c r="E462" s="23"/>
      <c r="F462" s="42"/>
      <c r="G462" s="11">
        <v>16</v>
      </c>
      <c r="H462" s="1">
        <v>1</v>
      </c>
      <c r="I462" s="1">
        <v>8</v>
      </c>
      <c r="J462" s="9">
        <f>D461</f>
        <v>0.74299999999999999</v>
      </c>
      <c r="K462" s="46" t="str">
        <f t="shared" ref="K462:K465" si="90">IF(N462&lt;12,"0",0.049*G462)</f>
        <v>0</v>
      </c>
      <c r="L462" s="45">
        <v>1</v>
      </c>
      <c r="M462" s="1">
        <f t="shared" ref="M462:M465" si="91">2*G462*L462/1000</f>
        <v>3.2000000000000001E-2</v>
      </c>
      <c r="N462" s="5">
        <f>J462+E463-M462</f>
        <v>1.0109999999999999</v>
      </c>
      <c r="O462" s="5">
        <f t="shared" si="89"/>
        <v>8.0879999999999992</v>
      </c>
      <c r="P462" s="18" t="str">
        <f t="shared" si="83"/>
        <v/>
      </c>
      <c r="Q462" s="18" t="str">
        <f t="shared" si="84"/>
        <v/>
      </c>
      <c r="R462" s="18" t="str">
        <f t="shared" si="85"/>
        <v/>
      </c>
      <c r="S462" s="18">
        <f t="shared" si="86"/>
        <v>8.0879999999999992</v>
      </c>
      <c r="T462" s="18" t="str">
        <f t="shared" si="87"/>
        <v/>
      </c>
      <c r="U462" s="18" t="str">
        <f t="shared" si="88"/>
        <v/>
      </c>
      <c r="V462" s="1"/>
    </row>
    <row r="463" spans="1:22" x14ac:dyDescent="0.25">
      <c r="A463" s="14"/>
      <c r="B463" s="33" t="s">
        <v>26</v>
      </c>
      <c r="C463" s="24"/>
      <c r="D463" s="25"/>
      <c r="E463" s="39">
        <v>0.3</v>
      </c>
      <c r="F463" s="42"/>
      <c r="G463" s="11">
        <v>12</v>
      </c>
      <c r="H463" s="1">
        <v>1</v>
      </c>
      <c r="I463" s="1">
        <v>8</v>
      </c>
      <c r="J463" s="9">
        <f>D461</f>
        <v>0.74299999999999999</v>
      </c>
      <c r="K463" s="46" t="str">
        <f t="shared" si="90"/>
        <v>0</v>
      </c>
      <c r="L463" s="45">
        <v>1</v>
      </c>
      <c r="M463" s="1">
        <f t="shared" si="91"/>
        <v>2.4E-2</v>
      </c>
      <c r="N463" s="5">
        <f>J463+E463-M463</f>
        <v>1.0189999999999999</v>
      </c>
      <c r="O463" s="5">
        <f t="shared" si="89"/>
        <v>8.1519999999999992</v>
      </c>
      <c r="P463" s="18" t="str">
        <f t="shared" si="83"/>
        <v/>
      </c>
      <c r="Q463" s="18" t="str">
        <f t="shared" si="84"/>
        <v/>
      </c>
      <c r="R463" s="18">
        <f t="shared" si="85"/>
        <v>8.1519999999999992</v>
      </c>
      <c r="S463" s="18" t="str">
        <f t="shared" si="86"/>
        <v/>
      </c>
      <c r="T463" s="18" t="str">
        <f t="shared" si="87"/>
        <v/>
      </c>
      <c r="U463" s="18" t="str">
        <f t="shared" si="88"/>
        <v/>
      </c>
      <c r="V463" s="1"/>
    </row>
    <row r="464" spans="1:22" x14ac:dyDescent="0.25">
      <c r="A464" s="14"/>
      <c r="B464" s="33" t="s">
        <v>19</v>
      </c>
      <c r="C464" s="22"/>
      <c r="D464" s="4"/>
      <c r="E464" s="23"/>
      <c r="F464" s="42"/>
      <c r="G464" s="11">
        <v>12</v>
      </c>
      <c r="H464" s="1">
        <v>1</v>
      </c>
      <c r="I464" s="1">
        <v>4</v>
      </c>
      <c r="J464" s="9">
        <f>D461</f>
        <v>0.74299999999999999</v>
      </c>
      <c r="K464" s="46" t="str">
        <f t="shared" si="90"/>
        <v>0</v>
      </c>
      <c r="L464" s="45">
        <v>1</v>
      </c>
      <c r="M464" s="1">
        <f t="shared" si="91"/>
        <v>2.4E-2</v>
      </c>
      <c r="N464" s="5">
        <f>J464+E464-M464</f>
        <v>0.71899999999999997</v>
      </c>
      <c r="O464" s="5">
        <f t="shared" si="89"/>
        <v>2.8759999999999999</v>
      </c>
      <c r="P464" s="18" t="str">
        <f t="shared" si="83"/>
        <v/>
      </c>
      <c r="Q464" s="18" t="str">
        <f t="shared" si="84"/>
        <v/>
      </c>
      <c r="R464" s="18">
        <f t="shared" si="85"/>
        <v>2.8759999999999999</v>
      </c>
      <c r="S464" s="18" t="str">
        <f t="shared" si="86"/>
        <v/>
      </c>
      <c r="T464" s="18" t="str">
        <f t="shared" si="87"/>
        <v/>
      </c>
      <c r="U464" s="18" t="str">
        <f t="shared" si="88"/>
        <v/>
      </c>
      <c r="V464" s="1"/>
    </row>
    <row r="465" spans="1:22" x14ac:dyDescent="0.25">
      <c r="A465" s="14"/>
      <c r="B465" s="33" t="s">
        <v>35</v>
      </c>
      <c r="C465" s="22"/>
      <c r="D465" s="4"/>
      <c r="E465" s="23"/>
      <c r="F465" s="42"/>
      <c r="G465" s="11">
        <v>12</v>
      </c>
      <c r="H465" s="1">
        <v>1</v>
      </c>
      <c r="I465" s="1">
        <v>20</v>
      </c>
      <c r="J465" s="9">
        <f>D461</f>
        <v>0.74299999999999999</v>
      </c>
      <c r="K465" s="46" t="str">
        <f t="shared" si="90"/>
        <v>0</v>
      </c>
      <c r="L465" s="45">
        <v>1</v>
      </c>
      <c r="M465" s="1">
        <f t="shared" si="91"/>
        <v>2.4E-2</v>
      </c>
      <c r="N465" s="5">
        <f>J465+E465-M465</f>
        <v>0.71899999999999997</v>
      </c>
      <c r="O465" s="5">
        <f t="shared" si="89"/>
        <v>14.379999999999999</v>
      </c>
      <c r="P465" s="18" t="str">
        <f t="shared" si="83"/>
        <v/>
      </c>
      <c r="Q465" s="18" t="str">
        <f t="shared" si="84"/>
        <v/>
      </c>
      <c r="R465" s="18">
        <f t="shared" si="85"/>
        <v>14.379999999999999</v>
      </c>
      <c r="S465" s="18" t="str">
        <f t="shared" si="86"/>
        <v/>
      </c>
      <c r="T465" s="18" t="str">
        <f t="shared" si="87"/>
        <v/>
      </c>
      <c r="U465" s="18" t="str">
        <f t="shared" si="88"/>
        <v/>
      </c>
      <c r="V465" s="1"/>
    </row>
    <row r="466" spans="1:22" x14ac:dyDescent="0.25">
      <c r="A466" s="14"/>
      <c r="B466" s="33"/>
      <c r="C466" s="22"/>
      <c r="D466" s="4"/>
      <c r="E466" s="23"/>
      <c r="F466" s="42"/>
      <c r="G466" s="11"/>
      <c r="H466" s="1"/>
      <c r="I466" s="1"/>
      <c r="J466" s="9"/>
      <c r="K466" s="46"/>
      <c r="L466" s="45"/>
      <c r="M466" s="1"/>
      <c r="N466" s="5"/>
      <c r="O466" s="5"/>
      <c r="P466" s="18"/>
      <c r="Q466" s="18"/>
      <c r="R466" s="18"/>
      <c r="S466" s="18"/>
      <c r="T466" s="18"/>
      <c r="U466" s="18"/>
      <c r="V466" s="1"/>
    </row>
    <row r="467" spans="1:22" x14ac:dyDescent="0.25">
      <c r="A467" s="14"/>
      <c r="B467" s="14"/>
      <c r="C467" s="47">
        <v>0.1</v>
      </c>
      <c r="D467" s="4"/>
      <c r="E467" s="23"/>
      <c r="F467" s="42"/>
      <c r="G467" s="11"/>
      <c r="H467" s="1"/>
      <c r="I467" s="1"/>
      <c r="J467" s="2"/>
      <c r="K467" s="1"/>
      <c r="L467" s="1"/>
      <c r="M467" s="1"/>
      <c r="N467" s="1"/>
      <c r="O467" s="3"/>
      <c r="P467" s="18" t="str">
        <f t="shared" si="83"/>
        <v/>
      </c>
      <c r="Q467" s="18" t="str">
        <f t="shared" si="84"/>
        <v/>
      </c>
      <c r="R467" s="18" t="str">
        <f t="shared" si="85"/>
        <v/>
      </c>
      <c r="S467" s="18" t="str">
        <f t="shared" si="86"/>
        <v/>
      </c>
      <c r="T467" s="18" t="str">
        <f t="shared" si="87"/>
        <v/>
      </c>
      <c r="U467" s="18" t="str">
        <f t="shared" si="88"/>
        <v/>
      </c>
      <c r="V467" s="1"/>
    </row>
    <row r="468" spans="1:22" x14ac:dyDescent="0.25">
      <c r="A468" s="14"/>
      <c r="B468" s="34" t="s">
        <v>20</v>
      </c>
      <c r="C468" s="26"/>
      <c r="D468" s="4"/>
      <c r="E468" s="40">
        <f>((3.445-0.05-0.016)/23)*6+0.016+0.02</f>
        <v>0.9174782608695653</v>
      </c>
      <c r="F468" s="42"/>
      <c r="G468" s="11">
        <v>10</v>
      </c>
      <c r="H468" s="1">
        <v>1</v>
      </c>
      <c r="I468" s="1">
        <f>4*2</f>
        <v>8</v>
      </c>
      <c r="J468" s="41">
        <f>2*(D470+E468)+16*10/1000</f>
        <v>2.3549565217391306</v>
      </c>
      <c r="K468" s="1"/>
      <c r="L468" s="1"/>
      <c r="M468" s="1"/>
      <c r="N468" s="5">
        <f>(J468+K468-M468)</f>
        <v>2.3549565217391306</v>
      </c>
      <c r="O468" s="5">
        <f>(H468*I468*N468)</f>
        <v>18.839652173913045</v>
      </c>
      <c r="P468" s="18" t="str">
        <f t="shared" si="83"/>
        <v/>
      </c>
      <c r="Q468" s="18">
        <f t="shared" si="84"/>
        <v>18.839652173913045</v>
      </c>
      <c r="R468" s="18" t="str">
        <f t="shared" si="85"/>
        <v/>
      </c>
      <c r="S468" s="18" t="str">
        <f t="shared" si="86"/>
        <v/>
      </c>
      <c r="T468" s="18" t="str">
        <f t="shared" si="87"/>
        <v/>
      </c>
      <c r="U468" s="18" t="str">
        <f t="shared" si="88"/>
        <v/>
      </c>
      <c r="V468" s="1"/>
    </row>
    <row r="469" spans="1:22" x14ac:dyDescent="0.25">
      <c r="A469" s="14"/>
      <c r="B469" s="34"/>
      <c r="C469" s="22"/>
      <c r="D469" s="4"/>
      <c r="E469" s="27"/>
      <c r="F469" s="42"/>
      <c r="G469" s="11"/>
      <c r="H469" s="1"/>
      <c r="I469" s="1"/>
      <c r="J469" s="2"/>
      <c r="K469" s="1"/>
      <c r="L469" s="1"/>
      <c r="M469" s="1"/>
      <c r="N469" s="1"/>
      <c r="O469" s="5"/>
      <c r="P469" s="18" t="str">
        <f t="shared" si="83"/>
        <v/>
      </c>
      <c r="Q469" s="18" t="str">
        <f t="shared" si="84"/>
        <v/>
      </c>
      <c r="R469" s="18" t="str">
        <f t="shared" si="85"/>
        <v/>
      </c>
      <c r="S469" s="18" t="str">
        <f t="shared" si="86"/>
        <v/>
      </c>
      <c r="T469" s="18" t="str">
        <f t="shared" si="87"/>
        <v/>
      </c>
      <c r="U469" s="18" t="str">
        <f t="shared" si="88"/>
        <v/>
      </c>
      <c r="V469" s="1"/>
    </row>
    <row r="470" spans="1:22" x14ac:dyDescent="0.25">
      <c r="A470" s="14"/>
      <c r="B470" s="34"/>
      <c r="C470" s="22"/>
      <c r="D470" s="9">
        <f>0.23-0.05</f>
        <v>0.18</v>
      </c>
      <c r="E470" s="23"/>
      <c r="F470" s="42"/>
      <c r="G470" s="11"/>
      <c r="H470" s="1"/>
      <c r="I470" s="1"/>
      <c r="J470" s="2"/>
      <c r="K470" s="1"/>
      <c r="L470" s="1"/>
      <c r="M470" s="1"/>
      <c r="N470" s="1"/>
      <c r="O470" s="5"/>
      <c r="P470" s="18" t="str">
        <f t="shared" si="83"/>
        <v/>
      </c>
      <c r="Q470" s="18" t="str">
        <f t="shared" si="84"/>
        <v/>
      </c>
      <c r="R470" s="18" t="str">
        <f t="shared" si="85"/>
        <v/>
      </c>
      <c r="S470" s="18" t="str">
        <f t="shared" si="86"/>
        <v/>
      </c>
      <c r="T470" s="18" t="str">
        <f t="shared" si="87"/>
        <v/>
      </c>
      <c r="U470" s="18" t="str">
        <f t="shared" si="88"/>
        <v/>
      </c>
      <c r="V470" s="1"/>
    </row>
    <row r="471" spans="1:22" x14ac:dyDescent="0.25">
      <c r="A471" s="14"/>
      <c r="B471" s="33"/>
      <c r="C471" s="22"/>
      <c r="D471" s="4"/>
      <c r="E471" s="23"/>
      <c r="F471" s="42"/>
      <c r="G471" s="11"/>
      <c r="H471" s="1"/>
      <c r="I471" s="1"/>
      <c r="J471" s="9"/>
      <c r="K471" s="46"/>
      <c r="L471" s="45"/>
      <c r="M471" s="1"/>
      <c r="N471" s="5"/>
      <c r="O471" s="5"/>
      <c r="P471" s="18"/>
      <c r="Q471" s="18"/>
      <c r="R471" s="18"/>
      <c r="S471" s="18"/>
      <c r="T471" s="18"/>
      <c r="U471" s="18"/>
      <c r="V471" s="1"/>
    </row>
    <row r="472" spans="1:22" x14ac:dyDescent="0.25">
      <c r="A472" s="14"/>
      <c r="B472" s="14"/>
      <c r="C472" s="47">
        <v>0.1</v>
      </c>
      <c r="D472" s="4"/>
      <c r="E472" s="23"/>
      <c r="F472" s="42"/>
      <c r="G472" s="11"/>
      <c r="H472" s="1"/>
      <c r="I472" s="1"/>
      <c r="J472" s="2"/>
      <c r="K472" s="1"/>
      <c r="L472" s="1"/>
      <c r="M472" s="1"/>
      <c r="N472" s="1"/>
      <c r="O472" s="3"/>
      <c r="P472" s="18" t="str">
        <f t="shared" si="83"/>
        <v/>
      </c>
      <c r="Q472" s="18" t="str">
        <f t="shared" si="84"/>
        <v/>
      </c>
      <c r="R472" s="18" t="str">
        <f t="shared" si="85"/>
        <v/>
      </c>
      <c r="S472" s="18" t="str">
        <f t="shared" si="86"/>
        <v/>
      </c>
      <c r="T472" s="18" t="str">
        <f t="shared" si="87"/>
        <v/>
      </c>
      <c r="U472" s="18" t="str">
        <f t="shared" si="88"/>
        <v/>
      </c>
      <c r="V472" s="1"/>
    </row>
    <row r="473" spans="1:22" x14ac:dyDescent="0.25">
      <c r="A473" s="14"/>
      <c r="B473" s="34" t="s">
        <v>21</v>
      </c>
      <c r="C473" s="26"/>
      <c r="D473" s="4"/>
      <c r="E473" s="40">
        <f>((3.445-0.05-0.016)/23)*11+0.016+0.02</f>
        <v>1.6520434782608695</v>
      </c>
      <c r="F473" s="42"/>
      <c r="G473" s="11">
        <v>10</v>
      </c>
      <c r="H473" s="1">
        <v>1</v>
      </c>
      <c r="I473" s="1">
        <v>4</v>
      </c>
      <c r="J473" s="41">
        <f>2*(D475+E473)+16*10/1000</f>
        <v>3.824086956521739</v>
      </c>
      <c r="K473" s="1"/>
      <c r="L473" s="1"/>
      <c r="M473" s="1"/>
      <c r="N473" s="5">
        <f>(J473+K473-M473)</f>
        <v>3.824086956521739</v>
      </c>
      <c r="O473" s="5">
        <f>(H473*I473*N473)</f>
        <v>15.296347826086956</v>
      </c>
      <c r="P473" s="18" t="str">
        <f t="shared" si="83"/>
        <v/>
      </c>
      <c r="Q473" s="18">
        <f t="shared" si="84"/>
        <v>15.296347826086956</v>
      </c>
      <c r="R473" s="18" t="str">
        <f t="shared" si="85"/>
        <v/>
      </c>
      <c r="S473" s="18" t="str">
        <f t="shared" si="86"/>
        <v/>
      </c>
      <c r="T473" s="18" t="str">
        <f t="shared" si="87"/>
        <v/>
      </c>
      <c r="U473" s="18" t="str">
        <f t="shared" si="88"/>
        <v/>
      </c>
      <c r="V473" s="1"/>
    </row>
    <row r="474" spans="1:22" x14ac:dyDescent="0.25">
      <c r="A474" s="14"/>
      <c r="B474" s="34"/>
      <c r="C474" s="22"/>
      <c r="D474" s="4"/>
      <c r="E474" s="27"/>
      <c r="F474" s="42"/>
      <c r="G474" s="11"/>
      <c r="H474" s="1"/>
      <c r="I474" s="1"/>
      <c r="J474" s="2"/>
      <c r="K474" s="1"/>
      <c r="L474" s="1"/>
      <c r="M474" s="1"/>
      <c r="N474" s="1"/>
      <c r="O474" s="5"/>
      <c r="P474" s="18" t="str">
        <f t="shared" si="83"/>
        <v/>
      </c>
      <c r="Q474" s="18" t="str">
        <f t="shared" si="84"/>
        <v/>
      </c>
      <c r="R474" s="18" t="str">
        <f t="shared" si="85"/>
        <v/>
      </c>
      <c r="S474" s="18" t="str">
        <f t="shared" si="86"/>
        <v/>
      </c>
      <c r="T474" s="18" t="str">
        <f t="shared" si="87"/>
        <v/>
      </c>
      <c r="U474" s="18" t="str">
        <f t="shared" si="88"/>
        <v/>
      </c>
      <c r="V474" s="1"/>
    </row>
    <row r="475" spans="1:22" x14ac:dyDescent="0.25">
      <c r="A475" s="14"/>
      <c r="B475" s="34"/>
      <c r="C475" s="22"/>
      <c r="D475" s="9">
        <f>0.23-0.05</f>
        <v>0.18</v>
      </c>
      <c r="E475" s="23"/>
      <c r="F475" s="42"/>
      <c r="G475" s="11"/>
      <c r="H475" s="1"/>
      <c r="I475" s="1"/>
      <c r="J475" s="2"/>
      <c r="K475" s="1"/>
      <c r="L475" s="1"/>
      <c r="M475" s="1"/>
      <c r="N475" s="1"/>
      <c r="O475" s="5"/>
      <c r="P475" s="18" t="str">
        <f t="shared" si="83"/>
        <v/>
      </c>
      <c r="Q475" s="18" t="str">
        <f t="shared" si="84"/>
        <v/>
      </c>
      <c r="R475" s="18" t="str">
        <f t="shared" si="85"/>
        <v/>
      </c>
      <c r="S475" s="18" t="str">
        <f t="shared" si="86"/>
        <v/>
      </c>
      <c r="T475" s="18" t="str">
        <f t="shared" si="87"/>
        <v/>
      </c>
      <c r="U475" s="18" t="str">
        <f t="shared" si="88"/>
        <v/>
      </c>
      <c r="V475" s="1"/>
    </row>
    <row r="476" spans="1:22" x14ac:dyDescent="0.25">
      <c r="A476" s="14"/>
      <c r="B476" s="33"/>
      <c r="C476" s="22"/>
      <c r="D476" s="4"/>
      <c r="E476" s="23"/>
      <c r="F476" s="42"/>
      <c r="G476" s="11"/>
      <c r="H476" s="1"/>
      <c r="I476" s="1"/>
      <c r="J476" s="9"/>
      <c r="K476" s="46"/>
      <c r="L476" s="45"/>
      <c r="M476" s="1"/>
      <c r="N476" s="5"/>
      <c r="O476" s="5"/>
      <c r="P476" s="18"/>
      <c r="Q476" s="18"/>
      <c r="R476" s="18"/>
      <c r="S476" s="18"/>
      <c r="T476" s="18"/>
      <c r="U476" s="18"/>
      <c r="V476" s="1"/>
    </row>
    <row r="477" spans="1:22" x14ac:dyDescent="0.25">
      <c r="A477" s="14"/>
      <c r="B477" s="14"/>
      <c r="C477" s="47">
        <v>0.1</v>
      </c>
      <c r="D477" s="4"/>
      <c r="E477" s="23"/>
      <c r="F477" s="42"/>
      <c r="G477" s="11"/>
      <c r="H477" s="1"/>
      <c r="I477" s="1"/>
      <c r="J477" s="2"/>
      <c r="K477" s="1"/>
      <c r="L477" s="1"/>
      <c r="M477" s="1"/>
      <c r="N477" s="1"/>
      <c r="O477" s="3"/>
      <c r="P477" s="18" t="str">
        <f t="shared" si="83"/>
        <v/>
      </c>
      <c r="Q477" s="18" t="str">
        <f t="shared" si="84"/>
        <v/>
      </c>
      <c r="R477" s="18" t="str">
        <f t="shared" si="85"/>
        <v/>
      </c>
      <c r="S477" s="18" t="str">
        <f t="shared" si="86"/>
        <v/>
      </c>
      <c r="T477" s="18" t="str">
        <f t="shared" si="87"/>
        <v/>
      </c>
      <c r="U477" s="18" t="str">
        <f t="shared" si="88"/>
        <v/>
      </c>
      <c r="V477" s="1"/>
    </row>
    <row r="478" spans="1:22" x14ac:dyDescent="0.25">
      <c r="A478" s="14"/>
      <c r="B478" s="34" t="s">
        <v>22</v>
      </c>
      <c r="C478" s="26"/>
      <c r="D478" s="4"/>
      <c r="E478" s="40">
        <f>((3.445-0.05-0.016)/23)+0.016+0.02</f>
        <v>0.18291304347826084</v>
      </c>
      <c r="F478" s="42"/>
      <c r="G478" s="11">
        <v>10</v>
      </c>
      <c r="H478" s="1">
        <v>1</v>
      </c>
      <c r="I478" s="1">
        <v>4</v>
      </c>
      <c r="J478" s="41">
        <f>2*(D480+E478)+16*10/1000</f>
        <v>0.88582608695652165</v>
      </c>
      <c r="K478" s="1"/>
      <c r="L478" s="1"/>
      <c r="M478" s="1"/>
      <c r="N478" s="5">
        <f>(J478+K478-M478)</f>
        <v>0.88582608695652165</v>
      </c>
      <c r="O478" s="5">
        <f>(H478*I478*N478)</f>
        <v>3.5433043478260866</v>
      </c>
      <c r="P478" s="18" t="str">
        <f t="shared" si="83"/>
        <v/>
      </c>
      <c r="Q478" s="18">
        <f t="shared" si="84"/>
        <v>3.5433043478260866</v>
      </c>
      <c r="R478" s="18" t="str">
        <f t="shared" si="85"/>
        <v/>
      </c>
      <c r="S478" s="18" t="str">
        <f t="shared" si="86"/>
        <v/>
      </c>
      <c r="T478" s="18" t="str">
        <f t="shared" si="87"/>
        <v/>
      </c>
      <c r="U478" s="18" t="str">
        <f t="shared" si="88"/>
        <v/>
      </c>
      <c r="V478" s="1"/>
    </row>
    <row r="479" spans="1:22" x14ac:dyDescent="0.25">
      <c r="A479" s="14"/>
      <c r="B479" s="34"/>
      <c r="C479" s="22"/>
      <c r="D479" s="4"/>
      <c r="E479" s="27"/>
      <c r="F479" s="42"/>
      <c r="G479" s="11"/>
      <c r="H479" s="1"/>
      <c r="I479" s="1"/>
      <c r="J479" s="2"/>
      <c r="K479" s="1"/>
      <c r="L479" s="1"/>
      <c r="M479" s="1"/>
      <c r="N479" s="1"/>
      <c r="O479" s="5"/>
      <c r="P479" s="18" t="str">
        <f t="shared" si="83"/>
        <v/>
      </c>
      <c r="Q479" s="18" t="str">
        <f t="shared" si="84"/>
        <v/>
      </c>
      <c r="R479" s="18" t="str">
        <f t="shared" si="85"/>
        <v/>
      </c>
      <c r="S479" s="18" t="str">
        <f t="shared" si="86"/>
        <v/>
      </c>
      <c r="T479" s="18" t="str">
        <f t="shared" si="87"/>
        <v/>
      </c>
      <c r="U479" s="18" t="str">
        <f t="shared" si="88"/>
        <v/>
      </c>
      <c r="V479" s="1"/>
    </row>
    <row r="480" spans="1:22" x14ac:dyDescent="0.25">
      <c r="A480" s="14"/>
      <c r="B480" s="34"/>
      <c r="C480" s="22"/>
      <c r="D480" s="9">
        <f>0.23-0.05</f>
        <v>0.18</v>
      </c>
      <c r="E480" s="23"/>
      <c r="F480" s="42"/>
      <c r="G480" s="11"/>
      <c r="H480" s="1"/>
      <c r="I480" s="1"/>
      <c r="J480" s="2"/>
      <c r="K480" s="1"/>
      <c r="L480" s="1"/>
      <c r="M480" s="1"/>
      <c r="N480" s="1"/>
      <c r="O480" s="5"/>
      <c r="P480" s="18" t="str">
        <f t="shared" si="83"/>
        <v/>
      </c>
      <c r="Q480" s="18" t="str">
        <f t="shared" si="84"/>
        <v/>
      </c>
      <c r="R480" s="18" t="str">
        <f t="shared" si="85"/>
        <v/>
      </c>
      <c r="S480" s="18" t="str">
        <f t="shared" si="86"/>
        <v/>
      </c>
      <c r="T480" s="18" t="str">
        <f t="shared" si="87"/>
        <v/>
      </c>
      <c r="U480" s="18" t="str">
        <f t="shared" si="88"/>
        <v/>
      </c>
      <c r="V480" s="1"/>
    </row>
    <row r="481" spans="1:22" x14ac:dyDescent="0.25">
      <c r="A481" s="14"/>
      <c r="B481" s="33"/>
      <c r="C481" s="22"/>
      <c r="D481" s="4"/>
      <c r="E481" s="23"/>
      <c r="F481" s="42"/>
      <c r="G481" s="11"/>
      <c r="H481" s="1"/>
      <c r="I481" s="1"/>
      <c r="J481" s="2"/>
      <c r="K481" s="1"/>
      <c r="L481" s="1"/>
      <c r="M481" s="1"/>
      <c r="N481" s="1"/>
      <c r="O481" s="3"/>
      <c r="P481" s="18" t="str">
        <f t="shared" si="83"/>
        <v/>
      </c>
      <c r="Q481" s="18" t="str">
        <f t="shared" si="84"/>
        <v/>
      </c>
      <c r="R481" s="18" t="str">
        <f t="shared" si="85"/>
        <v/>
      </c>
      <c r="S481" s="18" t="str">
        <f t="shared" si="86"/>
        <v/>
      </c>
      <c r="T481" s="18" t="str">
        <f t="shared" si="87"/>
        <v/>
      </c>
      <c r="U481" s="18" t="str">
        <f t="shared" si="88"/>
        <v/>
      </c>
      <c r="V481" s="1"/>
    </row>
    <row r="482" spans="1:22" x14ac:dyDescent="0.25">
      <c r="A482" s="14"/>
      <c r="B482" s="33"/>
      <c r="C482" s="22"/>
      <c r="D482" s="4"/>
      <c r="E482" s="39">
        <v>0.1</v>
      </c>
      <c r="F482" s="42"/>
      <c r="G482" s="11"/>
      <c r="H482" s="1"/>
      <c r="I482" s="1"/>
      <c r="J482" s="2"/>
      <c r="K482" s="1"/>
      <c r="L482" s="1"/>
      <c r="M482" s="1"/>
      <c r="N482" s="1"/>
      <c r="O482" s="3"/>
      <c r="P482" s="18" t="str">
        <f t="shared" si="83"/>
        <v/>
      </c>
      <c r="Q482" s="18" t="str">
        <f t="shared" si="84"/>
        <v/>
      </c>
      <c r="R482" s="18" t="str">
        <f t="shared" si="85"/>
        <v/>
      </c>
      <c r="S482" s="18" t="str">
        <f t="shared" si="86"/>
        <v/>
      </c>
      <c r="T482" s="18" t="str">
        <f t="shared" si="87"/>
        <v/>
      </c>
      <c r="U482" s="18" t="str">
        <f t="shared" si="88"/>
        <v/>
      </c>
      <c r="V482" s="1"/>
    </row>
    <row r="483" spans="1:22" x14ac:dyDescent="0.25">
      <c r="A483" s="14"/>
      <c r="B483" s="34" t="s">
        <v>36</v>
      </c>
      <c r="C483" s="22"/>
      <c r="D483" s="25">
        <f>0.23-0.05</f>
        <v>0.18</v>
      </c>
      <c r="E483" s="39"/>
      <c r="F483" s="42"/>
      <c r="G483" s="11">
        <v>10</v>
      </c>
      <c r="H483" s="1">
        <v>1</v>
      </c>
      <c r="I483" s="1">
        <v>7</v>
      </c>
      <c r="J483" s="41">
        <f>D483+E482+E484</f>
        <v>0.38</v>
      </c>
      <c r="K483" s="1"/>
      <c r="L483" s="1"/>
      <c r="M483" s="5">
        <f>2*3*G483/1000</f>
        <v>0.06</v>
      </c>
      <c r="N483" s="5">
        <f>(J483+K483-M483)</f>
        <v>0.32</v>
      </c>
      <c r="O483" s="5">
        <f>(H483*I483*N483)</f>
        <v>2.2400000000000002</v>
      </c>
      <c r="P483" s="18" t="str">
        <f t="shared" si="83"/>
        <v/>
      </c>
      <c r="Q483" s="18">
        <f t="shared" si="84"/>
        <v>2.2400000000000002</v>
      </c>
      <c r="R483" s="18" t="str">
        <f t="shared" si="85"/>
        <v/>
      </c>
      <c r="S483" s="18" t="str">
        <f t="shared" si="86"/>
        <v/>
      </c>
      <c r="T483" s="18" t="str">
        <f t="shared" si="87"/>
        <v/>
      </c>
      <c r="U483" s="18" t="str">
        <f t="shared" si="88"/>
        <v/>
      </c>
      <c r="V483" s="1"/>
    </row>
    <row r="484" spans="1:22" x14ac:dyDescent="0.25">
      <c r="A484" s="14"/>
      <c r="B484" s="33"/>
      <c r="C484" s="22"/>
      <c r="D484" s="4"/>
      <c r="E484" s="39">
        <v>0.1</v>
      </c>
      <c r="F484" s="42"/>
      <c r="G484" s="11"/>
      <c r="H484" s="1"/>
      <c r="I484" s="1"/>
      <c r="J484" s="2"/>
      <c r="K484" s="1"/>
      <c r="L484" s="1"/>
      <c r="M484" s="1"/>
      <c r="N484" s="1"/>
      <c r="O484" s="3"/>
      <c r="P484" s="18" t="str">
        <f t="shared" si="83"/>
        <v/>
      </c>
      <c r="Q484" s="18" t="str">
        <f t="shared" si="84"/>
        <v/>
      </c>
      <c r="R484" s="18" t="str">
        <f t="shared" si="85"/>
        <v/>
      </c>
      <c r="S484" s="18" t="str">
        <f t="shared" si="86"/>
        <v/>
      </c>
      <c r="T484" s="18" t="str">
        <f t="shared" si="87"/>
        <v/>
      </c>
      <c r="U484" s="18" t="str">
        <f t="shared" si="88"/>
        <v/>
      </c>
      <c r="V484" s="1"/>
    </row>
    <row r="485" spans="1:22" x14ac:dyDescent="0.25">
      <c r="A485" s="14"/>
      <c r="B485" s="34"/>
      <c r="C485" s="22"/>
      <c r="D485" s="28"/>
      <c r="E485" s="23"/>
      <c r="F485" s="42"/>
      <c r="G485" s="11"/>
      <c r="H485" s="1"/>
      <c r="I485" s="1"/>
      <c r="J485" s="2"/>
      <c r="K485" s="1"/>
      <c r="L485" s="1"/>
      <c r="M485" s="1"/>
      <c r="N485" s="1"/>
      <c r="O485" s="3"/>
      <c r="P485" s="18" t="str">
        <f t="shared" si="83"/>
        <v/>
      </c>
      <c r="Q485" s="18" t="str">
        <f t="shared" si="84"/>
        <v/>
      </c>
      <c r="R485" s="18" t="str">
        <f t="shared" si="85"/>
        <v/>
      </c>
      <c r="S485" s="18" t="str">
        <f t="shared" si="86"/>
        <v/>
      </c>
      <c r="T485" s="18" t="str">
        <f t="shared" si="87"/>
        <v/>
      </c>
      <c r="U485" s="18" t="str">
        <f t="shared" si="88"/>
        <v/>
      </c>
      <c r="V485" s="1"/>
    </row>
    <row r="486" spans="1:22" x14ac:dyDescent="0.25">
      <c r="A486" s="14">
        <v>18</v>
      </c>
      <c r="B486" s="14" t="s">
        <v>59</v>
      </c>
      <c r="C486" s="22"/>
      <c r="D486" s="4"/>
      <c r="E486" s="23"/>
      <c r="F486" s="42"/>
      <c r="G486" s="11"/>
      <c r="H486" s="1"/>
      <c r="I486" s="1"/>
      <c r="J486" s="9"/>
      <c r="K486" s="5"/>
      <c r="L486" s="5"/>
      <c r="M486" s="1"/>
      <c r="N486" s="5"/>
      <c r="O486" s="5"/>
      <c r="P486" s="18" t="str">
        <f>IF($G486=8,$O486,"")</f>
        <v/>
      </c>
      <c r="Q486" s="18" t="str">
        <f>IF($G486=10,$O486,"")</f>
        <v/>
      </c>
      <c r="R486" s="18" t="str">
        <f>IF($G486=12,$O486,"")</f>
        <v/>
      </c>
      <c r="S486" s="18" t="str">
        <f>IF($G486=16,$O486,"")</f>
        <v/>
      </c>
      <c r="T486" s="18" t="str">
        <f>IF($G486=20,$O486,"")</f>
        <v/>
      </c>
      <c r="U486" s="18" t="str">
        <f>IF($G486=25,$O486,"")</f>
        <v/>
      </c>
      <c r="V486" s="1"/>
    </row>
    <row r="487" spans="1:22" x14ac:dyDescent="0.25">
      <c r="A487" s="14"/>
      <c r="B487" s="33" t="s">
        <v>18</v>
      </c>
      <c r="C487" s="22"/>
      <c r="D487" s="25">
        <f>0.85-0.075-2*0.016</f>
        <v>0.74299999999999999</v>
      </c>
      <c r="E487" s="23"/>
      <c r="F487" s="42"/>
      <c r="G487" s="11">
        <v>16</v>
      </c>
      <c r="H487" s="1">
        <v>1</v>
      </c>
      <c r="I487" s="1">
        <v>8</v>
      </c>
      <c r="J487" s="9">
        <f>D487</f>
        <v>0.74299999999999999</v>
      </c>
      <c r="K487" s="46" t="str">
        <f>IF(N487&lt;12,"0",0.049*G487)</f>
        <v>0</v>
      </c>
      <c r="L487" s="45">
        <v>1</v>
      </c>
      <c r="M487" s="1">
        <f>2*G487*L487/1000</f>
        <v>3.2000000000000001E-2</v>
      </c>
      <c r="N487" s="5">
        <f>J487+E489-M487</f>
        <v>1.0109999999999999</v>
      </c>
      <c r="O487" s="5">
        <f t="shared" ref="O487:O491" si="92">H487*I487*N487</f>
        <v>8.0879999999999992</v>
      </c>
      <c r="P487" s="18" t="str">
        <f t="shared" si="83"/>
        <v/>
      </c>
      <c r="Q487" s="18" t="str">
        <f t="shared" si="84"/>
        <v/>
      </c>
      <c r="R487" s="18" t="str">
        <f t="shared" si="85"/>
        <v/>
      </c>
      <c r="S487" s="18">
        <f t="shared" si="86"/>
        <v>8.0879999999999992</v>
      </c>
      <c r="T487" s="18" t="str">
        <f t="shared" si="87"/>
        <v/>
      </c>
      <c r="U487" s="18" t="str">
        <f t="shared" si="88"/>
        <v/>
      </c>
      <c r="V487" s="1"/>
    </row>
    <row r="488" spans="1:22" x14ac:dyDescent="0.25">
      <c r="A488" s="14"/>
      <c r="B488" s="33" t="s">
        <v>32</v>
      </c>
      <c r="C488" s="22"/>
      <c r="D488" s="4"/>
      <c r="E488" s="23"/>
      <c r="F488" s="42"/>
      <c r="G488" s="11">
        <v>16</v>
      </c>
      <c r="H488" s="1">
        <v>1</v>
      </c>
      <c r="I488" s="1">
        <v>8</v>
      </c>
      <c r="J488" s="9">
        <f>D487</f>
        <v>0.74299999999999999</v>
      </c>
      <c r="K488" s="46" t="str">
        <f t="shared" ref="K488:K491" si="93">IF(N488&lt;12,"0",0.049*G488)</f>
        <v>0</v>
      </c>
      <c r="L488" s="45">
        <v>1</v>
      </c>
      <c r="M488" s="1">
        <f t="shared" ref="M488:M491" si="94">2*G488*L488/1000</f>
        <v>3.2000000000000001E-2</v>
      </c>
      <c r="N488" s="5">
        <f>J488+E489-M488</f>
        <v>1.0109999999999999</v>
      </c>
      <c r="O488" s="5">
        <f t="shared" si="92"/>
        <v>8.0879999999999992</v>
      </c>
      <c r="P488" s="18" t="str">
        <f t="shared" si="83"/>
        <v/>
      </c>
      <c r="Q488" s="18" t="str">
        <f t="shared" si="84"/>
        <v/>
      </c>
      <c r="R488" s="18" t="str">
        <f t="shared" si="85"/>
        <v/>
      </c>
      <c r="S488" s="18">
        <f t="shared" si="86"/>
        <v>8.0879999999999992</v>
      </c>
      <c r="T488" s="18" t="str">
        <f t="shared" si="87"/>
        <v/>
      </c>
      <c r="U488" s="18" t="str">
        <f t="shared" si="88"/>
        <v/>
      </c>
      <c r="V488" s="1"/>
    </row>
    <row r="489" spans="1:22" x14ac:dyDescent="0.25">
      <c r="A489" s="14"/>
      <c r="B489" s="33" t="s">
        <v>26</v>
      </c>
      <c r="C489" s="24"/>
      <c r="D489" s="25"/>
      <c r="E489" s="39">
        <v>0.3</v>
      </c>
      <c r="F489" s="42"/>
      <c r="G489" s="11">
        <v>12</v>
      </c>
      <c r="H489" s="1">
        <v>1</v>
      </c>
      <c r="I489" s="1">
        <v>8</v>
      </c>
      <c r="J489" s="9">
        <f>D487</f>
        <v>0.74299999999999999</v>
      </c>
      <c r="K489" s="46" t="str">
        <f t="shared" si="93"/>
        <v>0</v>
      </c>
      <c r="L489" s="45">
        <v>1</v>
      </c>
      <c r="M489" s="1">
        <f t="shared" si="94"/>
        <v>2.4E-2</v>
      </c>
      <c r="N489" s="5">
        <f>J489+E489-M489</f>
        <v>1.0189999999999999</v>
      </c>
      <c r="O489" s="5">
        <f t="shared" si="92"/>
        <v>8.1519999999999992</v>
      </c>
      <c r="P489" s="18" t="str">
        <f t="shared" si="83"/>
        <v/>
      </c>
      <c r="Q489" s="18" t="str">
        <f t="shared" si="84"/>
        <v/>
      </c>
      <c r="R489" s="18">
        <f t="shared" si="85"/>
        <v>8.1519999999999992</v>
      </c>
      <c r="S489" s="18" t="str">
        <f t="shared" si="86"/>
        <v/>
      </c>
      <c r="T489" s="18" t="str">
        <f t="shared" si="87"/>
        <v/>
      </c>
      <c r="U489" s="18" t="str">
        <f t="shared" si="88"/>
        <v/>
      </c>
      <c r="V489" s="1"/>
    </row>
    <row r="490" spans="1:22" x14ac:dyDescent="0.25">
      <c r="A490" s="14"/>
      <c r="B490" s="33" t="s">
        <v>19</v>
      </c>
      <c r="C490" s="22"/>
      <c r="D490" s="4"/>
      <c r="E490" s="23"/>
      <c r="F490" s="42"/>
      <c r="G490" s="11">
        <v>12</v>
      </c>
      <c r="H490" s="1">
        <v>1</v>
      </c>
      <c r="I490" s="1">
        <v>8</v>
      </c>
      <c r="J490" s="9">
        <f>D487</f>
        <v>0.74299999999999999</v>
      </c>
      <c r="K490" s="46" t="str">
        <f t="shared" si="93"/>
        <v>0</v>
      </c>
      <c r="L490" s="45">
        <v>1</v>
      </c>
      <c r="M490" s="1">
        <f t="shared" si="94"/>
        <v>2.4E-2</v>
      </c>
      <c r="N490" s="5">
        <f>J490+E490-M490</f>
        <v>0.71899999999999997</v>
      </c>
      <c r="O490" s="5">
        <f t="shared" si="92"/>
        <v>5.7519999999999998</v>
      </c>
      <c r="P490" s="18" t="str">
        <f t="shared" si="83"/>
        <v/>
      </c>
      <c r="Q490" s="18" t="str">
        <f t="shared" si="84"/>
        <v/>
      </c>
      <c r="R490" s="18">
        <f t="shared" si="85"/>
        <v>5.7519999999999998</v>
      </c>
      <c r="S490" s="18" t="str">
        <f t="shared" si="86"/>
        <v/>
      </c>
      <c r="T490" s="18" t="str">
        <f t="shared" si="87"/>
        <v/>
      </c>
      <c r="U490" s="18" t="str">
        <f t="shared" si="88"/>
        <v/>
      </c>
      <c r="V490" s="1"/>
    </row>
    <row r="491" spans="1:22" x14ac:dyDescent="0.25">
      <c r="A491" s="14"/>
      <c r="B491" s="33" t="s">
        <v>35</v>
      </c>
      <c r="C491" s="22"/>
      <c r="D491" s="4"/>
      <c r="E491" s="23"/>
      <c r="F491" s="42"/>
      <c r="G491" s="11">
        <v>12</v>
      </c>
      <c r="H491" s="1">
        <v>1</v>
      </c>
      <c r="I491" s="1">
        <v>8</v>
      </c>
      <c r="J491" s="9">
        <f>D487</f>
        <v>0.74299999999999999</v>
      </c>
      <c r="K491" s="46" t="str">
        <f t="shared" si="93"/>
        <v>0</v>
      </c>
      <c r="L491" s="45">
        <v>1</v>
      </c>
      <c r="M491" s="1">
        <f t="shared" si="94"/>
        <v>2.4E-2</v>
      </c>
      <c r="N491" s="5">
        <f>J491+E491-M491</f>
        <v>0.71899999999999997</v>
      </c>
      <c r="O491" s="5">
        <f t="shared" si="92"/>
        <v>5.7519999999999998</v>
      </c>
      <c r="P491" s="18" t="str">
        <f t="shared" si="83"/>
        <v/>
      </c>
      <c r="Q491" s="18" t="str">
        <f t="shared" si="84"/>
        <v/>
      </c>
      <c r="R491" s="18">
        <f t="shared" si="85"/>
        <v>5.7519999999999998</v>
      </c>
      <c r="S491" s="18" t="str">
        <f t="shared" si="86"/>
        <v/>
      </c>
      <c r="T491" s="18" t="str">
        <f t="shared" si="87"/>
        <v/>
      </c>
      <c r="U491" s="18" t="str">
        <f t="shared" si="88"/>
        <v/>
      </c>
      <c r="V491" s="1"/>
    </row>
    <row r="492" spans="1:22" x14ac:dyDescent="0.25">
      <c r="A492" s="14"/>
      <c r="B492" s="33" t="s">
        <v>51</v>
      </c>
      <c r="C492" s="22"/>
      <c r="D492" s="4"/>
      <c r="E492" s="23"/>
      <c r="F492" s="42"/>
      <c r="G492" s="11">
        <v>10</v>
      </c>
      <c r="H492" s="1">
        <v>1</v>
      </c>
      <c r="I492" s="1">
        <v>20</v>
      </c>
      <c r="J492" s="9">
        <f>D487</f>
        <v>0.74299999999999999</v>
      </c>
      <c r="K492" s="46" t="str">
        <f t="shared" ref="K492" si="95">IF(N492&lt;12,"0",0.049*G492)</f>
        <v>0</v>
      </c>
      <c r="L492" s="45">
        <v>1</v>
      </c>
      <c r="M492" s="1">
        <f t="shared" ref="M492" si="96">2*G492*L492/1000</f>
        <v>0.02</v>
      </c>
      <c r="N492" s="5">
        <f>J492+E492-M492</f>
        <v>0.72299999999999998</v>
      </c>
      <c r="O492" s="5">
        <f t="shared" ref="O492" si="97">H492*I492*N492</f>
        <v>14.459999999999999</v>
      </c>
      <c r="P492" s="18" t="str">
        <f t="shared" si="83"/>
        <v/>
      </c>
      <c r="Q492" s="18">
        <f t="shared" si="84"/>
        <v>14.459999999999999</v>
      </c>
      <c r="R492" s="18" t="str">
        <f t="shared" si="85"/>
        <v/>
      </c>
      <c r="S492" s="18" t="str">
        <f t="shared" si="86"/>
        <v/>
      </c>
      <c r="T492" s="18" t="str">
        <f t="shared" si="87"/>
        <v/>
      </c>
      <c r="U492" s="18" t="str">
        <f t="shared" si="88"/>
        <v/>
      </c>
      <c r="V492" s="1"/>
    </row>
    <row r="493" spans="1:22" x14ac:dyDescent="0.25">
      <c r="A493" s="14"/>
      <c r="B493" s="33"/>
      <c r="C493" s="22"/>
      <c r="D493" s="4"/>
      <c r="E493" s="23"/>
      <c r="F493" s="42"/>
      <c r="G493" s="11"/>
      <c r="H493" s="1"/>
      <c r="I493" s="1"/>
      <c r="J493" s="9"/>
      <c r="K493" s="46"/>
      <c r="L493" s="45"/>
      <c r="M493" s="1"/>
      <c r="N493" s="5"/>
      <c r="O493" s="5"/>
      <c r="P493" s="18"/>
      <c r="Q493" s="18"/>
      <c r="R493" s="18"/>
      <c r="S493" s="18"/>
      <c r="T493" s="18"/>
      <c r="U493" s="18"/>
      <c r="V493" s="1"/>
    </row>
    <row r="494" spans="1:22" x14ac:dyDescent="0.25">
      <c r="A494" s="14"/>
      <c r="B494" s="14"/>
      <c r="C494" s="47">
        <v>0.1</v>
      </c>
      <c r="D494" s="4"/>
      <c r="E494" s="23"/>
      <c r="F494" s="42"/>
      <c r="G494" s="11"/>
      <c r="H494" s="1"/>
      <c r="I494" s="1"/>
      <c r="J494" s="2"/>
      <c r="K494" s="1"/>
      <c r="L494" s="1"/>
      <c r="M494" s="1"/>
      <c r="N494" s="1"/>
      <c r="O494" s="3"/>
      <c r="P494" s="18" t="str">
        <f t="shared" si="83"/>
        <v/>
      </c>
      <c r="Q494" s="18" t="str">
        <f t="shared" si="84"/>
        <v/>
      </c>
      <c r="R494" s="18" t="str">
        <f t="shared" si="85"/>
        <v/>
      </c>
      <c r="S494" s="18" t="str">
        <f t="shared" si="86"/>
        <v/>
      </c>
      <c r="T494" s="18" t="str">
        <f t="shared" si="87"/>
        <v/>
      </c>
      <c r="U494" s="18" t="str">
        <f t="shared" si="88"/>
        <v/>
      </c>
      <c r="V494" s="1"/>
    </row>
    <row r="495" spans="1:22" x14ac:dyDescent="0.25">
      <c r="A495" s="14"/>
      <c r="B495" s="34" t="s">
        <v>20</v>
      </c>
      <c r="C495" s="26"/>
      <c r="D495" s="4"/>
      <c r="E495" s="40">
        <f>((4.065-0.05-0.016)/29)*9+0.016+0.02</f>
        <v>1.2770689655172416</v>
      </c>
      <c r="F495" s="42"/>
      <c r="G495" s="11">
        <v>10</v>
      </c>
      <c r="H495" s="1">
        <v>1</v>
      </c>
      <c r="I495" s="1">
        <f>4*2</f>
        <v>8</v>
      </c>
      <c r="J495" s="41">
        <f>2*(D497+E495)+16*10/1000</f>
        <v>3.0741379310344832</v>
      </c>
      <c r="K495" s="1"/>
      <c r="L495" s="1"/>
      <c r="M495" s="1"/>
      <c r="N495" s="5">
        <f>(J495+K495-M495)</f>
        <v>3.0741379310344832</v>
      </c>
      <c r="O495" s="5">
        <f>(H495*I495*N495)</f>
        <v>24.593103448275865</v>
      </c>
      <c r="P495" s="18" t="str">
        <f t="shared" si="83"/>
        <v/>
      </c>
      <c r="Q495" s="18">
        <f t="shared" si="84"/>
        <v>24.593103448275865</v>
      </c>
      <c r="R495" s="18" t="str">
        <f t="shared" si="85"/>
        <v/>
      </c>
      <c r="S495" s="18" t="str">
        <f t="shared" si="86"/>
        <v/>
      </c>
      <c r="T495" s="18" t="str">
        <f t="shared" si="87"/>
        <v/>
      </c>
      <c r="U495" s="18" t="str">
        <f t="shared" si="88"/>
        <v/>
      </c>
      <c r="V495" s="1"/>
    </row>
    <row r="496" spans="1:22" x14ac:dyDescent="0.25">
      <c r="A496" s="14"/>
      <c r="B496" s="34"/>
      <c r="C496" s="22"/>
      <c r="D496" s="4"/>
      <c r="E496" s="27"/>
      <c r="F496" s="42"/>
      <c r="G496" s="11"/>
      <c r="H496" s="1"/>
      <c r="I496" s="1"/>
      <c r="J496" s="2"/>
      <c r="K496" s="1"/>
      <c r="L496" s="1"/>
      <c r="M496" s="1"/>
      <c r="N496" s="1"/>
      <c r="O496" s="5"/>
      <c r="P496" s="18" t="str">
        <f t="shared" si="83"/>
        <v/>
      </c>
      <c r="Q496" s="18" t="str">
        <f t="shared" si="84"/>
        <v/>
      </c>
      <c r="R496" s="18" t="str">
        <f t="shared" si="85"/>
        <v/>
      </c>
      <c r="S496" s="18" t="str">
        <f t="shared" si="86"/>
        <v/>
      </c>
      <c r="T496" s="18" t="str">
        <f t="shared" si="87"/>
        <v/>
      </c>
      <c r="U496" s="18" t="str">
        <f t="shared" si="88"/>
        <v/>
      </c>
      <c r="V496" s="1"/>
    </row>
    <row r="497" spans="1:22" x14ac:dyDescent="0.25">
      <c r="A497" s="14"/>
      <c r="B497" s="34"/>
      <c r="C497" s="22"/>
      <c r="D497" s="9">
        <f>0.23-0.05</f>
        <v>0.18</v>
      </c>
      <c r="E497" s="23"/>
      <c r="F497" s="42"/>
      <c r="G497" s="11"/>
      <c r="H497" s="1"/>
      <c r="I497" s="1"/>
      <c r="J497" s="2"/>
      <c r="K497" s="1"/>
      <c r="L497" s="1"/>
      <c r="M497" s="1"/>
      <c r="N497" s="1"/>
      <c r="O497" s="5"/>
      <c r="P497" s="18" t="str">
        <f t="shared" si="83"/>
        <v/>
      </c>
      <c r="Q497" s="18" t="str">
        <f t="shared" si="84"/>
        <v/>
      </c>
      <c r="R497" s="18" t="str">
        <f t="shared" si="85"/>
        <v/>
      </c>
      <c r="S497" s="18" t="str">
        <f t="shared" si="86"/>
        <v/>
      </c>
      <c r="T497" s="18" t="str">
        <f t="shared" si="87"/>
        <v/>
      </c>
      <c r="U497" s="18" t="str">
        <f t="shared" si="88"/>
        <v/>
      </c>
      <c r="V497" s="1"/>
    </row>
    <row r="498" spans="1:22" x14ac:dyDescent="0.25">
      <c r="A498" s="14"/>
      <c r="B498" s="33"/>
      <c r="C498" s="22"/>
      <c r="D498" s="4"/>
      <c r="E498" s="23"/>
      <c r="F498" s="42"/>
      <c r="G498" s="11"/>
      <c r="H498" s="1"/>
      <c r="I498" s="1"/>
      <c r="J498" s="9"/>
      <c r="K498" s="46"/>
      <c r="L498" s="45"/>
      <c r="M498" s="1"/>
      <c r="N498" s="5"/>
      <c r="O498" s="5"/>
      <c r="P498" s="18"/>
      <c r="Q498" s="18"/>
      <c r="R498" s="18"/>
      <c r="S498" s="18"/>
      <c r="T498" s="18"/>
      <c r="U498" s="18"/>
      <c r="V498" s="1"/>
    </row>
    <row r="499" spans="1:22" x14ac:dyDescent="0.25">
      <c r="A499" s="14"/>
      <c r="B499" s="14"/>
      <c r="C499" s="47">
        <v>0.1</v>
      </c>
      <c r="D499" s="4"/>
      <c r="E499" s="23"/>
      <c r="F499" s="42"/>
      <c r="G499" s="11"/>
      <c r="H499" s="1"/>
      <c r="I499" s="1"/>
      <c r="J499" s="2"/>
      <c r="K499" s="1"/>
      <c r="L499" s="1"/>
      <c r="M499" s="1"/>
      <c r="N499" s="1"/>
      <c r="O499" s="3"/>
      <c r="P499" s="18" t="str">
        <f t="shared" si="83"/>
        <v/>
      </c>
      <c r="Q499" s="18" t="str">
        <f t="shared" si="84"/>
        <v/>
      </c>
      <c r="R499" s="18" t="str">
        <f t="shared" si="85"/>
        <v/>
      </c>
      <c r="S499" s="18" t="str">
        <f t="shared" si="86"/>
        <v/>
      </c>
      <c r="T499" s="18" t="str">
        <f t="shared" si="87"/>
        <v/>
      </c>
      <c r="U499" s="18" t="str">
        <f t="shared" si="88"/>
        <v/>
      </c>
      <c r="V499" s="1"/>
    </row>
    <row r="500" spans="1:22" x14ac:dyDescent="0.25">
      <c r="A500" s="14"/>
      <c r="B500" s="34" t="s">
        <v>21</v>
      </c>
      <c r="C500" s="26"/>
      <c r="D500" s="4"/>
      <c r="E500" s="40">
        <f>((4.065-0.05-0.016)/29)*11+0.016+0.02</f>
        <v>1.5528620689655175</v>
      </c>
      <c r="F500" s="42"/>
      <c r="G500" s="11">
        <v>10</v>
      </c>
      <c r="H500" s="1">
        <v>1</v>
      </c>
      <c r="I500" s="1">
        <v>4</v>
      </c>
      <c r="J500" s="41">
        <f>2*(D502+E500)+16*10/1000</f>
        <v>3.625724137931035</v>
      </c>
      <c r="K500" s="1"/>
      <c r="L500" s="1"/>
      <c r="M500" s="1"/>
      <c r="N500" s="5">
        <f>(J500+K500-M500)</f>
        <v>3.625724137931035</v>
      </c>
      <c r="O500" s="5">
        <f>(H500*I500*N500)</f>
        <v>14.50289655172414</v>
      </c>
      <c r="P500" s="18" t="str">
        <f t="shared" si="83"/>
        <v/>
      </c>
      <c r="Q500" s="18">
        <f t="shared" si="84"/>
        <v>14.50289655172414</v>
      </c>
      <c r="R500" s="18" t="str">
        <f t="shared" si="85"/>
        <v/>
      </c>
      <c r="S500" s="18" t="str">
        <f t="shared" si="86"/>
        <v/>
      </c>
      <c r="T500" s="18" t="str">
        <f t="shared" si="87"/>
        <v/>
      </c>
      <c r="U500" s="18" t="str">
        <f t="shared" si="88"/>
        <v/>
      </c>
      <c r="V500" s="1"/>
    </row>
    <row r="501" spans="1:22" x14ac:dyDescent="0.25">
      <c r="A501" s="14"/>
      <c r="B501" s="34"/>
      <c r="C501" s="22"/>
      <c r="D501" s="4"/>
      <c r="E501" s="27"/>
      <c r="F501" s="42"/>
      <c r="G501" s="11"/>
      <c r="H501" s="1"/>
      <c r="I501" s="1"/>
      <c r="J501" s="2"/>
      <c r="K501" s="1"/>
      <c r="L501" s="1"/>
      <c r="M501" s="1"/>
      <c r="N501" s="1"/>
      <c r="O501" s="5"/>
      <c r="P501" s="18" t="str">
        <f t="shared" si="83"/>
        <v/>
      </c>
      <c r="Q501" s="18" t="str">
        <f t="shared" si="84"/>
        <v/>
      </c>
      <c r="R501" s="18" t="str">
        <f t="shared" si="85"/>
        <v/>
      </c>
      <c r="S501" s="18" t="str">
        <f t="shared" si="86"/>
        <v/>
      </c>
      <c r="T501" s="18" t="str">
        <f t="shared" si="87"/>
        <v/>
      </c>
      <c r="U501" s="18" t="str">
        <f t="shared" si="88"/>
        <v/>
      </c>
      <c r="V501" s="1"/>
    </row>
    <row r="502" spans="1:22" x14ac:dyDescent="0.25">
      <c r="A502" s="14"/>
      <c r="B502" s="34"/>
      <c r="C502" s="22"/>
      <c r="D502" s="9">
        <f>0.23-0.05</f>
        <v>0.18</v>
      </c>
      <c r="E502" s="23"/>
      <c r="F502" s="42"/>
      <c r="G502" s="11"/>
      <c r="H502" s="1"/>
      <c r="I502" s="1"/>
      <c r="J502" s="2"/>
      <c r="K502" s="1"/>
      <c r="L502" s="1"/>
      <c r="M502" s="1"/>
      <c r="N502" s="1"/>
      <c r="O502" s="5"/>
      <c r="P502" s="18" t="str">
        <f t="shared" si="83"/>
        <v/>
      </c>
      <c r="Q502" s="18" t="str">
        <f t="shared" si="84"/>
        <v/>
      </c>
      <c r="R502" s="18" t="str">
        <f t="shared" si="85"/>
        <v/>
      </c>
      <c r="S502" s="18" t="str">
        <f t="shared" si="86"/>
        <v/>
      </c>
      <c r="T502" s="18" t="str">
        <f t="shared" si="87"/>
        <v/>
      </c>
      <c r="U502" s="18" t="str">
        <f t="shared" si="88"/>
        <v/>
      </c>
      <c r="V502" s="1"/>
    </row>
    <row r="503" spans="1:22" x14ac:dyDescent="0.25">
      <c r="A503" s="14"/>
      <c r="B503" s="33"/>
      <c r="C503" s="22"/>
      <c r="D503" s="4"/>
      <c r="E503" s="23"/>
      <c r="F503" s="42"/>
      <c r="G503" s="11"/>
      <c r="H503" s="1"/>
      <c r="I503" s="1"/>
      <c r="J503" s="9"/>
      <c r="K503" s="46"/>
      <c r="L503" s="45"/>
      <c r="M503" s="1"/>
      <c r="N503" s="5"/>
      <c r="O503" s="5"/>
      <c r="P503" s="18"/>
      <c r="Q503" s="18"/>
      <c r="R503" s="18"/>
      <c r="S503" s="18"/>
      <c r="T503" s="18"/>
      <c r="U503" s="18"/>
      <c r="V503" s="1"/>
    </row>
    <row r="504" spans="1:22" x14ac:dyDescent="0.25">
      <c r="A504" s="14"/>
      <c r="B504" s="14"/>
      <c r="C504" s="47">
        <v>0.1</v>
      </c>
      <c r="D504" s="4"/>
      <c r="E504" s="23"/>
      <c r="F504" s="42"/>
      <c r="G504" s="11"/>
      <c r="H504" s="1"/>
      <c r="I504" s="1"/>
      <c r="J504" s="2"/>
      <c r="K504" s="1"/>
      <c r="L504" s="1"/>
      <c r="M504" s="1"/>
      <c r="N504" s="1"/>
      <c r="O504" s="3"/>
      <c r="P504" s="18" t="str">
        <f t="shared" si="83"/>
        <v/>
      </c>
      <c r="Q504" s="18" t="str">
        <f t="shared" si="84"/>
        <v/>
      </c>
      <c r="R504" s="18" t="str">
        <f t="shared" si="85"/>
        <v/>
      </c>
      <c r="S504" s="18" t="str">
        <f t="shared" si="86"/>
        <v/>
      </c>
      <c r="T504" s="18" t="str">
        <f t="shared" si="87"/>
        <v/>
      </c>
      <c r="U504" s="18" t="str">
        <f t="shared" si="88"/>
        <v/>
      </c>
      <c r="V504" s="1"/>
    </row>
    <row r="505" spans="1:22" x14ac:dyDescent="0.25">
      <c r="A505" s="14"/>
      <c r="B505" s="34" t="s">
        <v>22</v>
      </c>
      <c r="C505" s="26"/>
      <c r="D505" s="4"/>
      <c r="E505" s="40">
        <f>((4.065-0.05-0.016)/29)+0.016+0.02</f>
        <v>0.17389655172413795</v>
      </c>
      <c r="F505" s="42"/>
      <c r="G505" s="11">
        <v>10</v>
      </c>
      <c r="H505" s="1">
        <v>1</v>
      </c>
      <c r="I505" s="1">
        <v>8</v>
      </c>
      <c r="J505" s="41">
        <f>2*(D507+E505)+16*10/1000</f>
        <v>0.86779310344827587</v>
      </c>
      <c r="K505" s="1"/>
      <c r="L505" s="1"/>
      <c r="M505" s="1"/>
      <c r="N505" s="5">
        <f>(J505+K505-M505)</f>
        <v>0.86779310344827587</v>
      </c>
      <c r="O505" s="5">
        <f>(H505*I505*N505)</f>
        <v>6.942344827586207</v>
      </c>
      <c r="P505" s="18" t="str">
        <f t="shared" si="83"/>
        <v/>
      </c>
      <c r="Q505" s="18">
        <f t="shared" si="84"/>
        <v>6.942344827586207</v>
      </c>
      <c r="R505" s="18" t="str">
        <f t="shared" si="85"/>
        <v/>
      </c>
      <c r="S505" s="18" t="str">
        <f t="shared" si="86"/>
        <v/>
      </c>
      <c r="T505" s="18" t="str">
        <f t="shared" si="87"/>
        <v/>
      </c>
      <c r="U505" s="18" t="str">
        <f t="shared" si="88"/>
        <v/>
      </c>
      <c r="V505" s="1"/>
    </row>
    <row r="506" spans="1:22" x14ac:dyDescent="0.25">
      <c r="A506" s="14"/>
      <c r="B506" s="34"/>
      <c r="C506" s="22"/>
      <c r="D506" s="4"/>
      <c r="E506" s="27"/>
      <c r="F506" s="42"/>
      <c r="G506" s="11"/>
      <c r="H506" s="1"/>
      <c r="I506" s="1"/>
      <c r="J506" s="2"/>
      <c r="K506" s="1"/>
      <c r="L506" s="1"/>
      <c r="M506" s="1"/>
      <c r="N506" s="1"/>
      <c r="O506" s="5"/>
      <c r="P506" s="18" t="str">
        <f t="shared" si="83"/>
        <v/>
      </c>
      <c r="Q506" s="18" t="str">
        <f t="shared" si="84"/>
        <v/>
      </c>
      <c r="R506" s="18" t="str">
        <f t="shared" si="85"/>
        <v/>
      </c>
      <c r="S506" s="18" t="str">
        <f t="shared" si="86"/>
        <v/>
      </c>
      <c r="T506" s="18" t="str">
        <f t="shared" si="87"/>
        <v/>
      </c>
      <c r="U506" s="18" t="str">
        <f t="shared" si="88"/>
        <v/>
      </c>
      <c r="V506" s="1"/>
    </row>
    <row r="507" spans="1:22" x14ac:dyDescent="0.25">
      <c r="A507" s="14"/>
      <c r="B507" s="34"/>
      <c r="C507" s="22"/>
      <c r="D507" s="9">
        <f>0.23-0.05</f>
        <v>0.18</v>
      </c>
      <c r="E507" s="23"/>
      <c r="F507" s="42"/>
      <c r="G507" s="11"/>
      <c r="H507" s="1"/>
      <c r="I507" s="1"/>
      <c r="J507" s="2"/>
      <c r="K507" s="1"/>
      <c r="L507" s="1"/>
      <c r="M507" s="1"/>
      <c r="N507" s="1"/>
      <c r="O507" s="5"/>
      <c r="P507" s="18" t="str">
        <f t="shared" si="83"/>
        <v/>
      </c>
      <c r="Q507" s="18" t="str">
        <f t="shared" si="84"/>
        <v/>
      </c>
      <c r="R507" s="18" t="str">
        <f t="shared" si="85"/>
        <v/>
      </c>
      <c r="S507" s="18" t="str">
        <f t="shared" si="86"/>
        <v/>
      </c>
      <c r="T507" s="18" t="str">
        <f t="shared" si="87"/>
        <v/>
      </c>
      <c r="U507" s="18" t="str">
        <f t="shared" si="88"/>
        <v/>
      </c>
      <c r="V507" s="1"/>
    </row>
    <row r="508" spans="1:22" x14ac:dyDescent="0.25">
      <c r="A508" s="14"/>
      <c r="B508" s="33"/>
      <c r="C508" s="22"/>
      <c r="D508" s="4"/>
      <c r="E508" s="23"/>
      <c r="F508" s="42"/>
      <c r="G508" s="11"/>
      <c r="H508" s="1"/>
      <c r="I508" s="1"/>
      <c r="J508" s="2"/>
      <c r="K508" s="1"/>
      <c r="L508" s="1"/>
      <c r="M508" s="1"/>
      <c r="N508" s="1"/>
      <c r="O508" s="3"/>
      <c r="P508" s="18" t="str">
        <f t="shared" si="83"/>
        <v/>
      </c>
      <c r="Q508" s="18" t="str">
        <f t="shared" si="84"/>
        <v/>
      </c>
      <c r="R508" s="18" t="str">
        <f t="shared" si="85"/>
        <v/>
      </c>
      <c r="S508" s="18" t="str">
        <f t="shared" si="86"/>
        <v/>
      </c>
      <c r="T508" s="18" t="str">
        <f t="shared" si="87"/>
        <v/>
      </c>
      <c r="U508" s="18" t="str">
        <f t="shared" si="88"/>
        <v/>
      </c>
      <c r="V508" s="1"/>
    </row>
    <row r="509" spans="1:22" x14ac:dyDescent="0.25">
      <c r="A509" s="14"/>
      <c r="B509" s="33"/>
      <c r="C509" s="22"/>
      <c r="D509" s="4"/>
      <c r="E509" s="39">
        <v>0.1</v>
      </c>
      <c r="F509" s="42"/>
      <c r="G509" s="11"/>
      <c r="H509" s="1"/>
      <c r="I509" s="1"/>
      <c r="J509" s="2"/>
      <c r="K509" s="1"/>
      <c r="L509" s="1"/>
      <c r="M509" s="1"/>
      <c r="N509" s="1"/>
      <c r="O509" s="3"/>
      <c r="P509" s="18" t="str">
        <f t="shared" si="83"/>
        <v/>
      </c>
      <c r="Q509" s="18" t="str">
        <f t="shared" si="84"/>
        <v/>
      </c>
      <c r="R509" s="18" t="str">
        <f t="shared" si="85"/>
        <v/>
      </c>
      <c r="S509" s="18" t="str">
        <f t="shared" si="86"/>
        <v/>
      </c>
      <c r="T509" s="18" t="str">
        <f t="shared" si="87"/>
        <v/>
      </c>
      <c r="U509" s="18" t="str">
        <f t="shared" si="88"/>
        <v/>
      </c>
      <c r="V509" s="1"/>
    </row>
    <row r="510" spans="1:22" x14ac:dyDescent="0.25">
      <c r="A510" s="14"/>
      <c r="B510" s="34" t="s">
        <v>36</v>
      </c>
      <c r="C510" s="22"/>
      <c r="D510" s="25">
        <f>0.23-0.05</f>
        <v>0.18</v>
      </c>
      <c r="E510" s="39"/>
      <c r="F510" s="42"/>
      <c r="G510" s="11">
        <v>10</v>
      </c>
      <c r="H510" s="1">
        <v>1</v>
      </c>
      <c r="I510" s="1">
        <v>5</v>
      </c>
      <c r="J510" s="41">
        <f>D510+E509+E511</f>
        <v>0.38</v>
      </c>
      <c r="K510" s="1"/>
      <c r="L510" s="1"/>
      <c r="M510" s="5">
        <f>2*3*G510/1000</f>
        <v>0.06</v>
      </c>
      <c r="N510" s="5">
        <f>(J510+K510-M510)</f>
        <v>0.32</v>
      </c>
      <c r="O510" s="5">
        <f>(H510*I510*N510)</f>
        <v>1.6</v>
      </c>
      <c r="P510" s="18" t="str">
        <f t="shared" si="83"/>
        <v/>
      </c>
      <c r="Q510" s="18">
        <f t="shared" si="84"/>
        <v>1.6</v>
      </c>
      <c r="R510" s="18" t="str">
        <f t="shared" si="85"/>
        <v/>
      </c>
      <c r="S510" s="18" t="str">
        <f t="shared" si="86"/>
        <v/>
      </c>
      <c r="T510" s="18" t="str">
        <f t="shared" si="87"/>
        <v/>
      </c>
      <c r="U510" s="18" t="str">
        <f t="shared" si="88"/>
        <v/>
      </c>
      <c r="V510" s="1"/>
    </row>
    <row r="511" spans="1:22" x14ac:dyDescent="0.25">
      <c r="A511" s="14"/>
      <c r="B511" s="33"/>
      <c r="C511" s="22"/>
      <c r="D511" s="4"/>
      <c r="E511" s="39">
        <v>0.1</v>
      </c>
      <c r="F511" s="42"/>
      <c r="G511" s="11"/>
      <c r="H511" s="1"/>
      <c r="I511" s="1"/>
      <c r="J511" s="2"/>
      <c r="K511" s="1"/>
      <c r="L511" s="1"/>
      <c r="M511" s="1"/>
      <c r="N511" s="1"/>
      <c r="O511" s="3"/>
      <c r="P511" s="18" t="str">
        <f t="shared" si="83"/>
        <v/>
      </c>
      <c r="Q511" s="18" t="str">
        <f t="shared" si="84"/>
        <v/>
      </c>
      <c r="R511" s="18" t="str">
        <f t="shared" si="85"/>
        <v/>
      </c>
      <c r="S511" s="18" t="str">
        <f t="shared" si="86"/>
        <v/>
      </c>
      <c r="T511" s="18" t="str">
        <f t="shared" si="87"/>
        <v/>
      </c>
      <c r="U511" s="18" t="str">
        <f t="shared" si="88"/>
        <v/>
      </c>
      <c r="V511" s="1"/>
    </row>
    <row r="512" spans="1:22" x14ac:dyDescent="0.25">
      <c r="A512" s="14"/>
      <c r="B512" s="34"/>
      <c r="C512" s="22"/>
      <c r="D512" s="28"/>
      <c r="E512" s="23"/>
      <c r="F512" s="42"/>
      <c r="G512" s="11"/>
      <c r="H512" s="1"/>
      <c r="I512" s="1"/>
      <c r="J512" s="2"/>
      <c r="K512" s="1"/>
      <c r="L512" s="1"/>
      <c r="M512" s="1"/>
      <c r="N512" s="1"/>
      <c r="O512" s="3"/>
      <c r="P512" s="18" t="str">
        <f t="shared" si="83"/>
        <v/>
      </c>
      <c r="Q512" s="18" t="str">
        <f t="shared" si="84"/>
        <v/>
      </c>
      <c r="R512" s="18" t="str">
        <f t="shared" si="85"/>
        <v/>
      </c>
      <c r="S512" s="18" t="str">
        <f t="shared" si="86"/>
        <v/>
      </c>
      <c r="T512" s="18" t="str">
        <f t="shared" si="87"/>
        <v/>
      </c>
      <c r="U512" s="18" t="str">
        <f t="shared" si="88"/>
        <v/>
      </c>
      <c r="V512" s="1"/>
    </row>
    <row r="513" spans="1:22" x14ac:dyDescent="0.25">
      <c r="A513" s="14">
        <v>19</v>
      </c>
      <c r="B513" s="14" t="s">
        <v>61</v>
      </c>
      <c r="C513" s="22"/>
      <c r="D513" s="4"/>
      <c r="E513" s="23"/>
      <c r="F513" s="42"/>
      <c r="G513" s="11"/>
      <c r="H513" s="1"/>
      <c r="I513" s="1"/>
      <c r="J513" s="9"/>
      <c r="K513" s="5"/>
      <c r="L513" s="5"/>
      <c r="M513" s="1"/>
      <c r="N513" s="5"/>
      <c r="O513" s="5"/>
      <c r="P513" s="18" t="str">
        <f>IF($G513=8,$O513,"")</f>
        <v/>
      </c>
      <c r="Q513" s="18" t="str">
        <f>IF($G513=10,$O513,"")</f>
        <v/>
      </c>
      <c r="R513" s="18" t="str">
        <f>IF($G513=12,$O513,"")</f>
        <v/>
      </c>
      <c r="S513" s="18" t="str">
        <f>IF($G513=16,$O513,"")</f>
        <v/>
      </c>
      <c r="T513" s="18" t="str">
        <f>IF($G513=20,$O513,"")</f>
        <v/>
      </c>
      <c r="U513" s="18" t="str">
        <f>IF($G513=25,$O513,"")</f>
        <v/>
      </c>
      <c r="V513" s="1"/>
    </row>
    <row r="514" spans="1:22" x14ac:dyDescent="0.25">
      <c r="A514" s="14"/>
      <c r="B514" s="33" t="s">
        <v>18</v>
      </c>
      <c r="C514" s="22"/>
      <c r="D514" s="25">
        <f>0.85-0.075-2*0.016</f>
        <v>0.74299999999999999</v>
      </c>
      <c r="E514" s="23"/>
      <c r="F514" s="42"/>
      <c r="G514" s="11">
        <v>16</v>
      </c>
      <c r="H514" s="1">
        <v>1</v>
      </c>
      <c r="I514" s="1">
        <v>8</v>
      </c>
      <c r="J514" s="9">
        <f>D514</f>
        <v>0.74299999999999999</v>
      </c>
      <c r="K514" s="46" t="str">
        <f>IF(N514&lt;12,"0",0.049*G514)</f>
        <v>0</v>
      </c>
      <c r="L514" s="45">
        <v>1</v>
      </c>
      <c r="M514" s="1">
        <f>2*G514*L514/1000</f>
        <v>3.2000000000000001E-2</v>
      </c>
      <c r="N514" s="5">
        <f>J514+E516-M514</f>
        <v>1.0109999999999999</v>
      </c>
      <c r="O514" s="5">
        <f>H514*I514*N514</f>
        <v>8.0879999999999992</v>
      </c>
      <c r="P514" s="18" t="str">
        <f t="shared" si="83"/>
        <v/>
      </c>
      <c r="Q514" s="18" t="str">
        <f t="shared" si="84"/>
        <v/>
      </c>
      <c r="R514" s="18" t="str">
        <f t="shared" si="85"/>
        <v/>
      </c>
      <c r="S514" s="18">
        <f t="shared" si="86"/>
        <v>8.0879999999999992</v>
      </c>
      <c r="T514" s="18" t="str">
        <f t="shared" si="87"/>
        <v/>
      </c>
      <c r="U514" s="18" t="str">
        <f t="shared" si="88"/>
        <v/>
      </c>
      <c r="V514" s="1"/>
    </row>
    <row r="515" spans="1:22" x14ac:dyDescent="0.25">
      <c r="A515" s="14"/>
      <c r="B515" s="33" t="s">
        <v>32</v>
      </c>
      <c r="C515" s="22"/>
      <c r="D515" s="4"/>
      <c r="E515" s="23"/>
      <c r="F515" s="42"/>
      <c r="G515" s="11">
        <v>12</v>
      </c>
      <c r="H515" s="1">
        <v>1</v>
      </c>
      <c r="I515" s="1">
        <v>16</v>
      </c>
      <c r="J515" s="9">
        <f>D514</f>
        <v>0.74299999999999999</v>
      </c>
      <c r="K515" s="46" t="str">
        <f t="shared" ref="K515:K516" si="98">IF(N515&lt;12,"0",0.049*G515)</f>
        <v>0</v>
      </c>
      <c r="L515" s="45">
        <v>1</v>
      </c>
      <c r="M515" s="1">
        <f t="shared" ref="M515:M516" si="99">2*G515*L515/1000</f>
        <v>2.4E-2</v>
      </c>
      <c r="N515" s="5">
        <f>J515+E516-M515</f>
        <v>1.0189999999999999</v>
      </c>
      <c r="O515" s="5">
        <f>H515*I515*N515</f>
        <v>16.303999999999998</v>
      </c>
      <c r="P515" s="18" t="str">
        <f t="shared" si="83"/>
        <v/>
      </c>
      <c r="Q515" s="18" t="str">
        <f t="shared" si="84"/>
        <v/>
      </c>
      <c r="R515" s="18">
        <f t="shared" si="85"/>
        <v>16.303999999999998</v>
      </c>
      <c r="S515" s="18" t="str">
        <f t="shared" si="86"/>
        <v/>
      </c>
      <c r="T515" s="18" t="str">
        <f t="shared" si="87"/>
        <v/>
      </c>
      <c r="U515" s="18" t="str">
        <f t="shared" si="88"/>
        <v/>
      </c>
      <c r="V515" s="1"/>
    </row>
    <row r="516" spans="1:22" x14ac:dyDescent="0.25">
      <c r="A516" s="14"/>
      <c r="B516" s="33" t="s">
        <v>26</v>
      </c>
      <c r="C516" s="24"/>
      <c r="D516" s="25"/>
      <c r="E516" s="39">
        <v>0.3</v>
      </c>
      <c r="F516" s="42"/>
      <c r="G516" s="11">
        <v>10</v>
      </c>
      <c r="H516" s="1">
        <v>1</v>
      </c>
      <c r="I516" s="1">
        <v>8</v>
      </c>
      <c r="J516" s="9">
        <f>D514</f>
        <v>0.74299999999999999</v>
      </c>
      <c r="K516" s="46" t="str">
        <f t="shared" si="98"/>
        <v>0</v>
      </c>
      <c r="L516" s="45">
        <v>1</v>
      </c>
      <c r="M516" s="1">
        <f t="shared" si="99"/>
        <v>0.02</v>
      </c>
      <c r="N516" s="5">
        <f>J516+E516-M516</f>
        <v>1.0229999999999999</v>
      </c>
      <c r="O516" s="5">
        <f>H516*I516*N516</f>
        <v>8.1839999999999993</v>
      </c>
      <c r="P516" s="18" t="str">
        <f t="shared" si="83"/>
        <v/>
      </c>
      <c r="Q516" s="18">
        <f t="shared" si="84"/>
        <v>8.1839999999999993</v>
      </c>
      <c r="R516" s="18" t="str">
        <f t="shared" si="85"/>
        <v/>
      </c>
      <c r="S516" s="18" t="str">
        <f t="shared" si="86"/>
        <v/>
      </c>
      <c r="T516" s="18" t="str">
        <f t="shared" si="87"/>
        <v/>
      </c>
      <c r="U516" s="18" t="str">
        <f t="shared" si="88"/>
        <v/>
      </c>
      <c r="V516" s="1"/>
    </row>
    <row r="517" spans="1:22" x14ac:dyDescent="0.25">
      <c r="A517" s="14"/>
      <c r="B517" s="33"/>
      <c r="C517" s="22"/>
      <c r="D517" s="4"/>
      <c r="E517" s="23"/>
      <c r="F517" s="42"/>
      <c r="G517" s="11"/>
      <c r="H517" s="1"/>
      <c r="I517" s="1"/>
      <c r="J517" s="9"/>
      <c r="K517" s="46"/>
      <c r="L517" s="45"/>
      <c r="M517" s="1"/>
      <c r="N517" s="5"/>
      <c r="O517" s="5"/>
      <c r="P517" s="18" t="str">
        <f t="shared" si="83"/>
        <v/>
      </c>
      <c r="Q517" s="18" t="str">
        <f t="shared" si="84"/>
        <v/>
      </c>
      <c r="R517" s="18" t="str">
        <f t="shared" si="85"/>
        <v/>
      </c>
      <c r="S517" s="18" t="str">
        <f t="shared" si="86"/>
        <v/>
      </c>
      <c r="T517" s="18" t="str">
        <f t="shared" si="87"/>
        <v/>
      </c>
      <c r="U517" s="18" t="str">
        <f t="shared" si="88"/>
        <v/>
      </c>
      <c r="V517" s="1"/>
    </row>
    <row r="518" spans="1:22" x14ac:dyDescent="0.25">
      <c r="A518" s="14"/>
      <c r="B518" s="33"/>
      <c r="C518" s="22"/>
      <c r="D518" s="4"/>
      <c r="E518" s="23"/>
      <c r="F518" s="42"/>
      <c r="G518" s="11"/>
      <c r="H518" s="1"/>
      <c r="I518" s="1"/>
      <c r="J518" s="2"/>
      <c r="K518" s="1"/>
      <c r="L518" s="1"/>
      <c r="M518" s="1"/>
      <c r="N518" s="1"/>
      <c r="O518" s="3"/>
      <c r="P518" s="18" t="str">
        <f t="shared" si="83"/>
        <v/>
      </c>
      <c r="Q518" s="18" t="str">
        <f t="shared" si="84"/>
        <v/>
      </c>
      <c r="R518" s="18" t="str">
        <f t="shared" si="85"/>
        <v/>
      </c>
      <c r="S518" s="18" t="str">
        <f t="shared" si="86"/>
        <v/>
      </c>
      <c r="T518" s="18" t="str">
        <f t="shared" si="87"/>
        <v/>
      </c>
      <c r="U518" s="18" t="str">
        <f t="shared" si="88"/>
        <v/>
      </c>
      <c r="V518" s="1"/>
    </row>
    <row r="519" spans="1:22" x14ac:dyDescent="0.25">
      <c r="A519" s="14"/>
      <c r="B519" s="14"/>
      <c r="C519" s="47">
        <v>0.1</v>
      </c>
      <c r="D519" s="4"/>
      <c r="E519" s="23"/>
      <c r="F519" s="42"/>
      <c r="G519" s="11"/>
      <c r="H519" s="1"/>
      <c r="I519" s="1"/>
      <c r="J519" s="2"/>
      <c r="K519" s="1"/>
      <c r="L519" s="1"/>
      <c r="M519" s="1"/>
      <c r="N519" s="1"/>
      <c r="O519" s="3"/>
      <c r="P519" s="18" t="str">
        <f t="shared" si="83"/>
        <v/>
      </c>
      <c r="Q519" s="18" t="str">
        <f t="shared" si="84"/>
        <v/>
      </c>
      <c r="R519" s="18" t="str">
        <f t="shared" si="85"/>
        <v/>
      </c>
      <c r="S519" s="18" t="str">
        <f t="shared" si="86"/>
        <v/>
      </c>
      <c r="T519" s="18" t="str">
        <f t="shared" si="87"/>
        <v/>
      </c>
      <c r="U519" s="18" t="str">
        <f t="shared" si="88"/>
        <v/>
      </c>
      <c r="V519" s="1"/>
    </row>
    <row r="520" spans="1:22" x14ac:dyDescent="0.25">
      <c r="A520" s="14"/>
      <c r="B520" s="34" t="s">
        <v>20</v>
      </c>
      <c r="C520" s="26"/>
      <c r="D520" s="4"/>
      <c r="E520" s="40">
        <f>0.65-0.05</f>
        <v>0.6</v>
      </c>
      <c r="F520" s="42"/>
      <c r="G520" s="11">
        <v>10</v>
      </c>
      <c r="H520" s="1">
        <v>1</v>
      </c>
      <c r="I520" s="1">
        <v>4</v>
      </c>
      <c r="J520" s="41">
        <f>2*(D522+E520)+16*10/1000</f>
        <v>1.72</v>
      </c>
      <c r="K520" s="1"/>
      <c r="L520" s="1"/>
      <c r="M520" s="1"/>
      <c r="N520" s="5">
        <f>(J520+K520-M520)</f>
        <v>1.72</v>
      </c>
      <c r="O520" s="5">
        <f>(H520*I520*N520)</f>
        <v>6.88</v>
      </c>
      <c r="P520" s="18" t="str">
        <f t="shared" si="83"/>
        <v/>
      </c>
      <c r="Q520" s="18">
        <f t="shared" si="84"/>
        <v>6.88</v>
      </c>
      <c r="R520" s="18" t="str">
        <f t="shared" si="85"/>
        <v/>
      </c>
      <c r="S520" s="18" t="str">
        <f t="shared" si="86"/>
        <v/>
      </c>
      <c r="T520" s="18" t="str">
        <f t="shared" si="87"/>
        <v/>
      </c>
      <c r="U520" s="18" t="str">
        <f t="shared" si="88"/>
        <v/>
      </c>
      <c r="V520" s="1"/>
    </row>
    <row r="521" spans="1:22" x14ac:dyDescent="0.25">
      <c r="A521" s="14"/>
      <c r="B521" s="34"/>
      <c r="C521" s="22"/>
      <c r="D521" s="4"/>
      <c r="E521" s="27"/>
      <c r="F521" s="42"/>
      <c r="G521" s="11"/>
      <c r="H521" s="1"/>
      <c r="I521" s="1"/>
      <c r="J521" s="2"/>
      <c r="K521" s="1"/>
      <c r="L521" s="1"/>
      <c r="M521" s="1"/>
      <c r="N521" s="1"/>
      <c r="O521" s="5"/>
      <c r="P521" s="18" t="str">
        <f t="shared" si="83"/>
        <v/>
      </c>
      <c r="Q521" s="18" t="str">
        <f t="shared" si="84"/>
        <v/>
      </c>
      <c r="R521" s="18" t="str">
        <f t="shared" si="85"/>
        <v/>
      </c>
      <c r="S521" s="18" t="str">
        <f t="shared" si="86"/>
        <v/>
      </c>
      <c r="T521" s="18" t="str">
        <f t="shared" si="87"/>
        <v/>
      </c>
      <c r="U521" s="18" t="str">
        <f t="shared" si="88"/>
        <v/>
      </c>
      <c r="V521" s="1"/>
    </row>
    <row r="522" spans="1:22" x14ac:dyDescent="0.25">
      <c r="A522" s="14"/>
      <c r="B522" s="34"/>
      <c r="C522" s="22"/>
      <c r="D522" s="9">
        <f>0.23-0.05</f>
        <v>0.18</v>
      </c>
      <c r="E522" s="23"/>
      <c r="F522" s="42"/>
      <c r="G522" s="11"/>
      <c r="H522" s="1"/>
      <c r="I522" s="1"/>
      <c r="J522" s="2"/>
      <c r="K522" s="1"/>
      <c r="L522" s="1"/>
      <c r="M522" s="1"/>
      <c r="N522" s="1"/>
      <c r="O522" s="5"/>
      <c r="P522" s="18" t="str">
        <f t="shared" si="83"/>
        <v/>
      </c>
      <c r="Q522" s="18" t="str">
        <f t="shared" si="84"/>
        <v/>
      </c>
      <c r="R522" s="18" t="str">
        <f t="shared" si="85"/>
        <v/>
      </c>
      <c r="S522" s="18" t="str">
        <f t="shared" si="86"/>
        <v/>
      </c>
      <c r="T522" s="18" t="str">
        <f t="shared" si="87"/>
        <v/>
      </c>
      <c r="U522" s="18" t="str">
        <f t="shared" si="88"/>
        <v/>
      </c>
      <c r="V522" s="1"/>
    </row>
    <row r="523" spans="1:22" x14ac:dyDescent="0.25">
      <c r="A523" s="14"/>
      <c r="B523" s="33"/>
      <c r="C523" s="22"/>
      <c r="D523" s="4"/>
      <c r="E523" s="23"/>
      <c r="F523" s="42"/>
      <c r="G523" s="11"/>
      <c r="H523" s="1"/>
      <c r="I523" s="1"/>
      <c r="J523" s="2"/>
      <c r="K523" s="1"/>
      <c r="L523" s="1"/>
      <c r="M523" s="1"/>
      <c r="N523" s="1"/>
      <c r="O523" s="3"/>
      <c r="P523" s="18" t="str">
        <f t="shared" si="83"/>
        <v/>
      </c>
      <c r="Q523" s="18" t="str">
        <f t="shared" si="84"/>
        <v/>
      </c>
      <c r="R523" s="18" t="str">
        <f t="shared" si="85"/>
        <v/>
      </c>
      <c r="S523" s="18" t="str">
        <f t="shared" si="86"/>
        <v/>
      </c>
      <c r="T523" s="18" t="str">
        <f t="shared" si="87"/>
        <v/>
      </c>
      <c r="U523" s="18" t="str">
        <f t="shared" si="88"/>
        <v/>
      </c>
      <c r="V523" s="1"/>
    </row>
    <row r="524" spans="1:22" x14ac:dyDescent="0.25">
      <c r="A524" s="14"/>
      <c r="B524" s="14"/>
      <c r="C524" s="47">
        <v>0.1</v>
      </c>
      <c r="D524" s="4"/>
      <c r="E524" s="23"/>
      <c r="F524" s="42"/>
      <c r="G524" s="11"/>
      <c r="H524" s="1"/>
      <c r="I524" s="1"/>
      <c r="J524" s="2"/>
      <c r="K524" s="1"/>
      <c r="L524" s="1"/>
      <c r="M524" s="1"/>
      <c r="N524" s="1"/>
      <c r="O524" s="3"/>
      <c r="P524" s="18" t="str">
        <f t="shared" si="83"/>
        <v/>
      </c>
      <c r="Q524" s="18" t="str">
        <f t="shared" si="84"/>
        <v/>
      </c>
      <c r="R524" s="18" t="str">
        <f t="shared" si="85"/>
        <v/>
      </c>
      <c r="S524" s="18" t="str">
        <f t="shared" si="86"/>
        <v/>
      </c>
      <c r="T524" s="18" t="str">
        <f t="shared" si="87"/>
        <v/>
      </c>
      <c r="U524" s="18" t="str">
        <f t="shared" si="88"/>
        <v/>
      </c>
      <c r="V524" s="1"/>
    </row>
    <row r="525" spans="1:22" x14ac:dyDescent="0.25">
      <c r="A525" s="14"/>
      <c r="B525" s="34" t="s">
        <v>21</v>
      </c>
      <c r="C525" s="26"/>
      <c r="D525" s="4"/>
      <c r="E525" s="40">
        <f>1.535-0.05</f>
        <v>1.4849999999999999</v>
      </c>
      <c r="F525" s="42"/>
      <c r="G525" s="11">
        <v>10</v>
      </c>
      <c r="H525" s="1">
        <v>1</v>
      </c>
      <c r="I525" s="1">
        <v>4</v>
      </c>
      <c r="J525" s="41">
        <f>2*(D527+E525)+16*10/1000</f>
        <v>3.4899999999999998</v>
      </c>
      <c r="K525" s="1"/>
      <c r="L525" s="1"/>
      <c r="M525" s="1"/>
      <c r="N525" s="5">
        <f>(J525+K525-M525)</f>
        <v>3.4899999999999998</v>
      </c>
      <c r="O525" s="5">
        <f>(H525*I525*N525)</f>
        <v>13.959999999999999</v>
      </c>
      <c r="P525" s="18" t="str">
        <f t="shared" si="83"/>
        <v/>
      </c>
      <c r="Q525" s="18">
        <f t="shared" si="84"/>
        <v>13.959999999999999</v>
      </c>
      <c r="R525" s="18" t="str">
        <f t="shared" si="85"/>
        <v/>
      </c>
      <c r="S525" s="18" t="str">
        <f t="shared" si="86"/>
        <v/>
      </c>
      <c r="T525" s="18" t="str">
        <f t="shared" si="87"/>
        <v/>
      </c>
      <c r="U525" s="18" t="str">
        <f t="shared" si="88"/>
        <v/>
      </c>
      <c r="V525" s="1"/>
    </row>
    <row r="526" spans="1:22" x14ac:dyDescent="0.25">
      <c r="A526" s="14"/>
      <c r="B526" s="34"/>
      <c r="C526" s="22"/>
      <c r="D526" s="4"/>
      <c r="E526" s="27"/>
      <c r="F526" s="42"/>
      <c r="G526" s="11"/>
      <c r="H526" s="1"/>
      <c r="I526" s="1"/>
      <c r="J526" s="2"/>
      <c r="K526" s="1"/>
      <c r="L526" s="1"/>
      <c r="M526" s="1"/>
      <c r="N526" s="1"/>
      <c r="O526" s="5"/>
      <c r="P526" s="18" t="str">
        <f t="shared" si="83"/>
        <v/>
      </c>
      <c r="Q526" s="18" t="str">
        <f t="shared" si="84"/>
        <v/>
      </c>
      <c r="R526" s="18" t="str">
        <f t="shared" si="85"/>
        <v/>
      </c>
      <c r="S526" s="18" t="str">
        <f t="shared" si="86"/>
        <v/>
      </c>
      <c r="T526" s="18" t="str">
        <f t="shared" si="87"/>
        <v/>
      </c>
      <c r="U526" s="18" t="str">
        <f t="shared" si="88"/>
        <v/>
      </c>
      <c r="V526" s="1"/>
    </row>
    <row r="527" spans="1:22" x14ac:dyDescent="0.25">
      <c r="A527" s="14"/>
      <c r="B527" s="34"/>
      <c r="C527" s="22"/>
      <c r="D527" s="9">
        <f>0.23-0.05</f>
        <v>0.18</v>
      </c>
      <c r="E527" s="23"/>
      <c r="F527" s="42"/>
      <c r="G527" s="11"/>
      <c r="H527" s="1"/>
      <c r="I527" s="1"/>
      <c r="J527" s="2"/>
      <c r="K527" s="1"/>
      <c r="L527" s="1"/>
      <c r="M527" s="1"/>
      <c r="N527" s="1"/>
      <c r="O527" s="5"/>
      <c r="P527" s="18" t="str">
        <f t="shared" si="83"/>
        <v/>
      </c>
      <c r="Q527" s="18" t="str">
        <f t="shared" si="84"/>
        <v/>
      </c>
      <c r="R527" s="18" t="str">
        <f t="shared" si="85"/>
        <v/>
      </c>
      <c r="S527" s="18" t="str">
        <f t="shared" si="86"/>
        <v/>
      </c>
      <c r="T527" s="18" t="str">
        <f t="shared" si="87"/>
        <v/>
      </c>
      <c r="U527" s="18" t="str">
        <f t="shared" si="88"/>
        <v/>
      </c>
      <c r="V527" s="1"/>
    </row>
    <row r="528" spans="1:22" x14ac:dyDescent="0.25">
      <c r="A528" s="14"/>
      <c r="B528" s="33"/>
      <c r="C528" s="22"/>
      <c r="D528" s="4"/>
      <c r="E528" s="23"/>
      <c r="F528" s="42"/>
      <c r="G528" s="11"/>
      <c r="H528" s="1"/>
      <c r="I528" s="1"/>
      <c r="J528" s="2"/>
      <c r="K528" s="1"/>
      <c r="L528" s="1"/>
      <c r="M528" s="1"/>
      <c r="N528" s="1"/>
      <c r="O528" s="5"/>
      <c r="P528" s="18" t="str">
        <f t="shared" si="83"/>
        <v/>
      </c>
      <c r="Q528" s="18" t="str">
        <f t="shared" si="84"/>
        <v/>
      </c>
      <c r="R528" s="18" t="str">
        <f t="shared" si="85"/>
        <v/>
      </c>
      <c r="S528" s="18" t="str">
        <f t="shared" si="86"/>
        <v/>
      </c>
      <c r="T528" s="18" t="str">
        <f t="shared" si="87"/>
        <v/>
      </c>
      <c r="U528" s="18" t="str">
        <f t="shared" si="88"/>
        <v/>
      </c>
      <c r="V528" s="1"/>
    </row>
    <row r="529" spans="1:22" x14ac:dyDescent="0.25">
      <c r="A529" s="14"/>
      <c r="B529" s="14"/>
      <c r="C529" s="47">
        <v>0.1</v>
      </c>
      <c r="D529" s="4"/>
      <c r="E529" s="23"/>
      <c r="F529" s="42"/>
      <c r="G529" s="11"/>
      <c r="H529" s="1"/>
      <c r="I529" s="1"/>
      <c r="J529" s="2"/>
      <c r="K529" s="1"/>
      <c r="L529" s="1"/>
      <c r="M529" s="1"/>
      <c r="N529" s="1"/>
      <c r="O529" s="5"/>
      <c r="P529" s="18" t="str">
        <f t="shared" si="83"/>
        <v/>
      </c>
      <c r="Q529" s="18" t="str">
        <f t="shared" si="84"/>
        <v/>
      </c>
      <c r="R529" s="18" t="str">
        <f t="shared" si="85"/>
        <v/>
      </c>
      <c r="S529" s="18" t="str">
        <f t="shared" si="86"/>
        <v/>
      </c>
      <c r="T529" s="18" t="str">
        <f t="shared" si="87"/>
        <v/>
      </c>
      <c r="U529" s="18" t="str">
        <f t="shared" si="88"/>
        <v/>
      </c>
      <c r="V529" s="1"/>
    </row>
    <row r="530" spans="1:22" x14ac:dyDescent="0.25">
      <c r="A530" s="14"/>
      <c r="B530" s="34" t="s">
        <v>22</v>
      </c>
      <c r="C530" s="26"/>
      <c r="D530" s="4"/>
      <c r="E530" s="40">
        <f>((0.65-0.05-0.016)/5)*2+0.012+0.02</f>
        <v>0.2656</v>
      </c>
      <c r="F530" s="42"/>
      <c r="G530" s="11">
        <v>10</v>
      </c>
      <c r="H530" s="1">
        <v>1</v>
      </c>
      <c r="I530" s="1">
        <v>1</v>
      </c>
      <c r="J530" s="41">
        <f>2*(D532+E530)+16*10/1000</f>
        <v>1.0511999999999999</v>
      </c>
      <c r="K530" s="1"/>
      <c r="L530" s="1"/>
      <c r="M530" s="1"/>
      <c r="N530" s="5">
        <f>(J530+K530-M530)</f>
        <v>1.0511999999999999</v>
      </c>
      <c r="O530" s="5">
        <f>(H530*I530*N530)</f>
        <v>1.0511999999999999</v>
      </c>
      <c r="P530" s="18" t="str">
        <f t="shared" si="83"/>
        <v/>
      </c>
      <c r="Q530" s="18">
        <f t="shared" si="84"/>
        <v>1.0511999999999999</v>
      </c>
      <c r="R530" s="18" t="str">
        <f t="shared" si="85"/>
        <v/>
      </c>
      <c r="S530" s="18" t="str">
        <f t="shared" si="86"/>
        <v/>
      </c>
      <c r="T530" s="18" t="str">
        <f t="shared" si="87"/>
        <v/>
      </c>
      <c r="U530" s="18" t="str">
        <f t="shared" si="88"/>
        <v/>
      </c>
      <c r="V530" s="1"/>
    </row>
    <row r="531" spans="1:22" x14ac:dyDescent="0.25">
      <c r="A531" s="14"/>
      <c r="B531" s="34"/>
      <c r="C531" s="22"/>
      <c r="D531" s="4"/>
      <c r="E531" s="27"/>
      <c r="F531" s="42"/>
      <c r="G531" s="11"/>
      <c r="H531" s="1"/>
      <c r="I531" s="1"/>
      <c r="J531" s="2"/>
      <c r="K531" s="1"/>
      <c r="L531" s="1"/>
      <c r="M531" s="1"/>
      <c r="N531" s="1"/>
      <c r="O531" s="5"/>
      <c r="P531" s="18" t="str">
        <f t="shared" si="83"/>
        <v/>
      </c>
      <c r="Q531" s="18" t="str">
        <f t="shared" si="84"/>
        <v/>
      </c>
      <c r="R531" s="18" t="str">
        <f t="shared" si="85"/>
        <v/>
      </c>
      <c r="S531" s="18" t="str">
        <f t="shared" si="86"/>
        <v/>
      </c>
      <c r="T531" s="18" t="str">
        <f t="shared" si="87"/>
        <v/>
      </c>
      <c r="U531" s="18" t="str">
        <f t="shared" si="88"/>
        <v/>
      </c>
      <c r="V531" s="1"/>
    </row>
    <row r="532" spans="1:22" x14ac:dyDescent="0.25">
      <c r="A532" s="14"/>
      <c r="B532" s="34"/>
      <c r="C532" s="22"/>
      <c r="D532" s="9">
        <f>0.23-0.05</f>
        <v>0.18</v>
      </c>
      <c r="E532" s="23"/>
      <c r="F532" s="42"/>
      <c r="G532" s="11"/>
      <c r="H532" s="1"/>
      <c r="I532" s="1"/>
      <c r="J532" s="2"/>
      <c r="K532" s="1"/>
      <c r="L532" s="1"/>
      <c r="M532" s="1"/>
      <c r="N532" s="1"/>
      <c r="O532" s="5"/>
      <c r="P532" s="18" t="str">
        <f t="shared" si="83"/>
        <v/>
      </c>
      <c r="Q532" s="18" t="str">
        <f t="shared" si="84"/>
        <v/>
      </c>
      <c r="R532" s="18" t="str">
        <f t="shared" si="85"/>
        <v/>
      </c>
      <c r="S532" s="18" t="str">
        <f t="shared" si="86"/>
        <v/>
      </c>
      <c r="T532" s="18" t="str">
        <f t="shared" si="87"/>
        <v/>
      </c>
      <c r="U532" s="18" t="str">
        <f t="shared" si="88"/>
        <v/>
      </c>
      <c r="V532" s="1"/>
    </row>
    <row r="533" spans="1:22" x14ac:dyDescent="0.25">
      <c r="A533" s="14"/>
      <c r="B533" s="33"/>
      <c r="C533" s="22"/>
      <c r="D533" s="4"/>
      <c r="E533" s="23"/>
      <c r="F533" s="42"/>
      <c r="G533" s="11"/>
      <c r="H533" s="1"/>
      <c r="I533" s="1"/>
      <c r="J533" s="2"/>
      <c r="K533" s="1"/>
      <c r="L533" s="1"/>
      <c r="M533" s="1"/>
      <c r="N533" s="1"/>
      <c r="O533" s="3"/>
      <c r="P533" s="18" t="str">
        <f t="shared" si="83"/>
        <v/>
      </c>
      <c r="Q533" s="18" t="str">
        <f t="shared" si="84"/>
        <v/>
      </c>
      <c r="R533" s="18" t="str">
        <f t="shared" si="85"/>
        <v/>
      </c>
      <c r="S533" s="18" t="str">
        <f t="shared" si="86"/>
        <v/>
      </c>
      <c r="T533" s="18" t="str">
        <f t="shared" si="87"/>
        <v/>
      </c>
      <c r="U533" s="18" t="str">
        <f t="shared" si="88"/>
        <v/>
      </c>
      <c r="V533" s="1"/>
    </row>
    <row r="534" spans="1:22" x14ac:dyDescent="0.25">
      <c r="A534" s="14"/>
      <c r="B534" s="14"/>
      <c r="C534" s="47">
        <v>0.1</v>
      </c>
      <c r="D534" s="4"/>
      <c r="E534" s="23"/>
      <c r="F534" s="42"/>
      <c r="G534" s="11"/>
      <c r="H534" s="1"/>
      <c r="I534" s="1"/>
      <c r="J534" s="2"/>
      <c r="K534" s="1"/>
      <c r="L534" s="1"/>
      <c r="M534" s="1"/>
      <c r="N534" s="1"/>
      <c r="O534" s="3"/>
      <c r="P534" s="18" t="str">
        <f t="shared" si="83"/>
        <v/>
      </c>
      <c r="Q534" s="18" t="str">
        <f t="shared" si="84"/>
        <v/>
      </c>
      <c r="R534" s="18" t="str">
        <f t="shared" si="85"/>
        <v/>
      </c>
      <c r="S534" s="18" t="str">
        <f t="shared" si="86"/>
        <v/>
      </c>
      <c r="T534" s="18" t="str">
        <f t="shared" si="87"/>
        <v/>
      </c>
      <c r="U534" s="18" t="str">
        <f t="shared" si="88"/>
        <v/>
      </c>
      <c r="V534" s="1"/>
    </row>
    <row r="535" spans="1:22" x14ac:dyDescent="0.25">
      <c r="A535" s="14"/>
      <c r="B535" s="34" t="s">
        <v>36</v>
      </c>
      <c r="C535" s="26"/>
      <c r="D535" s="4"/>
      <c r="E535" s="40">
        <f>((1.535-0.05-0.014)/11)*3+0.014+0.02</f>
        <v>0.43518181818181823</v>
      </c>
      <c r="F535" s="42"/>
      <c r="G535" s="11">
        <v>10</v>
      </c>
      <c r="H535" s="1">
        <v>1</v>
      </c>
      <c r="I535" s="1">
        <v>1</v>
      </c>
      <c r="J535" s="41">
        <f>2*(D537+E535)+16*10/1000</f>
        <v>1.3903636363636365</v>
      </c>
      <c r="K535" s="1"/>
      <c r="L535" s="1"/>
      <c r="M535" s="1"/>
      <c r="N535" s="5">
        <f>(J535+K535-M535)</f>
        <v>1.3903636363636365</v>
      </c>
      <c r="O535" s="5">
        <f>(H535*I535*N535)</f>
        <v>1.3903636363636365</v>
      </c>
      <c r="P535" s="18" t="str">
        <f t="shared" si="83"/>
        <v/>
      </c>
      <c r="Q535" s="18">
        <f t="shared" si="84"/>
        <v>1.3903636363636365</v>
      </c>
      <c r="R535" s="18" t="str">
        <f t="shared" si="85"/>
        <v/>
      </c>
      <c r="S535" s="18" t="str">
        <f t="shared" si="86"/>
        <v/>
      </c>
      <c r="T535" s="18" t="str">
        <f t="shared" si="87"/>
        <v/>
      </c>
      <c r="U535" s="18" t="str">
        <f t="shared" si="88"/>
        <v/>
      </c>
      <c r="V535" s="1"/>
    </row>
    <row r="536" spans="1:22" x14ac:dyDescent="0.25">
      <c r="A536" s="14"/>
      <c r="B536" s="34"/>
      <c r="C536" s="22"/>
      <c r="D536" s="4"/>
      <c r="E536" s="27"/>
      <c r="F536" s="42"/>
      <c r="G536" s="11"/>
      <c r="H536" s="1"/>
      <c r="I536" s="1"/>
      <c r="J536" s="2"/>
      <c r="K536" s="1"/>
      <c r="L536" s="1"/>
      <c r="M536" s="1"/>
      <c r="N536" s="1"/>
      <c r="O536" s="5"/>
      <c r="P536" s="18" t="str">
        <f t="shared" si="83"/>
        <v/>
      </c>
      <c r="Q536" s="18" t="str">
        <f t="shared" si="84"/>
        <v/>
      </c>
      <c r="R536" s="18" t="str">
        <f t="shared" si="85"/>
        <v/>
      </c>
      <c r="S536" s="18" t="str">
        <f t="shared" si="86"/>
        <v/>
      </c>
      <c r="T536" s="18" t="str">
        <f t="shared" si="87"/>
        <v/>
      </c>
      <c r="U536" s="18" t="str">
        <f t="shared" si="88"/>
        <v/>
      </c>
      <c r="V536" s="1"/>
    </row>
    <row r="537" spans="1:22" x14ac:dyDescent="0.25">
      <c r="A537" s="14"/>
      <c r="B537" s="34"/>
      <c r="C537" s="22"/>
      <c r="D537" s="9">
        <f>0.23-0.05</f>
        <v>0.18</v>
      </c>
      <c r="E537" s="23"/>
      <c r="F537" s="42"/>
      <c r="G537" s="11"/>
      <c r="H537" s="1"/>
      <c r="I537" s="1"/>
      <c r="J537" s="2"/>
      <c r="K537" s="1"/>
      <c r="L537" s="1"/>
      <c r="M537" s="1"/>
      <c r="N537" s="1"/>
      <c r="O537" s="5"/>
      <c r="P537" s="18" t="str">
        <f t="shared" si="83"/>
        <v/>
      </c>
      <c r="Q537" s="18" t="str">
        <f t="shared" si="84"/>
        <v/>
      </c>
      <c r="R537" s="18" t="str">
        <f t="shared" si="85"/>
        <v/>
      </c>
      <c r="S537" s="18" t="str">
        <f t="shared" si="86"/>
        <v/>
      </c>
      <c r="T537" s="18" t="str">
        <f t="shared" si="87"/>
        <v/>
      </c>
      <c r="U537" s="18" t="str">
        <f t="shared" si="88"/>
        <v/>
      </c>
      <c r="V537" s="1"/>
    </row>
    <row r="538" spans="1:22" x14ac:dyDescent="0.25">
      <c r="A538" s="14"/>
      <c r="B538" s="33"/>
      <c r="C538" s="22"/>
      <c r="D538" s="4"/>
      <c r="E538" s="23"/>
      <c r="F538" s="42"/>
      <c r="G538" s="11"/>
      <c r="H538" s="1"/>
      <c r="I538" s="1"/>
      <c r="J538" s="2"/>
      <c r="K538" s="1"/>
      <c r="L538" s="1"/>
      <c r="M538" s="1"/>
      <c r="N538" s="1"/>
      <c r="O538" s="3"/>
      <c r="P538" s="18" t="str">
        <f t="shared" si="83"/>
        <v/>
      </c>
      <c r="Q538" s="18" t="str">
        <f t="shared" si="84"/>
        <v/>
      </c>
      <c r="R538" s="18" t="str">
        <f t="shared" si="85"/>
        <v/>
      </c>
      <c r="S538" s="18" t="str">
        <f t="shared" si="86"/>
        <v/>
      </c>
      <c r="T538" s="18" t="str">
        <f t="shared" si="87"/>
        <v/>
      </c>
      <c r="U538" s="18" t="str">
        <f t="shared" si="88"/>
        <v/>
      </c>
      <c r="V538" s="1"/>
    </row>
    <row r="539" spans="1:22" x14ac:dyDescent="0.25">
      <c r="A539" s="14"/>
      <c r="B539" s="14"/>
      <c r="C539" s="47">
        <v>0.1</v>
      </c>
      <c r="D539" s="4"/>
      <c r="E539" s="23"/>
      <c r="F539" s="42"/>
      <c r="G539" s="11"/>
      <c r="H539" s="1"/>
      <c r="I539" s="1"/>
      <c r="J539" s="2"/>
      <c r="K539" s="1"/>
      <c r="L539" s="1"/>
      <c r="M539" s="1"/>
      <c r="N539" s="1"/>
      <c r="O539" s="3"/>
      <c r="P539" s="18" t="str">
        <f t="shared" si="83"/>
        <v/>
      </c>
      <c r="Q539" s="18" t="str">
        <f t="shared" si="84"/>
        <v/>
      </c>
      <c r="R539" s="18" t="str">
        <f t="shared" si="85"/>
        <v/>
      </c>
      <c r="S539" s="18" t="str">
        <f t="shared" si="86"/>
        <v/>
      </c>
      <c r="T539" s="18" t="str">
        <f t="shared" si="87"/>
        <v/>
      </c>
      <c r="U539" s="18" t="str">
        <f t="shared" si="88"/>
        <v/>
      </c>
      <c r="V539" s="1"/>
    </row>
    <row r="540" spans="1:22" x14ac:dyDescent="0.25">
      <c r="A540" s="14"/>
      <c r="B540" s="34" t="s">
        <v>37</v>
      </c>
      <c r="C540" s="26"/>
      <c r="D540" s="4"/>
      <c r="E540" s="40">
        <f>((1.535-0.05-0.014)/11)*5+0.01+0.02</f>
        <v>0.69863636363636361</v>
      </c>
      <c r="F540" s="42"/>
      <c r="G540" s="11">
        <v>10</v>
      </c>
      <c r="H540" s="1">
        <v>1</v>
      </c>
      <c r="I540" s="1">
        <v>1</v>
      </c>
      <c r="J540" s="41">
        <f>2*(D542+E540)+16*10/1000</f>
        <v>1.9172727272727272</v>
      </c>
      <c r="K540" s="1"/>
      <c r="L540" s="1"/>
      <c r="M540" s="1"/>
      <c r="N540" s="5">
        <f>(J540+K540-M540)</f>
        <v>1.9172727272727272</v>
      </c>
      <c r="O540" s="5">
        <f>(H540*I540*N540)</f>
        <v>1.9172727272727272</v>
      </c>
      <c r="P540" s="18" t="str">
        <f t="shared" si="83"/>
        <v/>
      </c>
      <c r="Q540" s="18">
        <f t="shared" si="84"/>
        <v>1.9172727272727272</v>
      </c>
      <c r="R540" s="18" t="str">
        <f t="shared" si="85"/>
        <v/>
      </c>
      <c r="S540" s="18" t="str">
        <f t="shared" si="86"/>
        <v/>
      </c>
      <c r="T540" s="18" t="str">
        <f t="shared" si="87"/>
        <v/>
      </c>
      <c r="U540" s="18" t="str">
        <f t="shared" si="88"/>
        <v/>
      </c>
      <c r="V540" s="1"/>
    </row>
    <row r="541" spans="1:22" x14ac:dyDescent="0.25">
      <c r="A541" s="14"/>
      <c r="B541" s="34"/>
      <c r="C541" s="22"/>
      <c r="D541" s="4"/>
      <c r="E541" s="27"/>
      <c r="F541" s="42"/>
      <c r="G541" s="11"/>
      <c r="H541" s="1"/>
      <c r="I541" s="1"/>
      <c r="J541" s="2"/>
      <c r="K541" s="1"/>
      <c r="L541" s="1"/>
      <c r="M541" s="1"/>
      <c r="N541" s="1"/>
      <c r="O541" s="5"/>
      <c r="P541" s="18" t="str">
        <f t="shared" si="83"/>
        <v/>
      </c>
      <c r="Q541" s="18" t="str">
        <f t="shared" si="84"/>
        <v/>
      </c>
      <c r="R541" s="18" t="str">
        <f t="shared" si="85"/>
        <v/>
      </c>
      <c r="S541" s="18" t="str">
        <f t="shared" si="86"/>
        <v/>
      </c>
      <c r="T541" s="18" t="str">
        <f t="shared" si="87"/>
        <v/>
      </c>
      <c r="U541" s="18" t="str">
        <f t="shared" si="88"/>
        <v/>
      </c>
      <c r="V541" s="1"/>
    </row>
    <row r="542" spans="1:22" x14ac:dyDescent="0.25">
      <c r="A542" s="14"/>
      <c r="B542" s="34"/>
      <c r="C542" s="22"/>
      <c r="D542" s="9">
        <f>0.23-0.05</f>
        <v>0.18</v>
      </c>
      <c r="E542" s="23"/>
      <c r="F542" s="42"/>
      <c r="G542" s="11"/>
      <c r="H542" s="1"/>
      <c r="I542" s="1"/>
      <c r="J542" s="2"/>
      <c r="K542" s="1"/>
      <c r="L542" s="1"/>
      <c r="M542" s="1"/>
      <c r="N542" s="1"/>
      <c r="O542" s="5"/>
      <c r="P542" s="18" t="str">
        <f t="shared" si="83"/>
        <v/>
      </c>
      <c r="Q542" s="18" t="str">
        <f t="shared" si="84"/>
        <v/>
      </c>
      <c r="R542" s="18" t="str">
        <f t="shared" si="85"/>
        <v/>
      </c>
      <c r="S542" s="18" t="str">
        <f t="shared" si="86"/>
        <v/>
      </c>
      <c r="T542" s="18" t="str">
        <f t="shared" si="87"/>
        <v/>
      </c>
      <c r="U542" s="18" t="str">
        <f t="shared" si="88"/>
        <v/>
      </c>
      <c r="V542" s="1"/>
    </row>
    <row r="543" spans="1:22" x14ac:dyDescent="0.25">
      <c r="A543" s="14"/>
      <c r="B543" s="33"/>
      <c r="C543" s="22"/>
      <c r="D543" s="4"/>
      <c r="E543" s="23"/>
      <c r="F543" s="42"/>
      <c r="G543" s="11"/>
      <c r="H543" s="1"/>
      <c r="I543" s="1"/>
      <c r="J543" s="2"/>
      <c r="K543" s="1"/>
      <c r="L543" s="1"/>
      <c r="M543" s="1"/>
      <c r="N543" s="1"/>
      <c r="O543" s="3"/>
      <c r="P543" s="18" t="str">
        <f t="shared" si="83"/>
        <v/>
      </c>
      <c r="Q543" s="18" t="str">
        <f t="shared" si="84"/>
        <v/>
      </c>
      <c r="R543" s="18" t="str">
        <f t="shared" si="85"/>
        <v/>
      </c>
      <c r="S543" s="18" t="str">
        <f t="shared" si="86"/>
        <v/>
      </c>
      <c r="T543" s="18" t="str">
        <f t="shared" si="87"/>
        <v/>
      </c>
      <c r="U543" s="18" t="str">
        <f t="shared" si="88"/>
        <v/>
      </c>
      <c r="V543" s="1"/>
    </row>
    <row r="544" spans="1:22" x14ac:dyDescent="0.25">
      <c r="A544" s="14"/>
      <c r="B544" s="33"/>
      <c r="C544" s="47">
        <v>0.1</v>
      </c>
      <c r="D544" s="4"/>
      <c r="E544" s="23"/>
      <c r="F544" s="42"/>
      <c r="G544" s="11"/>
      <c r="H544" s="1"/>
      <c r="I544" s="1"/>
      <c r="J544" s="2"/>
      <c r="K544" s="1"/>
      <c r="L544" s="1"/>
      <c r="M544" s="1"/>
      <c r="N544" s="1"/>
      <c r="O544" s="3"/>
      <c r="P544" s="18" t="str">
        <f t="shared" si="83"/>
        <v/>
      </c>
      <c r="Q544" s="18" t="str">
        <f t="shared" si="84"/>
        <v/>
      </c>
      <c r="R544" s="18" t="str">
        <f t="shared" si="85"/>
        <v/>
      </c>
      <c r="S544" s="18" t="str">
        <f t="shared" si="86"/>
        <v/>
      </c>
      <c r="T544" s="18" t="str">
        <f t="shared" si="87"/>
        <v/>
      </c>
      <c r="U544" s="18" t="str">
        <f t="shared" si="88"/>
        <v/>
      </c>
      <c r="V544" s="1"/>
    </row>
    <row r="545" spans="1:22" x14ac:dyDescent="0.25">
      <c r="A545" s="14"/>
      <c r="B545" s="34" t="s">
        <v>46</v>
      </c>
      <c r="C545" s="26"/>
      <c r="D545" s="4"/>
      <c r="E545" s="40">
        <f>((1.535-0.05-0.014)/11)*1+0.012+0.02</f>
        <v>0.16572727272727272</v>
      </c>
      <c r="F545" s="42"/>
      <c r="G545" s="11">
        <v>10</v>
      </c>
      <c r="H545" s="1">
        <v>1</v>
      </c>
      <c r="I545" s="1">
        <v>1</v>
      </c>
      <c r="J545" s="41">
        <f>2*(D547+E545)+16*10/1000</f>
        <v>0.85145454545454546</v>
      </c>
      <c r="K545" s="1"/>
      <c r="L545" s="1"/>
      <c r="M545" s="1"/>
      <c r="N545" s="5">
        <f>(J545+K545-M545)</f>
        <v>0.85145454545454546</v>
      </c>
      <c r="O545" s="5">
        <f>(H545*I545*N545)</f>
        <v>0.85145454545454546</v>
      </c>
      <c r="P545" s="18" t="str">
        <f t="shared" si="83"/>
        <v/>
      </c>
      <c r="Q545" s="18">
        <f t="shared" si="84"/>
        <v>0.85145454545454546</v>
      </c>
      <c r="R545" s="18" t="str">
        <f t="shared" si="85"/>
        <v/>
      </c>
      <c r="S545" s="18" t="str">
        <f t="shared" si="86"/>
        <v/>
      </c>
      <c r="T545" s="18" t="str">
        <f t="shared" si="87"/>
        <v/>
      </c>
      <c r="U545" s="18" t="str">
        <f t="shared" si="88"/>
        <v/>
      </c>
      <c r="V545" s="1"/>
    </row>
    <row r="546" spans="1:22" x14ac:dyDescent="0.25">
      <c r="A546" s="14"/>
      <c r="B546" s="34"/>
      <c r="C546" s="22"/>
      <c r="D546" s="4"/>
      <c r="E546" s="27"/>
      <c r="F546" s="42"/>
      <c r="G546" s="11"/>
      <c r="H546" s="1"/>
      <c r="I546" s="1"/>
      <c r="J546" s="2"/>
      <c r="K546" s="1"/>
      <c r="L546" s="1"/>
      <c r="M546" s="1"/>
      <c r="N546" s="1"/>
      <c r="O546" s="5"/>
      <c r="P546" s="18" t="str">
        <f t="shared" si="83"/>
        <v/>
      </c>
      <c r="Q546" s="18" t="str">
        <f t="shared" si="84"/>
        <v/>
      </c>
      <c r="R546" s="18" t="str">
        <f t="shared" si="85"/>
        <v/>
      </c>
      <c r="S546" s="18" t="str">
        <f t="shared" si="86"/>
        <v/>
      </c>
      <c r="T546" s="18" t="str">
        <f t="shared" si="87"/>
        <v/>
      </c>
      <c r="U546" s="18" t="str">
        <f t="shared" si="88"/>
        <v/>
      </c>
      <c r="V546" s="1"/>
    </row>
    <row r="547" spans="1:22" x14ac:dyDescent="0.25">
      <c r="A547" s="14"/>
      <c r="B547" s="34"/>
      <c r="C547" s="22"/>
      <c r="D547" s="9">
        <f>0.23-0.05</f>
        <v>0.18</v>
      </c>
      <c r="E547" s="23"/>
      <c r="F547" s="42"/>
      <c r="G547" s="11"/>
      <c r="H547" s="1"/>
      <c r="I547" s="1"/>
      <c r="J547" s="2"/>
      <c r="K547" s="1"/>
      <c r="L547" s="1"/>
      <c r="M547" s="1"/>
      <c r="N547" s="1"/>
      <c r="O547" s="5"/>
      <c r="P547" s="18" t="str">
        <f t="shared" si="83"/>
        <v/>
      </c>
      <c r="Q547" s="18" t="str">
        <f t="shared" si="84"/>
        <v/>
      </c>
      <c r="R547" s="18" t="str">
        <f t="shared" si="85"/>
        <v/>
      </c>
      <c r="S547" s="18" t="str">
        <f t="shared" si="86"/>
        <v/>
      </c>
      <c r="T547" s="18" t="str">
        <f t="shared" si="87"/>
        <v/>
      </c>
      <c r="U547" s="18" t="str">
        <f t="shared" si="88"/>
        <v/>
      </c>
      <c r="V547" s="1"/>
    </row>
    <row r="548" spans="1:22" x14ac:dyDescent="0.25">
      <c r="A548" s="14"/>
      <c r="B548" s="33"/>
      <c r="C548" s="22"/>
      <c r="D548" s="4"/>
      <c r="E548" s="23"/>
      <c r="F548" s="42"/>
      <c r="G548" s="11"/>
      <c r="H548" s="1"/>
      <c r="I548" s="1"/>
      <c r="J548" s="2"/>
      <c r="K548" s="1"/>
      <c r="L548" s="1"/>
      <c r="M548" s="1"/>
      <c r="N548" s="1"/>
      <c r="O548" s="3"/>
      <c r="P548" s="18" t="str">
        <f t="shared" si="83"/>
        <v/>
      </c>
      <c r="Q548" s="18" t="str">
        <f t="shared" si="84"/>
        <v/>
      </c>
      <c r="R548" s="18" t="str">
        <f t="shared" si="85"/>
        <v/>
      </c>
      <c r="S548" s="18" t="str">
        <f t="shared" si="86"/>
        <v/>
      </c>
      <c r="T548" s="18" t="str">
        <f t="shared" si="87"/>
        <v/>
      </c>
      <c r="U548" s="18" t="str">
        <f t="shared" si="88"/>
        <v/>
      </c>
      <c r="V548" s="1"/>
    </row>
    <row r="549" spans="1:22" x14ac:dyDescent="0.25">
      <c r="A549" s="14"/>
      <c r="B549" s="33"/>
      <c r="C549" s="22"/>
      <c r="D549" s="4"/>
      <c r="E549" s="39">
        <v>0.1</v>
      </c>
      <c r="F549" s="42"/>
      <c r="G549" s="11"/>
      <c r="H549" s="1"/>
      <c r="I549" s="1"/>
      <c r="J549" s="2"/>
      <c r="K549" s="1"/>
      <c r="L549" s="1"/>
      <c r="M549" s="1"/>
      <c r="N549" s="1"/>
      <c r="O549" s="3"/>
      <c r="P549" s="18" t="str">
        <f t="shared" si="83"/>
        <v/>
      </c>
      <c r="Q549" s="18" t="str">
        <f t="shared" si="84"/>
        <v/>
      </c>
      <c r="R549" s="18" t="str">
        <f t="shared" si="85"/>
        <v/>
      </c>
      <c r="S549" s="18" t="str">
        <f t="shared" si="86"/>
        <v/>
      </c>
      <c r="T549" s="18" t="str">
        <f t="shared" si="87"/>
        <v/>
      </c>
      <c r="U549" s="18" t="str">
        <f t="shared" si="88"/>
        <v/>
      </c>
      <c r="V549" s="1"/>
    </row>
    <row r="550" spans="1:22" x14ac:dyDescent="0.25">
      <c r="A550" s="14"/>
      <c r="B550" s="34" t="s">
        <v>47</v>
      </c>
      <c r="C550" s="22"/>
      <c r="D550" s="25">
        <f>0.23-0.05</f>
        <v>0.18</v>
      </c>
      <c r="E550" s="39"/>
      <c r="F550" s="42"/>
      <c r="G550" s="11">
        <v>10</v>
      </c>
      <c r="H550" s="1">
        <v>1</v>
      </c>
      <c r="I550" s="1">
        <v>4</v>
      </c>
      <c r="J550" s="41">
        <f>D550+E549+E551</f>
        <v>0.38</v>
      </c>
      <c r="K550" s="1"/>
      <c r="L550" s="1"/>
      <c r="M550" s="5">
        <f>2*3*G550/1000</f>
        <v>0.06</v>
      </c>
      <c r="N550" s="5">
        <f>(J550+K550-M550)</f>
        <v>0.32</v>
      </c>
      <c r="O550" s="5">
        <f>(H550*I550*N550)</f>
        <v>1.28</v>
      </c>
      <c r="P550" s="18" t="str">
        <f t="shared" si="83"/>
        <v/>
      </c>
      <c r="Q550" s="18">
        <f t="shared" si="84"/>
        <v>1.28</v>
      </c>
      <c r="R550" s="18" t="str">
        <f t="shared" si="85"/>
        <v/>
      </c>
      <c r="S550" s="18" t="str">
        <f t="shared" si="86"/>
        <v/>
      </c>
      <c r="T550" s="18" t="str">
        <f t="shared" si="87"/>
        <v/>
      </c>
      <c r="U550" s="18" t="str">
        <f t="shared" si="88"/>
        <v/>
      </c>
      <c r="V550" s="1"/>
    </row>
    <row r="551" spans="1:22" x14ac:dyDescent="0.25">
      <c r="A551" s="14"/>
      <c r="B551" s="33"/>
      <c r="C551" s="22"/>
      <c r="D551" s="4"/>
      <c r="E551" s="39">
        <v>0.1</v>
      </c>
      <c r="F551" s="42"/>
      <c r="G551" s="11"/>
      <c r="H551" s="1"/>
      <c r="I551" s="1"/>
      <c r="J551" s="2"/>
      <c r="K551" s="1"/>
      <c r="L551" s="1"/>
      <c r="M551" s="1"/>
      <c r="N551" s="1"/>
      <c r="O551" s="3"/>
      <c r="P551" s="18" t="str">
        <f t="shared" si="83"/>
        <v/>
      </c>
      <c r="Q551" s="18" t="str">
        <f t="shared" si="84"/>
        <v/>
      </c>
      <c r="R551" s="18" t="str">
        <f t="shared" si="85"/>
        <v/>
      </c>
      <c r="S551" s="18" t="str">
        <f t="shared" si="86"/>
        <v/>
      </c>
      <c r="T551" s="18" t="str">
        <f t="shared" si="87"/>
        <v/>
      </c>
      <c r="U551" s="18" t="str">
        <f t="shared" si="88"/>
        <v/>
      </c>
      <c r="V551" s="1"/>
    </row>
    <row r="552" spans="1:22" x14ac:dyDescent="0.25">
      <c r="A552" s="14"/>
      <c r="B552" s="34"/>
      <c r="C552" s="22"/>
      <c r="D552" s="28"/>
      <c r="E552" s="23"/>
      <c r="F552" s="42"/>
      <c r="G552" s="11"/>
      <c r="H552" s="1"/>
      <c r="I552" s="1"/>
      <c r="J552" s="2"/>
      <c r="K552" s="1"/>
      <c r="L552" s="1"/>
      <c r="M552" s="1"/>
      <c r="N552" s="1"/>
      <c r="O552" s="3"/>
      <c r="P552" s="18" t="str">
        <f t="shared" si="83"/>
        <v/>
      </c>
      <c r="Q552" s="18" t="str">
        <f t="shared" si="84"/>
        <v/>
      </c>
      <c r="R552" s="18" t="str">
        <f t="shared" si="85"/>
        <v/>
      </c>
      <c r="S552" s="18" t="str">
        <f t="shared" si="86"/>
        <v/>
      </c>
      <c r="T552" s="18" t="str">
        <f t="shared" si="87"/>
        <v/>
      </c>
      <c r="U552" s="18" t="str">
        <f t="shared" si="88"/>
        <v/>
      </c>
      <c r="V552" s="1"/>
    </row>
    <row r="553" spans="1:22" x14ac:dyDescent="0.25">
      <c r="A553" s="14">
        <v>20</v>
      </c>
      <c r="B553" s="14" t="s">
        <v>60</v>
      </c>
      <c r="C553" s="22"/>
      <c r="D553" s="4"/>
      <c r="E553" s="23"/>
      <c r="F553" s="42"/>
      <c r="G553" s="11"/>
      <c r="H553" s="1"/>
      <c r="I553" s="1"/>
      <c r="J553" s="9"/>
      <c r="K553" s="5"/>
      <c r="L553" s="5"/>
      <c r="M553" s="1"/>
      <c r="N553" s="5"/>
      <c r="O553" s="5"/>
      <c r="P553" s="18" t="str">
        <f>IF($G553=8,$O553,"")</f>
        <v/>
      </c>
      <c r="Q553" s="18" t="str">
        <f>IF($G553=10,$O553,"")</f>
        <v/>
      </c>
      <c r="R553" s="18" t="str">
        <f>IF($G553=12,$O553,"")</f>
        <v/>
      </c>
      <c r="S553" s="18" t="str">
        <f>IF($G553=16,$O553,"")</f>
        <v/>
      </c>
      <c r="T553" s="18" t="str">
        <f>IF($G553=20,$O553,"")</f>
        <v/>
      </c>
      <c r="U553" s="18" t="str">
        <f>IF($G553=25,$O553,"")</f>
        <v/>
      </c>
      <c r="V553" s="1"/>
    </row>
    <row r="554" spans="1:22" x14ac:dyDescent="0.25">
      <c r="A554" s="14"/>
      <c r="B554" s="33" t="s">
        <v>18</v>
      </c>
      <c r="C554" s="22"/>
      <c r="D554" s="25">
        <f>0.85-0.075-2*0.016</f>
        <v>0.74299999999999999</v>
      </c>
      <c r="E554" s="23"/>
      <c r="F554" s="42"/>
      <c r="G554" s="11">
        <v>16</v>
      </c>
      <c r="H554" s="1">
        <v>1</v>
      </c>
      <c r="I554" s="1">
        <v>8</v>
      </c>
      <c r="J554" s="9">
        <f>D554</f>
        <v>0.74299999999999999</v>
      </c>
      <c r="K554" s="46" t="str">
        <f>IF(N554&lt;12,"0",0.049*G554)</f>
        <v>0</v>
      </c>
      <c r="L554" s="45">
        <v>1</v>
      </c>
      <c r="M554" s="1">
        <f>2*G554*L554/1000</f>
        <v>3.2000000000000001E-2</v>
      </c>
      <c r="N554" s="5">
        <f>J554+E556-M554</f>
        <v>1.0109999999999999</v>
      </c>
      <c r="O554" s="5">
        <f t="shared" ref="O554:O557" si="100">H554*I554*N554</f>
        <v>8.0879999999999992</v>
      </c>
      <c r="P554" s="18" t="str">
        <f t="shared" si="83"/>
        <v/>
      </c>
      <c r="Q554" s="18" t="str">
        <f t="shared" si="84"/>
        <v/>
      </c>
      <c r="R554" s="18" t="str">
        <f t="shared" si="85"/>
        <v/>
      </c>
      <c r="S554" s="18">
        <f t="shared" si="86"/>
        <v>8.0879999999999992</v>
      </c>
      <c r="T554" s="18" t="str">
        <f t="shared" si="87"/>
        <v/>
      </c>
      <c r="U554" s="18" t="str">
        <f t="shared" si="88"/>
        <v/>
      </c>
      <c r="V554" s="1"/>
    </row>
    <row r="555" spans="1:22" x14ac:dyDescent="0.25">
      <c r="A555" s="14"/>
      <c r="B555" s="33" t="s">
        <v>32</v>
      </c>
      <c r="C555" s="22"/>
      <c r="D555" s="4"/>
      <c r="E555" s="23"/>
      <c r="F555" s="42"/>
      <c r="G555" s="11">
        <v>12</v>
      </c>
      <c r="H555" s="1">
        <v>1</v>
      </c>
      <c r="I555" s="1">
        <v>8</v>
      </c>
      <c r="J555" s="9">
        <f>D554</f>
        <v>0.74299999999999999</v>
      </c>
      <c r="K555" s="46" t="str">
        <f t="shared" ref="K555:K557" si="101">IF(N555&lt;12,"0",0.049*G555)</f>
        <v>0</v>
      </c>
      <c r="L555" s="45">
        <v>1</v>
      </c>
      <c r="M555" s="1">
        <f t="shared" ref="M555:M557" si="102">2*G555*L555/1000</f>
        <v>2.4E-2</v>
      </c>
      <c r="N555" s="5">
        <f>J555+E556-M555</f>
        <v>1.0189999999999999</v>
      </c>
      <c r="O555" s="5">
        <f t="shared" si="100"/>
        <v>8.1519999999999992</v>
      </c>
      <c r="P555" s="18" t="str">
        <f t="shared" si="83"/>
        <v/>
      </c>
      <c r="Q555" s="18" t="str">
        <f t="shared" si="84"/>
        <v/>
      </c>
      <c r="R555" s="18">
        <f t="shared" si="85"/>
        <v>8.1519999999999992</v>
      </c>
      <c r="S555" s="18" t="str">
        <f t="shared" si="86"/>
        <v/>
      </c>
      <c r="T555" s="18" t="str">
        <f t="shared" si="87"/>
        <v/>
      </c>
      <c r="U555" s="18" t="str">
        <f t="shared" si="88"/>
        <v/>
      </c>
      <c r="V555" s="1"/>
    </row>
    <row r="556" spans="1:22" x14ac:dyDescent="0.25">
      <c r="A556" s="14"/>
      <c r="B556" s="33" t="s">
        <v>26</v>
      </c>
      <c r="C556" s="24"/>
      <c r="D556" s="25"/>
      <c r="E556" s="39">
        <v>0.3</v>
      </c>
      <c r="F556" s="42"/>
      <c r="G556" s="11">
        <v>12</v>
      </c>
      <c r="H556" s="1">
        <v>1</v>
      </c>
      <c r="I556" s="1">
        <v>8</v>
      </c>
      <c r="J556" s="9">
        <f>D554</f>
        <v>0.74299999999999999</v>
      </c>
      <c r="K556" s="46" t="str">
        <f t="shared" si="101"/>
        <v>0</v>
      </c>
      <c r="L556" s="45">
        <v>1</v>
      </c>
      <c r="M556" s="1">
        <f t="shared" si="102"/>
        <v>2.4E-2</v>
      </c>
      <c r="N556" s="5">
        <f>J556+E556-M556</f>
        <v>1.0189999999999999</v>
      </c>
      <c r="O556" s="5">
        <f t="shared" si="100"/>
        <v>8.1519999999999992</v>
      </c>
      <c r="P556" s="18" t="str">
        <f t="shared" si="83"/>
        <v/>
      </c>
      <c r="Q556" s="18" t="str">
        <f t="shared" si="84"/>
        <v/>
      </c>
      <c r="R556" s="18">
        <f t="shared" si="85"/>
        <v>8.1519999999999992</v>
      </c>
      <c r="S556" s="18" t="str">
        <f t="shared" si="86"/>
        <v/>
      </c>
      <c r="T556" s="18" t="str">
        <f t="shared" si="87"/>
        <v/>
      </c>
      <c r="U556" s="18" t="str">
        <f t="shared" si="88"/>
        <v/>
      </c>
      <c r="V556" s="1"/>
    </row>
    <row r="557" spans="1:22" x14ac:dyDescent="0.25">
      <c r="A557" s="14"/>
      <c r="B557" s="33" t="s">
        <v>19</v>
      </c>
      <c r="C557" s="22"/>
      <c r="D557" s="4"/>
      <c r="E557" s="23"/>
      <c r="F557" s="42"/>
      <c r="G557" s="11">
        <v>10</v>
      </c>
      <c r="H557" s="1">
        <v>1</v>
      </c>
      <c r="I557" s="1">
        <v>22</v>
      </c>
      <c r="J557" s="9">
        <f>D554</f>
        <v>0.74299999999999999</v>
      </c>
      <c r="K557" s="46" t="str">
        <f t="shared" si="101"/>
        <v>0</v>
      </c>
      <c r="L557" s="45">
        <v>1</v>
      </c>
      <c r="M557" s="1">
        <f t="shared" si="102"/>
        <v>0.02</v>
      </c>
      <c r="N557" s="5">
        <f>J557+E557-M557</f>
        <v>0.72299999999999998</v>
      </c>
      <c r="O557" s="5">
        <f t="shared" si="100"/>
        <v>15.905999999999999</v>
      </c>
      <c r="P557" s="18" t="str">
        <f t="shared" si="83"/>
        <v/>
      </c>
      <c r="Q557" s="18">
        <f t="shared" si="84"/>
        <v>15.905999999999999</v>
      </c>
      <c r="R557" s="18" t="str">
        <f t="shared" si="85"/>
        <v/>
      </c>
      <c r="S557" s="18" t="str">
        <f t="shared" si="86"/>
        <v/>
      </c>
      <c r="T557" s="18" t="str">
        <f t="shared" si="87"/>
        <v/>
      </c>
      <c r="U557" s="18" t="str">
        <f t="shared" si="88"/>
        <v/>
      </c>
      <c r="V557" s="1"/>
    </row>
    <row r="558" spans="1:22" x14ac:dyDescent="0.25">
      <c r="A558" s="14"/>
      <c r="B558" s="33"/>
      <c r="C558" s="22"/>
      <c r="D558" s="4"/>
      <c r="E558" s="23"/>
      <c r="F558" s="42"/>
      <c r="G558" s="11"/>
      <c r="H558" s="1"/>
      <c r="I558" s="1"/>
      <c r="J558" s="9"/>
      <c r="K558" s="46"/>
      <c r="L558" s="45"/>
      <c r="M558" s="1"/>
      <c r="N558" s="5"/>
      <c r="O558" s="5"/>
      <c r="P558" s="18"/>
      <c r="Q558" s="18"/>
      <c r="R558" s="18"/>
      <c r="S558" s="18"/>
      <c r="T558" s="18"/>
      <c r="U558" s="18"/>
      <c r="V558" s="1"/>
    </row>
    <row r="559" spans="1:22" x14ac:dyDescent="0.25">
      <c r="A559" s="14"/>
      <c r="B559" s="14"/>
      <c r="C559" s="47">
        <v>0.1</v>
      </c>
      <c r="D559" s="4"/>
      <c r="E559" s="23"/>
      <c r="F559" s="42"/>
      <c r="G559" s="11"/>
      <c r="H559" s="1"/>
      <c r="I559" s="1"/>
      <c r="J559" s="2"/>
      <c r="K559" s="1"/>
      <c r="L559" s="1"/>
      <c r="M559" s="1"/>
      <c r="N559" s="1"/>
      <c r="O559" s="3"/>
      <c r="P559" s="18" t="str">
        <f t="shared" si="83"/>
        <v/>
      </c>
      <c r="Q559" s="18" t="str">
        <f t="shared" si="84"/>
        <v/>
      </c>
      <c r="R559" s="18" t="str">
        <f t="shared" si="85"/>
        <v/>
      </c>
      <c r="S559" s="18" t="str">
        <f t="shared" si="86"/>
        <v/>
      </c>
      <c r="T559" s="18" t="str">
        <f t="shared" si="87"/>
        <v/>
      </c>
      <c r="U559" s="18" t="str">
        <f t="shared" si="88"/>
        <v/>
      </c>
      <c r="V559" s="1"/>
    </row>
    <row r="560" spans="1:22" x14ac:dyDescent="0.25">
      <c r="A560" s="14"/>
      <c r="B560" s="34" t="s">
        <v>20</v>
      </c>
      <c r="C560" s="26"/>
      <c r="D560" s="4"/>
      <c r="E560" s="40">
        <f>((3.455-0.05-0.016)/22)*5+0.016+0.02</f>
        <v>0.8062272727272729</v>
      </c>
      <c r="F560" s="42"/>
      <c r="G560" s="11">
        <v>10</v>
      </c>
      <c r="H560" s="1">
        <v>1</v>
      </c>
      <c r="I560" s="1">
        <f>4*2</f>
        <v>8</v>
      </c>
      <c r="J560" s="41">
        <f>2*(D562+E560)+16*10/1000</f>
        <v>2.132454545454546</v>
      </c>
      <c r="K560" s="1"/>
      <c r="L560" s="1"/>
      <c r="M560" s="1"/>
      <c r="N560" s="5">
        <f>(J560+K560-M560)</f>
        <v>2.132454545454546</v>
      </c>
      <c r="O560" s="5">
        <f>(H560*I560*N560)</f>
        <v>17.059636363636368</v>
      </c>
      <c r="P560" s="18" t="str">
        <f t="shared" si="83"/>
        <v/>
      </c>
      <c r="Q560" s="18">
        <f t="shared" si="84"/>
        <v>17.059636363636368</v>
      </c>
      <c r="R560" s="18" t="str">
        <f t="shared" si="85"/>
        <v/>
      </c>
      <c r="S560" s="18" t="str">
        <f t="shared" si="86"/>
        <v/>
      </c>
      <c r="T560" s="18" t="str">
        <f t="shared" si="87"/>
        <v/>
      </c>
      <c r="U560" s="18" t="str">
        <f t="shared" si="88"/>
        <v/>
      </c>
      <c r="V560" s="1"/>
    </row>
    <row r="561" spans="1:22" x14ac:dyDescent="0.25">
      <c r="A561" s="14"/>
      <c r="B561" s="34"/>
      <c r="C561" s="22"/>
      <c r="D561" s="4"/>
      <c r="E561" s="27"/>
      <c r="F561" s="42"/>
      <c r="G561" s="11"/>
      <c r="H561" s="1"/>
      <c r="I561" s="1"/>
      <c r="J561" s="2"/>
      <c r="K561" s="1"/>
      <c r="L561" s="1"/>
      <c r="M561" s="1"/>
      <c r="N561" s="1"/>
      <c r="O561" s="5"/>
      <c r="P561" s="18" t="str">
        <f t="shared" si="83"/>
        <v/>
      </c>
      <c r="Q561" s="18" t="str">
        <f t="shared" si="84"/>
        <v/>
      </c>
      <c r="R561" s="18" t="str">
        <f t="shared" si="85"/>
        <v/>
      </c>
      <c r="S561" s="18" t="str">
        <f t="shared" si="86"/>
        <v/>
      </c>
      <c r="T561" s="18" t="str">
        <f t="shared" si="87"/>
        <v/>
      </c>
      <c r="U561" s="18" t="str">
        <f t="shared" si="88"/>
        <v/>
      </c>
      <c r="V561" s="1"/>
    </row>
    <row r="562" spans="1:22" x14ac:dyDescent="0.25">
      <c r="A562" s="14"/>
      <c r="B562" s="34"/>
      <c r="C562" s="22"/>
      <c r="D562" s="9">
        <f>0.23-0.05</f>
        <v>0.18</v>
      </c>
      <c r="E562" s="23"/>
      <c r="F562" s="42"/>
      <c r="G562" s="11"/>
      <c r="H562" s="1"/>
      <c r="I562" s="1"/>
      <c r="J562" s="2"/>
      <c r="K562" s="1"/>
      <c r="L562" s="1"/>
      <c r="M562" s="1"/>
      <c r="N562" s="1"/>
      <c r="O562" s="5"/>
      <c r="P562" s="18" t="str">
        <f t="shared" si="83"/>
        <v/>
      </c>
      <c r="Q562" s="18" t="str">
        <f t="shared" si="84"/>
        <v/>
      </c>
      <c r="R562" s="18" t="str">
        <f t="shared" si="85"/>
        <v/>
      </c>
      <c r="S562" s="18" t="str">
        <f t="shared" si="86"/>
        <v/>
      </c>
      <c r="T562" s="18" t="str">
        <f t="shared" si="87"/>
        <v/>
      </c>
      <c r="U562" s="18" t="str">
        <f t="shared" si="88"/>
        <v/>
      </c>
      <c r="V562" s="1"/>
    </row>
    <row r="563" spans="1:22" x14ac:dyDescent="0.25">
      <c r="A563" s="14"/>
      <c r="B563" s="33"/>
      <c r="C563" s="22"/>
      <c r="D563" s="4"/>
      <c r="E563" s="23"/>
      <c r="F563" s="42"/>
      <c r="G563" s="11"/>
      <c r="H563" s="1"/>
      <c r="I563" s="1"/>
      <c r="J563" s="9"/>
      <c r="K563" s="46"/>
      <c r="L563" s="45"/>
      <c r="M563" s="1"/>
      <c r="N563" s="5"/>
      <c r="O563" s="5"/>
      <c r="P563" s="18"/>
      <c r="Q563" s="18"/>
      <c r="R563" s="18"/>
      <c r="S563" s="18"/>
      <c r="T563" s="18"/>
      <c r="U563" s="18"/>
      <c r="V563" s="1"/>
    </row>
    <row r="564" spans="1:22" x14ac:dyDescent="0.25">
      <c r="A564" s="14"/>
      <c r="B564" s="14"/>
      <c r="C564" s="47">
        <v>0.1</v>
      </c>
      <c r="D564" s="4"/>
      <c r="E564" s="23"/>
      <c r="F564" s="42"/>
      <c r="G564" s="11"/>
      <c r="H564" s="1"/>
      <c r="I564" s="1"/>
      <c r="J564" s="2"/>
      <c r="K564" s="1"/>
      <c r="L564" s="1"/>
      <c r="M564" s="1"/>
      <c r="N564" s="1"/>
      <c r="O564" s="3"/>
      <c r="P564" s="18" t="str">
        <f t="shared" si="83"/>
        <v/>
      </c>
      <c r="Q564" s="18" t="str">
        <f t="shared" si="84"/>
        <v/>
      </c>
      <c r="R564" s="18" t="str">
        <f t="shared" si="85"/>
        <v/>
      </c>
      <c r="S564" s="18" t="str">
        <f t="shared" si="86"/>
        <v/>
      </c>
      <c r="T564" s="18" t="str">
        <f t="shared" si="87"/>
        <v/>
      </c>
      <c r="U564" s="18" t="str">
        <f t="shared" si="88"/>
        <v/>
      </c>
      <c r="V564" s="1"/>
    </row>
    <row r="565" spans="1:22" x14ac:dyDescent="0.25">
      <c r="A565" s="14"/>
      <c r="B565" s="34" t="s">
        <v>21</v>
      </c>
      <c r="C565" s="26"/>
      <c r="D565" s="4"/>
      <c r="E565" s="40">
        <f>((3.445-0.05-0.016)/22)*12+0.016+0.02</f>
        <v>1.8790909090909089</v>
      </c>
      <c r="F565" s="42"/>
      <c r="G565" s="11">
        <v>10</v>
      </c>
      <c r="H565" s="1">
        <v>1</v>
      </c>
      <c r="I565" s="1">
        <v>4</v>
      </c>
      <c r="J565" s="41">
        <f>2*(D567+E565)+16*10/1000</f>
        <v>4.2781818181818183</v>
      </c>
      <c r="K565" s="1"/>
      <c r="L565" s="1"/>
      <c r="M565" s="1"/>
      <c r="N565" s="5">
        <f>(J565+K565-M565)</f>
        <v>4.2781818181818183</v>
      </c>
      <c r="O565" s="5">
        <f>(H565*I565*N565)</f>
        <v>17.112727272727273</v>
      </c>
      <c r="P565" s="18" t="str">
        <f t="shared" si="83"/>
        <v/>
      </c>
      <c r="Q565" s="18">
        <f t="shared" si="84"/>
        <v>17.112727272727273</v>
      </c>
      <c r="R565" s="18" t="str">
        <f t="shared" si="85"/>
        <v/>
      </c>
      <c r="S565" s="18" t="str">
        <f t="shared" si="86"/>
        <v/>
      </c>
      <c r="T565" s="18" t="str">
        <f t="shared" si="87"/>
        <v/>
      </c>
      <c r="U565" s="18" t="str">
        <f t="shared" si="88"/>
        <v/>
      </c>
      <c r="V565" s="1"/>
    </row>
    <row r="566" spans="1:22" x14ac:dyDescent="0.25">
      <c r="A566" s="14"/>
      <c r="B566" s="34"/>
      <c r="C566" s="22"/>
      <c r="D566" s="4"/>
      <c r="E566" s="27"/>
      <c r="F566" s="42"/>
      <c r="G566" s="11"/>
      <c r="H566" s="1"/>
      <c r="I566" s="1"/>
      <c r="J566" s="2"/>
      <c r="K566" s="1"/>
      <c r="L566" s="1"/>
      <c r="M566" s="1"/>
      <c r="N566" s="1"/>
      <c r="O566" s="5"/>
      <c r="P566" s="18" t="str">
        <f t="shared" si="83"/>
        <v/>
      </c>
      <c r="Q566" s="18" t="str">
        <f t="shared" si="84"/>
        <v/>
      </c>
      <c r="R566" s="18" t="str">
        <f t="shared" si="85"/>
        <v/>
      </c>
      <c r="S566" s="18" t="str">
        <f t="shared" si="86"/>
        <v/>
      </c>
      <c r="T566" s="18" t="str">
        <f t="shared" si="87"/>
        <v/>
      </c>
      <c r="U566" s="18" t="str">
        <f t="shared" si="88"/>
        <v/>
      </c>
      <c r="V566" s="1"/>
    </row>
    <row r="567" spans="1:22" x14ac:dyDescent="0.25">
      <c r="A567" s="14"/>
      <c r="B567" s="34"/>
      <c r="C567" s="22"/>
      <c r="D567" s="9">
        <f>0.23-0.05</f>
        <v>0.18</v>
      </c>
      <c r="E567" s="23"/>
      <c r="F567" s="42"/>
      <c r="G567" s="11"/>
      <c r="H567" s="1"/>
      <c r="I567" s="1"/>
      <c r="J567" s="2"/>
      <c r="K567" s="1"/>
      <c r="L567" s="1"/>
      <c r="M567" s="1"/>
      <c r="N567" s="1"/>
      <c r="O567" s="5"/>
      <c r="P567" s="18" t="str">
        <f t="shared" si="83"/>
        <v/>
      </c>
      <c r="Q567" s="18" t="str">
        <f t="shared" si="84"/>
        <v/>
      </c>
      <c r="R567" s="18" t="str">
        <f t="shared" si="85"/>
        <v/>
      </c>
      <c r="S567" s="18" t="str">
        <f t="shared" si="86"/>
        <v/>
      </c>
      <c r="T567" s="18" t="str">
        <f t="shared" si="87"/>
        <v/>
      </c>
      <c r="U567" s="18" t="str">
        <f t="shared" si="88"/>
        <v/>
      </c>
      <c r="V567" s="1"/>
    </row>
    <row r="568" spans="1:22" x14ac:dyDescent="0.25">
      <c r="A568" s="14"/>
      <c r="B568" s="33"/>
      <c r="C568" s="22"/>
      <c r="D568" s="4"/>
      <c r="E568" s="23"/>
      <c r="F568" s="42"/>
      <c r="G568" s="11"/>
      <c r="H568" s="1"/>
      <c r="I568" s="1"/>
      <c r="J568" s="9"/>
      <c r="K568" s="46"/>
      <c r="L568" s="45"/>
      <c r="M568" s="1"/>
      <c r="N568" s="5"/>
      <c r="O568" s="5"/>
      <c r="P568" s="18"/>
      <c r="Q568" s="18"/>
      <c r="R568" s="18"/>
      <c r="S568" s="18"/>
      <c r="T568" s="18"/>
      <c r="U568" s="18"/>
      <c r="V568" s="1"/>
    </row>
    <row r="569" spans="1:22" x14ac:dyDescent="0.25">
      <c r="A569" s="14"/>
      <c r="B569" s="14"/>
      <c r="C569" s="47">
        <v>0.1</v>
      </c>
      <c r="D569" s="4"/>
      <c r="E569" s="23"/>
      <c r="F569" s="42"/>
      <c r="G569" s="11"/>
      <c r="H569" s="1"/>
      <c r="I569" s="1"/>
      <c r="J569" s="2"/>
      <c r="K569" s="1"/>
      <c r="L569" s="1"/>
      <c r="M569" s="1"/>
      <c r="N569" s="1"/>
      <c r="O569" s="3"/>
      <c r="P569" s="18" t="str">
        <f t="shared" si="83"/>
        <v/>
      </c>
      <c r="Q569" s="18" t="str">
        <f t="shared" si="84"/>
        <v/>
      </c>
      <c r="R569" s="18" t="str">
        <f t="shared" si="85"/>
        <v/>
      </c>
      <c r="S569" s="18" t="str">
        <f t="shared" si="86"/>
        <v/>
      </c>
      <c r="T569" s="18" t="str">
        <f t="shared" si="87"/>
        <v/>
      </c>
      <c r="U569" s="18" t="str">
        <f t="shared" si="88"/>
        <v/>
      </c>
      <c r="V569" s="1"/>
    </row>
    <row r="570" spans="1:22" x14ac:dyDescent="0.25">
      <c r="A570" s="14"/>
      <c r="B570" s="34" t="s">
        <v>22</v>
      </c>
      <c r="C570" s="26"/>
      <c r="D570" s="4"/>
      <c r="E570" s="40">
        <f>((3.445-0.05-0.016)/22)+0.016+0.02</f>
        <v>0.18959090909090906</v>
      </c>
      <c r="F570" s="42"/>
      <c r="G570" s="11">
        <v>10</v>
      </c>
      <c r="H570" s="1">
        <v>1</v>
      </c>
      <c r="I570" s="1">
        <v>4</v>
      </c>
      <c r="J570" s="41">
        <f>2*(D572+E570)+16*10/1000</f>
        <v>0.89918181818181819</v>
      </c>
      <c r="K570" s="1"/>
      <c r="L570" s="1"/>
      <c r="M570" s="1"/>
      <c r="N570" s="5">
        <f>(J570+K570-M570)</f>
        <v>0.89918181818181819</v>
      </c>
      <c r="O570" s="5">
        <f>(H570*I570*N570)</f>
        <v>3.5967272727272728</v>
      </c>
      <c r="P570" s="18" t="str">
        <f t="shared" si="83"/>
        <v/>
      </c>
      <c r="Q570" s="18">
        <f t="shared" si="84"/>
        <v>3.5967272727272728</v>
      </c>
      <c r="R570" s="18" t="str">
        <f t="shared" si="85"/>
        <v/>
      </c>
      <c r="S570" s="18" t="str">
        <f t="shared" si="86"/>
        <v/>
      </c>
      <c r="T570" s="18" t="str">
        <f t="shared" si="87"/>
        <v/>
      </c>
      <c r="U570" s="18" t="str">
        <f t="shared" si="88"/>
        <v/>
      </c>
      <c r="V570" s="1"/>
    </row>
    <row r="571" spans="1:22" x14ac:dyDescent="0.25">
      <c r="A571" s="14"/>
      <c r="B571" s="34"/>
      <c r="C571" s="22"/>
      <c r="D571" s="4"/>
      <c r="E571" s="27"/>
      <c r="F571" s="42"/>
      <c r="G571" s="11"/>
      <c r="H571" s="1"/>
      <c r="I571" s="1"/>
      <c r="J571" s="2"/>
      <c r="K571" s="1"/>
      <c r="L571" s="1"/>
      <c r="M571" s="1"/>
      <c r="N571" s="1"/>
      <c r="O571" s="5"/>
      <c r="P571" s="18" t="str">
        <f t="shared" si="83"/>
        <v/>
      </c>
      <c r="Q571" s="18" t="str">
        <f t="shared" si="84"/>
        <v/>
      </c>
      <c r="R571" s="18" t="str">
        <f t="shared" si="85"/>
        <v/>
      </c>
      <c r="S571" s="18" t="str">
        <f t="shared" si="86"/>
        <v/>
      </c>
      <c r="T571" s="18" t="str">
        <f t="shared" si="87"/>
        <v/>
      </c>
      <c r="U571" s="18" t="str">
        <f t="shared" si="88"/>
        <v/>
      </c>
      <c r="V571" s="1"/>
    </row>
    <row r="572" spans="1:22" x14ac:dyDescent="0.25">
      <c r="A572" s="14"/>
      <c r="B572" s="34"/>
      <c r="C572" s="22"/>
      <c r="D572" s="9">
        <f>0.23-0.05</f>
        <v>0.18</v>
      </c>
      <c r="E572" s="23"/>
      <c r="F572" s="42"/>
      <c r="G572" s="11"/>
      <c r="H572" s="1"/>
      <c r="I572" s="1"/>
      <c r="J572" s="2"/>
      <c r="K572" s="1"/>
      <c r="L572" s="1"/>
      <c r="M572" s="1"/>
      <c r="N572" s="1"/>
      <c r="O572" s="5"/>
      <c r="P572" s="18" t="str">
        <f t="shared" si="83"/>
        <v/>
      </c>
      <c r="Q572" s="18" t="str">
        <f t="shared" si="84"/>
        <v/>
      </c>
      <c r="R572" s="18" t="str">
        <f t="shared" si="85"/>
        <v/>
      </c>
      <c r="S572" s="18" t="str">
        <f t="shared" si="86"/>
        <v/>
      </c>
      <c r="T572" s="18" t="str">
        <f t="shared" si="87"/>
        <v/>
      </c>
      <c r="U572" s="18" t="str">
        <f t="shared" si="88"/>
        <v/>
      </c>
      <c r="V572" s="1"/>
    </row>
    <row r="573" spans="1:22" x14ac:dyDescent="0.25">
      <c r="A573" s="14"/>
      <c r="B573" s="33"/>
      <c r="C573" s="22"/>
      <c r="D573" s="4"/>
      <c r="E573" s="23"/>
      <c r="F573" s="42"/>
      <c r="G573" s="11"/>
      <c r="H573" s="1"/>
      <c r="I573" s="1"/>
      <c r="J573" s="2"/>
      <c r="K573" s="1"/>
      <c r="L573" s="1"/>
      <c r="M573" s="1"/>
      <c r="N573" s="1"/>
      <c r="O573" s="3"/>
      <c r="P573" s="18" t="str">
        <f t="shared" si="83"/>
        <v/>
      </c>
      <c r="Q573" s="18" t="str">
        <f t="shared" si="84"/>
        <v/>
      </c>
      <c r="R573" s="18" t="str">
        <f t="shared" si="85"/>
        <v/>
      </c>
      <c r="S573" s="18" t="str">
        <f t="shared" si="86"/>
        <v/>
      </c>
      <c r="T573" s="18" t="str">
        <f t="shared" si="87"/>
        <v/>
      </c>
      <c r="U573" s="18" t="str">
        <f t="shared" si="88"/>
        <v/>
      </c>
      <c r="V573" s="1"/>
    </row>
    <row r="574" spans="1:22" x14ac:dyDescent="0.25">
      <c r="A574" s="14"/>
      <c r="B574" s="33"/>
      <c r="C574" s="22"/>
      <c r="D574" s="4"/>
      <c r="E574" s="39">
        <v>0.1</v>
      </c>
      <c r="F574" s="42"/>
      <c r="G574" s="11"/>
      <c r="H574" s="1"/>
      <c r="I574" s="1"/>
      <c r="J574" s="2"/>
      <c r="K574" s="1"/>
      <c r="L574" s="1"/>
      <c r="M574" s="1"/>
      <c r="N574" s="1"/>
      <c r="O574" s="3"/>
      <c r="P574" s="18" t="str">
        <f t="shared" si="83"/>
        <v/>
      </c>
      <c r="Q574" s="18" t="str">
        <f t="shared" si="84"/>
        <v/>
      </c>
      <c r="R574" s="18" t="str">
        <f t="shared" si="85"/>
        <v/>
      </c>
      <c r="S574" s="18" t="str">
        <f t="shared" si="86"/>
        <v/>
      </c>
      <c r="T574" s="18" t="str">
        <f t="shared" si="87"/>
        <v/>
      </c>
      <c r="U574" s="18" t="str">
        <f t="shared" si="88"/>
        <v/>
      </c>
      <c r="V574" s="1"/>
    </row>
    <row r="575" spans="1:22" x14ac:dyDescent="0.25">
      <c r="A575" s="14"/>
      <c r="B575" s="34" t="s">
        <v>36</v>
      </c>
      <c r="C575" s="22"/>
      <c r="D575" s="25">
        <f>0.23-0.05</f>
        <v>0.18</v>
      </c>
      <c r="E575" s="39"/>
      <c r="F575" s="42"/>
      <c r="G575" s="11">
        <v>10</v>
      </c>
      <c r="H575" s="1">
        <v>1</v>
      </c>
      <c r="I575" s="1">
        <v>5</v>
      </c>
      <c r="J575" s="41">
        <f>D575+E574+E576</f>
        <v>0.38</v>
      </c>
      <c r="K575" s="1"/>
      <c r="L575" s="1"/>
      <c r="M575" s="5">
        <f>2*3*G575/1000</f>
        <v>0.06</v>
      </c>
      <c r="N575" s="5">
        <f>(J575+K575-M575)</f>
        <v>0.32</v>
      </c>
      <c r="O575" s="5">
        <f>(H575*I575*N575)</f>
        <v>1.6</v>
      </c>
      <c r="P575" s="18" t="str">
        <f t="shared" si="83"/>
        <v/>
      </c>
      <c r="Q575" s="18">
        <f t="shared" si="84"/>
        <v>1.6</v>
      </c>
      <c r="R575" s="18" t="str">
        <f t="shared" si="85"/>
        <v/>
      </c>
      <c r="S575" s="18" t="str">
        <f t="shared" si="86"/>
        <v/>
      </c>
      <c r="T575" s="18" t="str">
        <f t="shared" si="87"/>
        <v/>
      </c>
      <c r="U575" s="18" t="str">
        <f t="shared" si="88"/>
        <v/>
      </c>
      <c r="V575" s="1"/>
    </row>
    <row r="576" spans="1:22" x14ac:dyDescent="0.25">
      <c r="A576" s="14"/>
      <c r="B576" s="33"/>
      <c r="C576" s="22"/>
      <c r="D576" s="4"/>
      <c r="E576" s="39">
        <v>0.1</v>
      </c>
      <c r="F576" s="42"/>
      <c r="G576" s="11"/>
      <c r="H576" s="1"/>
      <c r="I576" s="1"/>
      <c r="J576" s="2"/>
      <c r="K576" s="1"/>
      <c r="L576" s="1"/>
      <c r="M576" s="1"/>
      <c r="N576" s="1"/>
      <c r="O576" s="3"/>
      <c r="P576" s="18" t="str">
        <f t="shared" si="83"/>
        <v/>
      </c>
      <c r="Q576" s="18" t="str">
        <f t="shared" si="84"/>
        <v/>
      </c>
      <c r="R576" s="18" t="str">
        <f t="shared" si="85"/>
        <v/>
      </c>
      <c r="S576" s="18" t="str">
        <f t="shared" si="86"/>
        <v/>
      </c>
      <c r="T576" s="18" t="str">
        <f t="shared" si="87"/>
        <v/>
      </c>
      <c r="U576" s="18" t="str">
        <f t="shared" si="88"/>
        <v/>
      </c>
      <c r="V576" s="1"/>
    </row>
    <row r="577" spans="1:22" x14ac:dyDescent="0.25">
      <c r="A577" s="14"/>
      <c r="B577" s="34"/>
      <c r="C577" s="22"/>
      <c r="D577" s="28"/>
      <c r="E577" s="23"/>
      <c r="F577" s="42"/>
      <c r="G577" s="11"/>
      <c r="H577" s="1"/>
      <c r="I577" s="1"/>
      <c r="J577" s="2"/>
      <c r="K577" s="1"/>
      <c r="L577" s="1"/>
      <c r="M577" s="1"/>
      <c r="N577" s="1"/>
      <c r="O577" s="3"/>
      <c r="P577" s="18" t="str">
        <f t="shared" si="83"/>
        <v/>
      </c>
      <c r="Q577" s="18" t="str">
        <f t="shared" si="84"/>
        <v/>
      </c>
      <c r="R577" s="18" t="str">
        <f t="shared" si="85"/>
        <v/>
      </c>
      <c r="S577" s="18" t="str">
        <f t="shared" si="86"/>
        <v/>
      </c>
      <c r="T577" s="18" t="str">
        <f t="shared" si="87"/>
        <v/>
      </c>
      <c r="U577" s="18" t="str">
        <f t="shared" si="88"/>
        <v/>
      </c>
      <c r="V577" s="1"/>
    </row>
    <row r="578" spans="1:22" x14ac:dyDescent="0.25">
      <c r="A578" s="14"/>
      <c r="B578" s="34"/>
      <c r="C578" s="22"/>
      <c r="D578" s="28"/>
      <c r="E578" s="23"/>
      <c r="F578" s="42"/>
      <c r="G578" s="11"/>
      <c r="H578" s="1"/>
      <c r="I578" s="1"/>
      <c r="J578" s="2"/>
      <c r="K578" s="1"/>
      <c r="L578" s="1"/>
      <c r="M578" s="1"/>
      <c r="N578" s="1"/>
      <c r="O578" s="3"/>
      <c r="P578" s="18" t="str">
        <f t="shared" si="83"/>
        <v/>
      </c>
      <c r="Q578" s="18" t="str">
        <f t="shared" si="84"/>
        <v/>
      </c>
      <c r="R578" s="18" t="str">
        <f t="shared" si="85"/>
        <v/>
      </c>
      <c r="S578" s="18" t="str">
        <f t="shared" si="86"/>
        <v/>
      </c>
      <c r="T578" s="18" t="str">
        <f t="shared" si="87"/>
        <v/>
      </c>
      <c r="U578" s="18" t="str">
        <f t="shared" si="88"/>
        <v/>
      </c>
      <c r="V578" s="1"/>
    </row>
    <row r="579" spans="1:22" x14ac:dyDescent="0.25">
      <c r="A579" s="14"/>
      <c r="B579" s="33"/>
      <c r="C579" s="22"/>
      <c r="D579" s="4"/>
      <c r="E579" s="23"/>
      <c r="F579" s="42"/>
      <c r="G579" s="11"/>
      <c r="H579" s="1"/>
      <c r="I579" s="1"/>
      <c r="J579" s="2"/>
      <c r="K579" s="1"/>
      <c r="L579" s="1"/>
      <c r="M579" s="1"/>
      <c r="N579" s="1"/>
      <c r="O579" s="5"/>
      <c r="P579" s="18" t="str">
        <f t="shared" ref="P579" si="103">IF($G579=8,$O579,"")</f>
        <v/>
      </c>
      <c r="Q579" s="18" t="str">
        <f t="shared" ref="Q579" si="104">IF($G579=10,$O579,"")</f>
        <v/>
      </c>
      <c r="R579" s="18" t="str">
        <f t="shared" ref="R579" si="105">IF($G579=12,$O579,"")</f>
        <v/>
      </c>
      <c r="S579" s="18" t="str">
        <f t="shared" ref="S579" si="106">IF($G579=16,$O579,"")</f>
        <v/>
      </c>
      <c r="T579" s="18" t="str">
        <f t="shared" ref="T579" si="107">IF($G579=20,$O579,"")</f>
        <v/>
      </c>
      <c r="U579" s="18" t="str">
        <f t="shared" ref="U579" si="108">IF($G579=25,$O579,"")</f>
        <v/>
      </c>
      <c r="V579" s="1"/>
    </row>
    <row r="580" spans="1:22" x14ac:dyDescent="0.25">
      <c r="A580" s="14"/>
      <c r="B580" s="34"/>
      <c r="C580" s="22"/>
      <c r="D580" s="28"/>
      <c r="E580" s="23"/>
      <c r="F580" s="42"/>
      <c r="G580" s="11"/>
      <c r="H580" s="1"/>
      <c r="I580" s="1"/>
      <c r="J580" s="2"/>
      <c r="K580" s="1"/>
      <c r="L580" s="1"/>
      <c r="M580" s="1"/>
      <c r="N580" s="1"/>
      <c r="O580" s="3"/>
      <c r="P580" s="18" t="str">
        <f t="shared" si="0"/>
        <v/>
      </c>
      <c r="Q580" s="18" t="str">
        <f t="shared" si="1"/>
        <v/>
      </c>
      <c r="R580" s="18" t="str">
        <f t="shared" si="2"/>
        <v/>
      </c>
      <c r="S580" s="18" t="str">
        <f t="shared" si="3"/>
        <v/>
      </c>
      <c r="T580" s="18" t="str">
        <f t="shared" si="4"/>
        <v/>
      </c>
      <c r="U580" s="18" t="str">
        <f t="shared" si="5"/>
        <v/>
      </c>
      <c r="V580" s="1"/>
    </row>
    <row r="581" spans="1:22" x14ac:dyDescent="0.25">
      <c r="A581" s="14"/>
      <c r="B581" s="34"/>
      <c r="C581" s="22"/>
      <c r="D581" s="28"/>
      <c r="E581" s="23"/>
      <c r="F581" s="42"/>
      <c r="G581" s="11"/>
      <c r="H581" s="1"/>
      <c r="I581" s="1"/>
      <c r="J581" s="2"/>
      <c r="K581" s="1"/>
      <c r="L581" s="1"/>
      <c r="M581" s="1"/>
      <c r="N581" s="1"/>
      <c r="O581" s="3"/>
      <c r="P581" s="18" t="str">
        <f t="shared" si="0"/>
        <v/>
      </c>
      <c r="Q581" s="18" t="str">
        <f t="shared" si="1"/>
        <v/>
      </c>
      <c r="R581" s="18" t="str">
        <f t="shared" si="2"/>
        <v/>
      </c>
      <c r="S581" s="18" t="str">
        <f t="shared" si="3"/>
        <v/>
      </c>
      <c r="T581" s="18" t="str">
        <f t="shared" si="4"/>
        <v/>
      </c>
      <c r="U581" s="18" t="str">
        <f t="shared" si="5"/>
        <v/>
      </c>
      <c r="V581" s="1"/>
    </row>
    <row r="582" spans="1:22" x14ac:dyDescent="0.25">
      <c r="A582" s="14"/>
      <c r="B582" s="35"/>
      <c r="C582" s="30"/>
      <c r="D582" s="31"/>
      <c r="E582" s="32"/>
      <c r="F582" s="42"/>
      <c r="G582" s="11"/>
      <c r="H582" s="1"/>
      <c r="I582" s="1"/>
      <c r="J582" s="2"/>
      <c r="K582" s="1"/>
      <c r="L582" s="1"/>
      <c r="M582" s="1"/>
      <c r="N582" s="1"/>
      <c r="O582" s="3"/>
      <c r="P582" s="18" t="str">
        <f t="shared" si="0"/>
        <v/>
      </c>
      <c r="Q582" s="18" t="str">
        <f t="shared" si="1"/>
        <v/>
      </c>
      <c r="R582" s="18" t="str">
        <f t="shared" si="2"/>
        <v/>
      </c>
      <c r="S582" s="18" t="str">
        <f t="shared" si="3"/>
        <v/>
      </c>
      <c r="T582" s="18" t="str">
        <f t="shared" si="4"/>
        <v/>
      </c>
      <c r="U582" s="18" t="str">
        <f t="shared" si="5"/>
        <v/>
      </c>
      <c r="V582" s="11" t="s">
        <v>27</v>
      </c>
    </row>
    <row r="583" spans="1:22" x14ac:dyDescent="0.25">
      <c r="A583" s="44"/>
      <c r="B583" s="36" t="s">
        <v>23</v>
      </c>
      <c r="C583" s="48"/>
      <c r="D583" s="48"/>
      <c r="E583" s="49"/>
      <c r="F583" s="12"/>
      <c r="G583" s="12"/>
      <c r="H583" s="16"/>
      <c r="I583" s="16"/>
      <c r="J583" s="43"/>
      <c r="K583" s="16"/>
      <c r="L583" s="16"/>
      <c r="M583" s="16"/>
      <c r="N583" s="16"/>
      <c r="O583" s="16"/>
      <c r="P583" s="7">
        <f>SUM(P5:P582)</f>
        <v>0</v>
      </c>
      <c r="Q583" s="7">
        <f>SUM(Q5:Q582)</f>
        <v>911.57870147148208</v>
      </c>
      <c r="R583" s="7">
        <f>SUM(R5:R582)</f>
        <v>363.69599999999969</v>
      </c>
      <c r="S583" s="7">
        <f>SUM(S5:S582)</f>
        <v>489.52199999999999</v>
      </c>
      <c r="T583" s="7">
        <f>SUM(T5:T582)</f>
        <v>266.01</v>
      </c>
      <c r="U583" s="7">
        <f>SUM(U5:U582)</f>
        <v>19.86</v>
      </c>
      <c r="V583" s="20"/>
    </row>
    <row r="584" spans="1:22" x14ac:dyDescent="0.25">
      <c r="A584" s="44"/>
      <c r="B584" s="36" t="s">
        <v>24</v>
      </c>
      <c r="C584" s="50"/>
      <c r="D584" s="50"/>
      <c r="E584" s="50"/>
      <c r="F584" s="12"/>
      <c r="G584" s="12"/>
      <c r="H584" s="16"/>
      <c r="I584" s="16"/>
      <c r="J584" s="43"/>
      <c r="K584" s="16"/>
      <c r="L584" s="16"/>
      <c r="M584" s="16"/>
      <c r="N584" s="16"/>
      <c r="O584" s="16"/>
      <c r="P584" s="16">
        <v>0.39500000000000002</v>
      </c>
      <c r="Q584" s="16">
        <v>0.61699999999999999</v>
      </c>
      <c r="R584" s="16">
        <v>0.88800000000000001</v>
      </c>
      <c r="S584" s="16">
        <v>1.58</v>
      </c>
      <c r="T584" s="16">
        <v>2.4689999999999999</v>
      </c>
      <c r="U584" s="16">
        <v>3.8580000000000001</v>
      </c>
      <c r="V584" s="20"/>
    </row>
    <row r="585" spans="1:22" x14ac:dyDescent="0.25">
      <c r="A585" s="44"/>
      <c r="B585" s="36" t="s">
        <v>25</v>
      </c>
      <c r="C585" s="50"/>
      <c r="D585" s="50"/>
      <c r="E585" s="50"/>
      <c r="F585" s="12"/>
      <c r="G585" s="12"/>
      <c r="H585" s="16"/>
      <c r="I585" s="16"/>
      <c r="J585" s="43"/>
      <c r="K585" s="16"/>
      <c r="L585" s="16"/>
      <c r="M585" s="16"/>
      <c r="N585" s="16"/>
      <c r="O585" s="16"/>
      <c r="P585" s="8">
        <f>P583*P584</f>
        <v>0</v>
      </c>
      <c r="Q585" s="8">
        <f t="shared" ref="Q585:U585" si="109">Q583*Q584</f>
        <v>562.44405880790441</v>
      </c>
      <c r="R585" s="8">
        <f t="shared" si="109"/>
        <v>322.9620479999997</v>
      </c>
      <c r="S585" s="8">
        <f t="shared" si="109"/>
        <v>773.44475999999997</v>
      </c>
      <c r="T585" s="8">
        <f t="shared" si="109"/>
        <v>656.77868999999998</v>
      </c>
      <c r="U585" s="8">
        <f t="shared" si="109"/>
        <v>76.619879999999995</v>
      </c>
      <c r="V585" s="20">
        <f>SUM(P585:U585)</f>
        <v>2392.2494368079042</v>
      </c>
    </row>
    <row r="586" spans="1:22" x14ac:dyDescent="0.25">
      <c r="A586" s="14"/>
      <c r="B586" s="19"/>
      <c r="C586" s="19"/>
      <c r="D586" s="19"/>
      <c r="E586" s="19"/>
      <c r="F586" s="19"/>
      <c r="G586" s="19"/>
      <c r="J586" s="19"/>
    </row>
  </sheetData>
  <mergeCells count="19">
    <mergeCell ref="N3:N4"/>
    <mergeCell ref="O3:O4"/>
    <mergeCell ref="P3:U3"/>
    <mergeCell ref="V3:V4"/>
    <mergeCell ref="A1:V1"/>
    <mergeCell ref="A3:A4"/>
    <mergeCell ref="B3:B4"/>
    <mergeCell ref="C3:E4"/>
    <mergeCell ref="F3:F4"/>
    <mergeCell ref="G3:G4"/>
    <mergeCell ref="H3:H4"/>
    <mergeCell ref="I3:I4"/>
    <mergeCell ref="J3:J4"/>
    <mergeCell ref="K3:K4"/>
    <mergeCell ref="C583:E583"/>
    <mergeCell ref="C584:E584"/>
    <mergeCell ref="C585:E585"/>
    <mergeCell ref="L3:L4"/>
    <mergeCell ref="M3:M4"/>
  </mergeCells>
  <pageMargins left="0.7" right="0.7" top="0.75" bottom="0.75" header="0.3" footer="0.3"/>
  <pageSetup paperSize="9" scale="5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 TO G.F.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cp:lastPrinted>2025-05-29T12:04:44Z</cp:lastPrinted>
  <dcterms:created xsi:type="dcterms:W3CDTF">2021-12-17T04:53:56Z</dcterms:created>
  <dcterms:modified xsi:type="dcterms:W3CDTF">2025-05-30T05:58:56Z</dcterms:modified>
</cp:coreProperties>
</file>